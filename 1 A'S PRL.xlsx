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<sst xmlns="http://schemas.openxmlformats.org/spreadsheetml/2006/main" count="150" uniqueCount="47">
  <si>
    <t>Con Number</t>
  </si>
  <si>
    <t>FIT</t>
  </si>
  <si>
    <t>COLOR</t>
  </si>
  <si>
    <t>Style</t>
  </si>
  <si>
    <t>XS</t>
  </si>
  <si>
    <t>S</t>
  </si>
  <si>
    <t>M</t>
  </si>
  <si>
    <t>L</t>
  </si>
  <si>
    <t>XL</t>
  </si>
  <si>
    <t>XXL</t>
  </si>
  <si>
    <t>TOTAL</t>
  </si>
  <si>
    <t>PRLS/25/11032</t>
  </si>
  <si>
    <t>Custome FIT</t>
  </si>
  <si>
    <t>5137B PINK/WHITE</t>
  </si>
  <si>
    <t>710982143</t>
  </si>
  <si>
    <t>PRLS/25/11468.1</t>
  </si>
  <si>
    <t>SLIM FIT</t>
  </si>
  <si>
    <t>PERFECT GREY</t>
  </si>
  <si>
    <t>PRLS/25/10964</t>
  </si>
  <si>
    <t>CLASSIC FIT</t>
  </si>
  <si>
    <t>PINK</t>
  </si>
  <si>
    <t>PRLS/25/12035</t>
  </si>
  <si>
    <t>CLASSIC  FIT</t>
  </si>
  <si>
    <t>BSR WHITE</t>
  </si>
  <si>
    <t>710P03854</t>
  </si>
  <si>
    <t>PRLS/25/12093</t>
  </si>
  <si>
    <t xml:space="preserve"> BEIGE WHITE</t>
  </si>
  <si>
    <t>710B15594</t>
  </si>
  <si>
    <t>PRLS/25/12221</t>
  </si>
  <si>
    <t>Classic FIT</t>
  </si>
  <si>
    <t>BAYSIDE GREEN</t>
  </si>
  <si>
    <t>PRLS/25/12223</t>
  </si>
  <si>
    <t>BLUE/WHITE</t>
  </si>
  <si>
    <t>710B16388</t>
  </si>
  <si>
    <t>PRLS/25/12733</t>
  </si>
  <si>
    <t xml:space="preserve"> COASTAL BEIGE/WHITE</t>
  </si>
  <si>
    <t>710B22588</t>
  </si>
  <si>
    <t>PRLS/25/12741</t>
  </si>
  <si>
    <t>CABANA BLUE/WHITE</t>
  </si>
  <si>
    <t>710B22589</t>
  </si>
  <si>
    <t>GRAND TOTAL</t>
  </si>
  <si>
    <t>PRLS/25/11032 Extra Cut 1 A's</t>
  </si>
  <si>
    <t>1 A's</t>
  </si>
  <si>
    <t>PRLS/25/12324, 12707 ( Not Cut )</t>
  </si>
  <si>
    <t>ORDER QTY</t>
  </si>
  <si>
    <t>Used from 11032 1A'S for PO4702081056 ( PRL/12324 &amp; 12707 )</t>
  </si>
  <si>
    <t xml:space="preserve">Balance 1 A's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</si>
</sst>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30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4"/>
      <name val="Calibri"/>
      <charset val="134"/>
    </font>
    <font>
      <b/>
      <sz val="12"/>
      <name val="Calibri"/>
      <charset val="134"/>
    </font>
    <font>
      <sz val="14"/>
      <color indexed="8"/>
      <name val="Calibri"/>
      <charset val="134"/>
    </font>
    <font>
      <sz val="12"/>
      <color indexed="8"/>
      <name val="Calibri"/>
      <charset val="134"/>
    </font>
    <font>
      <b/>
      <sz val="16"/>
      <color indexed="8"/>
      <name val="Calibri"/>
      <charset val="134"/>
    </font>
    <font>
      <b/>
      <sz val="16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6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8" fontId="10" fillId="0" borderId="0" applyFont="0" applyFill="0" applyBorder="0" applyAlignment="0" applyProtection="0">
      <alignment vertical="center"/>
    </xf>
    <xf numFmtId="179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5" borderId="1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19" applyNumberFormat="0" applyFill="0" applyAlignment="0" applyProtection="0">
      <alignment vertical="center"/>
    </xf>
    <xf numFmtId="0" fontId="18" fillId="0" borderId="2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6" borderId="21" applyNumberFormat="0" applyAlignment="0" applyProtection="0">
      <alignment vertical="center"/>
    </xf>
    <xf numFmtId="0" fontId="20" fillId="7" borderId="22" applyNumberFormat="0" applyAlignment="0" applyProtection="0">
      <alignment vertical="center"/>
    </xf>
    <xf numFmtId="0" fontId="21" fillId="7" borderId="21" applyNumberFormat="0" applyAlignment="0" applyProtection="0">
      <alignment vertical="center"/>
    </xf>
    <xf numFmtId="0" fontId="22" fillId="8" borderId="23" applyNumberFormat="0" applyAlignment="0" applyProtection="0">
      <alignment vertical="center"/>
    </xf>
    <xf numFmtId="0" fontId="23" fillId="0" borderId="24" applyNumberFormat="0" applyFill="0" applyAlignment="0" applyProtection="0">
      <alignment vertical="center"/>
    </xf>
    <xf numFmtId="0" fontId="24" fillId="0" borderId="25" applyNumberFormat="0" applyFill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/>
    <xf numFmtId="0" fontId="2" fillId="2" borderId="1" xfId="0" applyNumberFormat="1" applyFont="1" applyFill="1" applyBorder="1" applyAlignment="1" applyProtection="1">
      <alignment horizontal="center" vertical="center" wrapText="1"/>
    </xf>
    <xf numFmtId="0" fontId="3" fillId="2" borderId="1" xfId="0" applyNumberFormat="1" applyFont="1" applyFill="1" applyBorder="1" applyAlignment="1" applyProtection="1">
      <alignment horizontal="center" vertical="center" wrapText="1"/>
    </xf>
    <xf numFmtId="1" fontId="2" fillId="2" borderId="1" xfId="0" applyNumberFormat="1" applyFont="1" applyFill="1" applyBorder="1" applyAlignment="1" applyProtection="1">
      <alignment horizontal="center" vertical="center" wrapText="1"/>
    </xf>
    <xf numFmtId="0" fontId="4" fillId="0" borderId="1" xfId="0" applyNumberFormat="1" applyFont="1" applyFill="1" applyBorder="1" applyAlignment="1" applyProtection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" fontId="4" fillId="0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center" vertical="center"/>
    </xf>
    <xf numFmtId="0" fontId="6" fillId="3" borderId="1" xfId="0" applyNumberFormat="1" applyFont="1" applyFill="1" applyBorder="1" applyAlignment="1" applyProtection="1">
      <alignment horizontal="center" vertical="center"/>
    </xf>
    <xf numFmtId="1" fontId="6" fillId="3" borderId="1" xfId="0" applyNumberFormat="1" applyFont="1" applyFill="1" applyBorder="1" applyAlignment="1" applyProtection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2" fillId="2" borderId="2" xfId="0" applyNumberFormat="1" applyFont="1" applyFill="1" applyBorder="1" applyAlignment="1" applyProtection="1">
      <alignment horizontal="center" vertical="center"/>
    </xf>
    <xf numFmtId="0" fontId="2" fillId="2" borderId="3" xfId="0" applyNumberFormat="1" applyFont="1" applyFill="1" applyBorder="1" applyAlignment="1" applyProtection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vertical="center"/>
    </xf>
    <xf numFmtId="1" fontId="2" fillId="2" borderId="4" xfId="0" applyNumberFormat="1" applyFont="1" applyFill="1" applyBorder="1" applyAlignment="1" applyProtection="1">
      <alignment horizontal="center" vertical="center"/>
    </xf>
    <xf numFmtId="0" fontId="4" fillId="0" borderId="5" xfId="0" applyNumberFormat="1" applyFont="1" applyFill="1" applyBorder="1" applyAlignment="1" applyProtection="1">
      <alignment horizontal="center" vertical="center"/>
    </xf>
    <xf numFmtId="0" fontId="4" fillId="0" borderId="6" xfId="0" applyNumberFormat="1" applyFont="1" applyFill="1" applyBorder="1" applyAlignment="1" applyProtection="1">
      <alignment horizontal="center" vertical="center"/>
    </xf>
    <xf numFmtId="0" fontId="4" fillId="0" borderId="7" xfId="0" applyNumberFormat="1" applyFont="1" applyFill="1" applyBorder="1" applyAlignment="1" applyProtection="1">
      <alignment horizontal="center" vertical="center"/>
    </xf>
    <xf numFmtId="1" fontId="4" fillId="0" borderId="7" xfId="0" applyNumberFormat="1" applyFont="1" applyFill="1" applyBorder="1" applyAlignment="1" applyProtection="1">
      <alignment horizontal="center" vertical="center"/>
    </xf>
    <xf numFmtId="0" fontId="4" fillId="0" borderId="8" xfId="0" applyNumberFormat="1" applyFont="1" applyFill="1" applyBorder="1" applyAlignment="1" applyProtection="1">
      <alignment horizontal="center" vertical="center"/>
    </xf>
    <xf numFmtId="0" fontId="4" fillId="0" borderId="9" xfId="0" applyNumberFormat="1" applyFont="1" applyFill="1" applyBorder="1" applyAlignment="1" applyProtection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2" fillId="2" borderId="1" xfId="0" applyNumberFormat="1" applyFont="1" applyFill="1" applyBorder="1" applyAlignment="1" applyProtection="1">
      <alignment horizontal="center" vertical="center"/>
    </xf>
    <xf numFmtId="0" fontId="7" fillId="3" borderId="1" xfId="0" applyNumberFormat="1" applyFont="1" applyFill="1" applyBorder="1" applyAlignment="1">
      <alignment horizontal="center"/>
    </xf>
    <xf numFmtId="0" fontId="2" fillId="2" borderId="14" xfId="0" applyNumberFormat="1" applyFont="1" applyFill="1" applyBorder="1" applyAlignment="1" applyProtection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4" borderId="17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66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1:O48"/>
  <sheetViews>
    <sheetView tabSelected="1" topLeftCell="A12" workbookViewId="0">
      <selection activeCell="D37" sqref="D37"/>
    </sheetView>
  </sheetViews>
  <sheetFormatPr defaultColWidth="9" defaultRowHeight="15"/>
  <cols>
    <col min="4" max="4" width="76" customWidth="1"/>
    <col min="5" max="5" width="15.4285714285714" customWidth="1"/>
    <col min="6" max="6" width="23.4285714285714" customWidth="1"/>
    <col min="7" max="7" width="22.4285714285714" customWidth="1"/>
    <col min="8" max="8" width="14.1428571428571" customWidth="1"/>
    <col min="9" max="13" width="7.42857142857143" customWidth="1"/>
    <col min="14" max="14" width="8.57142857142857" customWidth="1"/>
    <col min="15" max="15" width="12.4285714285714" customWidth="1"/>
    <col min="16" max="16" width="8.28571428571429" customWidth="1"/>
    <col min="17" max="17" width="13.1428571428571" customWidth="1"/>
    <col min="18" max="18" width="23.4285714285714" customWidth="1"/>
    <col min="19" max="19" width="7" customWidth="1"/>
  </cols>
  <sheetData>
    <row r="11" ht="18.75" spans="4:14">
      <c r="D11" s="3" t="s">
        <v>0</v>
      </c>
      <c r="E11" s="3" t="s">
        <v>1</v>
      </c>
      <c r="F11" s="4" t="s">
        <v>2</v>
      </c>
      <c r="G11" s="5" t="s">
        <v>3</v>
      </c>
      <c r="H11" s="3" t="s">
        <v>4</v>
      </c>
      <c r="I11" s="3" t="s">
        <v>5</v>
      </c>
      <c r="J11" s="3" t="s">
        <v>6</v>
      </c>
      <c r="K11" s="3" t="s">
        <v>7</v>
      </c>
      <c r="L11" s="3" t="s">
        <v>8</v>
      </c>
      <c r="M11" s="3" t="s">
        <v>9</v>
      </c>
      <c r="N11" s="31" t="s">
        <v>10</v>
      </c>
    </row>
    <row r="12" ht="18.75" spans="4:14">
      <c r="D12" s="6" t="s">
        <v>11</v>
      </c>
      <c r="E12" s="6" t="s">
        <v>12</v>
      </c>
      <c r="F12" s="6" t="s">
        <v>13</v>
      </c>
      <c r="G12" s="6" t="s">
        <v>14</v>
      </c>
      <c r="H12" s="7">
        <v>4</v>
      </c>
      <c r="I12" s="7">
        <v>5</v>
      </c>
      <c r="J12" s="7">
        <v>2</v>
      </c>
      <c r="K12" s="7">
        <v>6</v>
      </c>
      <c r="L12" s="7">
        <v>17</v>
      </c>
      <c r="M12" s="7">
        <v>54</v>
      </c>
      <c r="N12" s="7">
        <f>SUM(H12:M12)</f>
        <v>88</v>
      </c>
    </row>
    <row r="13" spans="4:14"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ht="18.75" spans="4:14">
      <c r="D14" s="3" t="s">
        <v>0</v>
      </c>
      <c r="E14" s="3" t="s">
        <v>1</v>
      </c>
      <c r="F14" s="4" t="s">
        <v>2</v>
      </c>
      <c r="G14" s="5" t="s">
        <v>3</v>
      </c>
      <c r="H14" s="3" t="s">
        <v>4</v>
      </c>
      <c r="I14" s="3" t="s">
        <v>5</v>
      </c>
      <c r="J14" s="3" t="s">
        <v>6</v>
      </c>
      <c r="K14" s="3" t="s">
        <v>7</v>
      </c>
      <c r="L14" s="3" t="s">
        <v>8</v>
      </c>
      <c r="M14" s="3" t="s">
        <v>9</v>
      </c>
      <c r="N14" s="31" t="s">
        <v>10</v>
      </c>
    </row>
    <row r="15" ht="18.75" spans="4:14">
      <c r="D15" s="6" t="s">
        <v>15</v>
      </c>
      <c r="E15" s="6" t="s">
        <v>16</v>
      </c>
      <c r="F15" s="6" t="s">
        <v>17</v>
      </c>
      <c r="G15" s="9">
        <v>710889739002</v>
      </c>
      <c r="H15" s="7">
        <v>4</v>
      </c>
      <c r="I15" s="7">
        <v>41</v>
      </c>
      <c r="J15" s="7">
        <v>105</v>
      </c>
      <c r="K15" s="7">
        <v>84</v>
      </c>
      <c r="L15" s="7">
        <v>62</v>
      </c>
      <c r="M15" s="7">
        <v>20</v>
      </c>
      <c r="N15" s="7">
        <f>SUM(H15:M15)</f>
        <v>316</v>
      </c>
    </row>
    <row r="16" spans="4:14"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ht="18.75" spans="4:14">
      <c r="D17" s="3" t="s">
        <v>0</v>
      </c>
      <c r="E17" s="3" t="s">
        <v>1</v>
      </c>
      <c r="F17" s="4" t="s">
        <v>2</v>
      </c>
      <c r="G17" s="5" t="s">
        <v>3</v>
      </c>
      <c r="H17" s="3" t="s">
        <v>4</v>
      </c>
      <c r="I17" s="3" t="s">
        <v>5</v>
      </c>
      <c r="J17" s="3" t="s">
        <v>6</v>
      </c>
      <c r="K17" s="3" t="s">
        <v>7</v>
      </c>
      <c r="L17" s="3" t="s">
        <v>8</v>
      </c>
      <c r="M17" s="3" t="s">
        <v>9</v>
      </c>
      <c r="N17" s="31" t="s">
        <v>10</v>
      </c>
    </row>
    <row r="18" ht="18.75" spans="4:14">
      <c r="D18" s="6" t="s">
        <v>18</v>
      </c>
      <c r="E18" s="6" t="s">
        <v>19</v>
      </c>
      <c r="F18" s="6" t="s">
        <v>20</v>
      </c>
      <c r="G18" s="9">
        <v>710978098</v>
      </c>
      <c r="H18" s="7">
        <v>3</v>
      </c>
      <c r="I18" s="7">
        <v>7</v>
      </c>
      <c r="J18" s="7">
        <f>17+4+2</f>
        <v>23</v>
      </c>
      <c r="K18" s="7">
        <v>18</v>
      </c>
      <c r="L18" s="7">
        <f>16+16+16+6+11+16</f>
        <v>81</v>
      </c>
      <c r="M18" s="7">
        <f>16+16+11+1+16+16+16+8+4</f>
        <v>104</v>
      </c>
      <c r="N18" s="7">
        <f>SUM(H18:M18)</f>
        <v>236</v>
      </c>
    </row>
    <row r="19" spans="4:14"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</row>
    <row r="20" ht="18.75" spans="4:14">
      <c r="D20" s="3" t="s">
        <v>0</v>
      </c>
      <c r="E20" s="3" t="s">
        <v>1</v>
      </c>
      <c r="F20" s="4" t="s">
        <v>2</v>
      </c>
      <c r="G20" s="5" t="s">
        <v>3</v>
      </c>
      <c r="H20" s="3" t="s">
        <v>4</v>
      </c>
      <c r="I20" s="3" t="s">
        <v>5</v>
      </c>
      <c r="J20" s="3" t="s">
        <v>6</v>
      </c>
      <c r="K20" s="3" t="s">
        <v>7</v>
      </c>
      <c r="L20" s="3" t="s">
        <v>8</v>
      </c>
      <c r="M20" s="3" t="s">
        <v>9</v>
      </c>
      <c r="N20" s="31" t="s">
        <v>10</v>
      </c>
    </row>
    <row r="21" ht="18.75" spans="4:14">
      <c r="D21" s="6" t="s">
        <v>21</v>
      </c>
      <c r="E21" s="6" t="s">
        <v>22</v>
      </c>
      <c r="F21" s="6" t="s">
        <v>23</v>
      </c>
      <c r="G21" s="9" t="s">
        <v>24</v>
      </c>
      <c r="H21" s="7">
        <v>1</v>
      </c>
      <c r="I21" s="7">
        <v>6</v>
      </c>
      <c r="J21" s="7">
        <v>49</v>
      </c>
      <c r="K21" s="7">
        <v>48</v>
      </c>
      <c r="L21" s="7">
        <v>2</v>
      </c>
      <c r="M21" s="7">
        <v>37</v>
      </c>
      <c r="N21" s="7">
        <f>SUM(H21:M21)</f>
        <v>143</v>
      </c>
    </row>
    <row r="22" spans="4:14"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</row>
    <row r="23" ht="18.75" spans="4:14">
      <c r="D23" s="3" t="s">
        <v>0</v>
      </c>
      <c r="E23" s="3" t="s">
        <v>1</v>
      </c>
      <c r="F23" s="4" t="s">
        <v>2</v>
      </c>
      <c r="G23" s="5" t="s">
        <v>3</v>
      </c>
      <c r="H23" s="3" t="s">
        <v>4</v>
      </c>
      <c r="I23" s="3" t="s">
        <v>5</v>
      </c>
      <c r="J23" s="3" t="s">
        <v>6</v>
      </c>
      <c r="K23" s="3" t="s">
        <v>7</v>
      </c>
      <c r="L23" s="3" t="s">
        <v>8</v>
      </c>
      <c r="M23" s="3" t="s">
        <v>9</v>
      </c>
      <c r="N23" s="31" t="s">
        <v>10</v>
      </c>
    </row>
    <row r="24" ht="18.75" spans="4:14">
      <c r="D24" s="6" t="s">
        <v>25</v>
      </c>
      <c r="E24" s="6" t="s">
        <v>12</v>
      </c>
      <c r="F24" s="6" t="s">
        <v>26</v>
      </c>
      <c r="G24" s="9" t="s">
        <v>27</v>
      </c>
      <c r="H24" s="7">
        <v>13</v>
      </c>
      <c r="I24" s="7">
        <v>14</v>
      </c>
      <c r="J24" s="7">
        <v>0</v>
      </c>
      <c r="K24" s="7">
        <v>6</v>
      </c>
      <c r="L24" s="7">
        <v>1</v>
      </c>
      <c r="M24" s="7">
        <v>0</v>
      </c>
      <c r="N24" s="7">
        <f>SUM(H24:M24)</f>
        <v>34</v>
      </c>
    </row>
    <row r="25" spans="4:14"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ht="18.75" spans="4:14">
      <c r="D26" s="3" t="s">
        <v>0</v>
      </c>
      <c r="E26" s="3" t="s">
        <v>1</v>
      </c>
      <c r="F26" s="4" t="s">
        <v>2</v>
      </c>
      <c r="G26" s="5" t="s">
        <v>3</v>
      </c>
      <c r="H26" s="3" t="s">
        <v>4</v>
      </c>
      <c r="I26" s="3" t="s">
        <v>5</v>
      </c>
      <c r="J26" s="3" t="s">
        <v>6</v>
      </c>
      <c r="K26" s="3" t="s">
        <v>7</v>
      </c>
      <c r="L26" s="3" t="s">
        <v>8</v>
      </c>
      <c r="M26" s="3" t="s">
        <v>9</v>
      </c>
      <c r="N26" s="31" t="s">
        <v>10</v>
      </c>
    </row>
    <row r="27" ht="18.75" spans="4:14">
      <c r="D27" s="6" t="s">
        <v>28</v>
      </c>
      <c r="E27" s="6" t="s">
        <v>29</v>
      </c>
      <c r="F27" s="6" t="s">
        <v>30</v>
      </c>
      <c r="G27" s="9">
        <v>710967669</v>
      </c>
      <c r="H27" s="7">
        <v>8</v>
      </c>
      <c r="I27" s="7">
        <v>9</v>
      </c>
      <c r="J27" s="7">
        <v>17</v>
      </c>
      <c r="K27" s="7">
        <v>6</v>
      </c>
      <c r="L27" s="7">
        <v>6</v>
      </c>
      <c r="M27" s="7">
        <v>2</v>
      </c>
      <c r="N27" s="7">
        <f>SUM(H27:M27)</f>
        <v>48</v>
      </c>
    </row>
    <row r="28" ht="14.25" customHeight="1" spans="4:14"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ht="18.75" spans="4:14">
      <c r="D29" s="3" t="s">
        <v>0</v>
      </c>
      <c r="E29" s="3" t="s">
        <v>1</v>
      </c>
      <c r="F29" s="4" t="s">
        <v>2</v>
      </c>
      <c r="G29" s="5" t="s">
        <v>3</v>
      </c>
      <c r="H29" s="3" t="s">
        <v>4</v>
      </c>
      <c r="I29" s="3" t="s">
        <v>5</v>
      </c>
      <c r="J29" s="3" t="s">
        <v>6</v>
      </c>
      <c r="K29" s="3" t="s">
        <v>7</v>
      </c>
      <c r="L29" s="3" t="s">
        <v>8</v>
      </c>
      <c r="M29" s="3" t="s">
        <v>9</v>
      </c>
      <c r="N29" s="31" t="s">
        <v>10</v>
      </c>
    </row>
    <row r="30" ht="18.75" spans="4:14">
      <c r="D30" s="6" t="s">
        <v>31</v>
      </c>
      <c r="E30" s="6" t="s">
        <v>29</v>
      </c>
      <c r="F30" s="6" t="s">
        <v>32</v>
      </c>
      <c r="G30" s="9" t="s">
        <v>33</v>
      </c>
      <c r="H30" s="7">
        <v>6</v>
      </c>
      <c r="I30" s="7">
        <v>8</v>
      </c>
      <c r="J30" s="7">
        <v>20</v>
      </c>
      <c r="K30" s="7">
        <v>11</v>
      </c>
      <c r="L30" s="7">
        <v>6</v>
      </c>
      <c r="M30" s="7">
        <v>14</v>
      </c>
      <c r="N30" s="7">
        <f>SUM(H30:M30)</f>
        <v>65</v>
      </c>
    </row>
    <row r="31" ht="18.75" spans="4:14">
      <c r="D31" s="6"/>
      <c r="E31" s="6"/>
      <c r="F31" s="6"/>
      <c r="G31" s="9"/>
      <c r="H31" s="7"/>
      <c r="I31" s="7"/>
      <c r="J31" s="7"/>
      <c r="K31" s="7"/>
      <c r="L31" s="7"/>
      <c r="M31" s="7"/>
      <c r="N31" s="7"/>
    </row>
    <row r="32" ht="18.75" spans="4:14">
      <c r="D32" s="3" t="s">
        <v>0</v>
      </c>
      <c r="E32" s="3" t="s">
        <v>1</v>
      </c>
      <c r="F32" s="4" t="s">
        <v>2</v>
      </c>
      <c r="G32" s="5" t="s">
        <v>3</v>
      </c>
      <c r="H32" s="3" t="s">
        <v>4</v>
      </c>
      <c r="I32" s="3" t="s">
        <v>5</v>
      </c>
      <c r="J32" s="3" t="s">
        <v>6</v>
      </c>
      <c r="K32" s="3" t="s">
        <v>7</v>
      </c>
      <c r="L32" s="3" t="s">
        <v>8</v>
      </c>
      <c r="M32" s="3" t="s">
        <v>9</v>
      </c>
      <c r="N32" s="31" t="s">
        <v>10</v>
      </c>
    </row>
    <row r="33" ht="18.75" spans="4:14">
      <c r="D33" s="6" t="s">
        <v>34</v>
      </c>
      <c r="E33" s="6" t="s">
        <v>12</v>
      </c>
      <c r="F33" s="10" t="s">
        <v>35</v>
      </c>
      <c r="G33" s="9" t="s">
        <v>36</v>
      </c>
      <c r="H33" s="7">
        <v>13</v>
      </c>
      <c r="I33" s="7">
        <v>7</v>
      </c>
      <c r="J33" s="7">
        <v>11</v>
      </c>
      <c r="K33" s="7">
        <v>8</v>
      </c>
      <c r="L33" s="7">
        <v>11</v>
      </c>
      <c r="M33" s="7"/>
      <c r="N33" s="7">
        <f>SUM(H33:M33)</f>
        <v>50</v>
      </c>
    </row>
    <row r="34" ht="18.75" spans="4:14">
      <c r="D34" s="6"/>
      <c r="E34" s="6"/>
      <c r="F34" s="6"/>
      <c r="G34" s="9"/>
      <c r="H34" s="7"/>
      <c r="I34" s="7"/>
      <c r="J34" s="7"/>
      <c r="K34" s="7"/>
      <c r="L34" s="7"/>
      <c r="M34" s="7"/>
      <c r="N34" s="7"/>
    </row>
    <row r="35" ht="18.75" spans="4:14">
      <c r="D35" s="3" t="s">
        <v>0</v>
      </c>
      <c r="E35" s="3" t="s">
        <v>1</v>
      </c>
      <c r="F35" s="4" t="s">
        <v>2</v>
      </c>
      <c r="G35" s="5" t="s">
        <v>3</v>
      </c>
      <c r="H35" s="3" t="s">
        <v>4</v>
      </c>
      <c r="I35" s="3" t="s">
        <v>5</v>
      </c>
      <c r="J35" s="3" t="s">
        <v>6</v>
      </c>
      <c r="K35" s="3" t="s">
        <v>7</v>
      </c>
      <c r="L35" s="3" t="s">
        <v>8</v>
      </c>
      <c r="M35" s="3" t="s">
        <v>9</v>
      </c>
      <c r="N35" s="31" t="s">
        <v>10</v>
      </c>
    </row>
    <row r="36" ht="18.75" spans="4:14">
      <c r="D36" s="6" t="s">
        <v>37</v>
      </c>
      <c r="E36" s="6"/>
      <c r="F36" s="10" t="s">
        <v>38</v>
      </c>
      <c r="G36" s="9" t="s">
        <v>39</v>
      </c>
      <c r="H36" s="7">
        <v>3</v>
      </c>
      <c r="I36" s="7">
        <v>17</v>
      </c>
      <c r="J36" s="7">
        <v>7</v>
      </c>
      <c r="K36" s="7">
        <v>7</v>
      </c>
      <c r="L36" s="7">
        <v>7</v>
      </c>
      <c r="M36" s="7">
        <v>1</v>
      </c>
      <c r="N36" s="7">
        <f>SUM(H36:M36)</f>
        <v>42</v>
      </c>
    </row>
    <row r="37" ht="18.75" spans="4:14">
      <c r="D37" s="6"/>
      <c r="E37" s="6"/>
      <c r="F37" s="6"/>
      <c r="G37" s="9"/>
      <c r="H37" s="7"/>
      <c r="I37" s="7"/>
      <c r="J37" s="7"/>
      <c r="K37" s="7"/>
      <c r="L37" s="7"/>
      <c r="M37" s="7"/>
      <c r="N37" s="7"/>
    </row>
    <row r="38" ht="21" spans="4:14">
      <c r="D38" s="11"/>
      <c r="E38" s="11"/>
      <c r="F38" s="11" t="s">
        <v>40</v>
      </c>
      <c r="G38" s="12"/>
      <c r="H38" s="13">
        <f t="shared" ref="H38:M38" si="0">+H30+H27+H24+H21+H18+H15+H12+H33+H36</f>
        <v>55</v>
      </c>
      <c r="I38" s="13">
        <f t="shared" si="0"/>
        <v>114</v>
      </c>
      <c r="J38" s="13">
        <f t="shared" si="0"/>
        <v>234</v>
      </c>
      <c r="K38" s="13">
        <f t="shared" si="0"/>
        <v>194</v>
      </c>
      <c r="L38" s="13">
        <f t="shared" si="0"/>
        <v>193</v>
      </c>
      <c r="M38" s="13">
        <f t="shared" si="0"/>
        <v>232</v>
      </c>
      <c r="N38" s="32">
        <f>SUM(H38:M38)</f>
        <v>1022</v>
      </c>
    </row>
    <row r="43" ht="19.5" spans="4:15">
      <c r="D43" s="14" t="s">
        <v>0</v>
      </c>
      <c r="E43" s="15"/>
      <c r="F43" s="16" t="s">
        <v>2</v>
      </c>
      <c r="G43" s="17" t="s">
        <v>3</v>
      </c>
      <c r="H43" s="17"/>
      <c r="I43" s="16" t="s">
        <v>4</v>
      </c>
      <c r="J43" s="16" t="s">
        <v>5</v>
      </c>
      <c r="K43" s="16" t="s">
        <v>6</v>
      </c>
      <c r="L43" s="16" t="s">
        <v>7</v>
      </c>
      <c r="M43" s="16" t="s">
        <v>8</v>
      </c>
      <c r="N43" s="16" t="s">
        <v>9</v>
      </c>
      <c r="O43" s="33" t="s">
        <v>10</v>
      </c>
    </row>
    <row r="44" ht="18.75" spans="4:15">
      <c r="D44" s="18" t="s">
        <v>41</v>
      </c>
      <c r="E44" s="19"/>
      <c r="F44" s="20" t="s">
        <v>13</v>
      </c>
      <c r="G44" s="21">
        <v>710982800500</v>
      </c>
      <c r="H44" s="21" t="s">
        <v>42</v>
      </c>
      <c r="I44" s="34">
        <v>10</v>
      </c>
      <c r="J44" s="34">
        <v>385</v>
      </c>
      <c r="K44" s="34">
        <v>743</v>
      </c>
      <c r="L44" s="34">
        <v>788</v>
      </c>
      <c r="M44" s="34">
        <f>406+16</f>
        <v>422</v>
      </c>
      <c r="N44" s="34">
        <f>177+60</f>
        <v>237</v>
      </c>
      <c r="O44" s="35">
        <f>SUM(I44:N44)</f>
        <v>2585</v>
      </c>
    </row>
    <row r="45" ht="18.75" spans="4:15">
      <c r="D45" s="22" t="s">
        <v>43</v>
      </c>
      <c r="E45" s="23"/>
      <c r="F45" s="6" t="s">
        <v>13</v>
      </c>
      <c r="G45" s="9">
        <v>710982800500</v>
      </c>
      <c r="H45" s="9" t="s">
        <v>44</v>
      </c>
      <c r="I45" s="36">
        <v>135</v>
      </c>
      <c r="J45" s="36">
        <v>420</v>
      </c>
      <c r="K45" s="36">
        <v>892</v>
      </c>
      <c r="L45" s="36">
        <v>786</v>
      </c>
      <c r="M45" s="36">
        <v>395</v>
      </c>
      <c r="N45" s="36">
        <v>172</v>
      </c>
      <c r="O45" s="37">
        <f>SUM(I45:N45)</f>
        <v>2800</v>
      </c>
    </row>
    <row r="46" s="1" customFormat="1" ht="19.5" spans="4:15">
      <c r="D46" s="24" t="s">
        <v>45</v>
      </c>
      <c r="E46" s="25"/>
      <c r="F46" s="26"/>
      <c r="G46" s="26"/>
      <c r="H46" s="26"/>
      <c r="I46" s="26">
        <v>10</v>
      </c>
      <c r="J46" s="26">
        <v>385</v>
      </c>
      <c r="K46" s="26">
        <v>743</v>
      </c>
      <c r="L46" s="26">
        <v>788</v>
      </c>
      <c r="M46" s="26">
        <v>406</v>
      </c>
      <c r="N46" s="26">
        <v>177</v>
      </c>
      <c r="O46" s="38">
        <f>SUM(I46:N46)</f>
        <v>2509</v>
      </c>
    </row>
    <row r="47" ht="19.5" spans="4:15"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</row>
    <row r="48" s="2" customFormat="1" ht="21.75" spans="4:15">
      <c r="D48" s="28" t="s">
        <v>46</v>
      </c>
      <c r="E48" s="29"/>
      <c r="F48" s="30"/>
      <c r="G48" s="30"/>
      <c r="H48" s="30"/>
      <c r="I48" s="30">
        <f>I44-I46</f>
        <v>0</v>
      </c>
      <c r="J48" s="30">
        <f t="shared" ref="J48:O48" si="1">J44-J46</f>
        <v>0</v>
      </c>
      <c r="K48" s="30">
        <f t="shared" si="1"/>
        <v>0</v>
      </c>
      <c r="L48" s="30">
        <f t="shared" si="1"/>
        <v>0</v>
      </c>
      <c r="M48" s="30">
        <f t="shared" si="1"/>
        <v>16</v>
      </c>
      <c r="N48" s="30">
        <f t="shared" si="1"/>
        <v>60</v>
      </c>
      <c r="O48" s="39">
        <f t="shared" si="1"/>
        <v>76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Finishing DEO4</dc:creator>
  <cp:lastModifiedBy>Laguna lg</cp:lastModifiedBy>
  <dcterms:created xsi:type="dcterms:W3CDTF">2025-12-10T12:29:00Z</dcterms:created>
  <dcterms:modified xsi:type="dcterms:W3CDTF">2026-03-03T11:29:15Z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636C468DADF747C98D9E7D844FF2141C_12</vt:lpwstr>
  </property>
  <property fmtid="{D5CDD505-2E9C-101B-9397-08002B2CF9AE}" pid="3" name="KSOProductBuildVer">
    <vt:lpwstr>1033-12.2.0.23155</vt:lpwstr>
  </property>
</Properties>
</file>