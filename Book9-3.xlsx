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definedNames>
    <definedName name="_xlnm._FilterDatabase" localSheetId="1" hidden="1">Sheet2!$E$7:$N$17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2" l="1"/>
  <c r="M10" i="2"/>
  <c r="M9" i="2"/>
  <c r="M11" i="2"/>
  <c r="M12" i="2"/>
  <c r="M13" i="2"/>
  <c r="M14" i="2"/>
  <c r="M15" i="2"/>
  <c r="M16" i="2"/>
  <c r="M8" i="2"/>
</calcChain>
</file>

<file path=xl/sharedStrings.xml><?xml version="1.0" encoding="utf-8"?>
<sst xmlns="http://schemas.openxmlformats.org/spreadsheetml/2006/main" count="142" uniqueCount="73">
  <si>
    <t>Line</t>
  </si>
  <si>
    <t>PO Ref.</t>
  </si>
  <si>
    <t>Buyer</t>
  </si>
  <si>
    <t>Color</t>
  </si>
  <si>
    <t>Order Qty</t>
  </si>
  <si>
    <t>LC/HB/25/12993.6</t>
  </si>
  <si>
    <t>Hugo Boss</t>
  </si>
  <si>
    <t>LIGHT/PASTEL GREEN(10281029-330)</t>
  </si>
  <si>
    <t>LC/HB/25/12057.2</t>
  </si>
  <si>
    <t>LC/THE/25/13184.1</t>
  </si>
  <si>
    <t>Tommy Hilfiger Europe Bv</t>
  </si>
  <si>
    <t>WHITE(YBR)</t>
  </si>
  <si>
    <t>LC/SLTI/25/12847.1</t>
  </si>
  <si>
    <t>Selected</t>
  </si>
  <si>
    <t>BRACKEN PATTEM-EMB TIES</t>
  </si>
  <si>
    <t>LC/PRLS/25/13164.1</t>
  </si>
  <si>
    <t>Polo Ralph Lauren</t>
  </si>
  <si>
    <t>WHITE(WHITE)</t>
  </si>
  <si>
    <t>LC/PRLS/25/12723.1</t>
  </si>
  <si>
    <t>7312 NAVY MULTI(7312)</t>
  </si>
  <si>
    <t>LC/PRLS/25/13171.1</t>
  </si>
  <si>
    <t>6671FADIRONDACKBERRYWHITE(6671FADIRONDACKBERRYWHITE)</t>
  </si>
  <si>
    <t>LC/PRLS/25/13172.1</t>
  </si>
  <si>
    <t>6671E-LOVAT-WHITE(6671ELOVATWHITE)</t>
  </si>
  <si>
    <t>LC/LCT/25/13231.1</t>
  </si>
  <si>
    <t>Lacoste</t>
  </si>
  <si>
    <t>001 BLANC(BLANC)</t>
  </si>
  <si>
    <t>LC/LCT/25/13203.1</t>
  </si>
  <si>
    <t>HDE-ABIMES(HDE-ABIMES)</t>
  </si>
  <si>
    <t>LC/LCT/25/13204.1</t>
  </si>
  <si>
    <t>LC/PVI/25/13468.1</t>
  </si>
  <si>
    <t>PVH Arvind Fashion Private Limited</t>
  </si>
  <si>
    <t>BRIGHT WHITE(11-0601TCX)</t>
  </si>
  <si>
    <t>LC/PVI/25/13135.2</t>
  </si>
  <si>
    <t>GRISAILLE(GRISAILLE)</t>
  </si>
  <si>
    <t>LC/PVI/25/13109.2</t>
  </si>
  <si>
    <t>Breezy Blue(BreezyBlue)</t>
  </si>
  <si>
    <t>LC/PVI/25/12645.1</t>
  </si>
  <si>
    <t>CLOUDY BLUE(CLOUDYBLUE)</t>
  </si>
  <si>
    <t>MAIL</t>
  </si>
  <si>
    <t>SENT</t>
  </si>
  <si>
    <t>OCR</t>
  </si>
  <si>
    <t>NOT Received</t>
  </si>
  <si>
    <t>NOT SENT</t>
  </si>
  <si>
    <t>Received</t>
  </si>
  <si>
    <t>CON</t>
  </si>
  <si>
    <t>PO</t>
  </si>
  <si>
    <t>Country</t>
  </si>
  <si>
    <t>Material ID</t>
  </si>
  <si>
    <t>O. Qty</t>
  </si>
  <si>
    <t>Scan Qty</t>
  </si>
  <si>
    <t>CTNS</t>
  </si>
  <si>
    <t>PRLS/25/12723</t>
  </si>
  <si>
    <t>KOREA</t>
  </si>
  <si>
    <t>710B18274001</t>
  </si>
  <si>
    <t>7312 NAVY MULTI</t>
  </si>
  <si>
    <t>Ship %</t>
  </si>
  <si>
    <t>Status</t>
  </si>
  <si>
    <t>FI Going On - 09th</t>
  </si>
  <si>
    <t>HK</t>
  </si>
  <si>
    <t>FI Pending</t>
  </si>
  <si>
    <t>PRLS/25/13164</t>
  </si>
  <si>
    <t>Canada</t>
  </si>
  <si>
    <t>WHITE</t>
  </si>
  <si>
    <t>US</t>
  </si>
  <si>
    <t>Under Scanning</t>
  </si>
  <si>
    <t>PRLS/25/13171</t>
  </si>
  <si>
    <t>Italy</t>
  </si>
  <si>
    <t>6671F ADIRONDACK BERRY WHITE</t>
  </si>
  <si>
    <t>PRLS/25/13172</t>
  </si>
  <si>
    <t>6671E LOVAT WHITE</t>
  </si>
  <si>
    <t>in draft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</si>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</sst>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sz val="11"/>
      <name val="Calibri"/>
      <charset val="134"/>
    </font>
    <font>
      <sz val="11"/>
      <color rgb="FF000000"/>
      <name val="Calibri"/>
      <family val="2"/>
      <charset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4A5E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1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0" fillId="0" borderId="3" xfId="0" applyBorder="1"/>
    <xf numFmtId="0" fontId="5" fillId="4" borderId="4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" fontId="6" fillId="5" borderId="4" xfId="1" applyNumberFormat="1" applyFont="1" applyFill="1" applyBorder="1" applyAlignment="1">
      <alignment horizontal="center" vertical="center"/>
    </xf>
    <xf numFmtId="0" fontId="0" fillId="0" borderId="4" xfId="0" applyBorder="1"/>
    <xf numFmtId="0" fontId="6" fillId="6" borderId="4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1" fontId="6" fillId="7" borderId="4" xfId="1" applyNumberFormat="1" applyFont="1" applyFill="1" applyBorder="1" applyAlignment="1">
      <alignment horizontal="center" vertical="center"/>
    </xf>
    <xf numFmtId="10" fontId="6" fillId="7" borderId="4" xfId="1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 applyProtection="1">
      <alignment horizontal="center"/>
    </xf>
    <xf numFmtId="0" fontId="3" fillId="8" borderId="1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K23"/>
  <sheetViews>
    <sheetView tabSelected="1" topLeftCell="A4" workbookViewId="0">
      <selection activeCell="G21" sqref="G21"/>
    </sheetView>
  </sheetViews>
  <sheetFormatPr defaultRowHeight="15"/>
  <cols>
    <col min="5" max="5" width="4.7109375" bestFit="1" customWidth="1"/>
    <col min="6" max="6" width="18.5703125" bestFit="1" customWidth="1"/>
    <col min="7" max="7" width="32.85546875" bestFit="1" customWidth="1"/>
    <col min="8" max="8" width="60.42578125" bestFit="1" customWidth="1"/>
    <col min="9" max="10" width="9.7109375" bestFit="1" customWidth="1"/>
    <col min="11" max="11" width="13.5703125" bestFit="1" customWidth="1"/>
  </cols>
  <sheetData>
    <row r="7" spans="5:11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 t="s">
        <v>39</v>
      </c>
      <c r="K7" s="1" t="s">
        <v>41</v>
      </c>
    </row>
    <row r="8" spans="5:11">
      <c r="E8" s="24">
        <v>2</v>
      </c>
      <c r="F8" s="25" t="s">
        <v>5</v>
      </c>
      <c r="G8" s="25" t="s">
        <v>6</v>
      </c>
      <c r="H8" s="25" t="s">
        <v>7</v>
      </c>
      <c r="I8" s="25">
        <v>1540</v>
      </c>
      <c r="J8" s="25" t="s">
        <v>40</v>
      </c>
      <c r="K8" s="25" t="s">
        <v>42</v>
      </c>
    </row>
    <row r="9" spans="5:11">
      <c r="E9" s="5"/>
      <c r="F9" s="4" t="s">
        <v>8</v>
      </c>
      <c r="G9" s="4" t="s">
        <v>6</v>
      </c>
      <c r="H9" s="5"/>
      <c r="I9" s="5">
        <v>767</v>
      </c>
      <c r="J9" s="3" t="s">
        <v>43</v>
      </c>
      <c r="K9" s="4" t="s">
        <v>42</v>
      </c>
    </row>
    <row r="10" spans="5:11">
      <c r="E10" s="2">
        <v>4</v>
      </c>
      <c r="F10" s="4" t="s">
        <v>9</v>
      </c>
      <c r="G10" s="4" t="s">
        <v>10</v>
      </c>
      <c r="H10" s="4" t="s">
        <v>11</v>
      </c>
      <c r="I10" s="4">
        <v>1356</v>
      </c>
      <c r="J10" s="3" t="s">
        <v>43</v>
      </c>
      <c r="K10" s="4" t="s">
        <v>42</v>
      </c>
    </row>
    <row r="11" spans="5:11">
      <c r="E11" s="8">
        <v>4</v>
      </c>
      <c r="F11" s="9" t="s">
        <v>12</v>
      </c>
      <c r="G11" s="9" t="s">
        <v>13</v>
      </c>
      <c r="H11" s="9" t="s">
        <v>14</v>
      </c>
      <c r="I11" s="9">
        <v>468</v>
      </c>
      <c r="J11" s="10" t="s">
        <v>43</v>
      </c>
      <c r="K11" s="9" t="s">
        <v>42</v>
      </c>
    </row>
    <row r="12" spans="5:11">
      <c r="E12" s="6">
        <v>5</v>
      </c>
      <c r="F12" s="7" t="s">
        <v>15</v>
      </c>
      <c r="G12" s="7" t="s">
        <v>16</v>
      </c>
      <c r="H12" s="7" t="s">
        <v>17</v>
      </c>
      <c r="I12" s="7">
        <v>4000</v>
      </c>
      <c r="J12" s="7" t="s">
        <v>71</v>
      </c>
      <c r="K12" s="7" t="s">
        <v>42</v>
      </c>
    </row>
    <row r="13" spans="5:11">
      <c r="E13" s="6">
        <v>6</v>
      </c>
      <c r="F13" s="7" t="s">
        <v>18</v>
      </c>
      <c r="G13" s="7" t="s">
        <v>16</v>
      </c>
      <c r="H13" s="7" t="s">
        <v>19</v>
      </c>
      <c r="I13" s="7">
        <v>3733</v>
      </c>
      <c r="J13" s="7" t="s">
        <v>71</v>
      </c>
      <c r="K13" s="7" t="s">
        <v>42</v>
      </c>
    </row>
    <row r="14" spans="5:11">
      <c r="E14" s="6">
        <v>6</v>
      </c>
      <c r="F14" s="7" t="s">
        <v>20</v>
      </c>
      <c r="G14" s="7" t="s">
        <v>16</v>
      </c>
      <c r="H14" s="7" t="s">
        <v>21</v>
      </c>
      <c r="I14" s="7">
        <v>523</v>
      </c>
      <c r="J14" s="7" t="s">
        <v>71</v>
      </c>
      <c r="K14" s="7" t="s">
        <v>42</v>
      </c>
    </row>
    <row r="15" spans="5:11">
      <c r="E15" s="6">
        <v>6</v>
      </c>
      <c r="F15" s="7" t="s">
        <v>22</v>
      </c>
      <c r="G15" s="7" t="s">
        <v>16</v>
      </c>
      <c r="H15" s="7" t="s">
        <v>23</v>
      </c>
      <c r="I15" s="7">
        <v>678</v>
      </c>
      <c r="J15" s="7" t="s">
        <v>71</v>
      </c>
      <c r="K15" s="7" t="s">
        <v>42</v>
      </c>
    </row>
    <row r="16" spans="5:11">
      <c r="E16" s="11">
        <v>8</v>
      </c>
      <c r="F16" s="12" t="s">
        <v>24</v>
      </c>
      <c r="G16" s="12" t="s">
        <v>25</v>
      </c>
      <c r="H16" s="12" t="s">
        <v>26</v>
      </c>
      <c r="I16" s="12">
        <v>2459</v>
      </c>
      <c r="J16" s="13" t="s">
        <v>43</v>
      </c>
      <c r="K16" s="12" t="s">
        <v>42</v>
      </c>
    </row>
    <row r="17" spans="5:11">
      <c r="E17" s="2">
        <v>8</v>
      </c>
      <c r="F17" s="4" t="s">
        <v>24</v>
      </c>
      <c r="G17" s="4" t="s">
        <v>25</v>
      </c>
      <c r="H17" s="4" t="s">
        <v>26</v>
      </c>
      <c r="I17" s="4">
        <v>968</v>
      </c>
      <c r="J17" s="3" t="s">
        <v>43</v>
      </c>
      <c r="K17" s="4" t="s">
        <v>42</v>
      </c>
    </row>
    <row r="18" spans="5:11">
      <c r="E18" s="2">
        <v>8</v>
      </c>
      <c r="F18" s="4" t="s">
        <v>27</v>
      </c>
      <c r="G18" s="4" t="s">
        <v>25</v>
      </c>
      <c r="H18" s="4" t="s">
        <v>28</v>
      </c>
      <c r="I18" s="4">
        <v>2084</v>
      </c>
      <c r="J18" s="3" t="s">
        <v>43</v>
      </c>
      <c r="K18" s="4" t="s">
        <v>42</v>
      </c>
    </row>
    <row r="19" spans="5:11">
      <c r="E19" s="2">
        <v>8</v>
      </c>
      <c r="F19" s="4" t="s">
        <v>29</v>
      </c>
      <c r="G19" s="4" t="s">
        <v>25</v>
      </c>
      <c r="H19" s="4" t="s">
        <v>28</v>
      </c>
      <c r="I19" s="4">
        <v>832</v>
      </c>
      <c r="J19" s="3" t="s">
        <v>43</v>
      </c>
      <c r="K19" s="4" t="s">
        <v>42</v>
      </c>
    </row>
    <row r="20" spans="5:11">
      <c r="E20" s="24">
        <v>9</v>
      </c>
      <c r="F20" s="25" t="s">
        <v>30</v>
      </c>
      <c r="G20" s="25" t="s">
        <v>31</v>
      </c>
      <c r="H20" s="25" t="s">
        <v>32</v>
      </c>
      <c r="I20" s="25">
        <v>1100</v>
      </c>
      <c r="J20" s="25" t="s">
        <v>40</v>
      </c>
      <c r="K20" s="25" t="s">
        <v>44</v>
      </c>
    </row>
    <row r="21" spans="5:11">
      <c r="E21" s="24">
        <v>9</v>
      </c>
      <c r="F21" s="25" t="s">
        <v>33</v>
      </c>
      <c r="G21" s="25" t="s">
        <v>31</v>
      </c>
      <c r="H21" s="25" t="s">
        <v>34</v>
      </c>
      <c r="I21" s="25">
        <v>1200</v>
      </c>
      <c r="J21" s="25" t="s">
        <v>40</v>
      </c>
      <c r="K21" s="25" t="s">
        <v>44</v>
      </c>
    </row>
    <row r="22" spans="5:11">
      <c r="E22" s="24">
        <v>9</v>
      </c>
      <c r="F22" s="25" t="s">
        <v>35</v>
      </c>
      <c r="G22" s="25" t="s">
        <v>31</v>
      </c>
      <c r="H22" s="25" t="s">
        <v>36</v>
      </c>
      <c r="I22" s="25">
        <v>600</v>
      </c>
      <c r="J22" s="25" t="s">
        <v>40</v>
      </c>
      <c r="K22" s="25" t="s">
        <v>44</v>
      </c>
    </row>
    <row r="23" spans="5:11">
      <c r="E23" s="24">
        <v>11</v>
      </c>
      <c r="F23" s="25" t="s">
        <v>37</v>
      </c>
      <c r="G23" s="25" t="s">
        <v>31</v>
      </c>
      <c r="H23" s="25" t="s">
        <v>38</v>
      </c>
      <c r="I23" s="25">
        <v>511</v>
      </c>
      <c r="J23" s="25" t="s">
        <v>40</v>
      </c>
      <c r="K23" s="2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N17"/>
  <sheetViews>
    <sheetView workbookViewId="0">
      <selection activeCell="G22" sqref="G22"/>
    </sheetView>
  </sheetViews>
  <sheetFormatPr defaultRowHeight="15"/>
  <cols>
    <col min="5" max="5" width="13.85546875" bestFit="1" customWidth="1"/>
    <col min="6" max="6" width="11" bestFit="1" customWidth="1"/>
    <col min="7" max="7" width="8.140625" bestFit="1" customWidth="1"/>
    <col min="8" max="8" width="13.28515625" bestFit="1" customWidth="1"/>
    <col min="9" max="9" width="30.42578125" bestFit="1" customWidth="1"/>
    <col min="10" max="10" width="6.85546875" bestFit="1" customWidth="1"/>
    <col min="11" max="11" width="5.85546875" bestFit="1" customWidth="1"/>
    <col min="12" max="12" width="6.5703125" bestFit="1" customWidth="1"/>
    <col min="13" max="13" width="8.28515625" bestFit="1" customWidth="1"/>
    <col min="14" max="14" width="17.5703125" bestFit="1" customWidth="1"/>
  </cols>
  <sheetData>
    <row r="7" spans="5:14" ht="28.5">
      <c r="E7" s="14" t="s">
        <v>45</v>
      </c>
      <c r="F7" s="14" t="s">
        <v>46</v>
      </c>
      <c r="G7" s="14" t="s">
        <v>47</v>
      </c>
      <c r="H7" s="14" t="s">
        <v>48</v>
      </c>
      <c r="I7" s="14" t="s">
        <v>3</v>
      </c>
      <c r="J7" s="14" t="s">
        <v>49</v>
      </c>
      <c r="K7" s="14" t="s">
        <v>50</v>
      </c>
      <c r="L7" s="14" t="s">
        <v>51</v>
      </c>
      <c r="M7" s="14" t="s">
        <v>56</v>
      </c>
      <c r="N7" s="14" t="s">
        <v>57</v>
      </c>
    </row>
    <row r="8" spans="5:14">
      <c r="E8" s="15" t="s">
        <v>52</v>
      </c>
      <c r="F8" s="15">
        <v>4702067327</v>
      </c>
      <c r="G8" s="15" t="s">
        <v>53</v>
      </c>
      <c r="H8" s="15" t="s">
        <v>54</v>
      </c>
      <c r="I8" s="15" t="s">
        <v>55</v>
      </c>
      <c r="J8" s="15">
        <v>65</v>
      </c>
      <c r="K8" s="15">
        <v>65</v>
      </c>
      <c r="L8" s="15">
        <v>2</v>
      </c>
      <c r="M8" s="16">
        <f>+K8/J8</f>
        <v>1</v>
      </c>
      <c r="N8" s="17" t="s">
        <v>58</v>
      </c>
    </row>
    <row r="9" spans="5:14">
      <c r="E9" s="15" t="s">
        <v>52</v>
      </c>
      <c r="F9" s="17">
        <v>4702067328</v>
      </c>
      <c r="G9" s="17" t="s">
        <v>53</v>
      </c>
      <c r="H9" s="17" t="s">
        <v>54</v>
      </c>
      <c r="I9" s="17" t="s">
        <v>55</v>
      </c>
      <c r="J9" s="17">
        <v>500</v>
      </c>
      <c r="K9" s="17">
        <v>500</v>
      </c>
      <c r="L9" s="17">
        <v>12</v>
      </c>
      <c r="M9" s="16">
        <f>+K9/J9</f>
        <v>1</v>
      </c>
      <c r="N9" s="17" t="s">
        <v>58</v>
      </c>
    </row>
    <row r="10" spans="5:14">
      <c r="E10" s="17" t="s">
        <v>52</v>
      </c>
      <c r="F10" s="17">
        <v>4702067329</v>
      </c>
      <c r="G10" s="17" t="s">
        <v>72</v>
      </c>
      <c r="H10" s="19" t="s">
        <v>54</v>
      </c>
      <c r="I10" s="17" t="s">
        <v>55</v>
      </c>
      <c r="J10" s="17">
        <v>1000</v>
      </c>
      <c r="K10" s="17">
        <v>1022</v>
      </c>
      <c r="L10" s="17">
        <v>24</v>
      </c>
      <c r="M10" s="16">
        <f>+K10/J10</f>
        <v>1.022</v>
      </c>
      <c r="N10" s="17" t="s">
        <v>58</v>
      </c>
    </row>
    <row r="11" spans="5:14">
      <c r="E11" s="17" t="s">
        <v>52</v>
      </c>
      <c r="F11" s="17">
        <v>4702067324</v>
      </c>
      <c r="G11" s="17" t="s">
        <v>59</v>
      </c>
      <c r="H11" s="17" t="s">
        <v>54</v>
      </c>
      <c r="I11" s="17" t="s">
        <v>55</v>
      </c>
      <c r="J11" s="17">
        <v>290</v>
      </c>
      <c r="K11" s="17">
        <v>290</v>
      </c>
      <c r="L11" s="17">
        <v>9</v>
      </c>
      <c r="M11" s="16">
        <f>+K11/J11</f>
        <v>1</v>
      </c>
      <c r="N11" s="17" t="s">
        <v>60</v>
      </c>
    </row>
    <row r="12" spans="5:14">
      <c r="E12" s="15" t="s">
        <v>52</v>
      </c>
      <c r="F12" s="15">
        <v>4702067325</v>
      </c>
      <c r="G12" s="15" t="s">
        <v>59</v>
      </c>
      <c r="H12" s="15" t="s">
        <v>54</v>
      </c>
      <c r="I12" s="15" t="s">
        <v>55</v>
      </c>
      <c r="J12" s="15">
        <v>149</v>
      </c>
      <c r="K12" s="15">
        <v>149</v>
      </c>
      <c r="L12" s="15">
        <v>5</v>
      </c>
      <c r="M12" s="16">
        <f>+K12/J12</f>
        <v>1</v>
      </c>
      <c r="N12" s="15" t="s">
        <v>60</v>
      </c>
    </row>
    <row r="13" spans="5:14">
      <c r="E13" s="17" t="s">
        <v>61</v>
      </c>
      <c r="F13" s="17">
        <v>4702095656</v>
      </c>
      <c r="G13" s="17" t="s">
        <v>62</v>
      </c>
      <c r="H13" s="18">
        <v>710967894001</v>
      </c>
      <c r="I13" s="17" t="s">
        <v>63</v>
      </c>
      <c r="J13" s="17">
        <v>240</v>
      </c>
      <c r="K13" s="17">
        <v>240</v>
      </c>
      <c r="L13" s="17">
        <v>12</v>
      </c>
      <c r="M13" s="16">
        <f>+K13/J13</f>
        <v>1</v>
      </c>
      <c r="N13" s="17" t="s">
        <v>60</v>
      </c>
    </row>
    <row r="14" spans="5:14">
      <c r="E14" s="20" t="s">
        <v>61</v>
      </c>
      <c r="F14" s="21">
        <v>4702095655</v>
      </c>
      <c r="G14" s="21" t="s">
        <v>64</v>
      </c>
      <c r="H14" s="22">
        <v>710967894001</v>
      </c>
      <c r="I14" s="21" t="s">
        <v>63</v>
      </c>
      <c r="J14" s="21">
        <v>3760</v>
      </c>
      <c r="K14" s="21">
        <v>3778</v>
      </c>
      <c r="L14" s="21">
        <v>178</v>
      </c>
      <c r="M14" s="23">
        <f>+K14/J14</f>
        <v>1.0047872340425532</v>
      </c>
      <c r="N14" s="21" t="s">
        <v>65</v>
      </c>
    </row>
    <row r="15" spans="5:14">
      <c r="E15" s="21" t="s">
        <v>52</v>
      </c>
      <c r="F15" s="21">
        <v>4702067326</v>
      </c>
      <c r="G15" s="21" t="s">
        <v>59</v>
      </c>
      <c r="H15" s="21" t="s">
        <v>54</v>
      </c>
      <c r="I15" s="21" t="s">
        <v>55</v>
      </c>
      <c r="J15" s="21">
        <v>765</v>
      </c>
      <c r="K15" s="21">
        <v>564</v>
      </c>
      <c r="L15" s="21">
        <v>13</v>
      </c>
      <c r="M15" s="23">
        <f>+K15/J15</f>
        <v>0.73725490196078436</v>
      </c>
      <c r="N15" s="21" t="s">
        <v>65</v>
      </c>
    </row>
    <row r="16" spans="5:14">
      <c r="E16" s="21" t="s">
        <v>66</v>
      </c>
      <c r="F16" s="21">
        <v>4702095658</v>
      </c>
      <c r="G16" s="21" t="s">
        <v>67</v>
      </c>
      <c r="H16" s="22">
        <v>710968973003</v>
      </c>
      <c r="I16" s="21" t="s">
        <v>68</v>
      </c>
      <c r="J16" s="21">
        <v>500</v>
      </c>
      <c r="K16" s="21">
        <v>509</v>
      </c>
      <c r="L16" s="21">
        <v>31</v>
      </c>
      <c r="M16" s="23">
        <f>+K16/J16</f>
        <v>1.018</v>
      </c>
      <c r="N16" s="21" t="s">
        <v>65</v>
      </c>
    </row>
    <row r="17" spans="5:14">
      <c r="E17" s="21" t="s">
        <v>69</v>
      </c>
      <c r="F17" s="21">
        <v>4702095658</v>
      </c>
      <c r="G17" s="21" t="s">
        <v>67</v>
      </c>
      <c r="H17" s="22">
        <v>710968973004</v>
      </c>
      <c r="I17" s="21" t="s">
        <v>70</v>
      </c>
      <c r="J17" s="21">
        <v>650</v>
      </c>
      <c r="K17" s="21">
        <v>596</v>
      </c>
      <c r="L17" s="21">
        <v>34</v>
      </c>
      <c r="M17" s="23">
        <f>+K17/J17</f>
        <v>0.91692307692307695</v>
      </c>
      <c r="N17" s="21" t="s">
        <v>65</v>
      </c>
    </row>
  </sheetData>
  <autoFilter ref="E7:N17">
    <sortState ref="E8:N17">
      <sortCondition ref="N7:N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2026-03-09T17:00:00Z</dcterms:created>
  <dcterms:modified xsi:type="dcterms:W3CDTF">2026-03-09T18:14:28Z</dcterms:modified>
</cp:coreProperties>
</file>