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yashwanthk\Desktop\Yash\"/>
    </mc:Choice>
  </mc:AlternateContent>
  <bookViews>
    <workbookView xWindow="0" yWindow="0" windowWidth="28800" windowHeight="12300" firstSheet="2" activeTab="2"/>
  </bookViews>
  <sheets>
    <sheet name="CDD-29-03-2026" sheetId="1" state="hidden" r:id="rId1"/>
    <sheet name="Sheet2" sheetId="2" state="hidden" r:id="rId2"/>
    <sheet name="Sheet3" sheetId="3" r:id="rId3"/>
  </sheets>
  <externalReferences>
    <externalReference r:id="rId4"/>
  </externalReferences>
  <definedNames>
    <definedName name="_001">#REF!</definedName>
    <definedName name="_152">#REF!</definedName>
    <definedName name="_153">#REF!</definedName>
    <definedName name="_154">#REF!</definedName>
    <definedName name="_1593">#REF!</definedName>
    <definedName name="_17">#REF!</definedName>
    <definedName name="_18">#REF!</definedName>
    <definedName name="_35_3443">"$#REF!.$#REF!$#REF!"</definedName>
    <definedName name="_35_3443_2">"$#REF!.$#REF!$#REF!"</definedName>
    <definedName name="_35_3443_3">"$#REF!.$#REF!$#REF!"</definedName>
    <definedName name="_555">#REF!</definedName>
    <definedName name="_885">#REF!</definedName>
    <definedName name="_xlnm._FilterDatabase" localSheetId="0" hidden="1">'CDD-29-03-2026'!$B$6:$AA$32</definedName>
    <definedName name="arjunkumar">"$#REF!.$#REF!$#REF!"</definedName>
    <definedName name="arjunkumar_2">"$#REF!.$#REF!$#REF!"</definedName>
    <definedName name="arjunkumar_3">"$#REF!.$#REF!$#REF!"</definedName>
    <definedName name="ckjs">#REF!</definedName>
    <definedName name="ckjs.">#REF!</definedName>
    <definedName name="dishu">#REF!</definedName>
    <definedName name="drt">#REF!</definedName>
    <definedName name="er">#REF!</definedName>
    <definedName name="Excel_BuiltIn__FilterDatabase_1">"$#REF!.$B$1:$BL$256"</definedName>
    <definedName name="Excel_BuiltIn__FilterDatabase_1_1">"$#REF!.$B$1:$BL$256"</definedName>
    <definedName name="Excel_BuiltIn__FilterDatabase_1_1_1">"$#REF!.$A$3:$AZ$211"</definedName>
    <definedName name="Excel_BuiltIn__FilterDatabase_1_1_1_1">"$#REF!.$A$3:$AZ$191"</definedName>
    <definedName name="Excel_BuiltIn__FilterDatabase_1_1_1_1_1">"$#REF!.$A$3:$AZ$210"</definedName>
    <definedName name="Excel_BuiltIn__FilterDatabase_1_1_1_1_1_1">"$#REF!.$A$3:$AZ$208"</definedName>
    <definedName name="Excel_BuiltIn__FilterDatabase_1_1_1_1_1_1_1">"$#REF!.$A$3:$AZ$208"</definedName>
    <definedName name="Excel_BuiltIn__FilterDatabase_1_1_1_1_1_1_1_1">"$#REF!.$A$3:$AZ$208"</definedName>
    <definedName name="Excel_BuiltIn__FilterDatabase_1_1_1_1_1_1_1_1_1">"$#REF!.$A$3:$AZ$211"</definedName>
    <definedName name="Excel_BuiltIn__FilterDatabase_1_1_1_1_1_1_1_1_1_1">"$#REF!.$A$3:$AZ$171"</definedName>
    <definedName name="Excel_BuiltIn__FilterDatabase_1_1_1_1_1_1_1_1_1_1_1">"$#REF!.$A$3:$AZ$206"</definedName>
    <definedName name="Excel_BuiltIn__FilterDatabase_1_1_1_1_1_1_1_1_1_1_1_1">"$#REF!.$A$3:$AZ$207"</definedName>
    <definedName name="Excel_BuiltIn__FilterDatabase_1_1_1_1_1_1_1_1_1_1_1_1_1">"$#REF!.$A$3:$AZ$192"</definedName>
    <definedName name="Excel_BuiltIn__FilterDatabase_1_1_1_1_1_1_1_1_1_1_1_1_1_1">"$#REF!.$A$3:$AZ$211"</definedName>
    <definedName name="Excel_BuiltIn__FilterDatabase_1_1_1_1_1_1_1_1_1_1_1_1_1_1_1">"$#REF!.$A$3:$AZ$187"</definedName>
    <definedName name="Excel_BuiltIn__FilterDatabase_1_1_1_1_1_1_1_1_1_1_1_1_1_1_1_1">"$#REF!.$A$3:$AZ$185"</definedName>
    <definedName name="Excel_BuiltIn__FilterDatabase_1_1_1_1_1_1_1_1_1_1_1_1_1_1_1_1_1">"$#REF!.$A$3:$AZ$156"</definedName>
    <definedName name="Excel_BuiltIn__FilterDatabase_1_1_1_1_1_1_1_1_1_1_1_1_1_1_1_1_1_1">"$#REF!.$A$3:$AZ$211"</definedName>
    <definedName name="Excel_BuiltIn__FilterDatabase_1_1_1_1_1_1_1_1_1_1_1_1_1_1_1_1_1_1_1">"$#REF!.$A$3:$AZ$157"</definedName>
    <definedName name="Excel_BuiltIn__FilterDatabase_1_1_1_1_1_1_1_1_1_1_1_1_1_1_1_1_1_1_1_1">"$#REF!.$A$3:$AZ$211"</definedName>
    <definedName name="Excel_BuiltIn__FilterDatabase_1_1_1_1_1_1_1_1_1_1_1_1_1_1_1_1_1_1_1_1_1">"$#REF!.$A$3:$AZ$212"</definedName>
    <definedName name="Excel_BuiltIn__FilterDatabase_1_1_1_1_1_1_1_1_1_1_1_1_1_1_1_1_1_1_1_1_1_1">"$#REF!.$A$3:$AZ$151"</definedName>
    <definedName name="Excel_BuiltIn__FilterDatabase_1_1_1_1_1_1_1_1_1_1_1_1_1_1_1_1_1_1_1_1_1_1_1">"$#REF!.$A$3:$AZ$157"</definedName>
    <definedName name="Excel_BuiltIn__FilterDatabase_1_1_1_1_1_1_1_1_1_1_1_1_1_1_1_1_1_1_1_1_1_1_1_1">"$#REF!.$A$3:$AZ$211"</definedName>
    <definedName name="Excel_BuiltIn__FilterDatabase_1_1_1_1_1_1_1_1_1_1_1_1_1_1_1_1_1_1_1_1_1_1_1_1_1">"$#REF!.$A$3:$AZ$212"</definedName>
    <definedName name="Excel_BuiltIn__FilterDatabase_1_1_1_1_1_1_1_1_1_1_1_1_1_1_1_1_1_1_1_1_1_1_1_1_1_1">"$#REF!.$A$3:$AZ$211"</definedName>
    <definedName name="Excel_BuiltIn__FilterDatabase_1_1_1_1_1_1_1_1_1_1_1_1_1_1_1_1_1_1_1_1_1_1_1_1_1_1_1">"$#REF!.$A$3:$AZ$157"</definedName>
    <definedName name="Excel_BuiltIn__FilterDatabase_1_1_1_1_1_1_1_1_1_1_1_1_1_1_1_1_1_1_1_1_1_1_1_1_1_1_1_1">"$#REF!.$A$3:$AZ$123"</definedName>
    <definedName name="Excel_BuiltIn__FilterDatabase_1_1_1_1_1_1_1_1_1_1_1_1_1_1_1_1_1_1_1_1_1_1_1_1_1_1_1_1_1">"$#REF!.$A$3:$AZ$212"</definedName>
    <definedName name="Excel_BuiltIn__FilterDatabase_1_1_1_1_1_1_1_1_1_1_1_1_1_1_1_1_1_1_1_1_1_1_1_1_1_1_1_1_1_1">"$#REF!.$A$3:$AZ$211"</definedName>
    <definedName name="Excel_BuiltIn__FilterDatabase_1_1_1_1_1_1_1_1_1_1_1_1_1_1_1_1_1_1_1_1_1_1_1_1_1_1_1_1_1_1_1">"$#REF!.$A$3:$AZ$211"</definedName>
    <definedName name="Excel_BuiltIn__FilterDatabase_1_1_1_1_1_1_1_1_1_1_1_1_1_1_1_1_1_1_1_1_1_1_1_1_1_1_1_1_1_1_1_1">"$#REF!.$A$3:$AZ$211"</definedName>
    <definedName name="Excel_BuiltIn__FilterDatabase_1_1_1_1_1_1_1_1_1_1_1_1_1_1_1_1_1_1_1_1_1_1_1_1_1_1_1_1_1_1_1_1_1">"$#REF!.$A$3:$AZ$117"</definedName>
    <definedName name="Excel_BuiltIn__FilterDatabase_1_1_1_1_1_1_1_1_1_1_1_1_1_1_1_1_1_1_1_1_1_1_1_1_1_1_1_1_1_1_1_1_1_1">"$#REF!.$A$3:$AZ$117"</definedName>
    <definedName name="Excel_BuiltIn__FilterDatabase_1_1_1_1_1_1_1_1_1_1_1_1_1_1_1_1_1_1_1_1_1_1_1_1_1_1_1_1_1_1_1_1_1_1_1">"$#REF!.$A$3:$AZ$117"</definedName>
    <definedName name="Excel_BuiltIn__FilterDatabase_1_1_1_1_1_1_1_1_1_1_1_1_1_1_1_1_1_1_1_1_1_1_1_1_1_1_1_1_1_1_1_1_1_1_1_1">"$#REF!.$A$3:$AZ$117"</definedName>
    <definedName name="Excel_BuiltIn__FilterDatabase_1_1_1_1_1_1_1_1_1_1_1_1_1_1_1_1_1_1_1_1_1_1_1_1_1_1_1_1_1_1_1_1_1_1_1_1_1">"$#REF!.$A$3:$AZ$212"</definedName>
    <definedName name="Excel_BuiltIn__FilterDatabase_1_1_1_1_1_1_1_1_1_1_1_1_1_1_1_1_1_1_1_1_1_1_1_1_1_1_1_1_1_1_1_1_1_1_1_1_1_1">"$#REF!.$A$3:$AZ$117"</definedName>
    <definedName name="Excel_BuiltIn__FilterDatabase_1_1_1_1_1_1_1_1_1_1_1_1_1_1_1_1_1_1_1_1_1_1_1_1_1_1_1_1_1_1_1_1_1_1_1_1_1_1_1">"$#REF!.$A$3:$AZ$117"</definedName>
    <definedName name="Excel_BuiltIn__FilterDatabase_1_1_1_1_1_1_1_1_1_1_1_1_1_1_1_1_1_1_1_1_1_1_1_1_1_1_1_1_1_1_1_1_1_1_1_1_1_1_1_1">"$#REF!.$A$3:$AZ$117"</definedName>
    <definedName name="Excel_BuiltIn__FilterDatabase_1_1_1_1_1_1_1_1_1_1_1_1_1_1_1_1_1_1_1_1_1_1_1_1_1_1_1_1_1_1_1_1_1_1_1_1_1_1_1_1_1">"$#REF!.$A$3:$AZ$117"</definedName>
    <definedName name="Excel_BuiltIn__FilterDatabase_1_1_1_1_1_1_1_1_1_1_1_1_1_1_1_1_1_1_1_1_1_1_1_1_1_1_1_1_1_1_1_1_1_1_1_1_1_1_1_1_1_1">"$#REF!.$A$3:$AZ$96"</definedName>
    <definedName name="Excel_BuiltIn__FilterDatabase_1_1_1_1_1_1_1_1_1_1_1_1_1_1_1_1_1_1_1_1_1_1_1_1_1_1_1_1_1_1_1_1_1_1_1_1_1_1_1_1_1_1_1">"$#REF!.$A$3:$AZ$117"</definedName>
    <definedName name="Excel_BuiltIn__FilterDatabase_1_1_1_1_1_1_1_1_1_1_1_1_1_1_1_1_1_1_1_1_1_1_1_1_1_1_1_1_1_1_1_1_1_1_1_1_1_1_1_1_1_1_1_1">"$#REF!.$A$3:$AZ$117"</definedName>
    <definedName name="Excel_BuiltIn__FilterDatabase_1_1_1_1_1_1_1_1_1_1_1_1_1_1_1_1_1_1_1_1_1_1_1_1_1_1_1_1_1_1_1_1_1_1_1_1_1_1_1_1_1_1_1_1_1">"$#REF!.$A$3:$AZ$117"</definedName>
    <definedName name="Excel_BuiltIn__FilterDatabase_1_1_1_1_1_1_1_1_1_1_1_1_1_1_1_1_1_1_1_1_1_1_1_1_1_1_1_1_1_1_1_1_1_1_1_1_1_1_1_1_1_1_1_1_1_1">"$#REF!.$A$3:$AZ$117"</definedName>
    <definedName name="Excel_BuiltIn__FilterDatabase_1_1_1_1_1_1_1_1_1_1_1_1_1_1_1_1_1_1_1_1_1_1_1_1_1_1_1_1_1_1_1_1_1_1_1_1_1_1_1_1_1_1_1_1_1_1_1">"$#REF!.$A$3:$AMJ$117"</definedName>
    <definedName name="Excel_BuiltIn__FilterDatabase_1_1_1_1_1_1_1_1_1_1_1_1_1_1_1_1_1_1_1_1_1_1_1_1_1_1_1_1_1_1_1_1_1_1_1_1_1_1_1_1_1_1_1_1_1_1_1_1">"$#REF!.$A$3:$AZ$96"</definedName>
    <definedName name="Excel_BuiltIn__FilterDatabase_1_1_1_1_1_1_1_1_1_1_1_1_1_1_1_1_1_1_1_1_1_1_1_1_1_1_1_1_1_1_1_1_1_1_1_1_1_1_1_1_1_1_1_1_1_1_1_1_1">"$#REF!.$A$3:$AZ$212"</definedName>
    <definedName name="Excel_BuiltIn__FilterDatabase_1_1_1_1_1_1_1_1_1_1_1_1_1_1_1_1_1_1_1_1_1_1_1_1_1_1_1_1_1_1_1_1_1_1_1_1_1_1_1_1_1_1_1_1_1_1_1_1_1_1">"$#REF!.$A$3:$AX$374"</definedName>
    <definedName name="Excel_BuiltIn__FilterDatabase_2">"$#REF!.$A$4:$IT$355"</definedName>
    <definedName name="Excel_BuiltIn__FilterDatabase_2_1">"$#REF!.$A$4:$IT$281"</definedName>
    <definedName name="Excel_BuiltIn__FilterDatabase_2_1_1">"$#REF!.$A$4:$IR$262"</definedName>
    <definedName name="Excel_BuiltIn__FilterDatabase_2_1_1_1">"$#REF!.$A$5:$IR$370"</definedName>
    <definedName name="Excel_BuiltIn__FilterDatabase_2_1_1_1_1">"$#REF!.$A$5:$IR$370"</definedName>
    <definedName name="Excel_BuiltIn__FilterDatabase_2_1_1_1_1_1">"$#REF!.$A$3:$AMJ$408"</definedName>
    <definedName name="Excel_BuiltIn__FilterDatabase_2_1_1_1_1_1_1">"$#REF!.$A$3:$AMJ$408"</definedName>
    <definedName name="Excel_BuiltIn__FilterDatabase_2_1_1_1_1_1_1_1">"$#REF!.$A$3:$AMJ$387"</definedName>
    <definedName name="Excel_BuiltIn__FilterDatabase_2_1_1_1_1_1_1_1_1">"$#REF!.$A$3:$AMJ$406"</definedName>
    <definedName name="Excel_BuiltIn__FilterDatabase_2_1_1_1_1_1_1_1_1_1">"$#REF!.$A$3:$AMJ$407"</definedName>
    <definedName name="Excel_BuiltIn__FilterDatabase_2_1_1_1_1_1_1_1_1_1_1">"$#REF!.$A$3:$AMJ$408"</definedName>
    <definedName name="Excel_BuiltIn__FilterDatabase_2_1_1_1_1_1_1_1_1_1_1_1">"$#REF!.$A$3:$AMJ$395"</definedName>
    <definedName name="Excel_BuiltIn__FilterDatabase_2_1_1_1_1_1_1_1_1_1_1_1_1">"$#REF!.$A$3:$AMJ$397"</definedName>
    <definedName name="Excel_BuiltIn__FilterDatabase_2_1_1_1_1_1_1_1_1_1_1_1_1_1">"$#REF!.$A$3:$AMJ$397"</definedName>
    <definedName name="Excel_BuiltIn__FilterDatabase_2_1_1_1_1_1_1_1_1_1_1_1_1_1_1">"$#REF!.$A$3:$AMJ$393"</definedName>
    <definedName name="Excel_BuiltIn__FilterDatabase_2_1_1_1_1_1_1_1_1_1_1_1_1_1_1_1">"$#REF!.$A$3:$AMJ$394"</definedName>
    <definedName name="Excel_BuiltIn__FilterDatabase_2_1_1_1_1_1_1_1_1_1_1_1_1_1_1_1_1">"$#REF!.$A$3:$AMJ$332"</definedName>
    <definedName name="Excel_BuiltIn__FilterDatabase_2_1_1_1_1_1_1_1_1_1_1_1_1_1_1_1_1_1">"$#REF!.$A$3:$AMJ$392"</definedName>
    <definedName name="Excel_BuiltIn__FilterDatabase_2_1_1_1_1_1_1_1_1_1_1_1_1_1_1_1_1_1_1">"$#REF!.$A$3:$AMJ$391"</definedName>
    <definedName name="Excel_BuiltIn__FilterDatabase_2_1_1_1_1_1_1_1_1_1_1_1_1_1_1_1_1_1_1_1">"$#REF!.$A$3:$AMJ$311"</definedName>
    <definedName name="Excel_BuiltIn__FilterDatabase_2_1_1_1_1_1_1_1_1_1_1_1_1_1_1_1_1_1_1_1_1">"$#REF!.$A$3:$AMJ$390"</definedName>
    <definedName name="Excel_BuiltIn__FilterDatabase_2_1_1_1_1_1_1_1_1_1_1_1_1_1_1_1_1_1_1_1_1_1">"$#REF!.$A$3:$AMJ$395"</definedName>
    <definedName name="Excel_BuiltIn__FilterDatabase_2_1_1_1_1_1_1_1_1_1_1_1_1_1_1_1_1_1_1_1_1_1_1">"$#REF!.$A$3:$AMJ$358"</definedName>
    <definedName name="Excel_BuiltIn__FilterDatabase_2_1_1_1_1_1_1_1_1_1_1_1_1_1_1_1_1_1_1_1_1_1_1_1">"$#REF!.$A$3:$AMJ$359"</definedName>
    <definedName name="Excel_BuiltIn__FilterDatabase_2_1_1_1_1_1_1_1_1_1_1_1_1_1_1_1_1_1_1_1_1_1_1_1_1">"$#REF!.$A$3:$AMJ$325"</definedName>
    <definedName name="Excel_BuiltIn__FilterDatabase_2_1_1_1_1_1_1_1_1_1_1_1_1_1_1_1_1_1_1_1_1_1_1_1_1_1">"$#REF!.$A$3:$AMJ$358"</definedName>
    <definedName name="Excel_BuiltIn__FilterDatabase_2_1_1_1_1_1_1_1_1_1_1_1_1_1_1_1_1_1_1_1_1_1_1_1_1_1_1">"$#REF!.$A$3:$AMJ$411"</definedName>
    <definedName name="Excel_BuiltIn__FilterDatabase_2_1_1_1_1_1_1_1_1_1_1_1_1_1_1_1_1_1_1_1_1_1_1_1_1_1_1_1">"$#REF!.$A$3:$AMJ$360"</definedName>
    <definedName name="Excel_BuiltIn__FilterDatabase_2_1_1_1_1_1_1_1_1_1_1_1_1_1_1_1_1_1_1_1_1_1_1_1_1_1_1_1_1">"$#REF!.$A$3:$AMJ$360"</definedName>
    <definedName name="Excel_BuiltIn__FilterDatabase_2_1_1_1_1_1_1_1_1_1_1_1_1_1_1_1_1_1_1_1_1_1_1_1_1_1_1_1_1_1">"$#REF!.$A$3:$AMJ$360"</definedName>
    <definedName name="Excel_BuiltIn__FilterDatabase_2_1_1_1_1_1_1_1_1_1_1_1_1_1_1_1_1_1_1_1_1_1_1_1_1_1_1_1_1_1_1">"$#REF!.$A$3:$AMJ$362"</definedName>
    <definedName name="Excel_BuiltIn__FilterDatabase_2_1_1_1_1_1_1_1_1_1_1_1_1_1_1_1_1_1_1_1_1_1_1_1_1_1_1_1_1_1_1_1">"$#REF!.$A$3:$AMJ$360"</definedName>
    <definedName name="Excel_BuiltIn__FilterDatabase_2_1_1_1_1_1_1_1_1_1_1_1_1_1_1_1_1_1_1_1_1_1_1_1_1_1_1_1_1_1_1_1_1">"$#REF!.$A$3:$AMJ$359"</definedName>
    <definedName name="Excel_BuiltIn__FilterDatabase_2_1_1_1_1_1_1_1_1_1_1_1_1_1_1_1_1_1_1_1_1_1_1_1_1_1_1_1_1_1_1_1_1_1">"$#REF!.$A$3:$AMJ$358"</definedName>
    <definedName name="Excel_BuiltIn__FilterDatabase_2_1_1_1_1_1_1_1_1_1_1_1_1_1_1_1_1_1_1_1_1_1_1_1_1_1_1_1_1_1_1_1_1_1_1">"$#REF!.$A$3:$AMJ$360"</definedName>
    <definedName name="Excel_BuiltIn__FilterDatabase_2_1_1_1_1_1_1_1_1_1_1_1_1_1_1_1_1_1_1_1_1_1_1_1_1_1_1_1_1_1_1_1_1_1_1_1">"$#REF!.$A$3:$AMJ$497"</definedName>
    <definedName name="Excel_BuiltIn__FilterDatabase_2_1_1_1_1_1_1_1_1_1_1_1_1_1_1_1_1_1_1_1_1_1_1_1_1_1_1_1_1_1_1_1_1_1_1_1_1">"$#REF!.$A$3:$AMJ$500"</definedName>
    <definedName name="Excel_BuiltIn__FilterDatabase_2_1_1_1_1_1_1_1_1_1_1_1_1_1_1_1_1_1_1_1_1_1_1_1_1_1_1_1_1_1_1_1_1_1_1_1_1_1">"$#REF!.$A$3:$AMJ$504"</definedName>
    <definedName name="Excel_BuiltIn__FilterDatabase_2_1_1_1_1_1_1_1_1_1_1_1_1_1_1_1_1_1_1_1_1_1_1_1_1_1_1_1_1_1_1_1_1_1_1_1_1_1_1">"$#REF!.$A$3:$AMJ$504"</definedName>
    <definedName name="Excel_BuiltIn__FilterDatabase_2_1_1_1_1_1_1_1_1_1_1_1_1_1_1_1_1_1_1_1_1_1_1_1_1_1_1_1_1_1_1_1_1_1_1_1_1_1_1_1">"$#REF!.$B$3:$BL$498"</definedName>
    <definedName name="Excel_BuiltIn__FilterDatabase_2_1_1_1_1_1_1_1_1_1_1_1_1_1_1_1_1_1_1_1_1_1_1_1_1_1_1_1_1_1_1_1_1_1_1_1_1_1_1_1_1">"$#REF!.$B$3:$BM$256"</definedName>
    <definedName name="Excel_BuiltIn__FilterDatabase_2_1_1_1_1_1_1_1_1_1_1_1_1_1_1_1_1_1_1_1_1_1_1_1_1_1_1_1_1_1_1_1_1_1_1_1_1_1_1_1_1_1">"$#REF!.$B$3:$BL$256"</definedName>
    <definedName name="Excel_BuiltIn__FilterDatabase_2_1_1_1_1_1_1_1_1_1_1_1_1_1_1_1_1_1_1_1_1_1_1_1_1_1_1_1_1_1_1_1_1_1_1_1_1_1_1_1_1_1_1">"$#REF!.$A$3:$AZ$197"</definedName>
    <definedName name="Excel_BuiltIn__FilterDatabase_2_1_1_1_1_1_1_1_1_1_1_1_1_1_1_1_1_1_1_1_1_1_1_1_1_1_1_1_1_1_1_1_1_1_1_1_1_1_1_1_1_1_1_1">"$#REF!.$A$3:$AZ$96"</definedName>
    <definedName name="Excel_BuiltIn__FilterDatabase_2_1_1_1_1_1_1_1_1_1_1_1_1_1_1_1_1_1_1_1_1_1_1_1_1_1_1_1_1_1_1_1_1_1_1_1_1_1_1_1_1_1_1_1_1">"$#REF!.$A$3:$AZ$212"</definedName>
    <definedName name="Excel_BuiltIn__FilterDatabase_2_1_1_1_1_1_1_1_1_1_1_1_1_1_1_1_1_1_1_1_1_1_1_1_1_1_1_1_1_1_1_1_1_1_1_1_1_1_1_1_1_1_1_1_1_1">"$#REF!.$A$3:$AX$371"</definedName>
    <definedName name="Excel_BuiltIn__FilterDatabase_3_1">"$#REF!.$A$3:$AZ$212"</definedName>
    <definedName name="Excel_BuiltIn__FilterDatabase_5">"$#REF!.$A$3:$AZ$117"</definedName>
    <definedName name="Excel_BuiltIn_Print_Area_1">"$#REF!.$A$1:$AZ$96"</definedName>
    <definedName name="Excel_BuiltIn_Print_Area_1_1">"$#REF!.$A$1:$BA$117"</definedName>
    <definedName name="fred">#REF!</definedName>
    <definedName name="gsf_5">#REF!</definedName>
    <definedName name="hh">#REF!</definedName>
    <definedName name="j">"$#REF!.$#REF!$#REF!"</definedName>
    <definedName name="j_2">"$#REF!.$#REF!$#REF!"</definedName>
    <definedName name="j_3">"$#REF!.$#REF!$#REF!"</definedName>
    <definedName name="kl">"$#REF!.$#REF!$#REF!"</definedName>
    <definedName name="kl_2">"$#REF!.$#REF!$#REF!"</definedName>
    <definedName name="kl_3">"$#REF!.$#REF!$#REF!"</definedName>
    <definedName name="lk">#REF!</definedName>
    <definedName name="m">"$#REF!.$#REF!$#REF!"</definedName>
    <definedName name="m_2">"$#REF!.$#REF!$#REF!"</definedName>
    <definedName name="m_3">"$#REF!.$#REF!$#REF!"</definedName>
    <definedName name="mm">#REF!</definedName>
    <definedName name="mmm">#REF!</definedName>
    <definedName name="ni">#REF!</definedName>
    <definedName name="nike">#REF!</definedName>
    <definedName name="nike2555">#REF!</definedName>
    <definedName name="nike32">#REF!</definedName>
    <definedName name="oiuk">#REF!</definedName>
    <definedName name="po">"$#REF!.$#REF!$#REF!"</definedName>
    <definedName name="po_2">"$#REF!.$#REF!$#REF!"</definedName>
    <definedName name="po_3">"$#REF!.$#REF!$#REF!"</definedName>
    <definedName name="prl">#REF!</definedName>
    <definedName name="re">#REF!</definedName>
    <definedName name="rews">#REF!</definedName>
    <definedName name="road">#REF!</definedName>
    <definedName name="road1">#REF!</definedName>
    <definedName name="rrr">#REF!</definedName>
    <definedName name="rt">#REF!</definedName>
    <definedName name="rte">#REF!</definedName>
    <definedName name="SC">#REF!</definedName>
    <definedName name="SD">#REF!</definedName>
    <definedName name="t">#REF!</definedName>
    <definedName name="tomm2">#REF!</definedName>
    <definedName name="TOMMY">#REF!</definedName>
    <definedName name="TOMMY_HILFIGER_TAILORED_EUROPE">#REF!</definedName>
    <definedName name="tommy1">#REF!</definedName>
    <definedName name="tommy11">#REF!</definedName>
    <definedName name="tommy111">#REF!</definedName>
    <definedName name="tommy2">#REF!</definedName>
    <definedName name="tommy321">#REF!</definedName>
    <definedName name="tommy99">#REF!</definedName>
    <definedName name="tommye">#REF!</definedName>
    <definedName name="tommyuu">#REF!</definedName>
    <definedName name="tur">#REF!</definedName>
    <definedName name="utt">#REF!</definedName>
    <definedName name="uyt">#REF!</definedName>
    <definedName name="we">#REF!</definedName>
    <definedName name="www">#REF!</definedName>
    <definedName name="yy">#REF!</definedName>
    <definedName name="yyou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4" i="3" l="1"/>
  <c r="M24" i="3"/>
  <c r="L24" i="3"/>
  <c r="N22" i="3"/>
  <c r="M22" i="3"/>
  <c r="L22" i="3"/>
  <c r="L19" i="3"/>
  <c r="N16" i="3"/>
  <c r="M16" i="3"/>
  <c r="L16" i="3"/>
  <c r="N12" i="3"/>
  <c r="M12" i="3"/>
  <c r="L12" i="3"/>
  <c r="Q30" i="1" l="1"/>
  <c r="P30" i="1"/>
  <c r="O30" i="1"/>
  <c r="N30" i="1"/>
  <c r="M30" i="1"/>
  <c r="L30" i="1"/>
  <c r="K30" i="1"/>
  <c r="J30" i="1"/>
  <c r="AA29" i="1"/>
  <c r="AA28" i="1"/>
  <c r="Q26" i="1"/>
  <c r="P26" i="1"/>
  <c r="O26" i="1"/>
  <c r="N26" i="1"/>
  <c r="M26" i="1"/>
  <c r="L26" i="1"/>
  <c r="K26" i="1"/>
  <c r="J26" i="1"/>
  <c r="AA25" i="1"/>
  <c r="Q23" i="1"/>
  <c r="P23" i="1"/>
  <c r="O23" i="1"/>
  <c r="N23" i="1"/>
  <c r="M23" i="1"/>
  <c r="L23" i="1"/>
  <c r="K23" i="1"/>
  <c r="J23" i="1"/>
  <c r="AA22" i="1"/>
  <c r="AA21" i="1"/>
  <c r="AA20" i="1"/>
  <c r="O18" i="1"/>
  <c r="N18" i="1"/>
  <c r="M18" i="1"/>
  <c r="L18" i="1"/>
  <c r="K18" i="1"/>
  <c r="J18" i="1"/>
  <c r="AA17" i="1"/>
  <c r="Q15" i="1"/>
  <c r="P15" i="1"/>
  <c r="O15" i="1"/>
  <c r="N15" i="1"/>
  <c r="M15" i="1"/>
  <c r="L15" i="1"/>
  <c r="K15" i="1"/>
  <c r="J15" i="1"/>
  <c r="AA14" i="1"/>
  <c r="AA13" i="1"/>
  <c r="Q11" i="1"/>
  <c r="P11" i="1"/>
  <c r="O11" i="1"/>
  <c r="N11" i="1"/>
  <c r="M11" i="1"/>
  <c r="L11" i="1"/>
  <c r="K11" i="1"/>
  <c r="J11" i="1"/>
  <c r="AA10" i="1"/>
  <c r="AA9" i="1"/>
  <c r="AA8" i="1"/>
  <c r="AA7" i="1"/>
  <c r="M32" i="1" l="1"/>
  <c r="P32" i="1"/>
  <c r="Q32" i="1"/>
  <c r="J32" i="1"/>
  <c r="K32" i="1"/>
  <c r="L32" i="1"/>
  <c r="N32" i="1"/>
  <c r="O32" i="1"/>
  <c r="AA11" i="1"/>
</calcChain>
</file>

<file path=xl/sharedStrings.xml><?xml version="1.0" encoding="utf-8"?>
<sst xmlns="http://schemas.openxmlformats.org/spreadsheetml/2006/main" count="334" uniqueCount="106">
  <si>
    <t xml:space="preserve">SHIPMENT BOOKING </t>
  </si>
  <si>
    <t>CHENNAI SEA FOB | Truckout Date:17 .03.2026 | CDD - 29.03.2026</t>
  </si>
  <si>
    <t>F Line</t>
  </si>
  <si>
    <t>PLANT CODE</t>
  </si>
  <si>
    <t>LINE NO</t>
  </si>
  <si>
    <t>CON</t>
  </si>
  <si>
    <t>DESTINATION</t>
  </si>
  <si>
    <t>PO NO</t>
  </si>
  <si>
    <t>COLOR</t>
  </si>
  <si>
    <t>MATERIAL NO</t>
  </si>
  <si>
    <t>QTY</t>
  </si>
  <si>
    <t>CUT QTY</t>
  </si>
  <si>
    <t>Send to Wash / Dye</t>
  </si>
  <si>
    <t>Balance to Send</t>
  </si>
  <si>
    <t>Wash / Dye Received</t>
  </si>
  <si>
    <t>Balance to receive</t>
  </si>
  <si>
    <t>PACK/SHIP QTY</t>
  </si>
  <si>
    <t xml:space="preserve">CTNS </t>
  </si>
  <si>
    <t>STATUS</t>
  </si>
  <si>
    <t>FI to be done by</t>
  </si>
  <si>
    <t>ASN</t>
  </si>
  <si>
    <t>WEIGHT</t>
  </si>
  <si>
    <t>WFX</t>
  </si>
  <si>
    <t>QC</t>
  </si>
  <si>
    <t>VEHICLE REQUEST</t>
  </si>
  <si>
    <t>BOOKING NO</t>
  </si>
  <si>
    <t>DO    </t>
  </si>
  <si>
    <t>Ship Percentage</t>
  </si>
  <si>
    <t>V993</t>
  </si>
  <si>
    <t>PRLS/25/12722</t>
  </si>
  <si>
    <t>KOREA</t>
  </si>
  <si>
    <t>7258 NAVY WHITE</t>
  </si>
  <si>
    <t>710B18131001</t>
  </si>
  <si>
    <t xml:space="preserve">Ready </t>
  </si>
  <si>
    <t>Done</t>
  </si>
  <si>
    <t>Updated</t>
  </si>
  <si>
    <t>2ND VEHICLE</t>
  </si>
  <si>
    <t>IBKG0000247519</t>
  </si>
  <si>
    <t>PRLS/25/12723</t>
  </si>
  <si>
    <t>7312 NAVY MULTI</t>
  </si>
  <si>
    <t>710B18274001</t>
  </si>
  <si>
    <t>PRLS/25/12734</t>
  </si>
  <si>
    <t>6671A CABANA BLUE/WHITE</t>
  </si>
  <si>
    <t>710B22588002</t>
  </si>
  <si>
    <t xml:space="preserve">SUBTOTAL </t>
  </si>
  <si>
    <t>TO17</t>
  </si>
  <si>
    <t>PRLS/25/12890</t>
  </si>
  <si>
    <t>CANADA</t>
  </si>
  <si>
    <t>7289C PWDR PURPLE WHITE MULTI</t>
  </si>
  <si>
    <t>710P03855503</t>
  </si>
  <si>
    <t>IBKG0000248394</t>
  </si>
  <si>
    <t>PRLS/25/12891</t>
  </si>
  <si>
    <t>7289B FADED MINT WHITE MULTI</t>
  </si>
  <si>
    <t>710P03855504</t>
  </si>
  <si>
    <t>TO40</t>
  </si>
  <si>
    <t>PRLS/25/13160</t>
  </si>
  <si>
    <t>WHITE</t>
  </si>
  <si>
    <t>DONE</t>
  </si>
  <si>
    <t>IBKG0000248397</t>
  </si>
  <si>
    <t>PF00</t>
  </si>
  <si>
    <t>PRLS/25/13156</t>
  </si>
  <si>
    <t>US</t>
  </si>
  <si>
    <t>6937B WHITE GREEN MULTI</t>
  </si>
  <si>
    <t>710B29639001</t>
  </si>
  <si>
    <t>Shipped</t>
  </si>
  <si>
    <t>SENT</t>
  </si>
  <si>
    <t>1ST VEHICLE</t>
  </si>
  <si>
    <t>IBKG0000248410</t>
  </si>
  <si>
    <t>PRLS/25/13164</t>
  </si>
  <si>
    <t>PRLS/25/13159</t>
  </si>
  <si>
    <t>NEW FOREST</t>
  </si>
  <si>
    <t>Under Scanning</t>
  </si>
  <si>
    <t>IBKG0000244536</t>
  </si>
  <si>
    <t>BANGALORE, AIR FOB | Truckout Date: 17.03.2026 | CDD - 29.03.2026</t>
  </si>
  <si>
    <t>Ready</t>
  </si>
  <si>
    <t>Awaiting booking number for air shipment</t>
  </si>
  <si>
    <t>Grand TOTAL</t>
  </si>
  <si>
    <t>710B18274</t>
  </si>
  <si>
    <t>710B29367</t>
  </si>
  <si>
    <t>PO</t>
  </si>
  <si>
    <t>Country</t>
  </si>
  <si>
    <t>Material ID</t>
  </si>
  <si>
    <t>Color</t>
  </si>
  <si>
    <t>O. Qty</t>
  </si>
  <si>
    <t>Scan Qty</t>
  </si>
  <si>
    <t>CTNS</t>
  </si>
  <si>
    <t>Handover Date</t>
  </si>
  <si>
    <t>Ship %</t>
  </si>
  <si>
    <t>Status</t>
  </si>
  <si>
    <t>PRLS/25/12931</t>
  </si>
  <si>
    <t>710P03855502</t>
  </si>
  <si>
    <t>7289D COASTAL BEIGE WHT MULTI</t>
  </si>
  <si>
    <t>PRLS/25/12932</t>
  </si>
  <si>
    <t>PRLS/25/12933</t>
  </si>
  <si>
    <t>PRLS/25/12930</t>
  </si>
  <si>
    <t>710P03855501</t>
  </si>
  <si>
    <t>7289A HRBR ISLND BLUE WHT MLTI</t>
  </si>
  <si>
    <t>FI Pending</t>
  </si>
  <si>
    <t>PRLS/25/13163</t>
  </si>
  <si>
    <t>POLO BLACK</t>
  </si>
  <si>
    <t>FI GOING ON</t>
  </si>
  <si>
    <t>INVOICE NO</t>
  </si>
  <si>
    <t>LCPEXP2526-3441</t>
  </si>
  <si>
    <t>LCPEXP2526-3443</t>
  </si>
  <si>
    <t>LCPEXP2526-3442</t>
  </si>
  <si>
    <t xml:space="preserve">Loaded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</si>
</sst>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4"/>
      <color rgb="FFFFFFFF"/>
      <name val="Aptos Narrow"/>
    </font>
    <font>
      <sz val="11"/>
      <name val="Calibri"/>
      <family val="2"/>
      <scheme val="minor"/>
    </font>
    <font>
      <b/>
      <sz val="12"/>
      <color rgb="FF404040"/>
      <name val="Aptos Narrow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rgb="FFFFFFFF"/>
      <name val="Aptos Narrow"/>
    </font>
    <font>
      <sz val="11"/>
      <color theme="1"/>
      <name val="Calibri"/>
      <family val="2"/>
    </font>
    <font>
      <b/>
      <sz val="10"/>
      <name val="Aptos Narrow"/>
    </font>
    <font>
      <b/>
      <sz val="12"/>
      <color theme="5" tint="-0.249977111117893"/>
      <name val="Aptos Narrow"/>
    </font>
    <font>
      <b/>
      <sz val="12"/>
      <color theme="5" tint="-0.249977111117893"/>
      <name val="Calibri"/>
      <family val="2"/>
      <scheme val="minor"/>
    </font>
    <font>
      <sz val="11"/>
      <color rgb="FF000000"/>
      <name val="Calibri"/>
      <family val="2"/>
    </font>
    <font>
      <b/>
      <sz val="16"/>
      <color theme="0"/>
      <name val="Aptos Narrow"/>
    </font>
    <font>
      <sz val="11"/>
      <color rgb="FF000000"/>
      <name val="Calibri"/>
      <family val="2"/>
      <charset val="1"/>
    </font>
    <font>
      <b/>
      <sz val="11"/>
      <color rgb="FFFFFFFF"/>
      <name val="Cambria"/>
      <family val="1"/>
    </font>
    <font>
      <sz val="10"/>
      <color rgb="FF000000"/>
      <name val="Cambria"/>
      <family val="1"/>
    </font>
  </fonts>
  <fills count="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008B8B"/>
      </patternFill>
    </fill>
    <fill>
      <patternFill patternType="solid">
        <fgColor rgb="FFD9E1F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333333"/>
        <bgColor rgb="FF333300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auto="1"/>
      </top>
      <bottom style="medium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" fillId="0" borderId="0"/>
    <xf numFmtId="0" fontId="14" fillId="0" borderId="0"/>
  </cellStyleXfs>
  <cellXfs count="7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2" borderId="1" xfId="2" applyFont="1" applyFill="1" applyBorder="1" applyAlignment="1">
      <alignment horizontal="center" vertical="center"/>
    </xf>
    <xf numFmtId="0" fontId="3" fillId="0" borderId="2" xfId="2" applyFont="1" applyBorder="1" applyAlignment="1">
      <alignment vertical="top"/>
    </xf>
    <xf numFmtId="0" fontId="3" fillId="0" borderId="3" xfId="2" applyFont="1" applyBorder="1" applyAlignment="1">
      <alignment vertical="top"/>
    </xf>
    <xf numFmtId="0" fontId="4" fillId="0" borderId="1" xfId="2" applyFont="1" applyBorder="1" applyAlignment="1">
      <alignment horizontal="center" vertical="center"/>
    </xf>
    <xf numFmtId="0" fontId="5" fillId="0" borderId="2" xfId="2" applyFont="1" applyBorder="1"/>
    <xf numFmtId="0" fontId="6" fillId="0" borderId="3" xfId="2" applyFont="1" applyBorder="1" applyAlignment="1">
      <alignment vertical="top"/>
    </xf>
    <xf numFmtId="0" fontId="3" fillId="0" borderId="4" xfId="2" applyFont="1" applyBorder="1" applyAlignment="1">
      <alignment vertical="top"/>
    </xf>
    <xf numFmtId="0" fontId="1" fillId="0" borderId="0" xfId="2" applyBorder="1" applyAlignment="1">
      <alignment horizontal="center" vertical="center"/>
    </xf>
    <xf numFmtId="0" fontId="3" fillId="0" borderId="5" xfId="2" applyFont="1" applyBorder="1" applyAlignment="1">
      <alignment horizontal="center" vertical="center"/>
    </xf>
    <xf numFmtId="0" fontId="7" fillId="3" borderId="6" xfId="2" applyFont="1" applyFill="1" applyBorder="1" applyAlignment="1">
      <alignment horizontal="center" vertical="center" wrapText="1"/>
    </xf>
    <xf numFmtId="0" fontId="7" fillId="3" borderId="7" xfId="2" applyFont="1" applyFill="1" applyBorder="1" applyAlignment="1">
      <alignment horizontal="center" vertical="center" wrapText="1"/>
    </xf>
    <xf numFmtId="0" fontId="7" fillId="3" borderId="7" xfId="2" applyFont="1" applyFill="1" applyBorder="1" applyAlignment="1">
      <alignment horizontal="center" vertical="center"/>
    </xf>
    <xf numFmtId="0" fontId="7" fillId="3" borderId="8" xfId="2" applyFont="1" applyFill="1" applyBorder="1" applyAlignment="1">
      <alignment horizontal="center" vertical="center" wrapText="1"/>
    </xf>
    <xf numFmtId="0" fontId="8" fillId="0" borderId="9" xfId="0" applyFont="1" applyBorder="1"/>
    <xf numFmtId="0" fontId="8" fillId="0" borderId="10" xfId="0" applyFont="1" applyBorder="1" applyAlignment="1">
      <alignment horizontal="center" vertical="center"/>
    </xf>
    <xf numFmtId="1" fontId="8" fillId="0" borderId="10" xfId="0" applyNumberFormat="1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9" fontId="8" fillId="0" borderId="11" xfId="1" applyFont="1" applyBorder="1" applyAlignment="1">
      <alignment horizontal="center" vertical="center"/>
    </xf>
    <xf numFmtId="0" fontId="9" fillId="4" borderId="9" xfId="2" applyFont="1" applyFill="1" applyBorder="1" applyAlignment="1">
      <alignment vertical="center"/>
    </xf>
    <xf numFmtId="0" fontId="9" fillId="4" borderId="10" xfId="2" applyFont="1" applyFill="1" applyBorder="1" applyAlignment="1">
      <alignment horizontal="center" vertical="center"/>
    </xf>
    <xf numFmtId="3" fontId="9" fillId="4" borderId="10" xfId="2" applyNumberFormat="1" applyFont="1" applyFill="1" applyBorder="1" applyAlignment="1">
      <alignment horizontal="center" vertical="center"/>
    </xf>
    <xf numFmtId="9" fontId="9" fillId="4" borderId="11" xfId="1" applyFont="1" applyFill="1" applyBorder="1" applyAlignment="1">
      <alignment horizontal="center" vertical="center"/>
    </xf>
    <xf numFmtId="0" fontId="0" fillId="0" borderId="9" xfId="0" applyFont="1" applyBorder="1"/>
    <xf numFmtId="0" fontId="0" fillId="0" borderId="10" xfId="0" applyFont="1" applyBorder="1" applyAlignment="1">
      <alignment horizontal="center" vertical="center"/>
    </xf>
    <xf numFmtId="1" fontId="0" fillId="0" borderId="10" xfId="0" applyNumberFormat="1" applyFont="1" applyBorder="1" applyAlignment="1">
      <alignment horizontal="center" vertical="center"/>
    </xf>
    <xf numFmtId="0" fontId="0" fillId="0" borderId="11" xfId="0" applyFont="1" applyBorder="1" applyAlignment="1">
      <alignment horizontal="center" vertical="center"/>
    </xf>
    <xf numFmtId="0" fontId="9" fillId="4" borderId="11" xfId="2" applyFont="1" applyFill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5" borderId="9" xfId="0" applyFont="1" applyFill="1" applyBorder="1"/>
    <xf numFmtId="0" fontId="8" fillId="5" borderId="10" xfId="0" applyFont="1" applyFill="1" applyBorder="1" applyAlignment="1">
      <alignment horizontal="center" vertical="center"/>
    </xf>
    <xf numFmtId="1" fontId="8" fillId="5" borderId="10" xfId="0" applyNumberFormat="1" applyFont="1" applyFill="1" applyBorder="1" applyAlignment="1">
      <alignment horizontal="center" vertical="center"/>
    </xf>
    <xf numFmtId="0" fontId="8" fillId="5" borderId="10" xfId="0" applyFont="1" applyFill="1" applyBorder="1" applyAlignment="1">
      <alignment horizontal="center" vertical="center"/>
    </xf>
    <xf numFmtId="9" fontId="8" fillId="5" borderId="11" xfId="1" applyFont="1" applyFill="1" applyBorder="1" applyAlignment="1">
      <alignment horizontal="center" vertical="center"/>
    </xf>
    <xf numFmtId="0" fontId="10" fillId="0" borderId="9" xfId="2" applyFont="1" applyBorder="1" applyAlignment="1">
      <alignment horizontal="center" vertical="center"/>
    </xf>
    <xf numFmtId="0" fontId="11" fillId="0" borderId="10" xfId="2" applyFont="1" applyBorder="1"/>
    <xf numFmtId="0" fontId="11" fillId="0" borderId="11" xfId="2" applyFont="1" applyBorder="1" applyAlignment="1">
      <alignment vertical="top"/>
    </xf>
    <xf numFmtId="0" fontId="12" fillId="0" borderId="10" xfId="0" applyFont="1" applyBorder="1" applyAlignment="1">
      <alignment horizontal="center" vertical="center"/>
    </xf>
    <xf numFmtId="0" fontId="0" fillId="0" borderId="9" xfId="0" applyBorder="1"/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9" fillId="6" borderId="12" xfId="2" applyFont="1" applyFill="1" applyBorder="1" applyAlignment="1">
      <alignment vertical="center"/>
    </xf>
    <xf numFmtId="0" fontId="9" fillId="6" borderId="13" xfId="2" applyFont="1" applyFill="1" applyBorder="1" applyAlignment="1">
      <alignment horizontal="center" vertical="center"/>
    </xf>
    <xf numFmtId="0" fontId="13" fillId="6" borderId="13" xfId="2" applyFont="1" applyFill="1" applyBorder="1" applyAlignment="1">
      <alignment horizontal="center" vertical="center"/>
    </xf>
    <xf numFmtId="3" fontId="13" fillId="6" borderId="13" xfId="2" applyNumberFormat="1" applyFont="1" applyFill="1" applyBorder="1" applyAlignment="1">
      <alignment horizontal="center" vertical="center"/>
    </xf>
    <xf numFmtId="0" fontId="9" fillId="6" borderId="14" xfId="2" applyFont="1" applyFill="1" applyBorder="1" applyAlignment="1">
      <alignment horizontal="center" vertical="center"/>
    </xf>
    <xf numFmtId="0" fontId="15" fillId="7" borderId="10" xfId="3" applyFont="1" applyFill="1" applyBorder="1" applyAlignment="1">
      <alignment horizontal="center" vertical="center" wrapText="1"/>
    </xf>
    <xf numFmtId="0" fontId="16" fillId="0" borderId="10" xfId="3" applyFont="1" applyFill="1" applyBorder="1" applyAlignment="1">
      <alignment horizontal="center" vertical="center"/>
    </xf>
    <xf numFmtId="14" fontId="16" fillId="0" borderId="10" xfId="3" applyNumberFormat="1" applyFont="1" applyFill="1" applyBorder="1" applyAlignment="1">
      <alignment horizontal="center" vertical="center"/>
    </xf>
    <xf numFmtId="10" fontId="16" fillId="0" borderId="10" xfId="3" applyNumberFormat="1" applyFont="1" applyFill="1" applyBorder="1" applyAlignment="1">
      <alignment horizontal="center" vertical="center"/>
    </xf>
    <xf numFmtId="0" fontId="16" fillId="8" borderId="10" xfId="3" applyFont="1" applyFill="1" applyBorder="1" applyAlignment="1">
      <alignment horizontal="center" vertical="center"/>
    </xf>
    <xf numFmtId="1" fontId="16" fillId="0" borderId="10" xfId="3" applyNumberFormat="1" applyFont="1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3" fontId="13" fillId="6" borderId="15" xfId="2" applyNumberFormat="1" applyFont="1" applyFill="1" applyBorder="1" applyAlignment="1">
      <alignment horizontal="center" vertical="center"/>
    </xf>
    <xf numFmtId="0" fontId="13" fillId="6" borderId="17" xfId="2" applyFont="1" applyFill="1" applyBorder="1" applyAlignment="1">
      <alignment horizontal="center" vertical="center"/>
    </xf>
    <xf numFmtId="0" fontId="13" fillId="6" borderId="18" xfId="2" applyFont="1" applyFill="1" applyBorder="1" applyAlignment="1">
      <alignment horizontal="center" vertical="center"/>
    </xf>
    <xf numFmtId="0" fontId="7" fillId="3" borderId="8" xfId="2" applyFont="1" applyFill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9" fillId="4" borderId="9" xfId="2" applyFont="1" applyFill="1" applyBorder="1" applyAlignment="1">
      <alignment horizontal="center" vertical="center"/>
    </xf>
    <xf numFmtId="0" fontId="0" fillId="0" borderId="9" xfId="0" applyFont="1" applyBorder="1" applyAlignment="1">
      <alignment horizontal="center" vertical="center"/>
    </xf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13" fillId="6" borderId="19" xfId="2" applyFont="1" applyFill="1" applyBorder="1" applyAlignment="1">
      <alignment horizontal="center" vertical="center"/>
    </xf>
    <xf numFmtId="3" fontId="13" fillId="6" borderId="20" xfId="2" applyNumberFormat="1" applyFont="1" applyFill="1" applyBorder="1" applyAlignment="1">
      <alignment horizontal="center" vertical="center"/>
    </xf>
    <xf numFmtId="0" fontId="7" fillId="3" borderId="21" xfId="2" applyFont="1" applyFill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9" fillId="4" borderId="22" xfId="2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3" fontId="13" fillId="6" borderId="16" xfId="2" applyNumberFormat="1" applyFont="1" applyFill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</cellXfs>
  <cellStyles count="4">
    <cellStyle name="Normal" xfId="0" builtinId="0"/>
    <cellStyle name="Normal 7" xfId="2"/>
    <cellStyle name="Normal 8" xfId="3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Ready%20to%20ship\2019%20-%20ALL%20BUYER%20PACKING%20LIST\POLO%20RALPH%20LAUREN%20PRL\2026\PRL%20CON'S%20STATUS%20&amp;%20ASN%20DETAILS%20NEW%20-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DD - 08.02.2026-SHIPPED"/>
      <sheetName val="CDD - 01.02.2026- SHIPPED"/>
      <sheetName val="CDD -26-01-2026 -SHIPPED"/>
      <sheetName val="CDD - 18-01-2026-SHIPPED"/>
      <sheetName val="CDD - 11-01-2026 - SHIPPED"/>
      <sheetName val="CDD - 04-01-2026-SHIPPED"/>
      <sheetName val="📊 Executive Summary"/>
      <sheetName val="DASH BOARD"/>
      <sheetName val="ASN Details-2026"/>
      <sheetName val="CDD - 15.02.2026 -SHIPPED"/>
      <sheetName val="CDD - 22.02.2026- SHIPPED"/>
      <sheetName val="CDD - 01.03.2026 - old"/>
      <sheetName val="CDD - 01.03.2026 - SHIPPED"/>
      <sheetName val="CDD-08.03.2026-SHIPPED"/>
      <sheetName val="CDD-15.03.2026-SHIPPED"/>
      <sheetName val="CDD-22-03-2026-SHIPPED"/>
      <sheetName val="CDD-29-03-2026"/>
      <sheetName val="CDD-29-03-2026 - Vehicle wise"/>
      <sheetName val="Sheet3"/>
      <sheetName val="Sheet4"/>
      <sheetName val="Sheet1"/>
      <sheetName val="Sheet3-OLD FORMAT"/>
      <sheetName val="Sheet3 (2)"/>
      <sheetName val="New Size Wise Details "/>
      <sheetName val="Rej Details - FEB - 26-old"/>
      <sheetName val="Rejection - FEB 2026"/>
      <sheetName val="Rejection - MAR 2026 "/>
      <sheetName val="Weight - JAN -26"/>
      <sheetName val="Short Shipment Data"/>
      <sheetName val="Photo DMN Details"/>
      <sheetName val="Packaging Approval"/>
      <sheetName val="Hugo boss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pageSetUpPr fitToPage="1"/>
  </sheetPr>
  <dimension ref="B2:AA32"/>
  <sheetViews>
    <sheetView workbookViewId="0">
      <selection activeCell="H36" sqref="H36"/>
    </sheetView>
  </sheetViews>
  <sheetFormatPr defaultRowHeight="15"/>
  <cols>
    <col min="2" max="2" width="4.7109375" customWidth="1"/>
    <col min="3" max="4" width="9.140625" style="1"/>
    <col min="5" max="5" width="14" style="1" bestFit="1" customWidth="1"/>
    <col min="6" max="6" width="13.5703125" style="1" bestFit="1" customWidth="1"/>
    <col min="7" max="7" width="11" style="1" bestFit="1" customWidth="1"/>
    <col min="8" max="8" width="26.140625" style="1" bestFit="1" customWidth="1"/>
    <col min="9" max="9" width="15.7109375" style="1" bestFit="1" customWidth="1"/>
    <col min="10" max="10" width="10.7109375" style="1" bestFit="1" customWidth="1"/>
    <col min="11" max="11" width="0" style="1" hidden="1" customWidth="1"/>
    <col min="12" max="12" width="19" style="1" hidden="1" customWidth="1"/>
    <col min="13" max="15" width="0" style="1" hidden="1" customWidth="1"/>
    <col min="16" max="16" width="15.5703125" style="1" bestFit="1" customWidth="1"/>
    <col min="17" max="17" width="9.140625" style="1"/>
    <col min="18" max="18" width="14.85546875" style="1" bestFit="1" customWidth="1"/>
    <col min="19" max="19" width="12.85546875" style="1" hidden="1" customWidth="1"/>
    <col min="20" max="20" width="9.42578125" style="1" hidden="1" customWidth="1"/>
    <col min="21" max="21" width="13" style="1" hidden="1" customWidth="1"/>
    <col min="22" max="22" width="9.85546875" style="1" hidden="1" customWidth="1"/>
    <col min="23" max="23" width="8.28515625" style="1" hidden="1" customWidth="1"/>
    <col min="24" max="24" width="39.42578125" style="1" bestFit="1" customWidth="1"/>
    <col min="25" max="25" width="17.7109375" style="2" bestFit="1" customWidth="1"/>
    <col min="26" max="26" width="6" style="1" bestFit="1" customWidth="1"/>
    <col min="27" max="27" width="9.140625" style="1"/>
  </cols>
  <sheetData>
    <row r="2" spans="2:27" ht="15.75" thickBot="1"/>
    <row r="3" spans="2:27" ht="30.75" thickBot="1">
      <c r="B3" s="3" t="s">
        <v>0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5"/>
    </row>
    <row r="4" spans="2:27" ht="15.75">
      <c r="B4" s="6" t="s">
        <v>1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8"/>
    </row>
    <row r="5" spans="2:27" ht="15.75" thickBot="1">
      <c r="B5" s="9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1"/>
    </row>
    <row r="6" spans="2:27" ht="38.25">
      <c r="B6" s="12" t="s">
        <v>2</v>
      </c>
      <c r="C6" s="13" t="s">
        <v>3</v>
      </c>
      <c r="D6" s="14" t="s">
        <v>4</v>
      </c>
      <c r="E6" s="14" t="s">
        <v>5</v>
      </c>
      <c r="F6" s="14" t="s">
        <v>6</v>
      </c>
      <c r="G6" s="14" t="s">
        <v>7</v>
      </c>
      <c r="H6" s="14" t="s">
        <v>8</v>
      </c>
      <c r="I6" s="14" t="s">
        <v>9</v>
      </c>
      <c r="J6" s="14" t="s">
        <v>10</v>
      </c>
      <c r="K6" s="14" t="s">
        <v>11</v>
      </c>
      <c r="L6" s="14" t="s">
        <v>12</v>
      </c>
      <c r="M6" s="14" t="s">
        <v>13</v>
      </c>
      <c r="N6" s="14" t="s">
        <v>14</v>
      </c>
      <c r="O6" s="14" t="s">
        <v>15</v>
      </c>
      <c r="P6" s="14" t="s">
        <v>16</v>
      </c>
      <c r="Q6" s="14" t="s">
        <v>17</v>
      </c>
      <c r="R6" s="14" t="s">
        <v>18</v>
      </c>
      <c r="S6" s="13" t="s">
        <v>19</v>
      </c>
      <c r="T6" s="14" t="s">
        <v>20</v>
      </c>
      <c r="U6" s="14" t="s">
        <v>21</v>
      </c>
      <c r="V6" s="14" t="s">
        <v>22</v>
      </c>
      <c r="W6" s="14" t="s">
        <v>23</v>
      </c>
      <c r="X6" s="14" t="s">
        <v>24</v>
      </c>
      <c r="Y6" s="14" t="s">
        <v>25</v>
      </c>
      <c r="Z6" s="14" t="s">
        <v>26</v>
      </c>
      <c r="AA6" s="15" t="s">
        <v>27</v>
      </c>
    </row>
    <row r="7" spans="2:27">
      <c r="B7" s="16"/>
      <c r="C7" s="17" t="s">
        <v>28</v>
      </c>
      <c r="D7" s="17">
        <v>10</v>
      </c>
      <c r="E7" s="17" t="s">
        <v>29</v>
      </c>
      <c r="F7" s="17" t="s">
        <v>30</v>
      </c>
      <c r="G7" s="17">
        <v>4702067321</v>
      </c>
      <c r="H7" s="17" t="s">
        <v>31</v>
      </c>
      <c r="I7" s="18" t="s">
        <v>32</v>
      </c>
      <c r="J7" s="17">
        <v>250</v>
      </c>
      <c r="K7" s="17"/>
      <c r="L7" s="17"/>
      <c r="M7" s="17"/>
      <c r="N7" s="17"/>
      <c r="O7" s="17"/>
      <c r="P7" s="17">
        <v>241</v>
      </c>
      <c r="Q7" s="17">
        <v>6</v>
      </c>
      <c r="R7" s="17" t="s">
        <v>33</v>
      </c>
      <c r="S7" s="17"/>
      <c r="T7" s="17" t="s">
        <v>34</v>
      </c>
      <c r="U7" s="17" t="s">
        <v>35</v>
      </c>
      <c r="V7" s="17" t="s">
        <v>34</v>
      </c>
      <c r="W7" s="17" t="s">
        <v>34</v>
      </c>
      <c r="X7" s="19" t="s">
        <v>36</v>
      </c>
      <c r="Y7" s="19" t="s">
        <v>37</v>
      </c>
      <c r="Z7" s="17"/>
      <c r="AA7" s="20">
        <f>+P7/J7</f>
        <v>0.96399999999999997</v>
      </c>
    </row>
    <row r="8" spans="2:27">
      <c r="B8" s="16"/>
      <c r="C8" s="17" t="s">
        <v>28</v>
      </c>
      <c r="D8" s="17">
        <v>10</v>
      </c>
      <c r="E8" s="17" t="s">
        <v>38</v>
      </c>
      <c r="F8" s="17" t="s">
        <v>30</v>
      </c>
      <c r="G8" s="17">
        <v>4702067327</v>
      </c>
      <c r="H8" s="17" t="s">
        <v>39</v>
      </c>
      <c r="I8" s="18" t="s">
        <v>40</v>
      </c>
      <c r="J8" s="17">
        <v>65</v>
      </c>
      <c r="K8" s="17"/>
      <c r="L8" s="17"/>
      <c r="M8" s="17"/>
      <c r="N8" s="17"/>
      <c r="O8" s="17"/>
      <c r="P8" s="17">
        <v>65</v>
      </c>
      <c r="Q8" s="17">
        <v>2</v>
      </c>
      <c r="R8" s="17" t="s">
        <v>33</v>
      </c>
      <c r="S8" s="17"/>
      <c r="T8" s="17" t="s">
        <v>34</v>
      </c>
      <c r="U8" s="17" t="s">
        <v>35</v>
      </c>
      <c r="V8" s="17" t="s">
        <v>34</v>
      </c>
      <c r="W8" s="17" t="s">
        <v>34</v>
      </c>
      <c r="X8" s="19"/>
      <c r="Y8" s="19"/>
      <c r="Z8" s="17"/>
      <c r="AA8" s="20">
        <f t="shared" ref="AA8:AA10" si="0">+P8/J8</f>
        <v>1</v>
      </c>
    </row>
    <row r="9" spans="2:27">
      <c r="B9" s="16"/>
      <c r="C9" s="17" t="s">
        <v>28</v>
      </c>
      <c r="D9" s="17">
        <v>10</v>
      </c>
      <c r="E9" s="17" t="s">
        <v>38</v>
      </c>
      <c r="F9" s="17" t="s">
        <v>30</v>
      </c>
      <c r="G9" s="17">
        <v>4702067328</v>
      </c>
      <c r="H9" s="17" t="s">
        <v>39</v>
      </c>
      <c r="I9" s="18" t="s">
        <v>40</v>
      </c>
      <c r="J9" s="17">
        <v>500</v>
      </c>
      <c r="K9" s="17"/>
      <c r="L9" s="17"/>
      <c r="M9" s="17"/>
      <c r="N9" s="17"/>
      <c r="O9" s="17"/>
      <c r="P9" s="17">
        <v>500</v>
      </c>
      <c r="Q9" s="17">
        <v>12</v>
      </c>
      <c r="R9" s="17" t="s">
        <v>33</v>
      </c>
      <c r="S9" s="17"/>
      <c r="T9" s="17" t="s">
        <v>34</v>
      </c>
      <c r="U9" s="17" t="s">
        <v>35</v>
      </c>
      <c r="V9" s="17" t="s">
        <v>34</v>
      </c>
      <c r="W9" s="17" t="s">
        <v>34</v>
      </c>
      <c r="X9" s="19"/>
      <c r="Y9" s="19"/>
      <c r="Z9" s="17"/>
      <c r="AA9" s="20">
        <f t="shared" si="0"/>
        <v>1</v>
      </c>
    </row>
    <row r="10" spans="2:27">
      <c r="B10" s="16"/>
      <c r="C10" s="17" t="s">
        <v>28</v>
      </c>
      <c r="D10" s="17">
        <v>10</v>
      </c>
      <c r="E10" s="17" t="s">
        <v>41</v>
      </c>
      <c r="F10" s="17" t="s">
        <v>30</v>
      </c>
      <c r="G10" s="17">
        <v>4702067334</v>
      </c>
      <c r="H10" s="17" t="s">
        <v>42</v>
      </c>
      <c r="I10" s="18" t="s">
        <v>43</v>
      </c>
      <c r="J10" s="17">
        <v>121</v>
      </c>
      <c r="K10" s="17"/>
      <c r="L10" s="17"/>
      <c r="M10" s="17"/>
      <c r="N10" s="17"/>
      <c r="O10" s="17"/>
      <c r="P10" s="17">
        <v>121</v>
      </c>
      <c r="Q10" s="17">
        <v>8</v>
      </c>
      <c r="R10" s="17" t="s">
        <v>33</v>
      </c>
      <c r="S10" s="17"/>
      <c r="T10" s="17" t="s">
        <v>34</v>
      </c>
      <c r="U10" s="17" t="s">
        <v>35</v>
      </c>
      <c r="V10" s="17" t="s">
        <v>34</v>
      </c>
      <c r="W10" s="17" t="s">
        <v>34</v>
      </c>
      <c r="X10" s="19"/>
      <c r="Y10" s="19"/>
      <c r="Z10" s="17"/>
      <c r="AA10" s="20">
        <f t="shared" si="0"/>
        <v>1</v>
      </c>
    </row>
    <row r="11" spans="2:27" hidden="1">
      <c r="B11" s="21"/>
      <c r="C11" s="22"/>
      <c r="D11" s="22"/>
      <c r="E11" s="22" t="s">
        <v>44</v>
      </c>
      <c r="F11" s="22"/>
      <c r="G11" s="22"/>
      <c r="H11" s="22"/>
      <c r="I11" s="22"/>
      <c r="J11" s="23">
        <f>SUM(J7:J10)</f>
        <v>936</v>
      </c>
      <c r="K11" s="23">
        <f t="shared" ref="K11:O11" si="1">SUM(K7:K10)</f>
        <v>0</v>
      </c>
      <c r="L11" s="23">
        <f t="shared" si="1"/>
        <v>0</v>
      </c>
      <c r="M11" s="23">
        <f t="shared" si="1"/>
        <v>0</v>
      </c>
      <c r="N11" s="23">
        <f t="shared" si="1"/>
        <v>0</v>
      </c>
      <c r="O11" s="23">
        <f t="shared" si="1"/>
        <v>0</v>
      </c>
      <c r="P11" s="23">
        <f>SUM(P7:P10)</f>
        <v>927</v>
      </c>
      <c r="Q11" s="23">
        <f>SUM(Q7:Q10)</f>
        <v>28</v>
      </c>
      <c r="R11" s="22"/>
      <c r="S11" s="22"/>
      <c r="T11" s="22"/>
      <c r="U11" s="22"/>
      <c r="V11" s="22"/>
      <c r="W11" s="22"/>
      <c r="X11" s="22"/>
      <c r="Y11" s="22"/>
      <c r="Z11" s="22"/>
      <c r="AA11" s="24">
        <f>+P11/J11</f>
        <v>0.99038461538461542</v>
      </c>
    </row>
    <row r="12" spans="2:27" ht="13.5" hidden="1" customHeight="1">
      <c r="B12" s="25"/>
      <c r="C12" s="26"/>
      <c r="D12" s="26"/>
      <c r="E12" s="26"/>
      <c r="F12" s="26"/>
      <c r="G12" s="26"/>
      <c r="H12" s="26"/>
      <c r="I12" s="27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8"/>
    </row>
    <row r="13" spans="2:27">
      <c r="B13" s="16"/>
      <c r="C13" s="17" t="s">
        <v>45</v>
      </c>
      <c r="D13" s="17">
        <v>10</v>
      </c>
      <c r="E13" s="17" t="s">
        <v>46</v>
      </c>
      <c r="F13" s="17" t="s">
        <v>47</v>
      </c>
      <c r="G13" s="17">
        <v>4702079687</v>
      </c>
      <c r="H13" s="17" t="s">
        <v>48</v>
      </c>
      <c r="I13" s="18" t="s">
        <v>49</v>
      </c>
      <c r="J13" s="17">
        <v>200</v>
      </c>
      <c r="K13" s="17"/>
      <c r="L13" s="17"/>
      <c r="M13" s="17"/>
      <c r="N13" s="17"/>
      <c r="O13" s="17"/>
      <c r="P13" s="17">
        <v>200</v>
      </c>
      <c r="Q13" s="17">
        <v>13</v>
      </c>
      <c r="R13" s="17" t="s">
        <v>33</v>
      </c>
      <c r="S13" s="17"/>
      <c r="T13" s="17" t="s">
        <v>34</v>
      </c>
      <c r="U13" s="17" t="s">
        <v>35</v>
      </c>
      <c r="V13" s="17" t="s">
        <v>34</v>
      </c>
      <c r="W13" s="17" t="s">
        <v>34</v>
      </c>
      <c r="X13" s="19" t="s">
        <v>36</v>
      </c>
      <c r="Y13" s="19" t="s">
        <v>50</v>
      </c>
      <c r="Z13" s="17"/>
      <c r="AA13" s="20">
        <f t="shared" ref="AA13:AA14" si="2">+P13/J13</f>
        <v>1</v>
      </c>
    </row>
    <row r="14" spans="2:27">
      <c r="B14" s="16"/>
      <c r="C14" s="17" t="s">
        <v>45</v>
      </c>
      <c r="D14" s="17">
        <v>20</v>
      </c>
      <c r="E14" s="17" t="s">
        <v>51</v>
      </c>
      <c r="F14" s="17" t="s">
        <v>47</v>
      </c>
      <c r="G14" s="17">
        <v>4702079687</v>
      </c>
      <c r="H14" s="17" t="s">
        <v>52</v>
      </c>
      <c r="I14" s="18" t="s">
        <v>53</v>
      </c>
      <c r="J14" s="17">
        <v>220</v>
      </c>
      <c r="K14" s="17"/>
      <c r="L14" s="17"/>
      <c r="M14" s="17"/>
      <c r="N14" s="17"/>
      <c r="O14" s="17"/>
      <c r="P14" s="17">
        <v>220</v>
      </c>
      <c r="Q14" s="17">
        <v>14</v>
      </c>
      <c r="R14" s="17" t="s">
        <v>33</v>
      </c>
      <c r="S14" s="17"/>
      <c r="T14" s="17" t="s">
        <v>34</v>
      </c>
      <c r="U14" s="17" t="s">
        <v>35</v>
      </c>
      <c r="V14" s="17" t="s">
        <v>34</v>
      </c>
      <c r="W14" s="17" t="s">
        <v>34</v>
      </c>
      <c r="X14" s="19"/>
      <c r="Y14" s="19"/>
      <c r="Z14" s="17"/>
      <c r="AA14" s="20">
        <f t="shared" si="2"/>
        <v>1</v>
      </c>
    </row>
    <row r="15" spans="2:27" hidden="1">
      <c r="B15" s="21"/>
      <c r="C15" s="22"/>
      <c r="D15" s="22"/>
      <c r="E15" s="22" t="s">
        <v>44</v>
      </c>
      <c r="F15" s="22"/>
      <c r="G15" s="22"/>
      <c r="H15" s="22"/>
      <c r="I15" s="22"/>
      <c r="J15" s="23">
        <f>SUM(J13:J14)</f>
        <v>420</v>
      </c>
      <c r="K15" s="23">
        <f t="shared" ref="K15:Q15" si="3">SUM(K13:K14)</f>
        <v>0</v>
      </c>
      <c r="L15" s="23">
        <f t="shared" si="3"/>
        <v>0</v>
      </c>
      <c r="M15" s="23">
        <f t="shared" si="3"/>
        <v>0</v>
      </c>
      <c r="N15" s="23">
        <f t="shared" si="3"/>
        <v>0</v>
      </c>
      <c r="O15" s="23">
        <f t="shared" si="3"/>
        <v>0</v>
      </c>
      <c r="P15" s="23">
        <f t="shared" si="3"/>
        <v>420</v>
      </c>
      <c r="Q15" s="23">
        <f t="shared" si="3"/>
        <v>27</v>
      </c>
      <c r="R15" s="22"/>
      <c r="S15" s="22"/>
      <c r="T15" s="22"/>
      <c r="U15" s="22"/>
      <c r="V15" s="22"/>
      <c r="W15" s="22"/>
      <c r="X15" s="22"/>
      <c r="Y15" s="22"/>
      <c r="Z15" s="22"/>
      <c r="AA15" s="29"/>
    </row>
    <row r="16" spans="2:27" hidden="1">
      <c r="B16" s="16"/>
      <c r="C16" s="17"/>
      <c r="D16" s="17"/>
      <c r="E16" s="17"/>
      <c r="F16" s="17"/>
      <c r="G16" s="17"/>
      <c r="H16" s="17"/>
      <c r="I16" s="18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30"/>
    </row>
    <row r="17" spans="2:27">
      <c r="B17" s="16"/>
      <c r="C17" s="17" t="s">
        <v>54</v>
      </c>
      <c r="D17" s="17">
        <v>10</v>
      </c>
      <c r="E17" s="17" t="s">
        <v>55</v>
      </c>
      <c r="F17" s="17" t="s">
        <v>47</v>
      </c>
      <c r="G17" s="17">
        <v>4702095845</v>
      </c>
      <c r="H17" s="17" t="s">
        <v>56</v>
      </c>
      <c r="I17" s="18">
        <v>710967632001</v>
      </c>
      <c r="J17" s="17">
        <v>330</v>
      </c>
      <c r="K17" s="17"/>
      <c r="L17" s="17"/>
      <c r="M17" s="17"/>
      <c r="N17" s="17"/>
      <c r="O17" s="17"/>
      <c r="P17" s="17">
        <v>337</v>
      </c>
      <c r="Q17" s="17">
        <v>20</v>
      </c>
      <c r="R17" s="17" t="s">
        <v>33</v>
      </c>
      <c r="S17" s="17"/>
      <c r="T17" s="17" t="s">
        <v>34</v>
      </c>
      <c r="U17" s="17" t="s">
        <v>35</v>
      </c>
      <c r="V17" s="17" t="s">
        <v>57</v>
      </c>
      <c r="W17" s="17" t="s">
        <v>34</v>
      </c>
      <c r="X17" s="17" t="s">
        <v>36</v>
      </c>
      <c r="Y17" s="17" t="s">
        <v>58</v>
      </c>
      <c r="Z17" s="17"/>
      <c r="AA17" s="20">
        <f t="shared" ref="AA17" si="4">+P17/J17</f>
        <v>1.0212121212121212</v>
      </c>
    </row>
    <row r="18" spans="2:27" hidden="1">
      <c r="B18" s="21"/>
      <c r="C18" s="22"/>
      <c r="D18" s="22"/>
      <c r="E18" s="22" t="s">
        <v>44</v>
      </c>
      <c r="F18" s="22"/>
      <c r="G18" s="22"/>
      <c r="H18" s="22"/>
      <c r="I18" s="22"/>
      <c r="J18" s="23">
        <f>SUM(J17:J17)</f>
        <v>330</v>
      </c>
      <c r="K18" s="23">
        <f t="shared" ref="K18:O18" si="5">SUM(K17:K17)</f>
        <v>0</v>
      </c>
      <c r="L18" s="23">
        <f t="shared" si="5"/>
        <v>0</v>
      </c>
      <c r="M18" s="23">
        <f t="shared" si="5"/>
        <v>0</v>
      </c>
      <c r="N18" s="23">
        <f t="shared" si="5"/>
        <v>0</v>
      </c>
      <c r="O18" s="23">
        <f t="shared" si="5"/>
        <v>0</v>
      </c>
      <c r="P18" s="22">
        <v>337</v>
      </c>
      <c r="Q18" s="22">
        <v>20</v>
      </c>
      <c r="R18" s="22" t="s">
        <v>33</v>
      </c>
      <c r="S18" s="22"/>
      <c r="T18" s="22"/>
      <c r="U18" s="22"/>
      <c r="V18" s="22"/>
      <c r="W18" s="22"/>
      <c r="X18" s="22"/>
      <c r="Y18" s="22"/>
      <c r="Z18" s="22"/>
      <c r="AA18" s="29"/>
    </row>
    <row r="19" spans="2:27" hidden="1">
      <c r="B19" s="25"/>
      <c r="C19" s="26"/>
      <c r="D19" s="26"/>
      <c r="E19" s="26"/>
      <c r="F19" s="26"/>
      <c r="G19" s="26"/>
      <c r="H19" s="26"/>
      <c r="I19" s="27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8"/>
    </row>
    <row r="20" spans="2:27">
      <c r="B20" s="31"/>
      <c r="C20" s="32" t="s">
        <v>59</v>
      </c>
      <c r="D20" s="32">
        <v>10</v>
      </c>
      <c r="E20" s="32" t="s">
        <v>60</v>
      </c>
      <c r="F20" s="32" t="s">
        <v>61</v>
      </c>
      <c r="G20" s="32">
        <v>4702095662</v>
      </c>
      <c r="H20" s="32" t="s">
        <v>62</v>
      </c>
      <c r="I20" s="33" t="s">
        <v>63</v>
      </c>
      <c r="J20" s="32">
        <v>3396</v>
      </c>
      <c r="K20" s="32"/>
      <c r="L20" s="32"/>
      <c r="M20" s="32"/>
      <c r="N20" s="32"/>
      <c r="O20" s="32"/>
      <c r="P20" s="32">
        <v>3493</v>
      </c>
      <c r="Q20" s="32">
        <v>201</v>
      </c>
      <c r="R20" s="32" t="s">
        <v>64</v>
      </c>
      <c r="S20" s="32"/>
      <c r="T20" s="32" t="s">
        <v>65</v>
      </c>
      <c r="U20" s="32" t="s">
        <v>35</v>
      </c>
      <c r="V20" s="32" t="s">
        <v>34</v>
      </c>
      <c r="W20" s="32" t="s">
        <v>34</v>
      </c>
      <c r="X20" s="34" t="s">
        <v>66</v>
      </c>
      <c r="Y20" s="34" t="s">
        <v>67</v>
      </c>
      <c r="Z20" s="32"/>
      <c r="AA20" s="35">
        <f t="shared" ref="AA20:AA22" si="6">+P20/J20</f>
        <v>1.0285630153121319</v>
      </c>
    </row>
    <row r="21" spans="2:27">
      <c r="B21" s="31"/>
      <c r="C21" s="32" t="s">
        <v>59</v>
      </c>
      <c r="D21" s="32">
        <v>10</v>
      </c>
      <c r="E21" s="32" t="s">
        <v>55</v>
      </c>
      <c r="F21" s="32" t="s">
        <v>61</v>
      </c>
      <c r="G21" s="32">
        <v>4702095844</v>
      </c>
      <c r="H21" s="32" t="s">
        <v>56</v>
      </c>
      <c r="I21" s="33">
        <v>710967632001</v>
      </c>
      <c r="J21" s="32">
        <v>5170</v>
      </c>
      <c r="K21" s="32"/>
      <c r="L21" s="32"/>
      <c r="M21" s="32"/>
      <c r="N21" s="32"/>
      <c r="O21" s="32"/>
      <c r="P21" s="32">
        <v>5319</v>
      </c>
      <c r="Q21" s="32">
        <v>306</v>
      </c>
      <c r="R21" s="32" t="s">
        <v>64</v>
      </c>
      <c r="S21" s="32"/>
      <c r="T21" s="32" t="s">
        <v>65</v>
      </c>
      <c r="U21" s="32" t="s">
        <v>35</v>
      </c>
      <c r="V21" s="32" t="s">
        <v>34</v>
      </c>
      <c r="W21" s="32" t="s">
        <v>34</v>
      </c>
      <c r="X21" s="34"/>
      <c r="Y21" s="34"/>
      <c r="Z21" s="32"/>
      <c r="AA21" s="35">
        <f t="shared" si="6"/>
        <v>1.0288201160541586</v>
      </c>
    </row>
    <row r="22" spans="2:27">
      <c r="B22" s="31"/>
      <c r="C22" s="32" t="s">
        <v>59</v>
      </c>
      <c r="D22" s="32">
        <v>10</v>
      </c>
      <c r="E22" s="32" t="s">
        <v>68</v>
      </c>
      <c r="F22" s="32" t="s">
        <v>61</v>
      </c>
      <c r="G22" s="32">
        <v>4702095655</v>
      </c>
      <c r="H22" s="32" t="s">
        <v>56</v>
      </c>
      <c r="I22" s="33">
        <v>710967894001</v>
      </c>
      <c r="J22" s="32">
        <v>3760</v>
      </c>
      <c r="K22" s="32"/>
      <c r="L22" s="32"/>
      <c r="M22" s="32"/>
      <c r="N22" s="32"/>
      <c r="O22" s="32"/>
      <c r="P22" s="32">
        <v>3866</v>
      </c>
      <c r="Q22" s="32">
        <v>183</v>
      </c>
      <c r="R22" s="32" t="s">
        <v>64</v>
      </c>
      <c r="S22" s="32"/>
      <c r="T22" s="32" t="s">
        <v>65</v>
      </c>
      <c r="U22" s="32" t="s">
        <v>35</v>
      </c>
      <c r="V22" s="32" t="s">
        <v>34</v>
      </c>
      <c r="W22" s="32" t="s">
        <v>34</v>
      </c>
      <c r="X22" s="34"/>
      <c r="Y22" s="34"/>
      <c r="Z22" s="32"/>
      <c r="AA22" s="35">
        <f t="shared" si="6"/>
        <v>1.0281914893617021</v>
      </c>
    </row>
    <row r="23" spans="2:27" hidden="1">
      <c r="B23" s="21"/>
      <c r="C23" s="22"/>
      <c r="D23" s="22"/>
      <c r="E23" s="22" t="s">
        <v>44</v>
      </c>
      <c r="F23" s="22"/>
      <c r="G23" s="22"/>
      <c r="H23" s="22"/>
      <c r="I23" s="22"/>
      <c r="J23" s="23">
        <f>SUM(J20:J22)</f>
        <v>12326</v>
      </c>
      <c r="K23" s="23">
        <f t="shared" ref="K23:Q23" si="7">SUM(K20:K22)</f>
        <v>0</v>
      </c>
      <c r="L23" s="23">
        <f t="shared" si="7"/>
        <v>0</v>
      </c>
      <c r="M23" s="23">
        <f t="shared" si="7"/>
        <v>0</v>
      </c>
      <c r="N23" s="23">
        <f t="shared" si="7"/>
        <v>0</v>
      </c>
      <c r="O23" s="23">
        <f t="shared" si="7"/>
        <v>0</v>
      </c>
      <c r="P23" s="23">
        <f t="shared" si="7"/>
        <v>12678</v>
      </c>
      <c r="Q23" s="23">
        <f t="shared" si="7"/>
        <v>690</v>
      </c>
      <c r="R23" s="22"/>
      <c r="S23" s="22"/>
      <c r="T23" s="22"/>
      <c r="U23" s="22"/>
      <c r="V23" s="22"/>
      <c r="W23" s="22"/>
      <c r="X23" s="22"/>
      <c r="Y23" s="22"/>
      <c r="Z23" s="22"/>
      <c r="AA23" s="29"/>
    </row>
    <row r="24" spans="2:27" hidden="1">
      <c r="B24" s="25"/>
      <c r="C24" s="26"/>
      <c r="D24" s="26"/>
      <c r="E24" s="26"/>
      <c r="F24" s="26"/>
      <c r="G24" s="26"/>
      <c r="H24" s="26"/>
      <c r="I24" s="27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8"/>
    </row>
    <row r="25" spans="2:27">
      <c r="B25" s="16"/>
      <c r="C25" s="17" t="s">
        <v>59</v>
      </c>
      <c r="D25" s="17">
        <v>10</v>
      </c>
      <c r="E25" s="17" t="s">
        <v>69</v>
      </c>
      <c r="F25" s="17" t="s">
        <v>61</v>
      </c>
      <c r="G25" s="17">
        <v>4702096672</v>
      </c>
      <c r="H25" s="17" t="s">
        <v>70</v>
      </c>
      <c r="I25" s="18">
        <v>710804257063</v>
      </c>
      <c r="J25" s="17">
        <v>1557</v>
      </c>
      <c r="K25" s="17"/>
      <c r="L25" s="17"/>
      <c r="M25" s="17"/>
      <c r="N25" s="17"/>
      <c r="O25" s="17"/>
      <c r="P25" s="17">
        <v>1284</v>
      </c>
      <c r="Q25" s="17">
        <v>30</v>
      </c>
      <c r="R25" s="17" t="s">
        <v>71</v>
      </c>
      <c r="S25" s="17"/>
      <c r="T25" s="17"/>
      <c r="U25" s="17"/>
      <c r="V25" s="17"/>
      <c r="W25" s="17"/>
      <c r="X25" s="17" t="s">
        <v>36</v>
      </c>
      <c r="Y25" s="17" t="s">
        <v>72</v>
      </c>
      <c r="Z25" s="17"/>
      <c r="AA25" s="20">
        <f t="shared" ref="AA25" si="8">+P25/J25</f>
        <v>0.82466281310211942</v>
      </c>
    </row>
    <row r="26" spans="2:27" hidden="1">
      <c r="B26" s="21"/>
      <c r="C26" s="22"/>
      <c r="D26" s="22"/>
      <c r="E26" s="22" t="s">
        <v>44</v>
      </c>
      <c r="F26" s="22"/>
      <c r="G26" s="22"/>
      <c r="H26" s="22"/>
      <c r="I26" s="22"/>
      <c r="J26" s="23">
        <f>SUM(J25:J25)</f>
        <v>1557</v>
      </c>
      <c r="K26" s="23">
        <f t="shared" ref="K26:Q26" si="9">SUM(K25:K25)</f>
        <v>0</v>
      </c>
      <c r="L26" s="23">
        <f t="shared" si="9"/>
        <v>0</v>
      </c>
      <c r="M26" s="23">
        <f t="shared" si="9"/>
        <v>0</v>
      </c>
      <c r="N26" s="23">
        <f t="shared" si="9"/>
        <v>0</v>
      </c>
      <c r="O26" s="23">
        <f t="shared" si="9"/>
        <v>0</v>
      </c>
      <c r="P26" s="23">
        <f t="shared" si="9"/>
        <v>1284</v>
      </c>
      <c r="Q26" s="23">
        <f t="shared" si="9"/>
        <v>30</v>
      </c>
      <c r="R26" s="22"/>
      <c r="S26" s="22"/>
      <c r="T26" s="22"/>
      <c r="U26" s="22"/>
      <c r="V26" s="22"/>
      <c r="W26" s="22"/>
      <c r="X26" s="22"/>
      <c r="Y26" s="22"/>
      <c r="Z26" s="22"/>
      <c r="AA26" s="29"/>
    </row>
    <row r="27" spans="2:27" ht="15.75" hidden="1">
      <c r="B27" s="36" t="s">
        <v>73</v>
      </c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8"/>
    </row>
    <row r="28" spans="2:27">
      <c r="B28" s="16"/>
      <c r="C28" s="39" t="s">
        <v>59</v>
      </c>
      <c r="D28" s="39">
        <v>10</v>
      </c>
      <c r="E28" s="17" t="s">
        <v>60</v>
      </c>
      <c r="F28" s="17" t="s">
        <v>61</v>
      </c>
      <c r="G28" s="17">
        <v>4702095663</v>
      </c>
      <c r="H28" s="17" t="s">
        <v>62</v>
      </c>
      <c r="I28" s="18" t="s">
        <v>63</v>
      </c>
      <c r="J28" s="39">
        <v>100</v>
      </c>
      <c r="K28" s="17"/>
      <c r="L28" s="17"/>
      <c r="M28" s="17"/>
      <c r="N28" s="17"/>
      <c r="O28" s="17"/>
      <c r="P28" s="17">
        <v>100</v>
      </c>
      <c r="Q28" s="17">
        <v>7</v>
      </c>
      <c r="R28" s="17" t="s">
        <v>74</v>
      </c>
      <c r="S28" s="17"/>
      <c r="T28" s="17"/>
      <c r="U28" s="17"/>
      <c r="V28" s="17"/>
      <c r="W28" s="17"/>
      <c r="X28" s="17" t="s">
        <v>75</v>
      </c>
      <c r="Y28" s="17"/>
      <c r="Z28" s="17"/>
      <c r="AA28" s="20">
        <f t="shared" ref="AA28:AA29" si="10">+P28/J28</f>
        <v>1</v>
      </c>
    </row>
    <row r="29" spans="2:27">
      <c r="B29" s="16"/>
      <c r="C29" s="39" t="s">
        <v>59</v>
      </c>
      <c r="D29" s="39">
        <v>10</v>
      </c>
      <c r="E29" s="17" t="s">
        <v>69</v>
      </c>
      <c r="F29" s="17" t="s">
        <v>61</v>
      </c>
      <c r="G29" s="17">
        <v>4702096673</v>
      </c>
      <c r="H29" s="17" t="s">
        <v>70</v>
      </c>
      <c r="I29" s="18">
        <v>710804257063</v>
      </c>
      <c r="J29" s="39">
        <v>100</v>
      </c>
      <c r="K29" s="17"/>
      <c r="L29" s="17"/>
      <c r="M29" s="17"/>
      <c r="N29" s="17"/>
      <c r="O29" s="17"/>
      <c r="P29" s="17">
        <v>100</v>
      </c>
      <c r="Q29" s="17">
        <v>3</v>
      </c>
      <c r="R29" s="17" t="s">
        <v>74</v>
      </c>
      <c r="S29" s="17"/>
      <c r="T29" s="17"/>
      <c r="U29" s="17"/>
      <c r="V29" s="17"/>
      <c r="W29" s="17"/>
      <c r="X29" s="17" t="s">
        <v>75</v>
      </c>
      <c r="Y29" s="17"/>
      <c r="Z29" s="17"/>
      <c r="AA29" s="20">
        <f t="shared" si="10"/>
        <v>1</v>
      </c>
    </row>
    <row r="30" spans="2:27" hidden="1">
      <c r="B30" s="21"/>
      <c r="C30" s="22"/>
      <c r="D30" s="22"/>
      <c r="E30" s="22" t="s">
        <v>44</v>
      </c>
      <c r="F30" s="22"/>
      <c r="G30" s="22"/>
      <c r="H30" s="22"/>
      <c r="I30" s="22"/>
      <c r="J30" s="23">
        <f>SUM(J28:J29)</f>
        <v>200</v>
      </c>
      <c r="K30" s="23">
        <f t="shared" ref="K30:Q30" si="11">SUM(K28:K29)</f>
        <v>0</v>
      </c>
      <c r="L30" s="23">
        <f t="shared" si="11"/>
        <v>0</v>
      </c>
      <c r="M30" s="23">
        <f t="shared" si="11"/>
        <v>0</v>
      </c>
      <c r="N30" s="23">
        <f t="shared" si="11"/>
        <v>0</v>
      </c>
      <c r="O30" s="23">
        <f t="shared" si="11"/>
        <v>0</v>
      </c>
      <c r="P30" s="23">
        <f>SUM(P28:P29)</f>
        <v>200</v>
      </c>
      <c r="Q30" s="23">
        <f t="shared" si="11"/>
        <v>10</v>
      </c>
      <c r="R30" s="22"/>
      <c r="S30" s="22"/>
      <c r="T30" s="22"/>
      <c r="U30" s="22"/>
      <c r="V30" s="22"/>
      <c r="W30" s="22"/>
      <c r="X30" s="22"/>
      <c r="Y30" s="22"/>
      <c r="Z30" s="22"/>
      <c r="AA30" s="29"/>
    </row>
    <row r="31" spans="2:27" hidden="1">
      <c r="B31" s="40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2"/>
    </row>
    <row r="32" spans="2:27" ht="21" hidden="1" thickBot="1">
      <c r="B32" s="43"/>
      <c r="C32" s="44"/>
      <c r="D32" s="44"/>
      <c r="E32" s="45"/>
      <c r="F32" s="45"/>
      <c r="G32" s="45" t="s">
        <v>76</v>
      </c>
      <c r="H32" s="45"/>
      <c r="I32" s="45"/>
      <c r="J32" s="46">
        <f>J11+J15+J18+J23+J26+J30</f>
        <v>15769</v>
      </c>
      <c r="K32" s="46">
        <f t="shared" ref="K32:O32" si="12">K11+K15+K18+K23+K26+K30</f>
        <v>0</v>
      </c>
      <c r="L32" s="46">
        <f t="shared" si="12"/>
        <v>0</v>
      </c>
      <c r="M32" s="46">
        <f t="shared" si="12"/>
        <v>0</v>
      </c>
      <c r="N32" s="46">
        <f t="shared" si="12"/>
        <v>0</v>
      </c>
      <c r="O32" s="46">
        <f t="shared" si="12"/>
        <v>0</v>
      </c>
      <c r="P32" s="46">
        <f>P11+P15+P18+P23+P26+P30</f>
        <v>15846</v>
      </c>
      <c r="Q32" s="46">
        <f>Q11+Q15+Q18+Q23+Q26+Q30</f>
        <v>805</v>
      </c>
      <c r="R32" s="44"/>
      <c r="S32" s="44"/>
      <c r="T32" s="44"/>
      <c r="U32" s="44"/>
      <c r="V32" s="44"/>
      <c r="W32" s="44"/>
      <c r="X32" s="44"/>
      <c r="Y32" s="44"/>
      <c r="Z32" s="44"/>
      <c r="AA32" s="47"/>
    </row>
  </sheetData>
  <autoFilter ref="B6:AA32">
    <filterColumn colId="3">
      <filters>
        <filter val="PRLS/25/12722"/>
        <filter val="PRLS/25/12723"/>
        <filter val="PRLS/25/12734"/>
        <filter val="PRLS/25/12890"/>
        <filter val="PRLS/25/12891"/>
        <filter val="PRLS/25/13156"/>
        <filter val="PRLS/25/13159"/>
        <filter val="PRLS/25/13160"/>
        <filter val="PRLS/25/13164"/>
      </filters>
    </filterColumn>
  </autoFilter>
  <mergeCells count="9">
    <mergeCell ref="X20:X22"/>
    <mergeCell ref="Y20:Y22"/>
    <mergeCell ref="B27:AA27"/>
    <mergeCell ref="B3:AA3"/>
    <mergeCell ref="B4:AA4"/>
    <mergeCell ref="X7:X10"/>
    <mergeCell ref="Y7:Y10"/>
    <mergeCell ref="X13:X14"/>
    <mergeCell ref="Y13:Y14"/>
  </mergeCells>
  <pageMargins left="0.25" right="0.25" top="0.75" bottom="0.75" header="0.3" footer="0.3"/>
  <pageSetup paperSize="9" scale="6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I10:Y28"/>
  <sheetViews>
    <sheetView topLeftCell="B1" workbookViewId="0">
      <selection activeCell="O10" sqref="O10:Y28"/>
    </sheetView>
  </sheetViews>
  <sheetFormatPr defaultRowHeight="15"/>
  <cols>
    <col min="9" max="9" width="10.140625" bestFit="1" customWidth="1"/>
    <col min="15" max="15" width="13.85546875" bestFit="1" customWidth="1"/>
    <col min="16" max="16" width="11" bestFit="1" customWidth="1"/>
    <col min="17" max="17" width="8.140625" bestFit="1" customWidth="1"/>
    <col min="18" max="18" width="13.140625" bestFit="1" customWidth="1"/>
    <col min="19" max="19" width="31.42578125" bestFit="1" customWidth="1"/>
    <col min="20" max="20" width="6.85546875" bestFit="1" customWidth="1"/>
    <col min="21" max="21" width="5.85546875" bestFit="1" customWidth="1"/>
    <col min="22" max="22" width="6.5703125" bestFit="1" customWidth="1"/>
    <col min="23" max="23" width="10.140625" bestFit="1" customWidth="1"/>
    <col min="24" max="24" width="8.28515625" bestFit="1" customWidth="1"/>
    <col min="25" max="25" width="14.85546875" bestFit="1" customWidth="1"/>
  </cols>
  <sheetData>
    <row r="10" spans="9:25" ht="28.5">
      <c r="O10" s="48" t="s">
        <v>5</v>
      </c>
      <c r="P10" s="48" t="s">
        <v>79</v>
      </c>
      <c r="Q10" s="48" t="s">
        <v>80</v>
      </c>
      <c r="R10" s="48" t="s">
        <v>81</v>
      </c>
      <c r="S10" s="48" t="s">
        <v>82</v>
      </c>
      <c r="T10" s="48" t="s">
        <v>83</v>
      </c>
      <c r="U10" s="48" t="s">
        <v>84</v>
      </c>
      <c r="V10" s="48" t="s">
        <v>85</v>
      </c>
      <c r="W10" s="48" t="s">
        <v>86</v>
      </c>
      <c r="X10" s="48" t="s">
        <v>87</v>
      </c>
      <c r="Y10" s="48" t="s">
        <v>88</v>
      </c>
    </row>
    <row r="11" spans="9:25">
      <c r="I11">
        <v>710967632</v>
      </c>
      <c r="O11" s="49" t="s">
        <v>89</v>
      </c>
      <c r="P11" s="49">
        <v>4702080086</v>
      </c>
      <c r="Q11" s="49" t="s">
        <v>61</v>
      </c>
      <c r="R11" s="49" t="s">
        <v>90</v>
      </c>
      <c r="S11" s="49" t="s">
        <v>91</v>
      </c>
      <c r="T11" s="49">
        <v>72</v>
      </c>
      <c r="U11" s="49">
        <v>72</v>
      </c>
      <c r="V11" s="49">
        <v>12</v>
      </c>
      <c r="W11" s="50">
        <v>46117</v>
      </c>
      <c r="X11" s="51">
        <v>1</v>
      </c>
      <c r="Y11" s="52" t="s">
        <v>97</v>
      </c>
    </row>
    <row r="12" spans="9:25">
      <c r="I12">
        <v>710967632</v>
      </c>
      <c r="O12" s="49" t="s">
        <v>92</v>
      </c>
      <c r="P12" s="49">
        <v>4702080086</v>
      </c>
      <c r="Q12" s="49" t="s">
        <v>61</v>
      </c>
      <c r="R12" s="49" t="s">
        <v>49</v>
      </c>
      <c r="S12" s="49" t="s">
        <v>48</v>
      </c>
      <c r="T12" s="49">
        <v>72</v>
      </c>
      <c r="U12" s="49">
        <v>72</v>
      </c>
      <c r="V12" s="49">
        <v>12</v>
      </c>
      <c r="W12" s="50">
        <v>46117</v>
      </c>
      <c r="X12" s="51">
        <v>1</v>
      </c>
      <c r="Y12" s="52" t="s">
        <v>97</v>
      </c>
    </row>
    <row r="13" spans="9:25">
      <c r="I13" t="s">
        <v>77</v>
      </c>
      <c r="O13" s="49" t="s">
        <v>93</v>
      </c>
      <c r="P13" s="49">
        <v>4702080086</v>
      </c>
      <c r="Q13" s="49" t="s">
        <v>61</v>
      </c>
      <c r="R13" s="49" t="s">
        <v>53</v>
      </c>
      <c r="S13" s="49" t="s">
        <v>52</v>
      </c>
      <c r="T13" s="49">
        <v>72</v>
      </c>
      <c r="U13" s="49">
        <v>72</v>
      </c>
      <c r="V13" s="49">
        <v>12</v>
      </c>
      <c r="W13" s="50">
        <v>46117</v>
      </c>
      <c r="X13" s="51">
        <v>1</v>
      </c>
      <c r="Y13" s="52" t="s">
        <v>97</v>
      </c>
    </row>
    <row r="14" spans="9:25">
      <c r="I14">
        <v>710967894</v>
      </c>
      <c r="O14" s="49" t="s">
        <v>94</v>
      </c>
      <c r="P14" s="49">
        <v>4702080086</v>
      </c>
      <c r="Q14" s="49" t="s">
        <v>61</v>
      </c>
      <c r="R14" s="49" t="s">
        <v>95</v>
      </c>
      <c r="S14" s="49" t="s">
        <v>96</v>
      </c>
      <c r="T14" s="49">
        <v>90</v>
      </c>
      <c r="U14" s="49">
        <v>90</v>
      </c>
      <c r="V14" s="49">
        <v>15</v>
      </c>
      <c r="W14" s="50">
        <v>46117</v>
      </c>
      <c r="X14" s="51">
        <v>1</v>
      </c>
      <c r="Y14" s="52" t="s">
        <v>97</v>
      </c>
    </row>
    <row r="15" spans="9:25">
      <c r="I15">
        <v>710967894</v>
      </c>
      <c r="O15" s="49" t="s">
        <v>89</v>
      </c>
      <c r="P15" s="49">
        <v>4702080084</v>
      </c>
      <c r="Q15" s="49" t="s">
        <v>61</v>
      </c>
      <c r="R15" s="49" t="s">
        <v>90</v>
      </c>
      <c r="S15" s="49" t="s">
        <v>91</v>
      </c>
      <c r="T15" s="49">
        <v>168</v>
      </c>
      <c r="U15" s="49">
        <v>168</v>
      </c>
      <c r="V15" s="49">
        <v>28</v>
      </c>
      <c r="W15" s="50">
        <v>46117</v>
      </c>
      <c r="X15" s="51">
        <v>1</v>
      </c>
      <c r="Y15" s="52" t="s">
        <v>97</v>
      </c>
    </row>
    <row r="16" spans="9:25">
      <c r="I16" t="s">
        <v>78</v>
      </c>
      <c r="O16" s="49" t="s">
        <v>92</v>
      </c>
      <c r="P16" s="49">
        <v>4702080084</v>
      </c>
      <c r="Q16" s="49" t="s">
        <v>61</v>
      </c>
      <c r="R16" s="49" t="s">
        <v>49</v>
      </c>
      <c r="S16" s="49" t="s">
        <v>48</v>
      </c>
      <c r="T16" s="49">
        <v>168</v>
      </c>
      <c r="U16" s="49">
        <v>168</v>
      </c>
      <c r="V16" s="49">
        <v>28</v>
      </c>
      <c r="W16" s="50">
        <v>46117</v>
      </c>
      <c r="X16" s="51">
        <v>1</v>
      </c>
      <c r="Y16" s="52" t="s">
        <v>97</v>
      </c>
    </row>
    <row r="17" spans="15:25">
      <c r="O17" s="49" t="s">
        <v>93</v>
      </c>
      <c r="P17" s="49">
        <v>4702080084</v>
      </c>
      <c r="Q17" s="49" t="s">
        <v>61</v>
      </c>
      <c r="R17" s="49" t="s">
        <v>53</v>
      </c>
      <c r="S17" s="49" t="s">
        <v>52</v>
      </c>
      <c r="T17" s="49">
        <v>168</v>
      </c>
      <c r="U17" s="49">
        <v>168</v>
      </c>
      <c r="V17" s="49">
        <v>28</v>
      </c>
      <c r="W17" s="50">
        <v>46117</v>
      </c>
      <c r="X17" s="51">
        <v>1</v>
      </c>
      <c r="Y17" s="52" t="s">
        <v>97</v>
      </c>
    </row>
    <row r="18" spans="15:25">
      <c r="O18" s="49" t="s">
        <v>89</v>
      </c>
      <c r="P18" s="49">
        <v>4702080083</v>
      </c>
      <c r="Q18" s="49" t="s">
        <v>61</v>
      </c>
      <c r="R18" s="49" t="s">
        <v>90</v>
      </c>
      <c r="S18" s="49" t="s">
        <v>91</v>
      </c>
      <c r="T18" s="49">
        <v>200</v>
      </c>
      <c r="U18" s="49">
        <v>200</v>
      </c>
      <c r="V18" s="49">
        <v>25</v>
      </c>
      <c r="W18" s="50">
        <v>46117</v>
      </c>
      <c r="X18" s="51">
        <v>1</v>
      </c>
      <c r="Y18" s="52" t="s">
        <v>97</v>
      </c>
    </row>
    <row r="19" spans="15:25">
      <c r="O19" s="49" t="s">
        <v>92</v>
      </c>
      <c r="P19" s="49">
        <v>4702080083</v>
      </c>
      <c r="Q19" s="49" t="s">
        <v>61</v>
      </c>
      <c r="R19" s="49" t="s">
        <v>49</v>
      </c>
      <c r="S19" s="49" t="s">
        <v>48</v>
      </c>
      <c r="T19" s="49">
        <v>200</v>
      </c>
      <c r="U19" s="49">
        <v>200</v>
      </c>
      <c r="V19" s="49">
        <v>25</v>
      </c>
      <c r="W19" s="50">
        <v>46117</v>
      </c>
      <c r="X19" s="51">
        <v>1</v>
      </c>
      <c r="Y19" s="52" t="s">
        <v>97</v>
      </c>
    </row>
    <row r="20" spans="15:25">
      <c r="O20" s="49" t="s">
        <v>93</v>
      </c>
      <c r="P20" s="49">
        <v>4702080083</v>
      </c>
      <c r="Q20" s="49" t="s">
        <v>61</v>
      </c>
      <c r="R20" s="49" t="s">
        <v>53</v>
      </c>
      <c r="S20" s="49" t="s">
        <v>52</v>
      </c>
      <c r="T20" s="49">
        <v>200</v>
      </c>
      <c r="U20" s="49">
        <v>200</v>
      </c>
      <c r="V20" s="49">
        <v>25</v>
      </c>
      <c r="W20" s="50">
        <v>46117</v>
      </c>
      <c r="X20" s="51">
        <v>1</v>
      </c>
      <c r="Y20" s="52" t="s">
        <v>97</v>
      </c>
    </row>
    <row r="21" spans="15:25">
      <c r="O21" s="49" t="s">
        <v>94</v>
      </c>
      <c r="P21" s="49">
        <v>4702080084</v>
      </c>
      <c r="Q21" s="49" t="s">
        <v>61</v>
      </c>
      <c r="R21" s="49" t="s">
        <v>95</v>
      </c>
      <c r="S21" s="49" t="s">
        <v>96</v>
      </c>
      <c r="T21" s="49">
        <v>204</v>
      </c>
      <c r="U21" s="49">
        <v>204</v>
      </c>
      <c r="V21" s="49">
        <v>34</v>
      </c>
      <c r="W21" s="50">
        <v>46117</v>
      </c>
      <c r="X21" s="51">
        <v>1</v>
      </c>
      <c r="Y21" s="52" t="s">
        <v>97</v>
      </c>
    </row>
    <row r="22" spans="15:25">
      <c r="O22" s="49" t="s">
        <v>94</v>
      </c>
      <c r="P22" s="49">
        <v>4702080083</v>
      </c>
      <c r="Q22" s="49" t="s">
        <v>61</v>
      </c>
      <c r="R22" s="49" t="s">
        <v>95</v>
      </c>
      <c r="S22" s="49" t="s">
        <v>96</v>
      </c>
      <c r="T22" s="49">
        <v>264</v>
      </c>
      <c r="U22" s="49">
        <v>264</v>
      </c>
      <c r="V22" s="49">
        <v>33</v>
      </c>
      <c r="W22" s="50">
        <v>46117</v>
      </c>
      <c r="X22" s="51">
        <v>1</v>
      </c>
      <c r="Y22" s="52" t="s">
        <v>97</v>
      </c>
    </row>
    <row r="23" spans="15:25">
      <c r="O23" s="49" t="s">
        <v>89</v>
      </c>
      <c r="P23" s="49">
        <v>4702080082</v>
      </c>
      <c r="Q23" s="49" t="s">
        <v>61</v>
      </c>
      <c r="R23" s="49" t="s">
        <v>90</v>
      </c>
      <c r="S23" s="49" t="s">
        <v>91</v>
      </c>
      <c r="T23" s="49">
        <v>294</v>
      </c>
      <c r="U23" s="49">
        <v>294</v>
      </c>
      <c r="V23" s="49">
        <v>49</v>
      </c>
      <c r="W23" s="50">
        <v>46117</v>
      </c>
      <c r="X23" s="51">
        <v>1</v>
      </c>
      <c r="Y23" s="52" t="s">
        <v>97</v>
      </c>
    </row>
    <row r="24" spans="15:25">
      <c r="O24" s="49" t="s">
        <v>92</v>
      </c>
      <c r="P24" s="49">
        <v>4702080082</v>
      </c>
      <c r="Q24" s="49" t="s">
        <v>61</v>
      </c>
      <c r="R24" s="49" t="s">
        <v>49</v>
      </c>
      <c r="S24" s="49" t="s">
        <v>48</v>
      </c>
      <c r="T24" s="49">
        <v>294</v>
      </c>
      <c r="U24" s="49">
        <v>294</v>
      </c>
      <c r="V24" s="49">
        <v>49</v>
      </c>
      <c r="W24" s="50">
        <v>46117</v>
      </c>
      <c r="X24" s="51">
        <v>1</v>
      </c>
      <c r="Y24" s="52" t="s">
        <v>97</v>
      </c>
    </row>
    <row r="25" spans="15:25">
      <c r="O25" s="49" t="s">
        <v>93</v>
      </c>
      <c r="P25" s="49">
        <v>4702080082</v>
      </c>
      <c r="Q25" s="49" t="s">
        <v>61</v>
      </c>
      <c r="R25" s="49" t="s">
        <v>53</v>
      </c>
      <c r="S25" s="49" t="s">
        <v>52</v>
      </c>
      <c r="T25" s="49">
        <v>294</v>
      </c>
      <c r="U25" s="49">
        <v>294</v>
      </c>
      <c r="V25" s="49">
        <v>49</v>
      </c>
      <c r="W25" s="50">
        <v>46117</v>
      </c>
      <c r="X25" s="51">
        <v>1</v>
      </c>
      <c r="Y25" s="52" t="s">
        <v>97</v>
      </c>
    </row>
    <row r="26" spans="15:25">
      <c r="O26" s="49" t="s">
        <v>94</v>
      </c>
      <c r="P26" s="49">
        <v>4702080082</v>
      </c>
      <c r="Q26" s="49" t="s">
        <v>61</v>
      </c>
      <c r="R26" s="49" t="s">
        <v>95</v>
      </c>
      <c r="S26" s="49" t="s">
        <v>96</v>
      </c>
      <c r="T26" s="49">
        <v>330</v>
      </c>
      <c r="U26" s="49">
        <v>330</v>
      </c>
      <c r="V26" s="49">
        <v>55</v>
      </c>
      <c r="W26" s="50">
        <v>46117</v>
      </c>
      <c r="X26" s="51">
        <v>1</v>
      </c>
      <c r="Y26" s="52" t="s">
        <v>97</v>
      </c>
    </row>
    <row r="27" spans="15:25">
      <c r="O27" s="49" t="s">
        <v>98</v>
      </c>
      <c r="P27" s="49">
        <v>4702095844</v>
      </c>
      <c r="Q27" s="49" t="s">
        <v>61</v>
      </c>
      <c r="R27" s="53">
        <v>710967632010</v>
      </c>
      <c r="S27" s="49" t="s">
        <v>99</v>
      </c>
      <c r="T27" s="49">
        <v>2820</v>
      </c>
      <c r="U27" s="49">
        <v>2736</v>
      </c>
      <c r="V27" s="49">
        <v>157</v>
      </c>
      <c r="W27" s="50">
        <v>46117</v>
      </c>
      <c r="X27" s="51">
        <v>0.97021276595744677</v>
      </c>
      <c r="Y27" s="52" t="s">
        <v>71</v>
      </c>
    </row>
    <row r="28" spans="15:25">
      <c r="O28" s="17" t="s">
        <v>69</v>
      </c>
      <c r="P28" s="17">
        <v>4702096672</v>
      </c>
      <c r="Q28" s="17" t="s">
        <v>61</v>
      </c>
      <c r="R28" s="18">
        <v>710804257063</v>
      </c>
      <c r="S28" s="17" t="s">
        <v>70</v>
      </c>
      <c r="T28" s="17">
        <v>1557</v>
      </c>
      <c r="U28" s="17">
        <v>1284</v>
      </c>
      <c r="V28" s="17">
        <v>30</v>
      </c>
      <c r="W28" s="17"/>
      <c r="X28" s="54"/>
      <c r="Y28" s="17" t="s">
        <v>71</v>
      </c>
    </row>
  </sheetData>
  <pageMargins left="0.88" right="0.25" top="0.75" bottom="0.75" header="0.3" footer="0.3"/>
  <pageSetup paperSize="9" scale="51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E6:Q24"/>
  <sheetViews>
    <sheetView tabSelected="1" workbookViewId="0">
      <selection activeCell="T7" sqref="T7"/>
    </sheetView>
  </sheetViews>
  <sheetFormatPr defaultRowHeight="15"/>
  <cols>
    <col min="5" max="5" width="7.140625" customWidth="1"/>
    <col min="6" max="6" width="8.42578125" customWidth="1"/>
    <col min="7" max="7" width="14" bestFit="1" customWidth="1"/>
    <col min="8" max="8" width="13.5703125" bestFit="1" customWidth="1"/>
    <col min="9" max="9" width="11" bestFit="1" customWidth="1"/>
    <col min="10" max="10" width="31.7109375" bestFit="1" customWidth="1"/>
    <col min="11" max="11" width="13.85546875" bestFit="1" customWidth="1"/>
    <col min="12" max="12" width="9" bestFit="1" customWidth="1"/>
    <col min="13" max="13" width="15.5703125" bestFit="1" customWidth="1"/>
    <col min="14" max="14" width="6.5703125" customWidth="1"/>
    <col min="15" max="15" width="14.85546875" bestFit="1" customWidth="1"/>
    <col min="16" max="16" width="18" customWidth="1"/>
    <col min="17" max="17" width="15.28515625" bestFit="1" customWidth="1"/>
  </cols>
  <sheetData>
    <row r="6" spans="5:17" ht="15.75" thickBot="1"/>
    <row r="7" spans="5:17" ht="25.5">
      <c r="E7" s="12" t="s">
        <v>3</v>
      </c>
      <c r="F7" s="14" t="s">
        <v>4</v>
      </c>
      <c r="G7" s="14" t="s">
        <v>5</v>
      </c>
      <c r="H7" s="14" t="s">
        <v>6</v>
      </c>
      <c r="I7" s="14" t="s">
        <v>7</v>
      </c>
      <c r="J7" s="14" t="s">
        <v>8</v>
      </c>
      <c r="K7" s="14" t="s">
        <v>9</v>
      </c>
      <c r="L7" s="14" t="s">
        <v>10</v>
      </c>
      <c r="M7" s="14" t="s">
        <v>16</v>
      </c>
      <c r="N7" s="14" t="s">
        <v>17</v>
      </c>
      <c r="O7" s="14" t="s">
        <v>18</v>
      </c>
      <c r="P7" s="68" t="s">
        <v>101</v>
      </c>
      <c r="Q7" s="58" t="s">
        <v>25</v>
      </c>
    </row>
    <row r="8" spans="5:17">
      <c r="E8" s="59" t="s">
        <v>28</v>
      </c>
      <c r="F8" s="17">
        <v>10</v>
      </c>
      <c r="G8" s="17" t="s">
        <v>29</v>
      </c>
      <c r="H8" s="17" t="s">
        <v>30</v>
      </c>
      <c r="I8" s="17">
        <v>4702067321</v>
      </c>
      <c r="J8" s="17" t="s">
        <v>31</v>
      </c>
      <c r="K8" s="18" t="s">
        <v>32</v>
      </c>
      <c r="L8" s="17">
        <v>250</v>
      </c>
      <c r="M8" s="17">
        <v>241</v>
      </c>
      <c r="N8" s="17">
        <v>6</v>
      </c>
      <c r="O8" s="17" t="s">
        <v>105</v>
      </c>
      <c r="P8" s="73" t="s">
        <v>102</v>
      </c>
      <c r="Q8" s="60" t="s">
        <v>37</v>
      </c>
    </row>
    <row r="9" spans="5:17">
      <c r="E9" s="59" t="s">
        <v>28</v>
      </c>
      <c r="F9" s="17">
        <v>10</v>
      </c>
      <c r="G9" s="17" t="s">
        <v>38</v>
      </c>
      <c r="H9" s="17" t="s">
        <v>30</v>
      </c>
      <c r="I9" s="17">
        <v>4702067327</v>
      </c>
      <c r="J9" s="17" t="s">
        <v>39</v>
      </c>
      <c r="K9" s="18" t="s">
        <v>40</v>
      </c>
      <c r="L9" s="17">
        <v>65</v>
      </c>
      <c r="M9" s="17">
        <v>65</v>
      </c>
      <c r="N9" s="17">
        <v>2</v>
      </c>
      <c r="O9" s="17" t="s">
        <v>105</v>
      </c>
      <c r="P9" s="74"/>
      <c r="Q9" s="60"/>
    </row>
    <row r="10" spans="5:17">
      <c r="E10" s="59" t="s">
        <v>28</v>
      </c>
      <c r="F10" s="17">
        <v>10</v>
      </c>
      <c r="G10" s="17" t="s">
        <v>38</v>
      </c>
      <c r="H10" s="17" t="s">
        <v>30</v>
      </c>
      <c r="I10" s="17">
        <v>4702067328</v>
      </c>
      <c r="J10" s="17" t="s">
        <v>39</v>
      </c>
      <c r="K10" s="18" t="s">
        <v>40</v>
      </c>
      <c r="L10" s="17">
        <v>500</v>
      </c>
      <c r="M10" s="17">
        <v>500</v>
      </c>
      <c r="N10" s="17">
        <v>12</v>
      </c>
      <c r="O10" s="17" t="s">
        <v>105</v>
      </c>
      <c r="P10" s="74"/>
      <c r="Q10" s="60"/>
    </row>
    <row r="11" spans="5:17">
      <c r="E11" s="59" t="s">
        <v>28</v>
      </c>
      <c r="F11" s="17">
        <v>10</v>
      </c>
      <c r="G11" s="17" t="s">
        <v>41</v>
      </c>
      <c r="H11" s="17" t="s">
        <v>30</v>
      </c>
      <c r="I11" s="17">
        <v>4702067334</v>
      </c>
      <c r="J11" s="17" t="s">
        <v>42</v>
      </c>
      <c r="K11" s="18" t="s">
        <v>43</v>
      </c>
      <c r="L11" s="17">
        <v>121</v>
      </c>
      <c r="M11" s="17">
        <v>121</v>
      </c>
      <c r="N11" s="17">
        <v>8</v>
      </c>
      <c r="O11" s="17" t="s">
        <v>105</v>
      </c>
      <c r="P11" s="75"/>
      <c r="Q11" s="60"/>
    </row>
    <row r="12" spans="5:17">
      <c r="E12" s="61"/>
      <c r="F12" s="22"/>
      <c r="G12" s="22" t="s">
        <v>44</v>
      </c>
      <c r="H12" s="22"/>
      <c r="I12" s="22"/>
      <c r="J12" s="22"/>
      <c r="K12" s="22"/>
      <c r="L12" s="23">
        <f>SUM(L8:L11)</f>
        <v>936</v>
      </c>
      <c r="M12" s="23">
        <f>SUM(M8:M11)</f>
        <v>927</v>
      </c>
      <c r="N12" s="23">
        <f>SUM(N8:N11)</f>
        <v>28</v>
      </c>
      <c r="O12" s="22"/>
      <c r="P12" s="70"/>
      <c r="Q12" s="29"/>
    </row>
    <row r="13" spans="5:17">
      <c r="E13" s="62"/>
      <c r="F13" s="26"/>
      <c r="G13" s="26"/>
      <c r="H13" s="26"/>
      <c r="I13" s="26"/>
      <c r="J13" s="26"/>
      <c r="K13" s="27"/>
      <c r="L13" s="26"/>
      <c r="M13" s="26"/>
      <c r="N13" s="26"/>
      <c r="O13" s="26"/>
      <c r="P13" s="71"/>
      <c r="Q13" s="28"/>
    </row>
    <row r="14" spans="5:17">
      <c r="E14" s="59" t="s">
        <v>45</v>
      </c>
      <c r="F14" s="17">
        <v>10</v>
      </c>
      <c r="G14" s="17" t="s">
        <v>46</v>
      </c>
      <c r="H14" s="17" t="s">
        <v>47</v>
      </c>
      <c r="I14" s="17">
        <v>4702079687</v>
      </c>
      <c r="J14" s="17" t="s">
        <v>48</v>
      </c>
      <c r="K14" s="18" t="s">
        <v>49</v>
      </c>
      <c r="L14" s="17">
        <v>200</v>
      </c>
      <c r="M14" s="17">
        <v>200</v>
      </c>
      <c r="N14" s="17">
        <v>13</v>
      </c>
      <c r="O14" s="17" t="s">
        <v>105</v>
      </c>
      <c r="P14" s="73" t="s">
        <v>104</v>
      </c>
      <c r="Q14" s="60" t="s">
        <v>50</v>
      </c>
    </row>
    <row r="15" spans="5:17">
      <c r="E15" s="59" t="s">
        <v>45</v>
      </c>
      <c r="F15" s="17">
        <v>20</v>
      </c>
      <c r="G15" s="17" t="s">
        <v>51</v>
      </c>
      <c r="H15" s="17" t="s">
        <v>47</v>
      </c>
      <c r="I15" s="17">
        <v>4702079687</v>
      </c>
      <c r="J15" s="17" t="s">
        <v>52</v>
      </c>
      <c r="K15" s="18" t="s">
        <v>53</v>
      </c>
      <c r="L15" s="17">
        <v>220</v>
      </c>
      <c r="M15" s="17">
        <v>220</v>
      </c>
      <c r="N15" s="17">
        <v>14</v>
      </c>
      <c r="O15" s="17" t="s">
        <v>105</v>
      </c>
      <c r="P15" s="75"/>
      <c r="Q15" s="60"/>
    </row>
    <row r="16" spans="5:17">
      <c r="E16" s="61"/>
      <c r="F16" s="22"/>
      <c r="G16" s="22" t="s">
        <v>44</v>
      </c>
      <c r="H16" s="22"/>
      <c r="I16" s="22"/>
      <c r="J16" s="22"/>
      <c r="K16" s="22"/>
      <c r="L16" s="23">
        <f>SUM(L14:L15)</f>
        <v>420</v>
      </c>
      <c r="M16" s="23">
        <f t="shared" ref="M16:N16" si="0">SUM(M14:M15)</f>
        <v>420</v>
      </c>
      <c r="N16" s="23">
        <f t="shared" si="0"/>
        <v>27</v>
      </c>
      <c r="O16" s="22"/>
      <c r="P16" s="70"/>
      <c r="Q16" s="29"/>
    </row>
    <row r="17" spans="5:17">
      <c r="E17" s="59"/>
      <c r="F17" s="17"/>
      <c r="G17" s="17"/>
      <c r="H17" s="17"/>
      <c r="I17" s="17"/>
      <c r="J17" s="17"/>
      <c r="K17" s="18"/>
      <c r="L17" s="17"/>
      <c r="M17" s="17"/>
      <c r="N17" s="17"/>
      <c r="O17" s="17"/>
      <c r="P17" s="69"/>
      <c r="Q17" s="30"/>
    </row>
    <row r="18" spans="5:17">
      <c r="E18" s="59" t="s">
        <v>54</v>
      </c>
      <c r="F18" s="17">
        <v>10</v>
      </c>
      <c r="G18" s="17" t="s">
        <v>55</v>
      </c>
      <c r="H18" s="17" t="s">
        <v>47</v>
      </c>
      <c r="I18" s="17">
        <v>4702095845</v>
      </c>
      <c r="J18" s="17" t="s">
        <v>56</v>
      </c>
      <c r="K18" s="18">
        <v>710967632001</v>
      </c>
      <c r="L18" s="17">
        <v>330</v>
      </c>
      <c r="M18" s="17">
        <v>337</v>
      </c>
      <c r="N18" s="17">
        <v>20</v>
      </c>
      <c r="O18" s="17" t="s">
        <v>105</v>
      </c>
      <c r="P18" s="69" t="s">
        <v>103</v>
      </c>
      <c r="Q18" s="30" t="s">
        <v>58</v>
      </c>
    </row>
    <row r="19" spans="5:17">
      <c r="E19" s="61"/>
      <c r="F19" s="22"/>
      <c r="G19" s="22" t="s">
        <v>44</v>
      </c>
      <c r="H19" s="22"/>
      <c r="I19" s="22"/>
      <c r="J19" s="22"/>
      <c r="K19" s="22"/>
      <c r="L19" s="23">
        <f>SUM(L18:L18)</f>
        <v>330</v>
      </c>
      <c r="M19" s="22">
        <v>337</v>
      </c>
      <c r="N19" s="22">
        <v>20</v>
      </c>
      <c r="O19" s="22"/>
      <c r="P19" s="70"/>
      <c r="Q19" s="29"/>
    </row>
    <row r="20" spans="5:17">
      <c r="E20" s="62"/>
      <c r="F20" s="26"/>
      <c r="G20" s="26"/>
      <c r="H20" s="26"/>
      <c r="I20" s="26"/>
      <c r="J20" s="26"/>
      <c r="K20" s="27"/>
      <c r="L20" s="26"/>
      <c r="M20" s="26"/>
      <c r="N20" s="26"/>
      <c r="O20" s="26"/>
      <c r="P20" s="71"/>
      <c r="Q20" s="28"/>
    </row>
    <row r="21" spans="5:17">
      <c r="E21" s="59" t="s">
        <v>59</v>
      </c>
      <c r="F21" s="17">
        <v>10</v>
      </c>
      <c r="G21" s="17" t="s">
        <v>69</v>
      </c>
      <c r="H21" s="17" t="s">
        <v>61</v>
      </c>
      <c r="I21" s="17">
        <v>4702096672</v>
      </c>
      <c r="J21" s="17" t="s">
        <v>70</v>
      </c>
      <c r="K21" s="18">
        <v>710804257063</v>
      </c>
      <c r="L21" s="17">
        <v>1557</v>
      </c>
      <c r="M21" s="17">
        <v>1431</v>
      </c>
      <c r="N21" s="17">
        <v>35</v>
      </c>
      <c r="O21" s="17" t="s">
        <v>100</v>
      </c>
      <c r="P21" s="69"/>
      <c r="Q21" s="30" t="s">
        <v>72</v>
      </c>
    </row>
    <row r="22" spans="5:17">
      <c r="E22" s="61"/>
      <c r="F22" s="22"/>
      <c r="G22" s="22" t="s">
        <v>44</v>
      </c>
      <c r="H22" s="22"/>
      <c r="I22" s="22"/>
      <c r="J22" s="22"/>
      <c r="K22" s="22"/>
      <c r="L22" s="23">
        <f>SUM(L21:L21)</f>
        <v>1557</v>
      </c>
      <c r="M22" s="23">
        <f t="shared" ref="M22:N22" si="1">SUM(M21:M21)</f>
        <v>1431</v>
      </c>
      <c r="N22" s="23">
        <f t="shared" si="1"/>
        <v>35</v>
      </c>
      <c r="O22" s="22"/>
      <c r="P22" s="70"/>
      <c r="Q22" s="29"/>
    </row>
    <row r="23" spans="5:17" ht="15.75" thickBot="1">
      <c r="E23" s="63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5"/>
    </row>
    <row r="24" spans="5:17" ht="21" thickBot="1">
      <c r="E24" s="66" t="s">
        <v>76</v>
      </c>
      <c r="F24" s="56"/>
      <c r="G24" s="56"/>
      <c r="H24" s="56"/>
      <c r="I24" s="56"/>
      <c r="J24" s="57"/>
      <c r="K24" s="55"/>
      <c r="L24" s="55">
        <f>+L12+L16+L19+L22</f>
        <v>3243</v>
      </c>
      <c r="M24" s="55">
        <f>+M12+M16+M19+M22</f>
        <v>3115</v>
      </c>
      <c r="N24" s="55">
        <f>+N12+N16+N19+N22</f>
        <v>110</v>
      </c>
      <c r="O24" s="55"/>
      <c r="P24" s="72"/>
      <c r="Q24" s="67"/>
    </row>
  </sheetData>
  <mergeCells count="5">
    <mergeCell ref="E24:J24"/>
    <mergeCell ref="P8:P11"/>
    <mergeCell ref="Q8:Q11"/>
    <mergeCell ref="P14:P15"/>
    <mergeCell ref="Q14:Q15"/>
  </mergeCells>
  <pageMargins left="0.7" right="0.7" top="0.75" bottom="0.75" header="0.3" footer="0.3"/>
  <pageSetup paperSize="9" scale="6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CDD-29-03-2026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Yashwanth KV</dc:creator>
  <cp:lastModifiedBy>Yashwanth KV</cp:lastModifiedBy>
  <cp:lastPrinted>2026-03-17T06:56:24Z</cp:lastPrinted>
  <dcterms:created xsi:type="dcterms:W3CDTF">2026-03-17T03:57:45Z</dcterms:created>
  <dcterms:modified xsi:type="dcterms:W3CDTF">2026-03-17T12:45:39Z</dcterms:modified>
</cp:coreProperties>
</file>