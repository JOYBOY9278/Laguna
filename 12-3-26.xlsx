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<sst xmlns="http://schemas.openxmlformats.org/spreadsheetml/2006/main" count="23" uniqueCount="16">
  <si>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CON NO:LC/HB/25/13005.2</t>
  </si>
  <si>
    <t>XS</t>
  </si>
  <si>
    <t>S</t>
  </si>
  <si>
    <t>M</t>
  </si>
  <si>
    <t>L</t>
  </si>
  <si>
    <t>XL</t>
  </si>
  <si>
    <t>XXL</t>
  </si>
  <si>
    <t>XXXL</t>
  </si>
  <si>
    <t>CON NO:LC/HB/25/13018.2</t>
  </si>
  <si>
    <t>CON NO:LC/HB/25/12993.6</t>
  </si>
  <si>
    <t>40L</t>
  </si>
  <si>
    <t>41L</t>
  </si>
  <si>
    <t>42L</t>
  </si>
  <si>
    <t>43L</t>
  </si>
  <si>
    <t>44L</t>
  </si>
  <si>
    <t>CON NO:LC/HB/25/13004.2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</si>
</sst>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14"/>
      <name val="Calibri"/>
      <charset val="134"/>
    </font>
    <font>
      <b/>
      <sz val="14"/>
      <color indexed="8"/>
      <name val="Calibri"/>
      <charset val="134"/>
    </font>
    <font>
      <b/>
      <sz val="14"/>
      <name val="Calibri"/>
      <charset val="134"/>
    </font>
    <font>
      <b/>
      <sz val="18"/>
      <color indexed="8"/>
      <name val="Calibri"/>
      <charset val="134"/>
    </font>
    <font>
      <b/>
      <sz val="14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Century Gothic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5" fillId="0" borderId="0"/>
  </cellStyleXfs>
  <cellXfs count="10">
    <xf numFmtId="0" fontId="0" fillId="0" borderId="0" xfId="0">
      <alignment vertical="center"/>
    </xf>
    <xf numFmtId="0" fontId="1" fillId="0" borderId="0" xfId="49" applyFont="1" applyFill="1" applyBorder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NumberForma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49" applyFont="1" applyFill="1" applyBorder="1" applyAlignment="1"/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NumberFormat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9:W42"/>
  <sheetViews>
    <sheetView tabSelected="1" topLeftCell="A8" workbookViewId="0">
      <selection activeCell="C7" sqref="C7:W42"/>
    </sheetView>
  </sheetViews>
  <sheetFormatPr defaultColWidth="9.14285714285714" defaultRowHeight="15"/>
  <sheetData>
    <row r="9" ht="18.75" spans="3:14">
      <c r="C9" s="1" t="s">
        <v>0</v>
      </c>
      <c r="H9" s="2" t="s">
        <v>1</v>
      </c>
      <c r="I9" s="2" t="s">
        <v>2</v>
      </c>
      <c r="J9" s="2" t="s">
        <v>3</v>
      </c>
      <c r="K9" s="2" t="s">
        <v>4</v>
      </c>
      <c r="L9" s="2" t="s">
        <v>5</v>
      </c>
      <c r="M9" s="2" t="s">
        <v>6</v>
      </c>
      <c r="N9" s="2" t="s">
        <v>7</v>
      </c>
    </row>
    <row r="10" spans="8:14">
      <c r="H10" s="3">
        <v>0</v>
      </c>
      <c r="I10" s="3">
        <v>3</v>
      </c>
      <c r="J10" s="3">
        <v>10</v>
      </c>
      <c r="K10" s="3">
        <v>10</v>
      </c>
      <c r="L10" s="3">
        <v>7</v>
      </c>
      <c r="M10" s="3">
        <v>4</v>
      </c>
      <c r="N10" s="3">
        <v>0</v>
      </c>
    </row>
    <row r="11" spans="8:14">
      <c r="H11" s="3">
        <v>0</v>
      </c>
      <c r="I11" s="3">
        <v>12</v>
      </c>
      <c r="J11" s="3">
        <v>35</v>
      </c>
      <c r="K11" s="3">
        <v>35</v>
      </c>
      <c r="L11" s="3">
        <v>29</v>
      </c>
      <c r="M11" s="3">
        <v>17</v>
      </c>
      <c r="N11" s="3">
        <v>4</v>
      </c>
    </row>
    <row r="12" spans="8:14">
      <c r="H12" s="3">
        <v>0</v>
      </c>
      <c r="I12" s="3">
        <v>1</v>
      </c>
      <c r="J12" s="3">
        <v>2</v>
      </c>
      <c r="K12" s="3">
        <v>2</v>
      </c>
      <c r="L12" s="3">
        <v>1</v>
      </c>
      <c r="M12" s="3">
        <v>0</v>
      </c>
      <c r="N12" s="3">
        <v>0</v>
      </c>
    </row>
    <row r="13" spans="8:14">
      <c r="H13" s="3">
        <v>1</v>
      </c>
      <c r="I13" s="3">
        <v>49</v>
      </c>
      <c r="J13" s="3">
        <v>153</v>
      </c>
      <c r="K13" s="3">
        <v>193</v>
      </c>
      <c r="L13" s="3">
        <v>152</v>
      </c>
      <c r="M13" s="3">
        <v>88</v>
      </c>
      <c r="N13" s="3">
        <v>24</v>
      </c>
    </row>
    <row r="14" spans="8:14">
      <c r="H14" s="4">
        <f>SUM(H10:H13)</f>
        <v>1</v>
      </c>
      <c r="I14" s="4">
        <f t="shared" ref="I14:N14" si="0">SUM(I10:I13)</f>
        <v>65</v>
      </c>
      <c r="J14" s="4">
        <f t="shared" si="0"/>
        <v>200</v>
      </c>
      <c r="K14" s="4">
        <f t="shared" si="0"/>
        <v>240</v>
      </c>
      <c r="L14" s="4">
        <f t="shared" si="0"/>
        <v>189</v>
      </c>
      <c r="M14" s="4">
        <f t="shared" si="0"/>
        <v>109</v>
      </c>
      <c r="N14" s="4">
        <f t="shared" si="0"/>
        <v>28</v>
      </c>
    </row>
    <row r="18" ht="18.75" spans="9:19"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ht="18.75" spans="3:19">
      <c r="C19" s="1" t="s">
        <v>8</v>
      </c>
      <c r="H19" s="5">
        <v>37</v>
      </c>
      <c r="I19" s="8">
        <v>38</v>
      </c>
      <c r="J19" s="8">
        <v>39</v>
      </c>
      <c r="K19" s="8">
        <v>40</v>
      </c>
      <c r="L19" s="8">
        <v>41</v>
      </c>
      <c r="M19" s="8">
        <v>42</v>
      </c>
      <c r="N19" s="8">
        <v>43</v>
      </c>
      <c r="O19" s="8">
        <v>44</v>
      </c>
      <c r="P19" s="8">
        <v>45</v>
      </c>
      <c r="Q19" s="8">
        <v>46</v>
      </c>
      <c r="R19" s="8">
        <v>47</v>
      </c>
      <c r="S19" s="8">
        <v>48</v>
      </c>
    </row>
    <row r="20" spans="8:20">
      <c r="H20" s="3"/>
      <c r="I20" s="3">
        <v>22</v>
      </c>
      <c r="J20" s="3">
        <v>53</v>
      </c>
      <c r="K20" s="3">
        <v>56</v>
      </c>
      <c r="L20" s="3">
        <v>65</v>
      </c>
      <c r="M20" s="3">
        <v>76</v>
      </c>
      <c r="N20" s="3">
        <v>54</v>
      </c>
      <c r="O20" s="3">
        <v>51</v>
      </c>
      <c r="P20" s="3">
        <v>24</v>
      </c>
      <c r="Q20" s="3">
        <v>9</v>
      </c>
      <c r="R20" s="3">
        <v>2</v>
      </c>
      <c r="S20" s="3">
        <v>1</v>
      </c>
      <c r="T20" s="9">
        <f>SUM(H20:S20)</f>
        <v>413</v>
      </c>
    </row>
    <row r="21" spans="8:20">
      <c r="H21" s="3"/>
      <c r="I21" s="3">
        <v>13</v>
      </c>
      <c r="J21" s="3">
        <v>38</v>
      </c>
      <c r="K21" s="3">
        <v>0</v>
      </c>
      <c r="L21" s="3">
        <v>27</v>
      </c>
      <c r="M21" s="3">
        <v>46</v>
      </c>
      <c r="N21" s="3">
        <v>27</v>
      </c>
      <c r="O21" s="3">
        <v>21</v>
      </c>
      <c r="P21" s="3">
        <v>0</v>
      </c>
      <c r="Q21" s="3">
        <v>19</v>
      </c>
      <c r="R21" s="3"/>
      <c r="S21" s="3"/>
      <c r="T21" s="9">
        <f>SUM(H21:S21)</f>
        <v>191</v>
      </c>
    </row>
    <row r="22" spans="8:20">
      <c r="H22" s="3">
        <v>3</v>
      </c>
      <c r="I22" s="3">
        <v>54</v>
      </c>
      <c r="J22" s="3">
        <v>153</v>
      </c>
      <c r="K22" s="3">
        <v>0</v>
      </c>
      <c r="L22" s="3">
        <v>136</v>
      </c>
      <c r="M22" s="3">
        <v>181</v>
      </c>
      <c r="N22" s="3">
        <v>97</v>
      </c>
      <c r="O22" s="3">
        <v>86</v>
      </c>
      <c r="P22" s="3">
        <v>0</v>
      </c>
      <c r="Q22" s="3">
        <v>85</v>
      </c>
      <c r="R22" s="3"/>
      <c r="S22" s="3"/>
      <c r="T22" s="9">
        <f>SUM(H22:S22)</f>
        <v>795</v>
      </c>
    </row>
    <row r="23" spans="8:20">
      <c r="H23" s="4">
        <f>SUM(H20:H22)</f>
        <v>3</v>
      </c>
      <c r="I23" s="4">
        <f t="shared" ref="I23:S23" si="1">SUM(I20:I22)</f>
        <v>89</v>
      </c>
      <c r="J23" s="4">
        <f t="shared" si="1"/>
        <v>244</v>
      </c>
      <c r="K23" s="4">
        <f t="shared" si="1"/>
        <v>56</v>
      </c>
      <c r="L23" s="4">
        <f t="shared" si="1"/>
        <v>228</v>
      </c>
      <c r="M23" s="4">
        <f t="shared" si="1"/>
        <v>303</v>
      </c>
      <c r="N23" s="4">
        <f t="shared" si="1"/>
        <v>178</v>
      </c>
      <c r="O23" s="4">
        <f t="shared" si="1"/>
        <v>158</v>
      </c>
      <c r="P23" s="4">
        <f t="shared" si="1"/>
        <v>24</v>
      </c>
      <c r="Q23" s="4">
        <f t="shared" si="1"/>
        <v>113</v>
      </c>
      <c r="R23" s="4">
        <f t="shared" si="1"/>
        <v>2</v>
      </c>
      <c r="S23" s="4">
        <f t="shared" si="1"/>
        <v>1</v>
      </c>
      <c r="T23" s="9">
        <f>SUM(H23:S23)</f>
        <v>1399</v>
      </c>
    </row>
    <row r="25" spans="8:20">
      <c r="H25">
        <v>3</v>
      </c>
      <c r="I25">
        <f>15+22+52</f>
        <v>89</v>
      </c>
      <c r="J25">
        <f>43+53+148</f>
        <v>244</v>
      </c>
      <c r="K25">
        <v>56</v>
      </c>
      <c r="L25">
        <f>30+65+133</f>
        <v>228</v>
      </c>
      <c r="M25">
        <f>52+76+175</f>
        <v>303</v>
      </c>
      <c r="N25">
        <f>31+54+93</f>
        <v>178</v>
      </c>
      <c r="O25">
        <f>24+51+83</f>
        <v>158</v>
      </c>
      <c r="P25">
        <v>24</v>
      </c>
      <c r="Q25">
        <f>21+9+83</f>
        <v>113</v>
      </c>
      <c r="R25">
        <v>2</v>
      </c>
      <c r="S25">
        <v>1</v>
      </c>
      <c r="T25" s="9">
        <f>SUM(H25:S25)</f>
        <v>1399</v>
      </c>
    </row>
    <row r="26" spans="9:19">
      <c r="I26">
        <f>+I25-I23</f>
        <v>0</v>
      </c>
      <c r="J26">
        <f>+J25-J23</f>
        <v>0</v>
      </c>
      <c r="K26">
        <f t="shared" ref="K26:S26" si="2">+K25-K23</f>
        <v>0</v>
      </c>
      <c r="L26">
        <f t="shared" si="2"/>
        <v>0</v>
      </c>
      <c r="M26">
        <f t="shared" si="2"/>
        <v>0</v>
      </c>
      <c r="N26">
        <f t="shared" si="2"/>
        <v>0</v>
      </c>
      <c r="O26">
        <f t="shared" si="2"/>
        <v>0</v>
      </c>
      <c r="P26">
        <f t="shared" si="2"/>
        <v>0</v>
      </c>
      <c r="Q26">
        <f t="shared" si="2"/>
        <v>0</v>
      </c>
      <c r="R26">
        <f t="shared" si="2"/>
        <v>0</v>
      </c>
      <c r="S26">
        <f t="shared" si="2"/>
        <v>0</v>
      </c>
    </row>
    <row r="30" ht="23.25" spans="3:22">
      <c r="C30" s="6" t="s">
        <v>9</v>
      </c>
      <c r="H30" s="7">
        <v>37</v>
      </c>
      <c r="I30" s="7">
        <v>38</v>
      </c>
      <c r="J30" s="7">
        <v>39</v>
      </c>
      <c r="K30" s="7">
        <v>40</v>
      </c>
      <c r="L30" s="7">
        <v>41</v>
      </c>
      <c r="M30" s="7">
        <v>42</v>
      </c>
      <c r="N30" s="7">
        <v>43</v>
      </c>
      <c r="O30" s="7">
        <v>44</v>
      </c>
      <c r="P30" s="7">
        <v>45</v>
      </c>
      <c r="Q30" s="7">
        <v>46</v>
      </c>
      <c r="R30" s="7" t="s">
        <v>10</v>
      </c>
      <c r="S30" s="7" t="s">
        <v>11</v>
      </c>
      <c r="T30" s="7" t="s">
        <v>12</v>
      </c>
      <c r="U30" s="7" t="s">
        <v>13</v>
      </c>
      <c r="V30" s="7" t="s">
        <v>14</v>
      </c>
    </row>
    <row r="31" spans="8:22">
      <c r="H31" s="3">
        <v>14</v>
      </c>
      <c r="I31" s="3">
        <v>88</v>
      </c>
      <c r="J31" s="3">
        <v>152</v>
      </c>
      <c r="K31" s="3">
        <v>192</v>
      </c>
      <c r="L31" s="3">
        <v>194</v>
      </c>
      <c r="M31" s="3">
        <v>210</v>
      </c>
      <c r="N31" s="3">
        <v>143</v>
      </c>
      <c r="O31" s="3">
        <v>113</v>
      </c>
      <c r="P31" s="3">
        <v>47</v>
      </c>
      <c r="Q31" s="3">
        <v>26</v>
      </c>
      <c r="R31">
        <v>1</v>
      </c>
      <c r="S31">
        <v>1</v>
      </c>
      <c r="T31">
        <v>1</v>
      </c>
      <c r="U31">
        <v>1</v>
      </c>
      <c r="V31">
        <v>1</v>
      </c>
    </row>
    <row r="32" spans="8:17">
      <c r="H32" s="3">
        <v>0</v>
      </c>
      <c r="I32" s="3">
        <v>54</v>
      </c>
      <c r="J32" s="3">
        <v>87</v>
      </c>
      <c r="K32" s="3">
        <v>0</v>
      </c>
      <c r="L32" s="3">
        <v>67</v>
      </c>
      <c r="M32" s="3">
        <v>43</v>
      </c>
      <c r="N32" s="3">
        <v>16</v>
      </c>
      <c r="O32" s="3">
        <v>20</v>
      </c>
      <c r="P32" s="3">
        <v>0</v>
      </c>
      <c r="Q32" s="3">
        <v>3</v>
      </c>
    </row>
    <row r="33" spans="8:23">
      <c r="H33" s="4">
        <f>SUM(H31:H32)</f>
        <v>14</v>
      </c>
      <c r="I33" s="4">
        <f t="shared" ref="I33:V33" si="3">SUM(I31:I32)</f>
        <v>142</v>
      </c>
      <c r="J33" s="4">
        <f t="shared" si="3"/>
        <v>239</v>
      </c>
      <c r="K33" s="4">
        <f t="shared" si="3"/>
        <v>192</v>
      </c>
      <c r="L33" s="4">
        <f t="shared" si="3"/>
        <v>261</v>
      </c>
      <c r="M33" s="4">
        <f t="shared" si="3"/>
        <v>253</v>
      </c>
      <c r="N33" s="4">
        <f t="shared" si="3"/>
        <v>159</v>
      </c>
      <c r="O33" s="4">
        <f t="shared" si="3"/>
        <v>133</v>
      </c>
      <c r="P33" s="4">
        <f t="shared" si="3"/>
        <v>47</v>
      </c>
      <c r="Q33" s="4">
        <f t="shared" si="3"/>
        <v>29</v>
      </c>
      <c r="R33" s="4">
        <f t="shared" si="3"/>
        <v>1</v>
      </c>
      <c r="S33" s="4">
        <f t="shared" si="3"/>
        <v>1</v>
      </c>
      <c r="T33" s="4">
        <f t="shared" si="3"/>
        <v>1</v>
      </c>
      <c r="U33" s="4">
        <f t="shared" si="3"/>
        <v>1</v>
      </c>
      <c r="V33" s="4">
        <f t="shared" si="3"/>
        <v>1</v>
      </c>
      <c r="W33" s="9">
        <f>SUM(H33:V33)</f>
        <v>1474</v>
      </c>
    </row>
    <row r="37" ht="18.75" spans="3:14">
      <c r="C37" s="1" t="s">
        <v>15</v>
      </c>
      <c r="H37" s="5" t="s">
        <v>1</v>
      </c>
      <c r="I37" s="5" t="s">
        <v>2</v>
      </c>
      <c r="J37" s="5" t="s">
        <v>3</v>
      </c>
      <c r="K37" s="5" t="s">
        <v>4</v>
      </c>
      <c r="L37" s="5" t="s">
        <v>5</v>
      </c>
      <c r="M37" s="5" t="s">
        <v>6</v>
      </c>
      <c r="N37" s="5" t="s">
        <v>7</v>
      </c>
    </row>
    <row r="38" spans="8:14">
      <c r="H38" s="3">
        <v>0</v>
      </c>
      <c r="I38" s="3">
        <v>3</v>
      </c>
      <c r="J38" s="3">
        <v>7</v>
      </c>
      <c r="K38" s="3">
        <v>13</v>
      </c>
      <c r="L38" s="3">
        <v>13</v>
      </c>
      <c r="M38" s="3">
        <v>6</v>
      </c>
      <c r="N38" s="3">
        <v>0</v>
      </c>
    </row>
    <row r="39" spans="8:14">
      <c r="H39" s="3">
        <v>0</v>
      </c>
      <c r="I39" s="3">
        <v>3</v>
      </c>
      <c r="J39" s="3">
        <v>5</v>
      </c>
      <c r="K39" s="3">
        <v>7</v>
      </c>
      <c r="L39" s="3">
        <v>5</v>
      </c>
      <c r="M39" s="3">
        <v>2</v>
      </c>
      <c r="N39" s="3">
        <v>0</v>
      </c>
    </row>
    <row r="40" spans="8:14">
      <c r="H40" s="3">
        <v>0</v>
      </c>
      <c r="I40" s="3">
        <v>3</v>
      </c>
      <c r="J40" s="3">
        <v>9</v>
      </c>
      <c r="K40" s="3">
        <v>9</v>
      </c>
      <c r="L40" s="3">
        <v>6</v>
      </c>
      <c r="M40" s="3">
        <v>2</v>
      </c>
      <c r="N40" s="3">
        <v>0</v>
      </c>
    </row>
    <row r="41" spans="8:14">
      <c r="H41" s="3">
        <v>3</v>
      </c>
      <c r="I41" s="3">
        <v>77</v>
      </c>
      <c r="J41" s="3">
        <v>151</v>
      </c>
      <c r="K41" s="3">
        <v>177</v>
      </c>
      <c r="L41" s="3">
        <v>123</v>
      </c>
      <c r="M41" s="3">
        <v>62</v>
      </c>
      <c r="N41" s="3">
        <v>18</v>
      </c>
    </row>
    <row r="42" spans="8:14">
      <c r="H42" s="4">
        <f>SUM(H38:H41)</f>
        <v>3</v>
      </c>
      <c r="I42" s="4">
        <f t="shared" ref="I42:N42" si="4">SUM(I38:I41)</f>
        <v>86</v>
      </c>
      <c r="J42" s="4">
        <f t="shared" si="4"/>
        <v>172</v>
      </c>
      <c r="K42" s="4">
        <f t="shared" si="4"/>
        <v>206</v>
      </c>
      <c r="L42" s="4">
        <f t="shared" si="4"/>
        <v>147</v>
      </c>
      <c r="M42" s="4">
        <f t="shared" si="4"/>
        <v>72</v>
      </c>
      <c r="N42" s="4">
        <f t="shared" si="4"/>
        <v>18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yashwanthk</dc:creator>
  <cp:lastModifiedBy>yashwanthk</cp:lastModifiedBy>
  <dcterms:created xsi:type="dcterms:W3CDTF">2026-03-12T15:11:19Z</dcterms:created>
  <dcterms:modified xsi:type="dcterms:W3CDTF">2026-03-12T16:26:08Z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D6EBA2E3DECA4C07B7AB2F4973521184_11</vt:lpwstr>
  </property>
  <property fmtid="{D5CDD505-2E9C-101B-9397-08002B2CF9AE}" pid="3" name="KSOProductBuildVer">
    <vt:lpwstr>1033-12.2.0.23196</vt:lpwstr>
  </property>
</Properties>
</file>