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Ready to ship\2019 - ALL BUYER PACKING LIST\POLO RALPH LAUREN PRL\2026\"/>
    </mc:Choice>
  </mc:AlternateContent>
  <bookViews>
    <workbookView xWindow="0" yWindow="0" windowWidth="20490" windowHeight="7530" activeTab="1"/>
  </bookViews>
  <sheets>
    <sheet name="Sheet3" sheetId="3" r:id="rId1"/>
    <sheet name="Master Sheet" sheetId="1" r:id="rId2"/>
    <sheet name="Sampling Status" sheetId="8" r:id="rId3"/>
    <sheet name="Sheet4" sheetId="11" r:id="rId4"/>
    <sheet name="Sheet2" sheetId="2" r:id="rId5"/>
    <sheet name="PPS Status" sheetId="13" r:id="rId6"/>
  </sheets>
  <externalReferences>
    <externalReference r:id="rId7"/>
  </externalReferences>
  <definedNames>
    <definedName name="_xlnm._FilterDatabase" localSheetId="1" hidden="1">'Master Sheet'!$A$5:$FO$622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Q393" i="1" l="1"/>
  <c r="EQ394" i="1"/>
  <c r="EQ395" i="1"/>
  <c r="EQ396" i="1"/>
  <c r="EQ397" i="1"/>
  <c r="EQ398" i="1"/>
  <c r="EQ399" i="1"/>
  <c r="EQ400" i="1"/>
  <c r="EQ401" i="1"/>
  <c r="EQ402" i="1"/>
  <c r="EQ403" i="1"/>
  <c r="EQ404" i="1"/>
  <c r="EQ405" i="1"/>
  <c r="EQ406" i="1"/>
  <c r="EQ407" i="1"/>
  <c r="EQ408" i="1"/>
  <c r="EQ409" i="1"/>
  <c r="EQ410" i="1"/>
  <c r="EQ411" i="1"/>
  <c r="EQ412" i="1"/>
  <c r="I401" i="1"/>
  <c r="I402" i="1"/>
  <c r="I403" i="1"/>
  <c r="J15" i="2"/>
  <c r="J14" i="2"/>
  <c r="J11" i="2"/>
  <c r="J12" i="2"/>
  <c r="I394" i="1" l="1"/>
  <c r="I395" i="1"/>
  <c r="I396" i="1"/>
  <c r="I397" i="1"/>
  <c r="I398" i="1"/>
  <c r="I399" i="1"/>
  <c r="I400" i="1"/>
  <c r="EQ373" i="1" l="1"/>
  <c r="EQ374" i="1"/>
  <c r="EQ375" i="1"/>
  <c r="EQ376" i="1"/>
  <c r="EQ377" i="1"/>
  <c r="EQ378" i="1"/>
  <c r="EQ379" i="1"/>
  <c r="EQ380" i="1"/>
  <c r="EQ381" i="1"/>
  <c r="EQ382" i="1"/>
  <c r="EQ383" i="1"/>
  <c r="EQ384" i="1"/>
  <c r="EQ385" i="1"/>
  <c r="EQ386" i="1"/>
  <c r="EQ387" i="1"/>
  <c r="EQ388" i="1"/>
  <c r="EQ389" i="1"/>
  <c r="EQ390" i="1"/>
  <c r="EQ391" i="1"/>
  <c r="EQ39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FI336" i="1"/>
  <c r="FH336" i="1"/>
  <c r="EQ336" i="1"/>
  <c r="A4" i="1" l="1"/>
  <c r="EQ370" i="1" l="1"/>
  <c r="EQ371" i="1"/>
  <c r="EQ372" i="1"/>
  <c r="I369" i="1"/>
  <c r="I370" i="1"/>
  <c r="I371" i="1"/>
  <c r="I372" i="1"/>
  <c r="C12" i="11" l="1"/>
  <c r="C11" i="11"/>
  <c r="I368" i="1" l="1"/>
  <c r="FI311" i="1" l="1"/>
  <c r="FH311" i="1"/>
  <c r="FJ311" i="1" s="1"/>
  <c r="EQ311" i="1"/>
  <c r="FI307" i="1"/>
  <c r="FH307" i="1"/>
  <c r="FJ307" i="1" s="1"/>
  <c r="EQ307" i="1"/>
  <c r="FI320" i="1"/>
  <c r="FH320" i="1"/>
  <c r="FJ320" i="1" s="1"/>
  <c r="EQ320" i="1"/>
  <c r="FI321" i="1"/>
  <c r="FH321" i="1"/>
  <c r="FJ321" i="1" s="1"/>
  <c r="EQ321" i="1"/>
  <c r="FI318" i="1"/>
  <c r="FH318" i="1"/>
  <c r="FJ318" i="1" s="1"/>
  <c r="EQ318" i="1"/>
  <c r="FI314" i="1"/>
  <c r="FH314" i="1"/>
  <c r="FJ314" i="1" s="1"/>
  <c r="EQ314" i="1"/>
  <c r="FI315" i="1"/>
  <c r="FH315" i="1"/>
  <c r="FJ315" i="1" s="1"/>
  <c r="EQ315" i="1"/>
  <c r="EP4" i="1" l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N4" i="1"/>
  <c r="H4" i="1"/>
  <c r="FI360" i="1" l="1"/>
  <c r="FH360" i="1"/>
  <c r="FJ360" i="1" s="1"/>
  <c r="EQ360" i="1"/>
  <c r="FI362" i="1"/>
  <c r="FH362" i="1"/>
  <c r="FJ362" i="1" s="1"/>
  <c r="EQ362" i="1"/>
  <c r="EQ358" i="1"/>
  <c r="FI358" i="1"/>
  <c r="FH358" i="1"/>
  <c r="FJ358" i="1" s="1"/>
  <c r="EQ353" i="1"/>
  <c r="FI353" i="1"/>
  <c r="FH353" i="1"/>
  <c r="FJ353" i="1" s="1"/>
  <c r="FI355" i="1"/>
  <c r="FH355" i="1"/>
  <c r="FJ355" i="1" s="1"/>
  <c r="EQ355" i="1"/>
  <c r="FI350" i="1"/>
  <c r="FH350" i="1"/>
  <c r="FJ350" i="1" s="1"/>
  <c r="EQ350" i="1"/>
  <c r="FI351" i="1"/>
  <c r="FH351" i="1"/>
  <c r="FJ351" i="1" s="1"/>
  <c r="EQ351" i="1"/>
  <c r="FI345" i="1"/>
  <c r="FH345" i="1"/>
  <c r="FJ345" i="1" s="1"/>
  <c r="FI346" i="1"/>
  <c r="FH346" i="1"/>
  <c r="FJ346" i="1" s="1"/>
  <c r="EQ346" i="1"/>
  <c r="FI342" i="1"/>
  <c r="FH342" i="1"/>
  <c r="FJ342" i="1" s="1"/>
  <c r="EQ342" i="1"/>
  <c r="FI339" i="1"/>
  <c r="FH339" i="1"/>
  <c r="FJ339" i="1" s="1"/>
  <c r="EQ339" i="1"/>
  <c r="EQ340" i="1"/>
  <c r="EQ341" i="1"/>
  <c r="EQ343" i="1"/>
  <c r="EQ344" i="1"/>
  <c r="EQ347" i="1"/>
  <c r="EQ348" i="1"/>
  <c r="EQ349" i="1"/>
  <c r="EQ352" i="1"/>
  <c r="EQ354" i="1"/>
  <c r="EQ356" i="1"/>
  <c r="EQ357" i="1"/>
  <c r="EQ359" i="1"/>
  <c r="EQ361" i="1"/>
  <c r="EQ363" i="1"/>
  <c r="EQ364" i="1"/>
  <c r="EQ365" i="1"/>
  <c r="EQ366" i="1"/>
  <c r="EQ367" i="1"/>
  <c r="EQ368" i="1"/>
  <c r="EQ369" i="1"/>
  <c r="EQ345" i="1" l="1"/>
  <c r="EQ6" i="1" l="1"/>
  <c r="EQ7" i="1"/>
  <c r="EQ8" i="1"/>
  <c r="EQ9" i="1"/>
  <c r="EQ10" i="1"/>
  <c r="EQ11" i="1"/>
  <c r="EQ12" i="1"/>
  <c r="EQ13" i="1"/>
  <c r="EQ14" i="1"/>
  <c r="EQ15" i="1"/>
  <c r="EQ16" i="1"/>
  <c r="EQ17" i="1"/>
  <c r="EQ18" i="1"/>
  <c r="EQ19" i="1"/>
  <c r="EQ20" i="1"/>
  <c r="EQ21" i="1"/>
  <c r="EQ22" i="1"/>
  <c r="EQ23" i="1"/>
  <c r="EQ24" i="1"/>
  <c r="EQ25" i="1"/>
  <c r="EQ26" i="1"/>
  <c r="EQ27" i="1"/>
  <c r="EQ28" i="1"/>
  <c r="EQ29" i="1"/>
  <c r="EQ30" i="1"/>
  <c r="EQ31" i="1"/>
  <c r="EQ32" i="1"/>
  <c r="EQ33" i="1"/>
  <c r="EQ34" i="1"/>
  <c r="EQ35" i="1"/>
  <c r="EQ36" i="1"/>
  <c r="EQ37" i="1"/>
  <c r="EQ38" i="1"/>
  <c r="EQ39" i="1"/>
  <c r="EQ40" i="1"/>
  <c r="EQ41" i="1"/>
  <c r="EQ42" i="1"/>
  <c r="EQ43" i="1"/>
  <c r="EQ44" i="1"/>
  <c r="EQ45" i="1"/>
  <c r="EQ46" i="1"/>
  <c r="EQ47" i="1"/>
  <c r="EQ48" i="1"/>
  <c r="EQ49" i="1"/>
  <c r="EQ50" i="1"/>
  <c r="EQ51" i="1"/>
  <c r="EQ52" i="1"/>
  <c r="EQ53" i="1"/>
  <c r="EQ54" i="1"/>
  <c r="EQ55" i="1"/>
  <c r="EQ56" i="1"/>
  <c r="EQ57" i="1"/>
  <c r="EQ58" i="1"/>
  <c r="EQ59" i="1"/>
  <c r="EQ60" i="1"/>
  <c r="EQ61" i="1"/>
  <c r="EQ62" i="1"/>
  <c r="EQ63" i="1"/>
  <c r="EQ64" i="1"/>
  <c r="EQ65" i="1"/>
  <c r="EQ66" i="1"/>
  <c r="EQ67" i="1"/>
  <c r="EQ68" i="1"/>
  <c r="EQ69" i="1"/>
  <c r="EQ70" i="1"/>
  <c r="EQ71" i="1"/>
  <c r="EQ72" i="1"/>
  <c r="EQ73" i="1"/>
  <c r="EQ74" i="1"/>
  <c r="EQ75" i="1"/>
  <c r="EQ76" i="1"/>
  <c r="EQ77" i="1"/>
  <c r="EQ78" i="1"/>
  <c r="EQ79" i="1"/>
  <c r="EQ80" i="1"/>
  <c r="EQ81" i="1"/>
  <c r="EQ82" i="1"/>
  <c r="EQ83" i="1"/>
  <c r="EQ84" i="1"/>
  <c r="EQ85" i="1"/>
  <c r="EQ86" i="1"/>
  <c r="EQ87" i="1"/>
  <c r="EQ88" i="1"/>
  <c r="EQ89" i="1"/>
  <c r="EQ90" i="1"/>
  <c r="EQ91" i="1"/>
  <c r="EQ92" i="1"/>
  <c r="EQ93" i="1"/>
  <c r="EQ94" i="1"/>
  <c r="EQ95" i="1"/>
  <c r="EQ96" i="1"/>
  <c r="EQ97" i="1"/>
  <c r="EQ98" i="1"/>
  <c r="EQ99" i="1"/>
  <c r="EQ100" i="1"/>
  <c r="EQ101" i="1"/>
  <c r="EQ102" i="1"/>
  <c r="EQ103" i="1"/>
  <c r="EQ104" i="1"/>
  <c r="EQ105" i="1"/>
  <c r="EQ106" i="1"/>
  <c r="EQ107" i="1"/>
  <c r="EQ108" i="1"/>
  <c r="EQ109" i="1"/>
  <c r="EQ110" i="1"/>
  <c r="EQ111" i="1"/>
  <c r="EQ112" i="1"/>
  <c r="EQ113" i="1"/>
  <c r="EQ114" i="1"/>
  <c r="EQ115" i="1"/>
  <c r="EQ116" i="1"/>
  <c r="EQ117" i="1"/>
  <c r="EQ118" i="1"/>
  <c r="EQ119" i="1"/>
  <c r="EQ120" i="1"/>
  <c r="EQ121" i="1"/>
  <c r="EQ122" i="1"/>
  <c r="EQ123" i="1"/>
  <c r="EQ124" i="1"/>
  <c r="EQ125" i="1"/>
  <c r="EQ126" i="1"/>
  <c r="EQ127" i="1"/>
  <c r="EQ128" i="1"/>
  <c r="EQ129" i="1"/>
  <c r="EQ130" i="1"/>
  <c r="EQ131" i="1"/>
  <c r="EQ132" i="1"/>
  <c r="EQ133" i="1"/>
  <c r="EQ134" i="1"/>
  <c r="EQ135" i="1"/>
  <c r="EQ136" i="1"/>
  <c r="EQ137" i="1"/>
  <c r="EQ138" i="1"/>
  <c r="EQ139" i="1"/>
  <c r="EQ140" i="1"/>
  <c r="EQ141" i="1"/>
  <c r="EQ142" i="1"/>
  <c r="EQ143" i="1"/>
  <c r="EQ144" i="1"/>
  <c r="EQ145" i="1"/>
  <c r="EQ146" i="1"/>
  <c r="EQ147" i="1"/>
  <c r="EQ148" i="1"/>
  <c r="EQ149" i="1"/>
  <c r="EQ150" i="1"/>
  <c r="EQ151" i="1"/>
  <c r="EQ152" i="1"/>
  <c r="EQ153" i="1"/>
  <c r="EQ154" i="1"/>
  <c r="EQ155" i="1"/>
  <c r="EQ156" i="1"/>
  <c r="EQ157" i="1"/>
  <c r="EQ158" i="1"/>
  <c r="EQ159" i="1"/>
  <c r="EQ160" i="1"/>
  <c r="EQ161" i="1"/>
  <c r="EQ162" i="1"/>
  <c r="EQ163" i="1"/>
  <c r="EQ164" i="1"/>
  <c r="EQ165" i="1"/>
  <c r="EQ166" i="1"/>
  <c r="EQ167" i="1"/>
  <c r="EQ168" i="1"/>
  <c r="EQ169" i="1"/>
  <c r="EQ170" i="1"/>
  <c r="EQ171" i="1"/>
  <c r="EQ172" i="1"/>
  <c r="EQ173" i="1"/>
  <c r="EQ174" i="1"/>
  <c r="EQ175" i="1"/>
  <c r="EQ176" i="1"/>
  <c r="EQ177" i="1"/>
  <c r="EQ178" i="1"/>
  <c r="EQ179" i="1"/>
  <c r="EQ180" i="1"/>
  <c r="EQ181" i="1"/>
  <c r="EQ182" i="1"/>
  <c r="EQ183" i="1"/>
  <c r="EQ184" i="1"/>
  <c r="EQ185" i="1"/>
  <c r="EQ186" i="1"/>
  <c r="EQ187" i="1"/>
  <c r="EQ188" i="1"/>
  <c r="EQ189" i="1"/>
  <c r="EQ190" i="1"/>
  <c r="EQ191" i="1"/>
  <c r="EQ192" i="1"/>
  <c r="EQ193" i="1"/>
  <c r="EQ194" i="1"/>
  <c r="EQ195" i="1"/>
  <c r="EQ196" i="1"/>
  <c r="EQ197" i="1"/>
  <c r="EQ198" i="1"/>
  <c r="EQ199" i="1"/>
  <c r="EQ200" i="1"/>
  <c r="EQ201" i="1"/>
  <c r="EQ202" i="1"/>
  <c r="EQ203" i="1"/>
  <c r="EQ204" i="1"/>
  <c r="EQ205" i="1"/>
  <c r="EQ206" i="1"/>
  <c r="EQ207" i="1"/>
  <c r="EQ208" i="1"/>
  <c r="EQ209" i="1"/>
  <c r="EQ210" i="1"/>
  <c r="EQ211" i="1"/>
  <c r="EQ212" i="1"/>
  <c r="EQ213" i="1"/>
  <c r="EQ214" i="1"/>
  <c r="EQ215" i="1"/>
  <c r="EQ216" i="1"/>
  <c r="EQ217" i="1"/>
  <c r="EQ218" i="1"/>
  <c r="EQ219" i="1"/>
  <c r="EQ220" i="1"/>
  <c r="EQ221" i="1"/>
  <c r="EQ222" i="1"/>
  <c r="EQ223" i="1"/>
  <c r="EQ224" i="1"/>
  <c r="EQ225" i="1"/>
  <c r="EQ226" i="1"/>
  <c r="EQ227" i="1"/>
  <c r="EQ228" i="1"/>
  <c r="EQ229" i="1"/>
  <c r="EQ230" i="1"/>
  <c r="EQ231" i="1"/>
  <c r="EQ232" i="1"/>
  <c r="EQ233" i="1"/>
  <c r="EQ234" i="1"/>
  <c r="EQ235" i="1"/>
  <c r="EQ236" i="1"/>
  <c r="EQ237" i="1"/>
  <c r="EQ238" i="1"/>
  <c r="EQ239" i="1"/>
  <c r="EQ240" i="1"/>
  <c r="EQ241" i="1"/>
  <c r="EQ242" i="1"/>
  <c r="EQ243" i="1"/>
  <c r="EQ244" i="1"/>
  <c r="EQ245" i="1"/>
  <c r="EQ246" i="1"/>
  <c r="EQ247" i="1"/>
  <c r="EQ248" i="1"/>
  <c r="EQ249" i="1"/>
  <c r="EQ250" i="1"/>
  <c r="EQ251" i="1"/>
  <c r="EQ252" i="1"/>
  <c r="EQ253" i="1"/>
  <c r="EQ254" i="1"/>
  <c r="EQ255" i="1"/>
  <c r="EQ256" i="1"/>
  <c r="EQ257" i="1"/>
  <c r="EQ258" i="1"/>
  <c r="EQ259" i="1"/>
  <c r="EQ260" i="1"/>
  <c r="EQ261" i="1"/>
  <c r="EQ262" i="1"/>
  <c r="EQ263" i="1"/>
  <c r="EQ264" i="1"/>
  <c r="EQ265" i="1"/>
  <c r="EQ266" i="1"/>
  <c r="EQ267" i="1"/>
  <c r="EQ268" i="1"/>
  <c r="EQ269" i="1"/>
  <c r="EQ270" i="1"/>
  <c r="EQ271" i="1"/>
  <c r="EQ272" i="1"/>
  <c r="EQ273" i="1"/>
  <c r="EQ274" i="1"/>
  <c r="EQ275" i="1"/>
  <c r="EQ276" i="1"/>
  <c r="EQ277" i="1"/>
  <c r="EQ278" i="1"/>
  <c r="EQ279" i="1"/>
  <c r="EQ280" i="1"/>
  <c r="EQ281" i="1"/>
  <c r="EQ282" i="1"/>
  <c r="EQ283" i="1"/>
  <c r="EQ284" i="1"/>
  <c r="EQ285" i="1"/>
  <c r="EQ286" i="1"/>
  <c r="EQ287" i="1"/>
  <c r="EQ288" i="1"/>
  <c r="EQ289" i="1"/>
  <c r="EQ290" i="1"/>
  <c r="EQ291" i="1"/>
  <c r="EQ292" i="1"/>
  <c r="EQ293" i="1"/>
  <c r="EQ294" i="1"/>
  <c r="EQ295" i="1"/>
  <c r="EQ296" i="1"/>
  <c r="EQ297" i="1"/>
  <c r="EQ298" i="1"/>
  <c r="EQ299" i="1"/>
  <c r="EQ300" i="1"/>
  <c r="EQ301" i="1"/>
  <c r="EQ302" i="1"/>
  <c r="EQ303" i="1"/>
  <c r="EQ304" i="1"/>
  <c r="EQ305" i="1"/>
  <c r="EQ306" i="1"/>
  <c r="EQ308" i="1"/>
  <c r="EQ309" i="1"/>
  <c r="EQ310" i="1"/>
  <c r="EQ312" i="1"/>
  <c r="EQ313" i="1"/>
  <c r="EQ316" i="1"/>
  <c r="EQ317" i="1"/>
  <c r="EQ319" i="1"/>
  <c r="EQ322" i="1"/>
  <c r="EQ323" i="1"/>
  <c r="EQ324" i="1"/>
  <c r="EQ325" i="1"/>
  <c r="EQ326" i="1"/>
  <c r="EQ327" i="1"/>
  <c r="EQ328" i="1"/>
  <c r="EQ329" i="1"/>
  <c r="EQ330" i="1"/>
  <c r="EQ331" i="1"/>
  <c r="EQ332" i="1"/>
  <c r="EQ333" i="1"/>
  <c r="EQ334" i="1"/>
  <c r="EQ335" i="1"/>
  <c r="EQ337" i="1"/>
  <c r="EQ338" i="1"/>
  <c r="EQ4" i="1" l="1"/>
  <c r="FI332" i="1"/>
  <c r="FH332" i="1"/>
  <c r="FJ332" i="1" s="1"/>
  <c r="FI330" i="1"/>
  <c r="FH330" i="1"/>
  <c r="FJ330" i="1" s="1"/>
  <c r="FI327" i="1"/>
  <c r="FH327" i="1"/>
  <c r="FJ327" i="1" s="1"/>
  <c r="FI325" i="1"/>
  <c r="FH325" i="1"/>
  <c r="FJ325" i="1" s="1"/>
  <c r="FI323" i="1"/>
  <c r="FH323" i="1"/>
  <c r="FJ323" i="1" s="1"/>
  <c r="FI317" i="1"/>
  <c r="FH317" i="1"/>
  <c r="FJ317" i="1" s="1"/>
  <c r="FI312" i="1"/>
  <c r="FH312" i="1"/>
  <c r="FJ312" i="1" s="1"/>
  <c r="FI308" i="1"/>
  <c r="FH308" i="1"/>
  <c r="FJ308" i="1" s="1"/>
  <c r="FI193" i="1"/>
  <c r="FH193" i="1"/>
  <c r="FJ193" i="1" s="1"/>
  <c r="FI190" i="1"/>
  <c r="FH190" i="1"/>
  <c r="FJ190" i="1" s="1"/>
  <c r="FI186" i="1"/>
  <c r="FH186" i="1"/>
  <c r="FJ186" i="1" s="1"/>
  <c r="FI184" i="1"/>
  <c r="FH184" i="1"/>
  <c r="FJ184" i="1" s="1"/>
  <c r="FH338" i="1" l="1"/>
  <c r="FJ338" i="1" s="1"/>
  <c r="FI338" i="1"/>
  <c r="FH340" i="1"/>
  <c r="FI340" i="1"/>
  <c r="FH341" i="1"/>
  <c r="FJ341" i="1" s="1"/>
  <c r="FI341" i="1"/>
  <c r="FH343" i="1"/>
  <c r="FJ343" i="1" s="1"/>
  <c r="FI343" i="1"/>
  <c r="FH344" i="1"/>
  <c r="FJ344" i="1" s="1"/>
  <c r="FI344" i="1"/>
  <c r="FH347" i="1"/>
  <c r="FI347" i="1"/>
  <c r="FH348" i="1"/>
  <c r="FJ348" i="1" s="1"/>
  <c r="FI348" i="1"/>
  <c r="FH349" i="1"/>
  <c r="FJ349" i="1" s="1"/>
  <c r="FI349" i="1"/>
  <c r="FH352" i="1"/>
  <c r="FJ352" i="1" s="1"/>
  <c r="FI352" i="1"/>
  <c r="FH354" i="1"/>
  <c r="FJ354" i="1" s="1"/>
  <c r="FI354" i="1"/>
  <c r="FH356" i="1"/>
  <c r="FI356" i="1"/>
  <c r="FH357" i="1"/>
  <c r="FJ357" i="1" s="1"/>
  <c r="FI357" i="1"/>
  <c r="FH359" i="1"/>
  <c r="FJ359" i="1" s="1"/>
  <c r="FI359" i="1"/>
  <c r="FH361" i="1"/>
  <c r="FJ361" i="1" s="1"/>
  <c r="FI361" i="1"/>
  <c r="FH363" i="1"/>
  <c r="FJ363" i="1" s="1"/>
  <c r="FI363" i="1"/>
  <c r="FH364" i="1"/>
  <c r="FJ364" i="1" s="1"/>
  <c r="FI364" i="1"/>
  <c r="FH365" i="1"/>
  <c r="FJ365" i="1" s="1"/>
  <c r="FI365" i="1"/>
  <c r="FH366" i="1"/>
  <c r="FJ366" i="1" s="1"/>
  <c r="FI366" i="1"/>
  <c r="FH367" i="1"/>
  <c r="FJ367" i="1" s="1"/>
  <c r="FI367" i="1"/>
  <c r="FH368" i="1"/>
  <c r="FI368" i="1"/>
  <c r="FH369" i="1"/>
  <c r="FJ369" i="1" s="1"/>
  <c r="FI369" i="1"/>
  <c r="FH370" i="1"/>
  <c r="FJ370" i="1" s="1"/>
  <c r="FI370" i="1"/>
  <c r="FH371" i="1"/>
  <c r="FJ371" i="1" s="1"/>
  <c r="FI371" i="1"/>
  <c r="FH372" i="1"/>
  <c r="FJ372" i="1" s="1"/>
  <c r="FI372" i="1"/>
  <c r="FH373" i="1"/>
  <c r="FI373" i="1"/>
  <c r="FH374" i="1"/>
  <c r="FI374" i="1"/>
  <c r="FH375" i="1"/>
  <c r="FI375" i="1"/>
  <c r="FH376" i="1"/>
  <c r="FI376" i="1"/>
  <c r="FH377" i="1"/>
  <c r="FI377" i="1"/>
  <c r="FH378" i="1"/>
  <c r="FI378" i="1"/>
  <c r="FH379" i="1"/>
  <c r="FI379" i="1"/>
  <c r="FH380" i="1"/>
  <c r="FI380" i="1"/>
  <c r="FH381" i="1"/>
  <c r="FI381" i="1"/>
  <c r="FH382" i="1"/>
  <c r="FI382" i="1"/>
  <c r="FH383" i="1"/>
  <c r="FI383" i="1"/>
  <c r="FH384" i="1"/>
  <c r="FI384" i="1"/>
  <c r="FH385" i="1"/>
  <c r="FI385" i="1"/>
  <c r="FH386" i="1"/>
  <c r="FI386" i="1"/>
  <c r="FH387" i="1"/>
  <c r="FJ387" i="1" s="1"/>
  <c r="FI387" i="1"/>
  <c r="FH388" i="1"/>
  <c r="FJ388" i="1" s="1"/>
  <c r="FI388" i="1"/>
  <c r="FH389" i="1"/>
  <c r="FJ389" i="1" s="1"/>
  <c r="FI389" i="1"/>
  <c r="FH390" i="1"/>
  <c r="FJ390" i="1" s="1"/>
  <c r="FI390" i="1"/>
  <c r="FH391" i="1"/>
  <c r="FJ391" i="1" s="1"/>
  <c r="FI391" i="1"/>
  <c r="FH392" i="1"/>
  <c r="FJ392" i="1" s="1"/>
  <c r="FI392" i="1"/>
  <c r="FH393" i="1"/>
  <c r="FI393" i="1"/>
  <c r="FH394" i="1"/>
  <c r="FI394" i="1"/>
  <c r="FH395" i="1"/>
  <c r="FI395" i="1"/>
  <c r="FH396" i="1"/>
  <c r="FI396" i="1"/>
  <c r="FH397" i="1"/>
  <c r="FI397" i="1"/>
  <c r="FH398" i="1"/>
  <c r="FI398" i="1"/>
  <c r="FH399" i="1"/>
  <c r="FI399" i="1"/>
  <c r="FH400" i="1"/>
  <c r="FI400" i="1"/>
  <c r="FH401" i="1"/>
  <c r="FI401" i="1"/>
  <c r="FH402" i="1"/>
  <c r="FI402" i="1"/>
  <c r="FH403" i="1"/>
  <c r="FI403" i="1"/>
  <c r="FH404" i="1"/>
  <c r="FI404" i="1"/>
  <c r="FH405" i="1"/>
  <c r="FI405" i="1"/>
  <c r="FH406" i="1"/>
  <c r="FI406" i="1"/>
  <c r="FH407" i="1"/>
  <c r="FI407" i="1"/>
  <c r="FH408" i="1"/>
  <c r="FI408" i="1"/>
  <c r="FH409" i="1"/>
  <c r="FI409" i="1"/>
  <c r="FH410" i="1"/>
  <c r="FI410" i="1"/>
  <c r="FH411" i="1"/>
  <c r="FI411" i="1"/>
  <c r="FH412" i="1"/>
  <c r="FI412" i="1"/>
  <c r="FH413" i="1"/>
  <c r="FI413" i="1"/>
  <c r="FH414" i="1"/>
  <c r="FI414" i="1"/>
  <c r="FH415" i="1"/>
  <c r="FI415" i="1"/>
  <c r="FH416" i="1"/>
  <c r="FI416" i="1"/>
  <c r="FH417" i="1"/>
  <c r="FI417" i="1"/>
  <c r="FH418" i="1"/>
  <c r="FI418" i="1"/>
  <c r="FH419" i="1"/>
  <c r="FI419" i="1"/>
  <c r="FH420" i="1"/>
  <c r="FI420" i="1"/>
  <c r="FH421" i="1"/>
  <c r="FI421" i="1"/>
  <c r="FH422" i="1"/>
  <c r="FI422" i="1"/>
  <c r="FH423" i="1"/>
  <c r="FI423" i="1"/>
  <c r="FH424" i="1"/>
  <c r="FI424" i="1"/>
  <c r="FH425" i="1"/>
  <c r="FI425" i="1"/>
  <c r="FH426" i="1"/>
  <c r="FI426" i="1"/>
  <c r="FH427" i="1"/>
  <c r="FI427" i="1"/>
  <c r="FH428" i="1"/>
  <c r="FI428" i="1"/>
  <c r="FH429" i="1"/>
  <c r="FI429" i="1"/>
  <c r="FH430" i="1"/>
  <c r="FI430" i="1"/>
  <c r="FH431" i="1"/>
  <c r="FI431" i="1"/>
  <c r="FH432" i="1"/>
  <c r="FI432" i="1"/>
  <c r="FH433" i="1"/>
  <c r="FI433" i="1"/>
  <c r="FH434" i="1"/>
  <c r="FI434" i="1"/>
  <c r="FH435" i="1"/>
  <c r="FI435" i="1"/>
  <c r="FH436" i="1"/>
  <c r="FI436" i="1"/>
  <c r="FH437" i="1"/>
  <c r="FI437" i="1"/>
  <c r="FH438" i="1"/>
  <c r="FI438" i="1"/>
  <c r="FH439" i="1"/>
  <c r="FI439" i="1"/>
  <c r="FH440" i="1"/>
  <c r="FI440" i="1"/>
  <c r="FH441" i="1"/>
  <c r="FI441" i="1"/>
  <c r="FH442" i="1"/>
  <c r="FI442" i="1"/>
  <c r="FH443" i="1"/>
  <c r="FI443" i="1"/>
  <c r="FH444" i="1"/>
  <c r="FI444" i="1"/>
  <c r="FH445" i="1"/>
  <c r="FI445" i="1"/>
  <c r="FH446" i="1"/>
  <c r="FI446" i="1"/>
  <c r="FH447" i="1"/>
  <c r="FI447" i="1"/>
  <c r="FH448" i="1"/>
  <c r="FI448" i="1"/>
  <c r="FH449" i="1"/>
  <c r="FI449" i="1"/>
  <c r="FH450" i="1"/>
  <c r="FI450" i="1"/>
  <c r="FH451" i="1"/>
  <c r="FI451" i="1"/>
  <c r="FH452" i="1"/>
  <c r="FI452" i="1"/>
  <c r="FH453" i="1"/>
  <c r="FI453" i="1"/>
  <c r="FH454" i="1"/>
  <c r="FI454" i="1"/>
  <c r="FH455" i="1"/>
  <c r="FI455" i="1"/>
  <c r="FH456" i="1"/>
  <c r="FI456" i="1"/>
  <c r="FH457" i="1"/>
  <c r="FI457" i="1"/>
  <c r="FH458" i="1"/>
  <c r="FI458" i="1"/>
  <c r="FH459" i="1"/>
  <c r="FI459" i="1"/>
  <c r="FH460" i="1"/>
  <c r="FI460" i="1"/>
  <c r="FH461" i="1"/>
  <c r="FI461" i="1"/>
  <c r="FH462" i="1"/>
  <c r="FI462" i="1"/>
  <c r="FH463" i="1"/>
  <c r="FI463" i="1"/>
  <c r="FH464" i="1"/>
  <c r="FI464" i="1"/>
  <c r="FH465" i="1"/>
  <c r="FI465" i="1"/>
  <c r="FH466" i="1"/>
  <c r="FI466" i="1"/>
  <c r="FH467" i="1"/>
  <c r="FI467" i="1"/>
  <c r="FH468" i="1"/>
  <c r="FI468" i="1"/>
  <c r="FH469" i="1"/>
  <c r="FI469" i="1"/>
  <c r="FH470" i="1"/>
  <c r="FI470" i="1"/>
  <c r="FH471" i="1"/>
  <c r="FI471" i="1"/>
  <c r="FH472" i="1"/>
  <c r="FI472" i="1"/>
  <c r="FH473" i="1"/>
  <c r="FI473" i="1"/>
  <c r="FH474" i="1"/>
  <c r="FI474" i="1"/>
  <c r="FH475" i="1"/>
  <c r="FI475" i="1"/>
  <c r="FH476" i="1"/>
  <c r="FI476" i="1"/>
  <c r="FH477" i="1"/>
  <c r="FI477" i="1"/>
  <c r="FH478" i="1"/>
  <c r="FI478" i="1"/>
  <c r="FH479" i="1"/>
  <c r="FI479" i="1"/>
  <c r="FH480" i="1"/>
  <c r="FI480" i="1"/>
  <c r="FH481" i="1"/>
  <c r="FI481" i="1"/>
  <c r="FH482" i="1"/>
  <c r="FI482" i="1"/>
  <c r="FH483" i="1"/>
  <c r="FI483" i="1"/>
  <c r="FH484" i="1"/>
  <c r="FI484" i="1"/>
  <c r="FH485" i="1"/>
  <c r="FI485" i="1"/>
  <c r="FH486" i="1"/>
  <c r="FI486" i="1"/>
  <c r="FH487" i="1"/>
  <c r="FI487" i="1"/>
  <c r="FH488" i="1"/>
  <c r="FI488" i="1"/>
  <c r="FH489" i="1"/>
  <c r="FI489" i="1"/>
  <c r="FH490" i="1"/>
  <c r="FI490" i="1"/>
  <c r="FH491" i="1"/>
  <c r="FI491" i="1"/>
  <c r="FH492" i="1"/>
  <c r="FI492" i="1"/>
  <c r="FH493" i="1"/>
  <c r="FI493" i="1"/>
  <c r="FH494" i="1"/>
  <c r="FI494" i="1"/>
  <c r="FH495" i="1"/>
  <c r="FI495" i="1"/>
  <c r="FH496" i="1"/>
  <c r="FI496" i="1"/>
  <c r="FH497" i="1"/>
  <c r="FI497" i="1"/>
  <c r="FH498" i="1"/>
  <c r="FI498" i="1"/>
  <c r="FH499" i="1"/>
  <c r="FI499" i="1"/>
  <c r="FH500" i="1"/>
  <c r="FI500" i="1"/>
  <c r="FH501" i="1"/>
  <c r="FI501" i="1"/>
  <c r="FH502" i="1"/>
  <c r="FI502" i="1"/>
  <c r="FH503" i="1"/>
  <c r="FI503" i="1"/>
  <c r="FH504" i="1"/>
  <c r="FI504" i="1"/>
  <c r="FH505" i="1"/>
  <c r="FI505" i="1"/>
  <c r="FH506" i="1"/>
  <c r="FI506" i="1"/>
  <c r="FH507" i="1"/>
  <c r="FI507" i="1"/>
  <c r="FH508" i="1"/>
  <c r="FI508" i="1"/>
  <c r="FH509" i="1"/>
  <c r="FI509" i="1"/>
  <c r="FH510" i="1"/>
  <c r="FI510" i="1"/>
  <c r="FH511" i="1"/>
  <c r="FI511" i="1"/>
  <c r="FH512" i="1"/>
  <c r="FI512" i="1"/>
  <c r="FH513" i="1"/>
  <c r="FI513" i="1"/>
  <c r="FH514" i="1"/>
  <c r="FI514" i="1"/>
  <c r="FH515" i="1"/>
  <c r="FI515" i="1"/>
  <c r="FH516" i="1"/>
  <c r="FI516" i="1"/>
  <c r="FH517" i="1"/>
  <c r="FI517" i="1"/>
  <c r="FH518" i="1"/>
  <c r="FI518" i="1"/>
  <c r="FH519" i="1"/>
  <c r="FI519" i="1"/>
  <c r="FH520" i="1"/>
  <c r="FI520" i="1"/>
  <c r="FH521" i="1"/>
  <c r="FI521" i="1"/>
  <c r="FH522" i="1"/>
  <c r="FI522" i="1"/>
  <c r="FH523" i="1"/>
  <c r="FI523" i="1"/>
  <c r="FH524" i="1"/>
  <c r="FI524" i="1"/>
  <c r="FH525" i="1"/>
  <c r="FI525" i="1"/>
  <c r="FH526" i="1"/>
  <c r="FI526" i="1"/>
  <c r="FH527" i="1"/>
  <c r="FI527" i="1"/>
  <c r="FH528" i="1"/>
  <c r="FI528" i="1"/>
  <c r="FH529" i="1"/>
  <c r="FI529" i="1"/>
  <c r="FH530" i="1"/>
  <c r="FI530" i="1"/>
  <c r="FH531" i="1"/>
  <c r="FI531" i="1"/>
  <c r="FH532" i="1"/>
  <c r="FI532" i="1"/>
  <c r="FH533" i="1"/>
  <c r="FI533" i="1"/>
  <c r="FH534" i="1"/>
  <c r="FI534" i="1"/>
  <c r="FH535" i="1"/>
  <c r="FI535" i="1"/>
  <c r="FH536" i="1"/>
  <c r="FI536" i="1"/>
  <c r="FH537" i="1"/>
  <c r="FI537" i="1"/>
  <c r="FH538" i="1"/>
  <c r="FI538" i="1"/>
  <c r="FH539" i="1"/>
  <c r="FI539" i="1"/>
  <c r="FH540" i="1"/>
  <c r="FI540" i="1"/>
  <c r="FH541" i="1"/>
  <c r="FI541" i="1"/>
  <c r="FH542" i="1"/>
  <c r="FI542" i="1"/>
  <c r="FH543" i="1"/>
  <c r="FI543" i="1"/>
  <c r="FH544" i="1"/>
  <c r="FI544" i="1"/>
  <c r="FH545" i="1"/>
  <c r="FI545" i="1"/>
  <c r="FH546" i="1"/>
  <c r="FI546" i="1"/>
  <c r="FH547" i="1"/>
  <c r="FI547" i="1"/>
  <c r="FH548" i="1"/>
  <c r="FI548" i="1"/>
  <c r="FH549" i="1"/>
  <c r="FI549" i="1"/>
  <c r="FH550" i="1"/>
  <c r="FI550" i="1"/>
  <c r="FH551" i="1"/>
  <c r="FI551" i="1"/>
  <c r="FH552" i="1"/>
  <c r="FI552" i="1"/>
  <c r="FH553" i="1"/>
  <c r="FI553" i="1"/>
  <c r="FH554" i="1"/>
  <c r="FI554" i="1"/>
  <c r="FH555" i="1"/>
  <c r="FI555" i="1"/>
  <c r="FH556" i="1"/>
  <c r="FI556" i="1"/>
  <c r="FH557" i="1"/>
  <c r="FI557" i="1"/>
  <c r="FH558" i="1"/>
  <c r="FI558" i="1"/>
  <c r="FH559" i="1"/>
  <c r="FI559" i="1"/>
  <c r="FH560" i="1"/>
  <c r="FI560" i="1"/>
  <c r="FH561" i="1"/>
  <c r="FI561" i="1"/>
  <c r="FH562" i="1"/>
  <c r="FI562" i="1"/>
  <c r="FH563" i="1"/>
  <c r="FI563" i="1"/>
  <c r="FH564" i="1"/>
  <c r="FI564" i="1"/>
  <c r="FH565" i="1"/>
  <c r="FI565" i="1"/>
  <c r="FH566" i="1"/>
  <c r="FI566" i="1"/>
  <c r="FH567" i="1"/>
  <c r="FI567" i="1"/>
  <c r="FH568" i="1"/>
  <c r="FI568" i="1"/>
  <c r="FH569" i="1"/>
  <c r="FI569" i="1"/>
  <c r="FH570" i="1"/>
  <c r="FI570" i="1"/>
  <c r="FH571" i="1"/>
  <c r="FI571" i="1"/>
  <c r="FH572" i="1"/>
  <c r="FI572" i="1"/>
  <c r="FH573" i="1"/>
  <c r="FI573" i="1"/>
  <c r="FH574" i="1"/>
  <c r="FI574" i="1"/>
  <c r="FH575" i="1"/>
  <c r="FI575" i="1"/>
  <c r="FH576" i="1"/>
  <c r="FI576" i="1"/>
  <c r="FH577" i="1"/>
  <c r="FI577" i="1"/>
  <c r="FH578" i="1"/>
  <c r="FI578" i="1"/>
  <c r="FH579" i="1"/>
  <c r="FI579" i="1"/>
  <c r="FH580" i="1"/>
  <c r="FI580" i="1"/>
  <c r="FH581" i="1"/>
  <c r="FI581" i="1"/>
  <c r="FH582" i="1"/>
  <c r="FI582" i="1"/>
  <c r="FH583" i="1"/>
  <c r="FI583" i="1"/>
  <c r="FH584" i="1"/>
  <c r="FI584" i="1"/>
  <c r="FH585" i="1"/>
  <c r="FI585" i="1"/>
  <c r="FH586" i="1"/>
  <c r="FI586" i="1"/>
  <c r="FH587" i="1"/>
  <c r="FI587" i="1"/>
  <c r="FH588" i="1"/>
  <c r="FI588" i="1"/>
  <c r="FH589" i="1"/>
  <c r="FI589" i="1"/>
  <c r="FH590" i="1"/>
  <c r="FI590" i="1"/>
  <c r="FH591" i="1"/>
  <c r="FI591" i="1"/>
  <c r="FH592" i="1"/>
  <c r="FI592" i="1"/>
  <c r="FH593" i="1"/>
  <c r="FI593" i="1"/>
  <c r="FH594" i="1"/>
  <c r="FI594" i="1"/>
  <c r="FH595" i="1"/>
  <c r="FI595" i="1"/>
  <c r="FH596" i="1"/>
  <c r="FI596" i="1"/>
  <c r="FH597" i="1"/>
  <c r="FI597" i="1"/>
  <c r="FH598" i="1"/>
  <c r="FI598" i="1"/>
  <c r="FH599" i="1"/>
  <c r="FI599" i="1"/>
  <c r="FH600" i="1"/>
  <c r="FI600" i="1"/>
  <c r="FH601" i="1"/>
  <c r="FI601" i="1"/>
  <c r="FH602" i="1"/>
  <c r="FI602" i="1"/>
  <c r="FH603" i="1"/>
  <c r="FI603" i="1"/>
  <c r="FH604" i="1"/>
  <c r="FI604" i="1"/>
  <c r="FH605" i="1"/>
  <c r="FI605" i="1"/>
  <c r="FH606" i="1"/>
  <c r="FI606" i="1"/>
  <c r="FH607" i="1"/>
  <c r="FI607" i="1"/>
  <c r="FH608" i="1"/>
  <c r="FI608" i="1"/>
  <c r="FH609" i="1"/>
  <c r="FI609" i="1"/>
  <c r="FH610" i="1"/>
  <c r="FI610" i="1"/>
  <c r="FH611" i="1"/>
  <c r="FI611" i="1"/>
  <c r="FH612" i="1"/>
  <c r="FI612" i="1"/>
  <c r="FH613" i="1"/>
  <c r="FI613" i="1"/>
  <c r="FH614" i="1"/>
  <c r="FI614" i="1"/>
  <c r="FH615" i="1"/>
  <c r="FI615" i="1"/>
  <c r="FH616" i="1"/>
  <c r="FI616" i="1"/>
  <c r="FH617" i="1"/>
  <c r="FI617" i="1"/>
  <c r="FH618" i="1"/>
  <c r="FI618" i="1"/>
  <c r="FH619" i="1"/>
  <c r="FI619" i="1"/>
  <c r="FH620" i="1"/>
  <c r="FI620" i="1"/>
  <c r="FH621" i="1"/>
  <c r="FI621" i="1"/>
  <c r="FH622" i="1"/>
  <c r="FI622" i="1"/>
  <c r="C2" i="11" l="1"/>
  <c r="FI294" i="1" l="1"/>
  <c r="FH294" i="1"/>
  <c r="FJ294" i="1" s="1"/>
  <c r="FI292" i="1"/>
  <c r="FH292" i="1"/>
  <c r="FJ292" i="1" s="1"/>
  <c r="FI290" i="1"/>
  <c r="FH290" i="1"/>
  <c r="FJ290" i="1" s="1"/>
  <c r="FI277" i="1"/>
  <c r="FH277" i="1"/>
  <c r="FJ277" i="1" s="1"/>
  <c r="FI278" i="1"/>
  <c r="FH278" i="1"/>
  <c r="FJ278" i="1" s="1"/>
  <c r="FI197" i="1"/>
  <c r="FH197" i="1"/>
  <c r="FJ197" i="1" s="1"/>
  <c r="FH334" i="1" l="1"/>
  <c r="FI334" i="1"/>
  <c r="FH335" i="1"/>
  <c r="FI335" i="1"/>
  <c r="FH337" i="1"/>
  <c r="FI337" i="1"/>
  <c r="FH296" i="1" l="1"/>
  <c r="FJ296" i="1" s="1"/>
  <c r="FI296" i="1"/>
  <c r="FH297" i="1"/>
  <c r="FJ297" i="1" s="1"/>
  <c r="FI297" i="1"/>
  <c r="FH298" i="1"/>
  <c r="FJ298" i="1" s="1"/>
  <c r="FI298" i="1"/>
  <c r="FH299" i="1"/>
  <c r="FJ299" i="1" s="1"/>
  <c r="FI299" i="1"/>
  <c r="FH300" i="1"/>
  <c r="FI300" i="1"/>
  <c r="FH301" i="1"/>
  <c r="FI301" i="1"/>
  <c r="FH302" i="1"/>
  <c r="FJ302" i="1" s="1"/>
  <c r="FI302" i="1"/>
  <c r="FH303" i="1"/>
  <c r="FJ303" i="1" s="1"/>
  <c r="FI303" i="1"/>
  <c r="FH304" i="1"/>
  <c r="FJ304" i="1" s="1"/>
  <c r="FI304" i="1"/>
  <c r="FH305" i="1"/>
  <c r="FJ305" i="1" s="1"/>
  <c r="FI305" i="1"/>
  <c r="FH306" i="1"/>
  <c r="FJ306" i="1" s="1"/>
  <c r="FI306" i="1"/>
  <c r="FH309" i="1"/>
  <c r="FJ309" i="1" s="1"/>
  <c r="FI309" i="1"/>
  <c r="FH310" i="1"/>
  <c r="FJ310" i="1" s="1"/>
  <c r="FI310" i="1"/>
  <c r="FH313" i="1"/>
  <c r="FJ313" i="1" s="1"/>
  <c r="FI313" i="1"/>
  <c r="FH316" i="1"/>
  <c r="FJ316" i="1" s="1"/>
  <c r="FI316" i="1"/>
  <c r="FH319" i="1"/>
  <c r="FJ319" i="1" s="1"/>
  <c r="FI319" i="1"/>
  <c r="FH322" i="1"/>
  <c r="FJ322" i="1" s="1"/>
  <c r="FI322" i="1"/>
  <c r="FH324" i="1"/>
  <c r="FJ324" i="1" s="1"/>
  <c r="FI324" i="1"/>
  <c r="FH326" i="1"/>
  <c r="FJ326" i="1" s="1"/>
  <c r="FI326" i="1"/>
  <c r="FH328" i="1"/>
  <c r="FJ328" i="1" s="1"/>
  <c r="FI328" i="1"/>
  <c r="FH329" i="1"/>
  <c r="FJ329" i="1" s="1"/>
  <c r="FI329" i="1"/>
  <c r="FH331" i="1"/>
  <c r="FJ331" i="1" s="1"/>
  <c r="FI331" i="1"/>
  <c r="FH333" i="1"/>
  <c r="FJ333" i="1" s="1"/>
  <c r="FI333" i="1"/>
  <c r="FH293" i="1" l="1"/>
  <c r="FJ293" i="1" s="1"/>
  <c r="FI293" i="1"/>
  <c r="FH295" i="1"/>
  <c r="FJ295" i="1" s="1"/>
  <c r="FI295" i="1"/>
  <c r="FH284" i="1" l="1"/>
  <c r="FJ284" i="1" s="1"/>
  <c r="FH285" i="1"/>
  <c r="FH286" i="1"/>
  <c r="FJ286" i="1" s="1"/>
  <c r="FH287" i="1"/>
  <c r="FJ287" i="1" s="1"/>
  <c r="FH288" i="1"/>
  <c r="FJ288" i="1" s="1"/>
  <c r="FH289" i="1"/>
  <c r="FJ289" i="1" s="1"/>
  <c r="FH291" i="1"/>
  <c r="FJ291" i="1" s="1"/>
  <c r="FH265" i="1" l="1"/>
  <c r="FJ265" i="1" s="1"/>
  <c r="FI265" i="1"/>
  <c r="FH266" i="1"/>
  <c r="FJ266" i="1" s="1"/>
  <c r="FI266" i="1"/>
  <c r="FH267" i="1"/>
  <c r="FJ267" i="1" s="1"/>
  <c r="FI267" i="1"/>
  <c r="FH268" i="1"/>
  <c r="FJ268" i="1" s="1"/>
  <c r="FI268" i="1"/>
  <c r="FH269" i="1"/>
  <c r="FJ269" i="1" s="1"/>
  <c r="FI269" i="1"/>
  <c r="FH270" i="1"/>
  <c r="FJ270" i="1" s="1"/>
  <c r="FI270" i="1"/>
  <c r="FH271" i="1"/>
  <c r="FJ271" i="1" s="1"/>
  <c r="FI271" i="1"/>
  <c r="FH272" i="1"/>
  <c r="FJ272" i="1" s="1"/>
  <c r="FI272" i="1"/>
  <c r="FH273" i="1"/>
  <c r="FJ273" i="1" s="1"/>
  <c r="FI273" i="1"/>
  <c r="FH274" i="1"/>
  <c r="FJ274" i="1" s="1"/>
  <c r="FI274" i="1"/>
  <c r="FH275" i="1"/>
  <c r="FJ275" i="1" s="1"/>
  <c r="FI275" i="1"/>
  <c r="FH276" i="1"/>
  <c r="FJ276" i="1" s="1"/>
  <c r="FI276" i="1"/>
  <c r="FH279" i="1"/>
  <c r="FJ279" i="1" s="1"/>
  <c r="FI279" i="1"/>
  <c r="FH280" i="1"/>
  <c r="FJ280" i="1" s="1"/>
  <c r="FI280" i="1"/>
  <c r="FH281" i="1"/>
  <c r="FJ281" i="1" s="1"/>
  <c r="FI281" i="1"/>
  <c r="FH282" i="1"/>
  <c r="FJ282" i="1" s="1"/>
  <c r="FI282" i="1"/>
  <c r="FH283" i="1"/>
  <c r="FJ283" i="1" s="1"/>
  <c r="FI283" i="1"/>
  <c r="FH247" i="1" l="1"/>
  <c r="FJ247" i="1" s="1"/>
  <c r="FH248" i="1"/>
  <c r="FJ248" i="1" s="1"/>
  <c r="FH249" i="1"/>
  <c r="FJ249" i="1" s="1"/>
  <c r="FH250" i="1"/>
  <c r="FJ250" i="1" s="1"/>
  <c r="FH251" i="1"/>
  <c r="FJ251" i="1" s="1"/>
  <c r="FH252" i="1"/>
  <c r="FJ252" i="1" s="1"/>
  <c r="FH253" i="1"/>
  <c r="FJ253" i="1" s="1"/>
  <c r="FH254" i="1"/>
  <c r="FJ254" i="1" s="1"/>
  <c r="FH255" i="1"/>
  <c r="FJ255" i="1" s="1"/>
  <c r="FH256" i="1"/>
  <c r="FJ256" i="1" s="1"/>
  <c r="FH257" i="1"/>
  <c r="FJ257" i="1" s="1"/>
  <c r="FH258" i="1"/>
  <c r="FJ258" i="1" s="1"/>
  <c r="FH259" i="1"/>
  <c r="FJ259" i="1" s="1"/>
  <c r="FH260" i="1"/>
  <c r="FJ260" i="1" s="1"/>
  <c r="FH261" i="1"/>
  <c r="FJ261" i="1" s="1"/>
  <c r="FH262" i="1"/>
  <c r="FJ262" i="1" s="1"/>
  <c r="FH263" i="1"/>
  <c r="FJ263" i="1" s="1"/>
  <c r="FH264" i="1"/>
  <c r="FJ264" i="1" s="1"/>
  <c r="FH200" i="1" l="1"/>
  <c r="FJ200" i="1" s="1"/>
  <c r="FH199" i="1"/>
  <c r="FJ199" i="1" s="1"/>
  <c r="FH198" i="1"/>
  <c r="FJ198" i="1" s="1"/>
  <c r="FH196" i="1"/>
  <c r="FJ196" i="1" s="1"/>
  <c r="FI182" i="1" l="1"/>
  <c r="FI185" i="1"/>
  <c r="FI187" i="1"/>
  <c r="FI188" i="1"/>
  <c r="FI191" i="1"/>
  <c r="FI192" i="1"/>
  <c r="FI194" i="1"/>
  <c r="FI189" i="1"/>
  <c r="FI195" i="1"/>
  <c r="FI196" i="1"/>
  <c r="FI198" i="1"/>
  <c r="FI200" i="1"/>
  <c r="FI199" i="1"/>
  <c r="FI247" i="1"/>
  <c r="FI248" i="1"/>
  <c r="FI249" i="1"/>
  <c r="FI250" i="1"/>
  <c r="FI251" i="1"/>
  <c r="FI252" i="1"/>
  <c r="FI253" i="1"/>
  <c r="FI254" i="1"/>
  <c r="FI255" i="1"/>
  <c r="FI256" i="1"/>
  <c r="FI257" i="1"/>
  <c r="FI258" i="1"/>
  <c r="FI259" i="1"/>
  <c r="FI260" i="1"/>
  <c r="FI261" i="1"/>
  <c r="FI262" i="1"/>
  <c r="FI263" i="1"/>
  <c r="FI264" i="1"/>
  <c r="FI284" i="1"/>
  <c r="FI285" i="1"/>
  <c r="FI286" i="1"/>
  <c r="FI287" i="1"/>
  <c r="FI288" i="1"/>
  <c r="FI289" i="1"/>
  <c r="FI291" i="1"/>
  <c r="FI183" i="1"/>
  <c r="FH182" i="1"/>
  <c r="FJ182" i="1" s="1"/>
  <c r="FH185" i="1"/>
  <c r="FJ185" i="1" s="1"/>
  <c r="FH187" i="1"/>
  <c r="FJ187" i="1" s="1"/>
  <c r="FH188" i="1"/>
  <c r="FJ188" i="1" s="1"/>
  <c r="FH191" i="1"/>
  <c r="FJ191" i="1" s="1"/>
  <c r="FH192" i="1"/>
  <c r="FJ192" i="1" s="1"/>
  <c r="FH194" i="1"/>
  <c r="FJ194" i="1" s="1"/>
  <c r="FH189" i="1"/>
  <c r="FJ189" i="1" s="1"/>
  <c r="FH195" i="1"/>
  <c r="FJ195" i="1" s="1"/>
  <c r="FH183" i="1"/>
  <c r="FJ183" i="1" s="1"/>
  <c r="FI177" i="1" l="1"/>
  <c r="FH177" i="1"/>
  <c r="FI176" i="1"/>
  <c r="FH176" i="1"/>
  <c r="FI178" i="1"/>
  <c r="FH178" i="1"/>
  <c r="FI179" i="1"/>
  <c r="FH179" i="1"/>
  <c r="FI181" i="1"/>
  <c r="FH181" i="1"/>
  <c r="FI180" i="1"/>
  <c r="FH180" i="1"/>
  <c r="FI175" i="1"/>
  <c r="FH175" i="1"/>
  <c r="FJ175" i="1" s="1"/>
  <c r="FI165" i="1"/>
  <c r="FH165" i="1"/>
  <c r="FJ165" i="1" s="1"/>
  <c r="FI166" i="1"/>
  <c r="FH166" i="1"/>
  <c r="FJ166" i="1" s="1"/>
  <c r="FI163" i="1"/>
  <c r="FH163" i="1"/>
  <c r="FJ163" i="1" s="1"/>
  <c r="FI174" i="1"/>
  <c r="FH174" i="1"/>
  <c r="FJ174" i="1" s="1"/>
  <c r="FI173" i="1"/>
  <c r="FH173" i="1"/>
  <c r="FJ173" i="1" s="1"/>
  <c r="FI172" i="1"/>
  <c r="FH172" i="1"/>
  <c r="FJ172" i="1" s="1"/>
  <c r="FI171" i="1"/>
  <c r="FH171" i="1"/>
  <c r="FJ171" i="1" s="1"/>
  <c r="FI168" i="1"/>
  <c r="FH168" i="1"/>
  <c r="FJ168" i="1" s="1"/>
  <c r="FI170" i="1"/>
  <c r="FH170" i="1"/>
  <c r="FJ170" i="1" s="1"/>
  <c r="FI167" i="1"/>
  <c r="FH167" i="1"/>
  <c r="FJ167" i="1" s="1"/>
  <c r="FI169" i="1"/>
  <c r="FH169" i="1"/>
  <c r="FJ169" i="1" s="1"/>
  <c r="FI164" i="1"/>
  <c r="FH164" i="1"/>
  <c r="FJ164" i="1" s="1"/>
  <c r="FI162" i="1"/>
  <c r="FH162" i="1"/>
  <c r="FJ162" i="1" s="1"/>
  <c r="FI161" i="1"/>
  <c r="FH161" i="1"/>
  <c r="FJ161" i="1" s="1"/>
  <c r="FI105" i="1"/>
  <c r="FH105" i="1"/>
  <c r="FI104" i="1"/>
  <c r="FH104" i="1"/>
  <c r="FI107" i="1"/>
  <c r="FH107" i="1"/>
  <c r="FI106" i="1"/>
  <c r="FH106" i="1"/>
  <c r="FI103" i="1"/>
  <c r="FH103" i="1"/>
  <c r="FI102" i="1"/>
  <c r="FH102" i="1"/>
  <c r="FI113" i="1"/>
  <c r="FH113" i="1"/>
  <c r="FJ113" i="1" s="1"/>
  <c r="FI112" i="1"/>
  <c r="FH112" i="1"/>
  <c r="FJ112" i="1" s="1"/>
  <c r="FI111" i="1"/>
  <c r="FH111" i="1"/>
  <c r="FJ111" i="1" s="1"/>
  <c r="FI110" i="1"/>
  <c r="FH110" i="1"/>
  <c r="FJ110" i="1" s="1"/>
  <c r="FI109" i="1"/>
  <c r="FH109" i="1"/>
  <c r="FJ109" i="1" s="1"/>
  <c r="FI108" i="1"/>
  <c r="FH108" i="1"/>
  <c r="FJ108" i="1" s="1"/>
  <c r="FI154" i="1"/>
  <c r="FH154" i="1"/>
  <c r="FJ154" i="1" s="1"/>
  <c r="FI153" i="1"/>
  <c r="FH153" i="1"/>
  <c r="FJ153" i="1" s="1"/>
  <c r="FI160" i="1"/>
  <c r="FH160" i="1"/>
  <c r="FJ160" i="1" s="1"/>
  <c r="FI157" i="1"/>
  <c r="FH157" i="1"/>
  <c r="FJ157" i="1" s="1"/>
  <c r="FI159" i="1"/>
  <c r="FH159" i="1"/>
  <c r="FJ159" i="1" s="1"/>
  <c r="FI156" i="1"/>
  <c r="FH156" i="1"/>
  <c r="FJ156" i="1" s="1"/>
  <c r="FI158" i="1"/>
  <c r="FH158" i="1"/>
  <c r="FJ158" i="1" s="1"/>
  <c r="FI155" i="1"/>
  <c r="FH155" i="1"/>
  <c r="FJ155" i="1" s="1"/>
  <c r="FI129" i="1"/>
  <c r="FH129" i="1"/>
  <c r="FJ129" i="1" s="1"/>
  <c r="FI117" i="1"/>
  <c r="FH117" i="1"/>
  <c r="FJ117" i="1" s="1"/>
  <c r="FI137" i="1"/>
  <c r="FH137" i="1"/>
  <c r="FJ137" i="1" s="1"/>
  <c r="FI136" i="1"/>
  <c r="FH136" i="1"/>
  <c r="FJ136" i="1" s="1"/>
  <c r="FI125" i="1"/>
  <c r="FH125" i="1"/>
  <c r="FJ125" i="1" s="1"/>
  <c r="FI124" i="1"/>
  <c r="FH124" i="1"/>
  <c r="FJ124" i="1" s="1"/>
  <c r="FI133" i="1"/>
  <c r="FH133" i="1"/>
  <c r="FJ133" i="1" s="1"/>
  <c r="FI131" i="1"/>
  <c r="FH131" i="1"/>
  <c r="FJ131" i="1" s="1"/>
  <c r="FI135" i="1"/>
  <c r="FH135" i="1"/>
  <c r="FJ135" i="1" s="1"/>
  <c r="FI132" i="1"/>
  <c r="FH132" i="1"/>
  <c r="FJ132" i="1" s="1"/>
  <c r="FI130" i="1"/>
  <c r="FH130" i="1"/>
  <c r="FJ130" i="1" s="1"/>
  <c r="FI134" i="1"/>
  <c r="FH134" i="1"/>
  <c r="FJ134" i="1" s="1"/>
  <c r="FI121" i="1"/>
  <c r="FH121" i="1"/>
  <c r="FJ121" i="1" s="1"/>
  <c r="FI123" i="1"/>
  <c r="FH123" i="1"/>
  <c r="FJ123" i="1" s="1"/>
  <c r="FI119" i="1"/>
  <c r="FH119" i="1"/>
  <c r="FJ119" i="1" s="1"/>
  <c r="FI120" i="1"/>
  <c r="FH120" i="1"/>
  <c r="FJ120" i="1" s="1"/>
  <c r="FI122" i="1"/>
  <c r="FH122" i="1"/>
  <c r="FJ122" i="1" s="1"/>
  <c r="FI118" i="1"/>
  <c r="FH118" i="1"/>
  <c r="FJ118" i="1" s="1"/>
  <c r="FI128" i="1"/>
  <c r="FH128" i="1"/>
  <c r="FJ128" i="1" s="1"/>
  <c r="FI127" i="1"/>
  <c r="FH127" i="1"/>
  <c r="FJ127" i="1" s="1"/>
  <c r="FI126" i="1"/>
  <c r="FH126" i="1"/>
  <c r="FJ126" i="1" s="1"/>
  <c r="FI116" i="1"/>
  <c r="FH116" i="1"/>
  <c r="FJ116" i="1" s="1"/>
  <c r="FI115" i="1"/>
  <c r="FH115" i="1"/>
  <c r="FJ115" i="1" s="1"/>
  <c r="FI114" i="1"/>
  <c r="FH114" i="1"/>
  <c r="FJ114" i="1" s="1"/>
  <c r="FI150" i="1"/>
  <c r="FH150" i="1"/>
  <c r="FJ150" i="1" s="1"/>
  <c r="FI152" i="1"/>
  <c r="FH152" i="1"/>
  <c r="FJ152" i="1" s="1"/>
  <c r="FI149" i="1"/>
  <c r="FH149" i="1"/>
  <c r="FJ149" i="1" s="1"/>
  <c r="FI151" i="1"/>
  <c r="FH151" i="1"/>
  <c r="FJ151" i="1" s="1"/>
  <c r="FI141" i="1"/>
  <c r="FH141" i="1"/>
  <c r="FJ141" i="1" s="1"/>
  <c r="FI144" i="1"/>
  <c r="FH144" i="1"/>
  <c r="FJ144" i="1" s="1"/>
  <c r="FI140" i="1"/>
  <c r="FH140" i="1"/>
  <c r="FJ140" i="1" s="1"/>
  <c r="FI143" i="1"/>
  <c r="FH143" i="1"/>
  <c r="FJ143" i="1" s="1"/>
  <c r="FI142" i="1"/>
  <c r="FH142" i="1"/>
  <c r="FJ142" i="1" s="1"/>
  <c r="FI148" i="1"/>
  <c r="FH148" i="1"/>
  <c r="FJ148" i="1" s="1"/>
  <c r="FI147" i="1"/>
  <c r="FH147" i="1"/>
  <c r="FJ147" i="1" s="1"/>
  <c r="FI146" i="1"/>
  <c r="FH146" i="1"/>
  <c r="FJ146" i="1" s="1"/>
  <c r="FI145" i="1"/>
  <c r="FH145" i="1"/>
  <c r="FJ145" i="1" s="1"/>
  <c r="FI139" i="1"/>
  <c r="FH139" i="1"/>
  <c r="FJ139" i="1" s="1"/>
  <c r="FI138" i="1"/>
  <c r="FH138" i="1"/>
  <c r="FJ138" i="1" s="1"/>
  <c r="FI85" i="1"/>
  <c r="FH85" i="1"/>
  <c r="FJ85" i="1" s="1"/>
  <c r="FI86" i="1"/>
  <c r="FH86" i="1"/>
  <c r="FJ86" i="1" s="1"/>
  <c r="FI83" i="1"/>
  <c r="FH83" i="1"/>
  <c r="FJ83" i="1" s="1"/>
  <c r="FI82" i="1"/>
  <c r="FH82" i="1"/>
  <c r="FJ82" i="1" s="1"/>
  <c r="FI84" i="1"/>
  <c r="FH84" i="1"/>
  <c r="FJ84" i="1" s="1"/>
  <c r="FI90" i="1"/>
  <c r="FH90" i="1"/>
  <c r="FJ90" i="1" s="1"/>
  <c r="FI88" i="1"/>
  <c r="FH88" i="1"/>
  <c r="FJ88" i="1" s="1"/>
  <c r="FI87" i="1"/>
  <c r="FH87" i="1"/>
  <c r="FJ87" i="1" s="1"/>
  <c r="FI89" i="1"/>
  <c r="FH89" i="1"/>
  <c r="FJ89" i="1" s="1"/>
  <c r="FI98" i="1"/>
  <c r="FH98" i="1"/>
  <c r="FJ98" i="1" s="1"/>
  <c r="FI97" i="1"/>
  <c r="FH97" i="1"/>
  <c r="FJ97" i="1" s="1"/>
  <c r="FI96" i="1"/>
  <c r="FH96" i="1"/>
  <c r="FJ96" i="1" s="1"/>
  <c r="FI99" i="1"/>
  <c r="FH99" i="1"/>
  <c r="FJ99" i="1" s="1"/>
  <c r="FI101" i="1"/>
  <c r="FH101" i="1"/>
  <c r="FJ101" i="1" s="1"/>
  <c r="FI100" i="1"/>
  <c r="FH100" i="1"/>
  <c r="FJ100" i="1" s="1"/>
  <c r="FI94" i="1"/>
  <c r="FH94" i="1"/>
  <c r="FJ94" i="1" s="1"/>
  <c r="FI93" i="1"/>
  <c r="FH93" i="1"/>
  <c r="FJ93" i="1" s="1"/>
  <c r="FI91" i="1"/>
  <c r="FH91" i="1"/>
  <c r="FJ91" i="1" s="1"/>
  <c r="FI95" i="1"/>
  <c r="FH95" i="1"/>
  <c r="FJ95" i="1" s="1"/>
  <c r="FI92" i="1"/>
  <c r="FH92" i="1"/>
  <c r="FJ92" i="1" s="1"/>
  <c r="FI77" i="1"/>
  <c r="FH77" i="1"/>
  <c r="FJ77" i="1" s="1"/>
  <c r="FI78" i="1"/>
  <c r="FH78" i="1"/>
  <c r="FJ78" i="1" s="1"/>
  <c r="FI79" i="1"/>
  <c r="FH79" i="1"/>
  <c r="FJ79" i="1" s="1"/>
  <c r="FI80" i="1"/>
  <c r="FH80" i="1"/>
  <c r="FJ80" i="1" s="1"/>
  <c r="FI81" i="1"/>
  <c r="FH81" i="1"/>
  <c r="FJ81" i="1" s="1"/>
  <c r="FI72" i="1"/>
  <c r="FH72" i="1"/>
  <c r="FJ72" i="1" s="1"/>
  <c r="FI73" i="1"/>
  <c r="FH73" i="1"/>
  <c r="FJ73" i="1" s="1"/>
  <c r="FI74" i="1"/>
  <c r="FH74" i="1"/>
  <c r="FJ74" i="1" s="1"/>
  <c r="FI75" i="1"/>
  <c r="FH75" i="1"/>
  <c r="FJ75" i="1" s="1"/>
  <c r="FI76" i="1"/>
  <c r="FH76" i="1"/>
  <c r="FJ76" i="1" s="1"/>
  <c r="FI42" i="1"/>
  <c r="FH42" i="1"/>
  <c r="FJ42" i="1" s="1"/>
  <c r="FI38" i="1"/>
  <c r="FH38" i="1"/>
  <c r="FJ38" i="1" s="1"/>
  <c r="FI34" i="1"/>
  <c r="FH34" i="1"/>
  <c r="FJ34" i="1" s="1"/>
  <c r="FI13" i="1"/>
  <c r="FH13" i="1"/>
  <c r="FJ13" i="1" s="1"/>
  <c r="FI17" i="1"/>
  <c r="FH17" i="1"/>
  <c r="FJ17" i="1" s="1"/>
  <c r="FI21" i="1"/>
  <c r="FH21" i="1"/>
  <c r="FJ21" i="1" s="1"/>
  <c r="FI26" i="1"/>
  <c r="FH26" i="1"/>
  <c r="FJ26" i="1" s="1"/>
  <c r="FI30" i="1"/>
  <c r="FH30" i="1"/>
  <c r="FJ30" i="1" s="1"/>
  <c r="FI9" i="1"/>
  <c r="FH9" i="1"/>
  <c r="FJ9" i="1" s="1"/>
  <c r="FI41" i="1"/>
  <c r="FH41" i="1"/>
  <c r="FJ41" i="1" s="1"/>
  <c r="FI37" i="1"/>
  <c r="FH37" i="1"/>
  <c r="FJ37" i="1" s="1"/>
  <c r="FI33" i="1"/>
  <c r="FH33" i="1"/>
  <c r="FJ33" i="1" s="1"/>
  <c r="FI12" i="1"/>
  <c r="FH12" i="1"/>
  <c r="FJ12" i="1" s="1"/>
  <c r="FI16" i="1"/>
  <c r="FH16" i="1"/>
  <c r="FJ16" i="1" s="1"/>
  <c r="FI20" i="1"/>
  <c r="FH20" i="1"/>
  <c r="FJ20" i="1" s="1"/>
  <c r="FI25" i="1"/>
  <c r="FH25" i="1"/>
  <c r="FJ25" i="1" s="1"/>
  <c r="FI29" i="1"/>
  <c r="FH29" i="1"/>
  <c r="FJ29" i="1" s="1"/>
  <c r="FI8" i="1"/>
  <c r="FH8" i="1"/>
  <c r="FJ8" i="1" s="1"/>
  <c r="FI40" i="1"/>
  <c r="FH40" i="1"/>
  <c r="FJ40" i="1" s="1"/>
  <c r="FI36" i="1"/>
  <c r="FH36" i="1"/>
  <c r="FJ36" i="1" s="1"/>
  <c r="FI32" i="1"/>
  <c r="FH32" i="1"/>
  <c r="FJ32" i="1" s="1"/>
  <c r="FI11" i="1"/>
  <c r="FH11" i="1"/>
  <c r="FJ11" i="1" s="1"/>
  <c r="FI15" i="1"/>
  <c r="FH15" i="1"/>
  <c r="FJ15" i="1" s="1"/>
  <c r="FI19" i="1"/>
  <c r="FH19" i="1"/>
  <c r="FJ19" i="1" s="1"/>
  <c r="FI24" i="1"/>
  <c r="FH24" i="1"/>
  <c r="FJ24" i="1" s="1"/>
  <c r="FI28" i="1"/>
  <c r="FH28" i="1"/>
  <c r="FJ28" i="1" s="1"/>
  <c r="FI7" i="1"/>
  <c r="FH7" i="1"/>
  <c r="FJ7" i="1" s="1"/>
  <c r="FI43" i="1"/>
  <c r="FH43" i="1"/>
  <c r="FJ43" i="1" s="1"/>
  <c r="FI39" i="1"/>
  <c r="FH39" i="1"/>
  <c r="FJ39" i="1" s="1"/>
  <c r="FI35" i="1"/>
  <c r="FH35" i="1"/>
  <c r="FJ35" i="1" s="1"/>
  <c r="FI31" i="1"/>
  <c r="FH31" i="1"/>
  <c r="FJ31" i="1" s="1"/>
  <c r="FI10" i="1"/>
  <c r="FH10" i="1"/>
  <c r="FJ10" i="1" s="1"/>
  <c r="FI14" i="1"/>
  <c r="FH14" i="1"/>
  <c r="FJ14" i="1" s="1"/>
  <c r="FI18" i="1"/>
  <c r="FH18" i="1"/>
  <c r="FJ18" i="1" s="1"/>
  <c r="FI22" i="1"/>
  <c r="FH22" i="1"/>
  <c r="FJ22" i="1" s="1"/>
  <c r="FI23" i="1"/>
  <c r="FH23" i="1"/>
  <c r="FJ23" i="1" s="1"/>
  <c r="FI27" i="1"/>
  <c r="FH27" i="1"/>
  <c r="FJ27" i="1" s="1"/>
  <c r="FI6" i="1"/>
  <c r="FH6" i="1"/>
  <c r="FJ6" i="1" s="1"/>
  <c r="FI71" i="1"/>
  <c r="FH71" i="1"/>
  <c r="FJ71" i="1" s="1"/>
  <c r="FI70" i="1"/>
  <c r="FH70" i="1"/>
  <c r="FJ70" i="1" s="1"/>
  <c r="FI69" i="1"/>
  <c r="FH69" i="1"/>
  <c r="FJ69" i="1" s="1"/>
  <c r="FI68" i="1"/>
  <c r="FH68" i="1"/>
  <c r="FJ68" i="1" s="1"/>
  <c r="FI67" i="1"/>
  <c r="FH67" i="1"/>
  <c r="FJ67" i="1" s="1"/>
  <c r="FI65" i="1"/>
  <c r="FH65" i="1"/>
  <c r="FJ65" i="1" s="1"/>
  <c r="FI66" i="1"/>
  <c r="FH66" i="1"/>
  <c r="FJ66" i="1" s="1"/>
  <c r="FI64" i="1"/>
  <c r="FH64" i="1"/>
  <c r="FJ64" i="1" s="1"/>
  <c r="FI63" i="1"/>
  <c r="FH63" i="1"/>
  <c r="FJ63" i="1" s="1"/>
  <c r="FI62" i="1"/>
  <c r="FH62" i="1"/>
  <c r="FJ62" i="1" s="1"/>
  <c r="FI61" i="1"/>
  <c r="FH61" i="1"/>
  <c r="FI60" i="1"/>
  <c r="FH60" i="1"/>
  <c r="FI59" i="1"/>
  <c r="FH59" i="1"/>
  <c r="FI58" i="1"/>
  <c r="FH58" i="1"/>
  <c r="FI57" i="1"/>
  <c r="FH57" i="1"/>
  <c r="FI55" i="1"/>
  <c r="FH55" i="1"/>
  <c r="FI56" i="1"/>
  <c r="FH56" i="1"/>
  <c r="FI54" i="1"/>
  <c r="FH54" i="1"/>
  <c r="FI45" i="1"/>
  <c r="FH45" i="1"/>
  <c r="FJ45" i="1" s="1"/>
  <c r="FI46" i="1"/>
  <c r="FH46" i="1"/>
  <c r="FJ46" i="1" s="1"/>
  <c r="FI48" i="1"/>
  <c r="FH48" i="1"/>
  <c r="FJ48" i="1" s="1"/>
  <c r="FI47" i="1"/>
  <c r="FH47" i="1"/>
  <c r="FJ47" i="1" s="1"/>
  <c r="FI53" i="1"/>
  <c r="FH53" i="1"/>
  <c r="FJ53" i="1" s="1"/>
  <c r="FI50" i="1"/>
  <c r="FH50" i="1"/>
  <c r="FJ50" i="1" s="1"/>
  <c r="FI51" i="1"/>
  <c r="FH51" i="1"/>
  <c r="FJ51" i="1" s="1"/>
  <c r="FI52" i="1"/>
  <c r="FH52" i="1"/>
  <c r="FJ52" i="1" s="1"/>
  <c r="FI49" i="1"/>
  <c r="FH49" i="1"/>
  <c r="FJ49" i="1" s="1"/>
  <c r="FI246" i="1"/>
  <c r="FH246" i="1"/>
  <c r="FI245" i="1"/>
  <c r="FH245" i="1"/>
  <c r="FI244" i="1"/>
  <c r="FH244" i="1"/>
  <c r="FI243" i="1"/>
  <c r="FH243" i="1"/>
  <c r="FI242" i="1"/>
  <c r="FH242" i="1"/>
  <c r="FI241" i="1"/>
  <c r="FH241" i="1"/>
  <c r="FI240" i="1"/>
  <c r="FH240" i="1"/>
  <c r="FI239" i="1"/>
  <c r="FH239" i="1"/>
  <c r="FI238" i="1"/>
  <c r="FH238" i="1"/>
  <c r="FI237" i="1"/>
  <c r="FH237" i="1"/>
  <c r="FI236" i="1"/>
  <c r="FH236" i="1"/>
  <c r="FI235" i="1"/>
  <c r="FH235" i="1"/>
  <c r="FI234" i="1"/>
  <c r="FH234" i="1"/>
  <c r="FI233" i="1"/>
  <c r="FH233" i="1"/>
  <c r="FI232" i="1"/>
  <c r="FH232" i="1"/>
  <c r="FI231" i="1"/>
  <c r="FH231" i="1"/>
  <c r="FI230" i="1"/>
  <c r="FH230" i="1"/>
  <c r="FI229" i="1"/>
  <c r="FH229" i="1"/>
  <c r="FI228" i="1"/>
  <c r="FH228" i="1"/>
  <c r="FI227" i="1"/>
  <c r="FH227" i="1"/>
  <c r="FI226" i="1"/>
  <c r="FH226" i="1"/>
  <c r="FI225" i="1"/>
  <c r="FH225" i="1"/>
  <c r="FI224" i="1"/>
  <c r="FH224" i="1"/>
  <c r="FI223" i="1"/>
  <c r="FH223" i="1"/>
  <c r="FI222" i="1"/>
  <c r="FH222" i="1"/>
  <c r="FI221" i="1"/>
  <c r="FH221" i="1"/>
  <c r="FI220" i="1"/>
  <c r="FH220" i="1"/>
  <c r="FI219" i="1"/>
  <c r="FH219" i="1"/>
  <c r="FI218" i="1"/>
  <c r="FH218" i="1"/>
  <c r="FI217" i="1"/>
  <c r="FH217" i="1"/>
  <c r="FI216" i="1"/>
  <c r="FH216" i="1"/>
  <c r="FI215" i="1"/>
  <c r="FH215" i="1"/>
  <c r="FI214" i="1"/>
  <c r="FH214" i="1"/>
  <c r="FI213" i="1"/>
  <c r="FH213" i="1"/>
  <c r="FI212" i="1"/>
  <c r="FH212" i="1"/>
  <c r="FI211" i="1"/>
  <c r="FH211" i="1"/>
  <c r="FI210" i="1"/>
  <c r="FH210" i="1"/>
  <c r="FI209" i="1"/>
  <c r="FH209" i="1"/>
  <c r="FI208" i="1"/>
  <c r="FH208" i="1"/>
  <c r="FI207" i="1"/>
  <c r="FH207" i="1"/>
  <c r="FI206" i="1"/>
  <c r="FH206" i="1"/>
  <c r="FI205" i="1"/>
  <c r="FH205" i="1"/>
  <c r="FI204" i="1"/>
  <c r="FH204" i="1"/>
  <c r="FI203" i="1"/>
  <c r="FH203" i="1"/>
  <c r="FI44" i="1"/>
  <c r="FH44" i="1"/>
  <c r="FI202" i="1"/>
  <c r="FH202" i="1"/>
  <c r="FI201" i="1"/>
  <c r="FH201" i="1"/>
</calcChain>
</file>

<file path=xl/sharedStrings.xml><?xml version="1.0" encoding="utf-8"?>
<sst xmlns="http://schemas.openxmlformats.org/spreadsheetml/2006/main" count="9411" uniqueCount="1182">
  <si>
    <t>320967600001</t>
  </si>
  <si>
    <t>Formula</t>
  </si>
  <si>
    <t xml:space="preserve">In-Plant placed on </t>
  </si>
  <si>
    <t>AD placed on 08/29</t>
  </si>
  <si>
    <t>Hand</t>
  </si>
  <si>
    <t>Con Number</t>
  </si>
  <si>
    <t>SEA</t>
  </si>
  <si>
    <t>Season</t>
  </si>
  <si>
    <t>PO#</t>
  </si>
  <si>
    <t>PLANT</t>
  </si>
  <si>
    <t>COUNTRY</t>
  </si>
  <si>
    <t>S.LOC</t>
  </si>
  <si>
    <t>MATERIAL ID</t>
  </si>
  <si>
    <t>Style</t>
  </si>
  <si>
    <t>BOARD</t>
  </si>
  <si>
    <t>PFS/NON-PFS</t>
  </si>
  <si>
    <t>BLOCK</t>
  </si>
  <si>
    <t>COLOR</t>
  </si>
  <si>
    <t>Qty</t>
  </si>
  <si>
    <t>LS/SS</t>
  </si>
  <si>
    <t>PRICE</t>
  </si>
  <si>
    <t>ARTICLE</t>
  </si>
  <si>
    <t>Costing</t>
  </si>
  <si>
    <t>MILL</t>
  </si>
  <si>
    <t>PI NUMBER</t>
  </si>
  <si>
    <t>PI QTY</t>
  </si>
  <si>
    <t>Mill Ex-Mill</t>
  </si>
  <si>
    <t>Fabric Price</t>
  </si>
  <si>
    <t>FABRIC WFX Entry</t>
  </si>
  <si>
    <t>FABRIC CONTENT</t>
  </si>
  <si>
    <t>WASH</t>
  </si>
  <si>
    <t>TRIM CATEGORY</t>
  </si>
  <si>
    <t>Body thread</t>
  </si>
  <si>
    <t>EMB THREAD</t>
  </si>
  <si>
    <t>EMB</t>
  </si>
  <si>
    <t>WASHCARE LABEL</t>
  </si>
  <si>
    <t>Button Supplier</t>
  </si>
  <si>
    <t>Packaging temp</t>
  </si>
  <si>
    <t>Fold teap</t>
  </si>
  <si>
    <t>P.QTY DIFF</t>
  </si>
  <si>
    <t>REMARKS</t>
  </si>
  <si>
    <t>RATIO PACK</t>
  </si>
  <si>
    <t>Carton Size</t>
  </si>
  <si>
    <t>Ratio Pack/Carton</t>
  </si>
  <si>
    <t>Carton Required qty</t>
  </si>
  <si>
    <t>LEAKAGE REASON</t>
  </si>
  <si>
    <t>LEAKAGE DAYS</t>
  </si>
  <si>
    <t>LEAKAGE RESPONSE TEAM</t>
  </si>
  <si>
    <t>STATUS</t>
  </si>
  <si>
    <t>RLI UPDATE STATUS</t>
  </si>
  <si>
    <t>PPS Approved Units</t>
  </si>
  <si>
    <t>BULK STATUS</t>
  </si>
  <si>
    <t>CUT PLAN</t>
  </si>
  <si>
    <t>APPROVED CON'S</t>
  </si>
  <si>
    <t>Allocated Fabric in yds</t>
  </si>
  <si>
    <t>Cut Qty</t>
  </si>
  <si>
    <t>SEALER STATUS</t>
  </si>
  <si>
    <t>Drop</t>
  </si>
  <si>
    <t>FIT STATUS</t>
  </si>
  <si>
    <t>PPS STATUS</t>
  </si>
  <si>
    <t>Wash Approval Status</t>
  </si>
  <si>
    <t>EMB Approval</t>
  </si>
  <si>
    <t>FPT</t>
  </si>
  <si>
    <t>GPT</t>
  </si>
  <si>
    <t>Ex-Mill</t>
  </si>
  <si>
    <t>FABRIC I/H</t>
  </si>
  <si>
    <t>SHARANG UPDATE</t>
  </si>
  <si>
    <t>FILE DATE</t>
  </si>
  <si>
    <t>FILE STATUS</t>
  </si>
  <si>
    <t>ACTUAL FILE RELEASED ON</t>
  </si>
  <si>
    <t>REQ EX-FACTORY</t>
  </si>
  <si>
    <t>INSPECTION</t>
  </si>
  <si>
    <t>FTY LT</t>
  </si>
  <si>
    <t>CDD</t>
  </si>
  <si>
    <t>HANDOVER DATE</t>
  </si>
  <si>
    <t>TSS</t>
  </si>
  <si>
    <t>PORT</t>
  </si>
  <si>
    <t>VLOOKUP</t>
  </si>
  <si>
    <t>XXS</t>
  </si>
  <si>
    <t>XS</t>
  </si>
  <si>
    <t>S</t>
  </si>
  <si>
    <t>M</t>
  </si>
  <si>
    <t>L</t>
  </si>
  <si>
    <t>XL</t>
  </si>
  <si>
    <t>XXL</t>
  </si>
  <si>
    <t>3XL</t>
  </si>
  <si>
    <t>4XK</t>
  </si>
  <si>
    <t>5XL</t>
  </si>
  <si>
    <t>LT</t>
  </si>
  <si>
    <t>XLT</t>
  </si>
  <si>
    <t>2LT</t>
  </si>
  <si>
    <t>3LT</t>
  </si>
  <si>
    <t>4LT</t>
  </si>
  <si>
    <t>5LT</t>
  </si>
  <si>
    <t>1XB</t>
  </si>
  <si>
    <t>2XB</t>
  </si>
  <si>
    <t>3XB</t>
  </si>
  <si>
    <t>4XB</t>
  </si>
  <si>
    <t>5XB</t>
  </si>
  <si>
    <t>6XB</t>
  </si>
  <si>
    <t>MT</t>
  </si>
  <si>
    <t>1XL</t>
  </si>
  <si>
    <t>14/ 23</t>
  </si>
  <si>
    <t>15  23</t>
  </si>
  <si>
    <t>15  45</t>
  </si>
  <si>
    <t>15/ 23</t>
  </si>
  <si>
    <t>15/ 45</t>
  </si>
  <si>
    <t>16  23</t>
  </si>
  <si>
    <t>16  45</t>
  </si>
  <si>
    <t>16  67</t>
  </si>
  <si>
    <t>16/ 23</t>
  </si>
  <si>
    <t>16/ 45</t>
  </si>
  <si>
    <t>16/ 67</t>
  </si>
  <si>
    <t>17  23</t>
  </si>
  <si>
    <t>17  45</t>
  </si>
  <si>
    <t>17  67</t>
  </si>
  <si>
    <t>17/ 23</t>
  </si>
  <si>
    <t>17/ 45</t>
  </si>
  <si>
    <t>17/ 67</t>
  </si>
  <si>
    <t>18  45</t>
  </si>
  <si>
    <t>18  67</t>
  </si>
  <si>
    <t>3M</t>
  </si>
  <si>
    <t>6M</t>
  </si>
  <si>
    <t>9M</t>
  </si>
  <si>
    <t>12M</t>
  </si>
  <si>
    <t>18M</t>
  </si>
  <si>
    <t>24M</t>
  </si>
  <si>
    <t>S(8)</t>
  </si>
  <si>
    <t>M(10-12)</t>
  </si>
  <si>
    <t>L(14-16)</t>
  </si>
  <si>
    <t>XL(18-20)</t>
  </si>
  <si>
    <t>total</t>
  </si>
  <si>
    <t>Shipment Sample</t>
  </si>
  <si>
    <t xml:space="preserve">INTERLINING </t>
  </si>
  <si>
    <t>X</t>
  </si>
  <si>
    <t>GLC HK REPORT</t>
  </si>
  <si>
    <t>Ordered Qty</t>
  </si>
  <si>
    <t>UPC &amp; PB stricker</t>
  </si>
  <si>
    <t>Additional KOR/HK Tag</t>
  </si>
  <si>
    <t>Order Reference Number</t>
  </si>
  <si>
    <t>TBC</t>
  </si>
  <si>
    <t>SIZE STRICKER</t>
  </si>
  <si>
    <t>Thraed</t>
  </si>
  <si>
    <t>PACK METHOD</t>
  </si>
  <si>
    <t>Loading Plan</t>
  </si>
  <si>
    <t>Planned FTY</t>
  </si>
  <si>
    <t>avery qty</t>
  </si>
  <si>
    <t>MATERIAL</t>
  </si>
  <si>
    <t>PRLS/2129</t>
  </si>
  <si>
    <t>Seasonal</t>
  </si>
  <si>
    <t>Dropped</t>
  </si>
  <si>
    <t>CA20</t>
  </si>
  <si>
    <t>ITALY</t>
  </si>
  <si>
    <t>710944105001CTR</t>
  </si>
  <si>
    <t>710944105</t>
  </si>
  <si>
    <t>Z242SC18PFS</t>
  </si>
  <si>
    <t>CTR-PFS</t>
  </si>
  <si>
    <t>CUESTPPCS</t>
  </si>
  <si>
    <t>NEWPORT NAVY/WHITE</t>
  </si>
  <si>
    <t>L/S</t>
  </si>
  <si>
    <t>710944105001CTR - CUESTPPCS</t>
  </si>
  <si>
    <t>TUNGA</t>
  </si>
  <si>
    <t>100% Linen</t>
  </si>
  <si>
    <t>GARMENt WASH</t>
  </si>
  <si>
    <t>UP-04</t>
  </si>
  <si>
    <t>C7361</t>
  </si>
  <si>
    <t>YES</t>
  </si>
  <si>
    <t>Jindal-Regular</t>
  </si>
  <si>
    <t>UP-SP</t>
  </si>
  <si>
    <t>PCPS-LS</t>
  </si>
  <si>
    <t>Shipped</t>
  </si>
  <si>
    <t>Pending</t>
  </si>
  <si>
    <t>PRL/1609</t>
  </si>
  <si>
    <t>Cancelled</t>
  </si>
  <si>
    <t>Received on 12/11</t>
  </si>
  <si>
    <t>RRL-GIVEN</t>
  </si>
  <si>
    <t>KPR</t>
  </si>
  <si>
    <t>PRLS/23/10141</t>
  </si>
  <si>
    <t>RRL-FALL'24</t>
  </si>
  <si>
    <t>4701788168</t>
  </si>
  <si>
    <t>HD00</t>
  </si>
  <si>
    <t>US</t>
  </si>
  <si>
    <t>782581596001</t>
  </si>
  <si>
    <t>782581596</t>
  </si>
  <si>
    <t>Z244RB39</t>
  </si>
  <si>
    <t>NON PFS</t>
  </si>
  <si>
    <t>ELI PLT TUX-DRS</t>
  </si>
  <si>
    <t>WHITE</t>
  </si>
  <si>
    <t>782581596001 - ELI PLT TUX-DRS</t>
  </si>
  <si>
    <t>Runetex</t>
  </si>
  <si>
    <t>100% COTTON</t>
  </si>
  <si>
    <t>Non-Wash</t>
  </si>
  <si>
    <t>Released</t>
  </si>
  <si>
    <t>TUTICORIN, IN</t>
  </si>
  <si>
    <t>RRL</t>
  </si>
  <si>
    <t>Placed on 03/04</t>
  </si>
  <si>
    <t>LA00</t>
  </si>
  <si>
    <t>323967600</t>
  </si>
  <si>
    <t>NEWPORT NAVY</t>
  </si>
  <si>
    <t>Approved</t>
  </si>
  <si>
    <t>WFB</t>
  </si>
  <si>
    <t>GARMENT WASH</t>
  </si>
  <si>
    <t>DBR</t>
  </si>
  <si>
    <t>S,M,L,XL/1-2-3-2</t>
  </si>
  <si>
    <t>S/12</t>
  </si>
  <si>
    <t>M/12</t>
  </si>
  <si>
    <t>L/12</t>
  </si>
  <si>
    <t>XL/12</t>
  </si>
  <si>
    <t>NW00</t>
  </si>
  <si>
    <t>323967600003</t>
  </si>
  <si>
    <t>CA10</t>
  </si>
  <si>
    <t>710548535003</t>
  </si>
  <si>
    <t>710548535</t>
  </si>
  <si>
    <t>ZSC31A</t>
  </si>
  <si>
    <t>BDPPCSPT</t>
  </si>
  <si>
    <t>BSR AEGEAN BLUE</t>
  </si>
  <si>
    <t>710548535003 - BDPPCSPT</t>
  </si>
  <si>
    <t>RUENTEX</t>
  </si>
  <si>
    <t>100% Cotton</t>
  </si>
  <si>
    <t>APPROVED</t>
  </si>
  <si>
    <t>710548535006</t>
  </si>
  <si>
    <t>BSR BLUE/WHITE STRIPE</t>
  </si>
  <si>
    <t>710548535006 - BDPPCSPT</t>
  </si>
  <si>
    <t>711548535005</t>
  </si>
  <si>
    <t>711548535</t>
  </si>
  <si>
    <t>CLBDPPCS- B&amp;T</t>
  </si>
  <si>
    <t>711548535005 - CLBDPPCS- B&amp;T</t>
  </si>
  <si>
    <t>V993</t>
  </si>
  <si>
    <t>KOREA</t>
  </si>
  <si>
    <t>710716303002</t>
  </si>
  <si>
    <t>710716303</t>
  </si>
  <si>
    <t>ZSC32A</t>
  </si>
  <si>
    <t>BD PPC SPT</t>
  </si>
  <si>
    <t>POLO BLACK</t>
  </si>
  <si>
    <t>710716303002 - BD PPC SPT</t>
  </si>
  <si>
    <t>Vardhaman</t>
  </si>
  <si>
    <t>GARMENT DYE</t>
  </si>
  <si>
    <t>V994</t>
  </si>
  <si>
    <t>JAPAN</t>
  </si>
  <si>
    <t>710716303003</t>
  </si>
  <si>
    <t>RL NAVY</t>
  </si>
  <si>
    <t>710716303003 - BD PPC SPT</t>
  </si>
  <si>
    <t>710729232003</t>
  </si>
  <si>
    <t>710729232</t>
  </si>
  <si>
    <t>710729232003 - BD PPC SPT</t>
  </si>
  <si>
    <t>710888705001</t>
  </si>
  <si>
    <t>710888705</t>
  </si>
  <si>
    <t>CLBDPPCS</t>
  </si>
  <si>
    <t>PERFECT GREY</t>
  </si>
  <si>
    <t>710888705001 - CLBDPPCS</t>
  </si>
  <si>
    <t>710888705002</t>
  </si>
  <si>
    <t>SURREY TAN</t>
  </si>
  <si>
    <t>710888705002 - CLBDPPCS</t>
  </si>
  <si>
    <t>V992</t>
  </si>
  <si>
    <t>HK</t>
  </si>
  <si>
    <t>322967600</t>
  </si>
  <si>
    <t>322967600003</t>
  </si>
  <si>
    <t>PF00</t>
  </si>
  <si>
    <t>PFS</t>
  </si>
  <si>
    <t>TO40</t>
  </si>
  <si>
    <t>CANADA</t>
  </si>
  <si>
    <t>SLBDPPCS</t>
  </si>
  <si>
    <t>CUBDPPCS</t>
  </si>
  <si>
    <t>SAMUDRA</t>
  </si>
  <si>
    <t>CLBDPPPKS</t>
  </si>
  <si>
    <t>DS00</t>
  </si>
  <si>
    <t>RL-Mexico</t>
  </si>
  <si>
    <t>710548535001</t>
  </si>
  <si>
    <t>BSR WHITE</t>
  </si>
  <si>
    <t>710548535001 - BDPPCSPT</t>
  </si>
  <si>
    <t>TO17</t>
  </si>
  <si>
    <t>710548535002</t>
  </si>
  <si>
    <t>BSR BLUE</t>
  </si>
  <si>
    <t>710548535002 - BDPPCSPT</t>
  </si>
  <si>
    <t>710548535004</t>
  </si>
  <si>
    <t>BSR PINK</t>
  </si>
  <si>
    <t>710548535004 - BDPPCSPT</t>
  </si>
  <si>
    <t>710548535005</t>
  </si>
  <si>
    <t>BSR YELLOW</t>
  </si>
  <si>
    <t>710548535005 - BDPPCSPT</t>
  </si>
  <si>
    <t>710548535007</t>
  </si>
  <si>
    <t>BSR BLUE/WHITE GINGHAM</t>
  </si>
  <si>
    <t>710548535007 - BDPPCSPT</t>
  </si>
  <si>
    <t>710631989017</t>
  </si>
  <si>
    <t>710631989</t>
  </si>
  <si>
    <t>1605A BLUE/WHITE MULTI</t>
  </si>
  <si>
    <t>710631989017 - BDPPCSPT</t>
  </si>
  <si>
    <t>710794942001</t>
  </si>
  <si>
    <t>710794942</t>
  </si>
  <si>
    <t>ZSC31D</t>
  </si>
  <si>
    <t>CLBDPPCSSSPT</t>
  </si>
  <si>
    <t>710794942001 - CLBDPPCSSSPT</t>
  </si>
  <si>
    <t>710794942002</t>
  </si>
  <si>
    <t>710794942002 - CLBDPPCSSSPT</t>
  </si>
  <si>
    <t>710794942003</t>
  </si>
  <si>
    <t>710794942003 - CLBDPPCSSSPT</t>
  </si>
  <si>
    <t>711548535006</t>
  </si>
  <si>
    <t>Z1C31A</t>
  </si>
  <si>
    <t>711548535006 - CLBDPPCS- B&amp;T</t>
  </si>
  <si>
    <t>711548535007</t>
  </si>
  <si>
    <t>711548535007 - CLBDPPCS- B&amp;T</t>
  </si>
  <si>
    <t>712929278003</t>
  </si>
  <si>
    <t>712929278</t>
  </si>
  <si>
    <t>CUESTPPHN</t>
  </si>
  <si>
    <t>Monti</t>
  </si>
  <si>
    <t>712936018001</t>
  </si>
  <si>
    <t>712936018</t>
  </si>
  <si>
    <t>6045A BLUE EOE</t>
  </si>
  <si>
    <t>CLESTBBPPCS</t>
  </si>
  <si>
    <t>6555A ROYAL WHITE</t>
  </si>
  <si>
    <t>710968971001</t>
  </si>
  <si>
    <t>710968971</t>
  </si>
  <si>
    <t>Z253SC19</t>
  </si>
  <si>
    <t>CUESTBBPPCS</t>
  </si>
  <si>
    <t>Z251SC19PRO</t>
  </si>
  <si>
    <t>Earth sea</t>
  </si>
  <si>
    <t>782528496001</t>
  </si>
  <si>
    <t>782528496</t>
  </si>
  <si>
    <t>VINTAGE PKT-DRS</t>
  </si>
  <si>
    <t>782528496001 - VINTAGE PKT-DRS</t>
  </si>
  <si>
    <t>68%COTTON(BCI); 30% LYOCELL;  2%ELASTANE</t>
  </si>
  <si>
    <t>0001</t>
  </si>
  <si>
    <t>WHS</t>
  </si>
  <si>
    <t>FPCN</t>
  </si>
  <si>
    <t>710968971005</t>
  </si>
  <si>
    <t>6555H COASTAL BEIGE WHITE</t>
  </si>
  <si>
    <t>710968973</t>
  </si>
  <si>
    <t>710968973003</t>
  </si>
  <si>
    <t>6671F ADIRONDACK BERRY WHITE</t>
  </si>
  <si>
    <t>710968973004</t>
  </si>
  <si>
    <t>6671E LOVAT WHITE</t>
  </si>
  <si>
    <t>TDS</t>
  </si>
  <si>
    <t>CL3BDBLKPKS</t>
  </si>
  <si>
    <t>712973694001</t>
  </si>
  <si>
    <t>712973694</t>
  </si>
  <si>
    <t>CUPHLSTN</t>
  </si>
  <si>
    <t>6771 BLUE/WHITE</t>
  </si>
  <si>
    <t>710733596008</t>
  </si>
  <si>
    <t>710733596</t>
  </si>
  <si>
    <t>710733596008 - BD PPC SPT</t>
  </si>
  <si>
    <t>712917324001</t>
  </si>
  <si>
    <t>712917324</t>
  </si>
  <si>
    <t>CUESTBIBN</t>
  </si>
  <si>
    <t>BLUE</t>
  </si>
  <si>
    <t>710967632</t>
  </si>
  <si>
    <t>CLBDPPCPRPS</t>
  </si>
  <si>
    <t>710798540</t>
  </si>
  <si>
    <t>Z254SC32</t>
  </si>
  <si>
    <t>Garment Dye</t>
  </si>
  <si>
    <t>710852165004</t>
  </si>
  <si>
    <t>710852165</t>
  </si>
  <si>
    <t>710852165004 - CLBDPPCS</t>
  </si>
  <si>
    <t>CLBDPPCPRPSS</t>
  </si>
  <si>
    <t>CLBDPPCS B&amp;T</t>
  </si>
  <si>
    <t>FPWS</t>
  </si>
  <si>
    <t>FPWK</t>
  </si>
  <si>
    <t>322858909</t>
  </si>
  <si>
    <t>NEW FOREST</t>
  </si>
  <si>
    <t>ORANGE LEAF</t>
  </si>
  <si>
    <t>VINTAGE KHAKI</t>
  </si>
  <si>
    <t>322858909005</t>
  </si>
  <si>
    <t>323858909</t>
  </si>
  <si>
    <t>323858909001</t>
  </si>
  <si>
    <t>323858909001 - CLBDPPCS</t>
  </si>
  <si>
    <t>323858909005</t>
  </si>
  <si>
    <t>FOJ</t>
  </si>
  <si>
    <t>FOK</t>
  </si>
  <si>
    <t>FOGC</t>
  </si>
  <si>
    <t>FOCN</t>
  </si>
  <si>
    <t>710953355003</t>
  </si>
  <si>
    <t>710953355</t>
  </si>
  <si>
    <t>Z254SC53</t>
  </si>
  <si>
    <t>6944 PINE NAVY MULTI</t>
  </si>
  <si>
    <t>Garment Wash</t>
  </si>
  <si>
    <t>0002</t>
  </si>
  <si>
    <t>CLESTPPCS</t>
  </si>
  <si>
    <t>FOWS</t>
  </si>
  <si>
    <t>710967894001</t>
  </si>
  <si>
    <t>710967894</t>
  </si>
  <si>
    <t>710967894002</t>
  </si>
  <si>
    <t>710549084007</t>
  </si>
  <si>
    <t>710549084</t>
  </si>
  <si>
    <t>ZSC31B</t>
  </si>
  <si>
    <t>SLBDPPCSP</t>
  </si>
  <si>
    <t>710549084007 - SLBDPPCSP</t>
  </si>
  <si>
    <t>711548535001</t>
  </si>
  <si>
    <t>711548535001 - CLBDPPCS- B&amp;T</t>
  </si>
  <si>
    <t>710804257</t>
  </si>
  <si>
    <t>712929278004</t>
  </si>
  <si>
    <t>AUSTIN BLUE</t>
  </si>
  <si>
    <t>Z254BC38</t>
  </si>
  <si>
    <t>6937C WHITE WINE MULTI</t>
  </si>
  <si>
    <t>6937B WHITE GREEN MULTI</t>
  </si>
  <si>
    <t>6937A WHITE BLUE MULTI</t>
  </si>
  <si>
    <t>322858909001</t>
  </si>
  <si>
    <t>322858909001 - CLBDPPCS</t>
  </si>
  <si>
    <t>322858909005 - CLBDPPCS</t>
  </si>
  <si>
    <t>323858909005 - CLBDPPCS</t>
  </si>
  <si>
    <t>710549084006</t>
  </si>
  <si>
    <t>710549084006 - SLBDPPCSP</t>
  </si>
  <si>
    <t>710549084009</t>
  </si>
  <si>
    <t>710549084009 - SLBDPPCSP</t>
  </si>
  <si>
    <t>710549084010</t>
  </si>
  <si>
    <t>710549084010 - SLBDPPCSP</t>
  </si>
  <si>
    <t>Z256SC19</t>
  </si>
  <si>
    <t>CUBDPPPKS</t>
  </si>
  <si>
    <t>710549084008</t>
  </si>
  <si>
    <t>710549084008 - SLBDPPCSP</t>
  </si>
  <si>
    <t>711548535002</t>
  </si>
  <si>
    <t>711548535002 - CLBDPPCS- B&amp;T</t>
  </si>
  <si>
    <t>PRLS/25/10230</t>
  </si>
  <si>
    <t>BSR-SC31-29</t>
  </si>
  <si>
    <t>PRLS/25/10268</t>
  </si>
  <si>
    <t>CRU'25-FF</t>
  </si>
  <si>
    <t>710964778020</t>
  </si>
  <si>
    <t>710964778</t>
  </si>
  <si>
    <t>710964778020 - CLESTBBPPCS</t>
  </si>
  <si>
    <t>5753 NAVY/GREEN MULTI</t>
  </si>
  <si>
    <t>PRLS/25/10597</t>
  </si>
  <si>
    <t>PRLS/25/10598</t>
  </si>
  <si>
    <t>PRLS/25/10600</t>
  </si>
  <si>
    <t>PRLS/25/10601</t>
  </si>
  <si>
    <t>Vardhman</t>
  </si>
  <si>
    <t>PRLS/25/10667</t>
  </si>
  <si>
    <t>DTC-RLCW-05</t>
  </si>
  <si>
    <t>Z221BC32</t>
  </si>
  <si>
    <t>PRLS/25/10668</t>
  </si>
  <si>
    <t>Z241BC32</t>
  </si>
  <si>
    <t>PRLS/25/10669</t>
  </si>
  <si>
    <t>PRLS/25/10670</t>
  </si>
  <si>
    <t>710967632010</t>
  </si>
  <si>
    <t>710967894500</t>
  </si>
  <si>
    <t>322968098</t>
  </si>
  <si>
    <t>Z231BC19</t>
  </si>
  <si>
    <t>322968098002</t>
  </si>
  <si>
    <t>322968098003</t>
  </si>
  <si>
    <t>323968098002</t>
  </si>
  <si>
    <t>323968098</t>
  </si>
  <si>
    <t>323968098003</t>
  </si>
  <si>
    <t>Under Finishing</t>
  </si>
  <si>
    <t>710P03855</t>
  </si>
  <si>
    <t>710P03854001</t>
  </si>
  <si>
    <t>710P03854</t>
  </si>
  <si>
    <t>710P03854002</t>
  </si>
  <si>
    <t>711P03854001</t>
  </si>
  <si>
    <t>711P03854</t>
  </si>
  <si>
    <t>711P03854002</t>
  </si>
  <si>
    <t>711P03855</t>
  </si>
  <si>
    <t>Under Sizeset</t>
  </si>
  <si>
    <t>710792041001</t>
  </si>
  <si>
    <t>710792041</t>
  </si>
  <si>
    <t>ZSC31C</t>
  </si>
  <si>
    <t>710792041002</t>
  </si>
  <si>
    <t>710792041003</t>
  </si>
  <si>
    <t>710792041004</t>
  </si>
  <si>
    <t>DTC-16</t>
  </si>
  <si>
    <t>Z186SC32</t>
  </si>
  <si>
    <t>Z191SC32</t>
  </si>
  <si>
    <t>710733596001</t>
  </si>
  <si>
    <t>Z214SC32PFS</t>
  </si>
  <si>
    <t>710733596001 - BD PPC SPT</t>
  </si>
  <si>
    <t>Z214SC32</t>
  </si>
  <si>
    <t>Z191SC32PFS</t>
  </si>
  <si>
    <t>710733596015</t>
  </si>
  <si>
    <t>710733596015 - BD PPC SPT</t>
  </si>
  <si>
    <t>710852165017</t>
  </si>
  <si>
    <t>710852165017 - BD PPC SPT</t>
  </si>
  <si>
    <t>BSR-SC31-33</t>
  </si>
  <si>
    <t>Canada</t>
  </si>
  <si>
    <t>Italy</t>
  </si>
  <si>
    <t>PRLS/25/12782</t>
  </si>
  <si>
    <t>RRL FALL'26</t>
  </si>
  <si>
    <t>4702050922</t>
  </si>
  <si>
    <t>Z264RB39</t>
  </si>
  <si>
    <t>4702050925</t>
  </si>
  <si>
    <t>4702050924</t>
  </si>
  <si>
    <t>4702050923</t>
  </si>
  <si>
    <t>4702050926</t>
  </si>
  <si>
    <t>PRLS/25/12780</t>
  </si>
  <si>
    <t>4702050920</t>
  </si>
  <si>
    <t>Z264RB38</t>
  </si>
  <si>
    <t>4702050921</t>
  </si>
  <si>
    <t>4702050919</t>
  </si>
  <si>
    <t>4702050918</t>
  </si>
  <si>
    <t>S,M,L,XL,XXL/1-2-2-2-1</t>
  </si>
  <si>
    <t>S,M,L,XL,XXL/1-2-1-1-1</t>
  </si>
  <si>
    <t>S,M,L,XL,XXL/1-1-2-1-1</t>
  </si>
  <si>
    <t>S,M,L,XL/1-2-2-1</t>
  </si>
  <si>
    <t>XXL/12</t>
  </si>
  <si>
    <t>PreFall'26</t>
  </si>
  <si>
    <t>BSR-SC31-31</t>
  </si>
  <si>
    <t>4702062177</t>
  </si>
  <si>
    <t>4702062179</t>
  </si>
  <si>
    <t>4702062178</t>
  </si>
  <si>
    <t>4702062180</t>
  </si>
  <si>
    <t>4702062181</t>
  </si>
  <si>
    <t>4702062182</t>
  </si>
  <si>
    <t>4702062183</t>
  </si>
  <si>
    <t>PRLS/25/12722</t>
  </si>
  <si>
    <t>4702067318</t>
  </si>
  <si>
    <t>710B18131001</t>
  </si>
  <si>
    <t>710B18131</t>
  </si>
  <si>
    <t>Z263SV18</t>
  </si>
  <si>
    <t>7258 NAVY WHITE</t>
  </si>
  <si>
    <t>710B18131001 - CL3BDBLKPKS</t>
  </si>
  <si>
    <t>4702067319</t>
  </si>
  <si>
    <t>4702067320</t>
  </si>
  <si>
    <t>PRLS/25/12723</t>
  </si>
  <si>
    <t>4702067325</t>
  </si>
  <si>
    <t>710B18274001</t>
  </si>
  <si>
    <t>710B18274</t>
  </si>
  <si>
    <t>Z263ST19</t>
  </si>
  <si>
    <t>7312 NAVY MULTI</t>
  </si>
  <si>
    <t>710B18274001 - CLESTPPCS</t>
  </si>
  <si>
    <t>4702067324</t>
  </si>
  <si>
    <t>4702067326</t>
  </si>
  <si>
    <t>PRLS/25/12732</t>
  </si>
  <si>
    <t>4702067333</t>
  </si>
  <si>
    <t>710B22588001</t>
  </si>
  <si>
    <t>710B22588</t>
  </si>
  <si>
    <t>Z263SC19</t>
  </si>
  <si>
    <t>6671H COASTAL BEIGE/WHITE</t>
  </si>
  <si>
    <t>710B22588001 - CUBDPPCS</t>
  </si>
  <si>
    <t>PRLS/25/12734</t>
  </si>
  <si>
    <t>710B22588002</t>
  </si>
  <si>
    <t>6671A CABANA BLUE/WHITE</t>
  </si>
  <si>
    <t>710B22588002 - CUBDPPCS</t>
  </si>
  <si>
    <t>PRLS/25/12736</t>
  </si>
  <si>
    <t>710B22588003</t>
  </si>
  <si>
    <t>6671I POWDER PURPLE/WHITE</t>
  </si>
  <si>
    <t>710B22588003 - CUBDPPCS</t>
  </si>
  <si>
    <t>PRLS/25/12740</t>
  </si>
  <si>
    <t>4702067336</t>
  </si>
  <si>
    <t>710B22589002</t>
  </si>
  <si>
    <t>710B22589</t>
  </si>
  <si>
    <t>6555B CABANA BLUE/WHITE</t>
  </si>
  <si>
    <t>710B22589002 - CUESTPPCS</t>
  </si>
  <si>
    <t>PRLS/25/12930</t>
  </si>
  <si>
    <t>710P03855501</t>
  </si>
  <si>
    <t>Z263SC38</t>
  </si>
  <si>
    <t>7289A HRBR ISLND BLUE WHT MLTI</t>
  </si>
  <si>
    <t>710P03855501 - CLBDPPCS</t>
  </si>
  <si>
    <t>S,M,L,XL,XXL/2-3-3-3-1</t>
  </si>
  <si>
    <t>PRLS/25/12931</t>
  </si>
  <si>
    <t>710P03855502</t>
  </si>
  <si>
    <t>7289D COASTAL BEIGE WHT MULTI</t>
  </si>
  <si>
    <t>710P03855502 - CLBDPPCS</t>
  </si>
  <si>
    <t>PRLS/25/12932</t>
  </si>
  <si>
    <t>710P03855503</t>
  </si>
  <si>
    <t>7289C PWDR PURPLE WHITE MULTI</t>
  </si>
  <si>
    <t>710P03855503 - CLBDPPCS</t>
  </si>
  <si>
    <t>PRLS/25/12933</t>
  </si>
  <si>
    <t>710P03855504</t>
  </si>
  <si>
    <t>7289B FADED MINT WHITE MULTI</t>
  </si>
  <si>
    <t>710P03855504 - CLBDPPCS</t>
  </si>
  <si>
    <t>4702080253</t>
  </si>
  <si>
    <t>782P14904001</t>
  </si>
  <si>
    <t>782P14904</t>
  </si>
  <si>
    <t>Z264RO01</t>
  </si>
  <si>
    <t>RL-825 PINK/BROWN</t>
  </si>
  <si>
    <t xml:space="preserve">782P14904001 - </t>
  </si>
  <si>
    <t>4702080252</t>
  </si>
  <si>
    <t>4702080251</t>
  </si>
  <si>
    <t>4702080250</t>
  </si>
  <si>
    <t>4702080249</t>
  </si>
  <si>
    <t>4702080258</t>
  </si>
  <si>
    <t>782P14908001</t>
  </si>
  <si>
    <t>782P14908</t>
  </si>
  <si>
    <t>Z264RO05</t>
  </si>
  <si>
    <t>RL-829 BLUE/ORANGE</t>
  </si>
  <si>
    <t xml:space="preserve">782P14908001 - </t>
  </si>
  <si>
    <t>4702080257</t>
  </si>
  <si>
    <t>4702080256</t>
  </si>
  <si>
    <t>4702080255</t>
  </si>
  <si>
    <t>4702080254</t>
  </si>
  <si>
    <t>4702087846</t>
  </si>
  <si>
    <t>782P14907001</t>
  </si>
  <si>
    <t>Z264RO04</t>
  </si>
  <si>
    <t>RL-828 PURPLE/CREAM</t>
  </si>
  <si>
    <t>4702087849</t>
  </si>
  <si>
    <t>4702087845</t>
  </si>
  <si>
    <t>4702087847</t>
  </si>
  <si>
    <t>4702087848</t>
  </si>
  <si>
    <t>4702087854</t>
  </si>
  <si>
    <t>782P14909001</t>
  </si>
  <si>
    <t>Z264RO06</t>
  </si>
  <si>
    <t>RL-830 BLUE</t>
  </si>
  <si>
    <t>4702087855</t>
  </si>
  <si>
    <t>4702087853</t>
  </si>
  <si>
    <t>4702087850</t>
  </si>
  <si>
    <t>4702087851</t>
  </si>
  <si>
    <t>4702087852</t>
  </si>
  <si>
    <t>4702087843</t>
  </si>
  <si>
    <t>782P14905001</t>
  </si>
  <si>
    <t>Z264RO02</t>
  </si>
  <si>
    <t>RL-826 TURQUOISE</t>
  </si>
  <si>
    <t>4702087841</t>
  </si>
  <si>
    <t>4702087842</t>
  </si>
  <si>
    <t>4702087844</t>
  </si>
  <si>
    <t>4702084866</t>
  </si>
  <si>
    <t>782P14906001</t>
  </si>
  <si>
    <t>Z264RO03</t>
  </si>
  <si>
    <t>RL-827 WHITE/BLUE</t>
  </si>
  <si>
    <t>4702084864</t>
  </si>
  <si>
    <t>4702084865</t>
  </si>
  <si>
    <t>4702084868</t>
  </si>
  <si>
    <t>4702084867</t>
  </si>
  <si>
    <t>Sum of Qty</t>
  </si>
  <si>
    <t>Months</t>
  </si>
  <si>
    <t>Grand Total</t>
  </si>
  <si>
    <t>Mar</t>
  </si>
  <si>
    <t>Sum of QTY</t>
  </si>
  <si>
    <t>CDD DATE</t>
  </si>
  <si>
    <t>Total</t>
  </si>
  <si>
    <t>(blank)</t>
  </si>
  <si>
    <t>d</t>
  </si>
  <si>
    <t>782P14907</t>
  </si>
  <si>
    <t>782P14909</t>
  </si>
  <si>
    <t>782P14905</t>
  </si>
  <si>
    <t>782P14906</t>
  </si>
  <si>
    <t>Apr</t>
  </si>
  <si>
    <t>May</t>
  </si>
  <si>
    <t>ś</t>
  </si>
  <si>
    <t>05-Apr</t>
  </si>
  <si>
    <t>(All)</t>
  </si>
  <si>
    <t>FALL'26</t>
  </si>
  <si>
    <t>710942745001</t>
  </si>
  <si>
    <t>710B29367001</t>
  </si>
  <si>
    <t>710B29639001</t>
  </si>
  <si>
    <t>Z253SC31</t>
  </si>
  <si>
    <t>Z254SC38PRO</t>
  </si>
  <si>
    <t>LSL-SPS</t>
  </si>
  <si>
    <t>4702095653</t>
  </si>
  <si>
    <t>4702095654</t>
  </si>
  <si>
    <t>4702095657</t>
  </si>
  <si>
    <t>4702095658</t>
  </si>
  <si>
    <t>4702095656</t>
  </si>
  <si>
    <t>4702095655</t>
  </si>
  <si>
    <t>4702095661</t>
  </si>
  <si>
    <t>4702095659</t>
  </si>
  <si>
    <t>4702095664</t>
  </si>
  <si>
    <t>4702095660</t>
  </si>
  <si>
    <t>322903830500</t>
  </si>
  <si>
    <t>322903830501</t>
  </si>
  <si>
    <t>322903830502</t>
  </si>
  <si>
    <t>323903830500</t>
  </si>
  <si>
    <t>323903830501</t>
  </si>
  <si>
    <t>323903830502</t>
  </si>
  <si>
    <t>4702095349</t>
  </si>
  <si>
    <t>4702095358</t>
  </si>
  <si>
    <t>4702095353</t>
  </si>
  <si>
    <t>4702095355</t>
  </si>
  <si>
    <t>4702095354</t>
  </si>
  <si>
    <t>4702095364</t>
  </si>
  <si>
    <t>4702095362</t>
  </si>
  <si>
    <t>4702095363</t>
  </si>
  <si>
    <t>4702095356</t>
  </si>
  <si>
    <t>4702095365</t>
  </si>
  <si>
    <t>4702095352</t>
  </si>
  <si>
    <t>4702095361</t>
  </si>
  <si>
    <t>RLCW FALL'26</t>
  </si>
  <si>
    <t>Z264BC32</t>
  </si>
  <si>
    <t>SUPPLY OLIVE</t>
  </si>
  <si>
    <t>4702095844</t>
  </si>
  <si>
    <t>4702095845</t>
  </si>
  <si>
    <t>710967632002</t>
  </si>
  <si>
    <t>710967632005</t>
  </si>
  <si>
    <t>4702095671</t>
  </si>
  <si>
    <t>4702095672</t>
  </si>
  <si>
    <t>322B29646001</t>
  </si>
  <si>
    <t>322B29646002</t>
  </si>
  <si>
    <t>322B29646003</t>
  </si>
  <si>
    <t>323B29646001</t>
  </si>
  <si>
    <t>323B29646002</t>
  </si>
  <si>
    <t>323B29646003</t>
  </si>
  <si>
    <t>4702095326</t>
  </si>
  <si>
    <t>4702095329</t>
  </si>
  <si>
    <t>#6937A WHITE BLUE MULTI</t>
  </si>
  <si>
    <t>#6937C WHITE WINE MULTI</t>
  </si>
  <si>
    <t>#6937B WHITE GREEN MULTI</t>
  </si>
  <si>
    <t>782P14919001</t>
  </si>
  <si>
    <t>4702092402</t>
  </si>
  <si>
    <t>4702092403</t>
  </si>
  <si>
    <t>4702092406</t>
  </si>
  <si>
    <t>4702092407</t>
  </si>
  <si>
    <t>4702092404</t>
  </si>
  <si>
    <t>4702092405</t>
  </si>
  <si>
    <t>Z265RR01</t>
  </si>
  <si>
    <t>RL-840 BLACK/CREAM</t>
  </si>
  <si>
    <t>PRLS/25/13140</t>
  </si>
  <si>
    <t>PRLS/25/13141</t>
  </si>
  <si>
    <t>PRLS/25/13150</t>
  </si>
  <si>
    <t>PRLS/25/13151</t>
  </si>
  <si>
    <t>PRLS/25/13152</t>
  </si>
  <si>
    <t>PRLS/25/13139</t>
  </si>
  <si>
    <t>PRLS/25/13142</t>
  </si>
  <si>
    <t>PRLS/25/13153</t>
  </si>
  <si>
    <t>PRLS/25/13154</t>
  </si>
  <si>
    <t>PRLS/25/13155</t>
  </si>
  <si>
    <t>PRLS/25/13146</t>
  </si>
  <si>
    <t>PRLS/25/13161</t>
  </si>
  <si>
    <t>PRLS/25/13162</t>
  </si>
  <si>
    <t>PRLS/25/13163</t>
  </si>
  <si>
    <t>PRLS/25/13164</t>
  </si>
  <si>
    <t>PRLS/25/13166</t>
  </si>
  <si>
    <t>PRLS/25/13167</t>
  </si>
  <si>
    <t>PRLS/25/13168</t>
  </si>
  <si>
    <t>PRLS/25/13169</t>
  </si>
  <si>
    <t>PRLS/25/13171</t>
  </si>
  <si>
    <t>PRLS/25/13172</t>
  </si>
  <si>
    <t>PRLS/25/13165</t>
  </si>
  <si>
    <t>PRLS/25/13156</t>
  </si>
  <si>
    <t>12-Apr</t>
  </si>
  <si>
    <t>26-Apr</t>
  </si>
  <si>
    <t>710942745</t>
  </si>
  <si>
    <t>710B29367</t>
  </si>
  <si>
    <t>710B29639</t>
  </si>
  <si>
    <t>322903830</t>
  </si>
  <si>
    <t>323903830</t>
  </si>
  <si>
    <t>322B29646</t>
  </si>
  <si>
    <t>323B29646</t>
  </si>
  <si>
    <t>782P14919</t>
  </si>
  <si>
    <t>710798540083</t>
  </si>
  <si>
    <t>712973694500</t>
  </si>
  <si>
    <t>712B26868001</t>
  </si>
  <si>
    <t>712B26868002</t>
  </si>
  <si>
    <t>712B26869001</t>
  </si>
  <si>
    <t>712B26869002</t>
  </si>
  <si>
    <t>710804257063</t>
  </si>
  <si>
    <t>Z254SC32PRO</t>
  </si>
  <si>
    <t>Z264SAV30</t>
  </si>
  <si>
    <t>CUHBDN</t>
  </si>
  <si>
    <t>CUESTFCN</t>
  </si>
  <si>
    <t>6771C POWDER PURPLE WHITE</t>
  </si>
  <si>
    <t>7428B WHITE PURPLE MULTI</t>
  </si>
  <si>
    <t>7428A WHITE BLUE MULTI</t>
  </si>
  <si>
    <t>7427B PURPLE WHITE MULTI</t>
  </si>
  <si>
    <t>7427A BLUE WHITE MULTI</t>
  </si>
  <si>
    <t>4702096670</t>
  </si>
  <si>
    <t>4702096671</t>
  </si>
  <si>
    <t>4702096675</t>
  </si>
  <si>
    <t>4702096679</t>
  </si>
  <si>
    <t>4702096678</t>
  </si>
  <si>
    <t>4702096680</t>
  </si>
  <si>
    <t>4702096681</t>
  </si>
  <si>
    <t>4702096674</t>
  </si>
  <si>
    <t>4702096677</t>
  </si>
  <si>
    <t>4702096676</t>
  </si>
  <si>
    <t>PRLS/25/13287</t>
  </si>
  <si>
    <t>PRLS/25/13291</t>
  </si>
  <si>
    <t>PRLS/25/13290</t>
  </si>
  <si>
    <t>PRLS/25/13292</t>
  </si>
  <si>
    <t>PRLS/25/13288</t>
  </si>
  <si>
    <t>PRLS/25/13289</t>
  </si>
  <si>
    <t>PRLS/25/13293</t>
  </si>
  <si>
    <t>PRLS/25/13294</t>
  </si>
  <si>
    <t>PRLS/25/13295</t>
  </si>
  <si>
    <t>PRLS/25/13158</t>
  </si>
  <si>
    <t>PRLS/25/13159</t>
  </si>
  <si>
    <t>PRLS/25/13273</t>
  </si>
  <si>
    <t>PRLS/25/13297</t>
  </si>
  <si>
    <t>PRLS/25/13277</t>
  </si>
  <si>
    <t>PRLS/25/13278</t>
  </si>
  <si>
    <t>PRLS/25/13279</t>
  </si>
  <si>
    <t>PRLS/25/13282</t>
  </si>
  <si>
    <t>PRLS/25/13283</t>
  </si>
  <si>
    <t>PRLS/25/13284</t>
  </si>
  <si>
    <t>PRLS/25/13285</t>
  </si>
  <si>
    <t>712B26868</t>
  </si>
  <si>
    <t>712B26869</t>
  </si>
  <si>
    <t>712B26886001</t>
  </si>
  <si>
    <t>Z264SAV33</t>
  </si>
  <si>
    <t>CUESTFMFCWPN</t>
  </si>
  <si>
    <t>4702097397</t>
  </si>
  <si>
    <t>PRLS/25/13286</t>
  </si>
  <si>
    <t>Z265RP07</t>
  </si>
  <si>
    <t>4702099771</t>
  </si>
  <si>
    <t>4702099772</t>
  </si>
  <si>
    <t>4702099770</t>
  </si>
  <si>
    <t>4702099769</t>
  </si>
  <si>
    <t>4702099767</t>
  </si>
  <si>
    <t>4702099768</t>
  </si>
  <si>
    <t>782P14916001</t>
  </si>
  <si>
    <t>RL-837 GREY/CREAM</t>
  </si>
  <si>
    <t>712B26886</t>
  </si>
  <si>
    <t>782P14916</t>
  </si>
  <si>
    <t>712958478001</t>
  </si>
  <si>
    <t>ESTATE FORMAL WPLEAT</t>
  </si>
  <si>
    <t>4702102942</t>
  </si>
  <si>
    <t>712958478</t>
  </si>
  <si>
    <t>322B24622001</t>
  </si>
  <si>
    <t>322B24622002</t>
  </si>
  <si>
    <t>322B24622003</t>
  </si>
  <si>
    <t>323B24622001</t>
  </si>
  <si>
    <t>323B24622002</t>
  </si>
  <si>
    <t>323B24622003</t>
  </si>
  <si>
    <t>Z264BC38</t>
  </si>
  <si>
    <t>7372C WHITE OLIVE MULTI</t>
  </si>
  <si>
    <t>7372A WHITE BLUE MULTI</t>
  </si>
  <si>
    <t>7372B WHITE PURPLE MULTI</t>
  </si>
  <si>
    <t>4702104040</t>
  </si>
  <si>
    <t>4702104042</t>
  </si>
  <si>
    <t>4702104041</t>
  </si>
  <si>
    <t>4702104043</t>
  </si>
  <si>
    <t>710B23941001</t>
  </si>
  <si>
    <t>712936019001</t>
  </si>
  <si>
    <t>Z264SV24</t>
  </si>
  <si>
    <t>4702104682</t>
  </si>
  <si>
    <t>4702104683</t>
  </si>
  <si>
    <t>4702104685</t>
  </si>
  <si>
    <t>4702104684</t>
  </si>
  <si>
    <t>7413 WINE ROYAL MULTI</t>
  </si>
  <si>
    <t>5060 CAROLINA BLUE/WHITE</t>
  </si>
  <si>
    <t>CLBMILS - BB</t>
  </si>
  <si>
    <t>PRLS/25/13490</t>
  </si>
  <si>
    <t>PRLS/25/13491</t>
  </si>
  <si>
    <t>PRLS/25/13498</t>
  </si>
  <si>
    <t>PRLS/25/13345</t>
  </si>
  <si>
    <t>PRLS/25/13341</t>
  </si>
  <si>
    <t>PRLS/25/13342</t>
  </si>
  <si>
    <t>PRLS/25/13343</t>
  </si>
  <si>
    <t>PRLS/25/13344</t>
  </si>
  <si>
    <t>PRLS/25/13340</t>
  </si>
  <si>
    <t>PRLS/25/13497</t>
  </si>
  <si>
    <t>Years</t>
  </si>
  <si>
    <t>2026</t>
  </si>
  <si>
    <t>19-Apr</t>
  </si>
  <si>
    <t>710921641500</t>
  </si>
  <si>
    <t>710921641501</t>
  </si>
  <si>
    <t>FATIGUE GREEN</t>
  </si>
  <si>
    <t>CORN YELLOW</t>
  </si>
  <si>
    <t>4702108651</t>
  </si>
  <si>
    <t>4702108653</t>
  </si>
  <si>
    <t>4702108655</t>
  </si>
  <si>
    <t>4702108659</t>
  </si>
  <si>
    <t>4702108657</t>
  </si>
  <si>
    <t>Z253SC32PRO</t>
  </si>
  <si>
    <t>PRLS/25/13487</t>
  </si>
  <si>
    <t>PRLS/25/13489</t>
  </si>
  <si>
    <t>710B34888001</t>
  </si>
  <si>
    <t>Z254SC38</t>
  </si>
  <si>
    <t>6973B WINE NAVY MULTI</t>
  </si>
  <si>
    <t>4702109542</t>
  </si>
  <si>
    <t>DDS</t>
  </si>
  <si>
    <t>MARSHALLS</t>
  </si>
  <si>
    <t>TJ MAXX</t>
  </si>
  <si>
    <t>710966427500</t>
  </si>
  <si>
    <t>710B24259001</t>
  </si>
  <si>
    <t>710P00629502</t>
  </si>
  <si>
    <t>Z264SC31</t>
  </si>
  <si>
    <t>6890C BROWN GREEN MULTI</t>
  </si>
  <si>
    <t>7404 PURPLE ORANGE MULTI</t>
  </si>
  <si>
    <t>4702110010</t>
  </si>
  <si>
    <t>4702110012</t>
  </si>
  <si>
    <t>4702110011</t>
  </si>
  <si>
    <t>4702110013</t>
  </si>
  <si>
    <t>4702110282</t>
  </si>
  <si>
    <t>PRLS/25/13274</t>
  </si>
  <si>
    <t>PRLS/25/13280</t>
  </si>
  <si>
    <t>PRLS/25/13499</t>
  </si>
  <si>
    <t>PRLS/25/13281</t>
  </si>
  <si>
    <t>PRLS/25/13276</t>
  </si>
  <si>
    <t>PRLS/25/13716</t>
  </si>
  <si>
    <t>Earthsea</t>
  </si>
  <si>
    <t>PENDING</t>
  </si>
  <si>
    <t>BLUE/WHITE STRIPE</t>
  </si>
  <si>
    <t>05-Apr Total</t>
  </si>
  <si>
    <t>12-Apr Total</t>
  </si>
  <si>
    <t>19-Apr Total</t>
  </si>
  <si>
    <t>26-Apr Total</t>
  </si>
  <si>
    <t>03-May</t>
  </si>
  <si>
    <t>03-May Total</t>
  </si>
  <si>
    <t>24-May</t>
  </si>
  <si>
    <t>24-May Total</t>
  </si>
  <si>
    <t>4702112444</t>
  </si>
  <si>
    <t>4702112445</t>
  </si>
  <si>
    <t>PRLS/25/13722</t>
  </si>
  <si>
    <t>PRLS/25/13723</t>
  </si>
  <si>
    <t>PRLS/25/13724</t>
  </si>
  <si>
    <t>PRLS/25/13725</t>
  </si>
  <si>
    <t>6973A NAVY WINE MULTI</t>
  </si>
  <si>
    <t>6936B VINTAGE PINE NAVY MULTI</t>
  </si>
  <si>
    <t>SLATE</t>
  </si>
  <si>
    <t>Z264SC38</t>
  </si>
  <si>
    <t>710B29367004</t>
  </si>
  <si>
    <t>710B29368001</t>
  </si>
  <si>
    <t>710P03854004</t>
  </si>
  <si>
    <t>4702111952</t>
  </si>
  <si>
    <t>4702111955</t>
  </si>
  <si>
    <t>4702111953</t>
  </si>
  <si>
    <t>4702111956</t>
  </si>
  <si>
    <t>4702111954</t>
  </si>
  <si>
    <t>4702111957</t>
  </si>
  <si>
    <t>4702111958</t>
  </si>
  <si>
    <t>PRLS/25/13463</t>
  </si>
  <si>
    <t>PRLS/25/13465</t>
  </si>
  <si>
    <t>PRLS/25/13719</t>
  </si>
  <si>
    <t>PRLS/25/13275</t>
  </si>
  <si>
    <t>4702112401</t>
  </si>
  <si>
    <t>711966427501</t>
  </si>
  <si>
    <t>Z2641C31</t>
  </si>
  <si>
    <t>4702113591</t>
  </si>
  <si>
    <t>4702113592</t>
  </si>
  <si>
    <t>Z264BC19</t>
  </si>
  <si>
    <t>PRLS/25/13143</t>
  </si>
  <si>
    <t>PRLS/25/13147</t>
  </si>
  <si>
    <t>10-May</t>
  </si>
  <si>
    <t>10-May Total</t>
  </si>
  <si>
    <t>17-May</t>
  </si>
  <si>
    <t>31-May</t>
  </si>
  <si>
    <t>QA FILE STATUS</t>
  </si>
  <si>
    <t>Under Sampling</t>
  </si>
  <si>
    <t>AWG FAB</t>
  </si>
  <si>
    <t>02-Mar</t>
  </si>
  <si>
    <t>02-Mar Total</t>
  </si>
  <si>
    <t>09-Mar</t>
  </si>
  <si>
    <t>09-Mar Total</t>
  </si>
  <si>
    <t>11-Mar</t>
  </si>
  <si>
    <t>11-Mar Total</t>
  </si>
  <si>
    <t>20-Mar</t>
  </si>
  <si>
    <t>20-Mar Total</t>
  </si>
  <si>
    <t>23-Mar</t>
  </si>
  <si>
    <t>23-Mar Total</t>
  </si>
  <si>
    <t>Jun</t>
  </si>
  <si>
    <t>Jul</t>
  </si>
  <si>
    <t>06-Jul</t>
  </si>
  <si>
    <t>Aug</t>
  </si>
  <si>
    <t>03-Aug</t>
  </si>
  <si>
    <t>07-Jun</t>
  </si>
  <si>
    <t>05-Jul</t>
  </si>
  <si>
    <t>02-Aug</t>
  </si>
  <si>
    <t>Years2</t>
  </si>
  <si>
    <t>Months2</t>
  </si>
  <si>
    <t>710921641</t>
  </si>
  <si>
    <t>4702116225</t>
  </si>
  <si>
    <t>4702116226</t>
  </si>
  <si>
    <t>4702117732</t>
  </si>
  <si>
    <t>4702117733</t>
  </si>
  <si>
    <t>4702117735</t>
  </si>
  <si>
    <t>4702117734</t>
  </si>
  <si>
    <t>4702117737</t>
  </si>
  <si>
    <t>4702117736</t>
  </si>
  <si>
    <t>710953891001</t>
  </si>
  <si>
    <t>Z254SC31</t>
  </si>
  <si>
    <t>4702115113</t>
  </si>
  <si>
    <t>4702115114</t>
  </si>
  <si>
    <t>PRLS/25/13827</t>
  </si>
  <si>
    <t>PRLS/25/13829</t>
  </si>
  <si>
    <t>PRLS/25/13718</t>
  </si>
  <si>
    <t>PRLS/25/13822</t>
  </si>
  <si>
    <t>PRLS/25/13715</t>
  </si>
  <si>
    <t>PRLS/25/13720</t>
  </si>
  <si>
    <t>IN PROCESS</t>
  </si>
  <si>
    <t>TO BE SUBMITTED</t>
  </si>
  <si>
    <t>31-May Total</t>
  </si>
  <si>
    <t>14-Jun</t>
  </si>
  <si>
    <t>28-Jun</t>
  </si>
  <si>
    <t>12-Jul</t>
  </si>
  <si>
    <t>710P00629</t>
  </si>
  <si>
    <t>322B24622</t>
  </si>
  <si>
    <t>323B24622</t>
  </si>
  <si>
    <t>710B23941</t>
  </si>
  <si>
    <t>712936019</t>
  </si>
  <si>
    <t>710B34888</t>
  </si>
  <si>
    <t>710966427</t>
  </si>
  <si>
    <t>710B24259</t>
  </si>
  <si>
    <t>710B29368</t>
  </si>
  <si>
    <t>711966427</t>
  </si>
  <si>
    <t>710953891</t>
  </si>
  <si>
    <t>4702116505</t>
  </si>
  <si>
    <t>4702116506</t>
  </si>
  <si>
    <t>710B34888002</t>
  </si>
  <si>
    <t>4702118966</t>
  </si>
  <si>
    <t>4702118967</t>
  </si>
  <si>
    <t>PRLS/25/13717</t>
  </si>
  <si>
    <t>PRLS/25/13828</t>
  </si>
  <si>
    <t>S M L XL XXL 1-1-2-1-1</t>
  </si>
  <si>
    <t>S M L XL 1-2-2-1</t>
  </si>
  <si>
    <t>Z2641C38</t>
  </si>
  <si>
    <t>710P03855508</t>
  </si>
  <si>
    <t>711P03855509</t>
  </si>
  <si>
    <t>711P03855508</t>
  </si>
  <si>
    <t>711P03855510</t>
  </si>
  <si>
    <t>710966427501</t>
  </si>
  <si>
    <t>710P03855507</t>
  </si>
  <si>
    <t>710P03855509</t>
  </si>
  <si>
    <t>7373A BLUE MULTI</t>
  </si>
  <si>
    <t>6890D OLIVE BROWN MULTI</t>
  </si>
  <si>
    <t>PRLS/25/13510</t>
  </si>
  <si>
    <t>PRLS/25/13515</t>
  </si>
  <si>
    <t>PRLS/25/13512</t>
  </si>
  <si>
    <t>PRLS/25/13509</t>
  </si>
  <si>
    <t>PRLS/25/13514</t>
  </si>
  <si>
    <t>PRLS/25/13517</t>
  </si>
  <si>
    <t>PRLS/25/13516</t>
  </si>
  <si>
    <t>PRLS/25/13518</t>
  </si>
  <si>
    <t>PRLS/25/13714</t>
  </si>
  <si>
    <t>PRLS/25/13511</t>
  </si>
  <si>
    <t>PRLS/25/13513</t>
  </si>
  <si>
    <t>17-Mar</t>
  </si>
  <si>
    <t>17-Mar Total</t>
  </si>
  <si>
    <t>4702119596</t>
  </si>
  <si>
    <t>4702119597</t>
  </si>
  <si>
    <t>4702119598</t>
  </si>
  <si>
    <t>710P03855505</t>
  </si>
  <si>
    <t>710P03855506</t>
  </si>
  <si>
    <t>7373B BLUE PINK MULTI</t>
  </si>
  <si>
    <t>4702120723</t>
  </si>
  <si>
    <t>4702120724</t>
  </si>
  <si>
    <t>4702120725</t>
  </si>
  <si>
    <t>4702120722</t>
  </si>
  <si>
    <t>4702120726</t>
  </si>
  <si>
    <t>4702120727</t>
  </si>
  <si>
    <t>4702121293</t>
  </si>
  <si>
    <t>4702121295</t>
  </si>
  <si>
    <t>4702121294</t>
  </si>
  <si>
    <t>4702121296</t>
  </si>
  <si>
    <t>4702121297</t>
  </si>
  <si>
    <t>4702121298</t>
  </si>
  <si>
    <t>PRLS/25/13898</t>
  </si>
  <si>
    <t>PRLS/25/13899</t>
  </si>
  <si>
    <t>PRLS/25/13890</t>
  </si>
  <si>
    <t>28-Mar</t>
  </si>
  <si>
    <t>28-Mar Total</t>
  </si>
  <si>
    <t>31-Mar</t>
  </si>
  <si>
    <t>31-Mar Total</t>
  </si>
  <si>
    <t>24-Mar</t>
  </si>
  <si>
    <t>24-Mar Total</t>
  </si>
  <si>
    <t>27-Mar</t>
  </si>
  <si>
    <t>27-Mar Total</t>
  </si>
  <si>
    <t>FR date</t>
  </si>
  <si>
    <t>BOM HARD COPY SUBMISSION(Duly signed)</t>
  </si>
  <si>
    <t>S.No</t>
  </si>
  <si>
    <t>OC Nos</t>
  </si>
  <si>
    <t>Any Issues(Yes/No)</t>
  </si>
  <si>
    <t>Not Signed</t>
  </si>
  <si>
    <t>-</t>
  </si>
  <si>
    <t>BOM - Verification</t>
  </si>
  <si>
    <t>BOM Review</t>
  </si>
  <si>
    <t>Done on 3/12</t>
  </si>
  <si>
    <t>Signed on 03/12</t>
  </si>
  <si>
    <t>NO</t>
  </si>
  <si>
    <t>Yes</t>
  </si>
  <si>
    <t>Reviewed on 03/16. Not Signed</t>
  </si>
  <si>
    <t>CR'26</t>
  </si>
  <si>
    <t>SAVH33</t>
  </si>
  <si>
    <t>SC53</t>
  </si>
  <si>
    <t>Z265BC32</t>
  </si>
  <si>
    <t>Z265BC38</t>
  </si>
  <si>
    <t>Z265BC19</t>
  </si>
  <si>
    <t>Z266SV18</t>
  </si>
  <si>
    <t>PENDING Total</t>
  </si>
  <si>
    <t>ALPINE BROWN HEATHER</t>
  </si>
  <si>
    <t>ONYX HEATHER</t>
  </si>
  <si>
    <t>CLWINGWPFCA</t>
  </si>
  <si>
    <t>CLBMILS</t>
  </si>
  <si>
    <t>CLMDRNESTS</t>
  </si>
  <si>
    <t>CUMDRNESTPPCS</t>
  </si>
  <si>
    <t>712B29074001</t>
  </si>
  <si>
    <t>710B32783002</t>
  </si>
  <si>
    <t>710B32783006</t>
  </si>
  <si>
    <t>710B36299001</t>
  </si>
  <si>
    <t>710B36299002</t>
  </si>
  <si>
    <t>PRLS/25/13942</t>
  </si>
  <si>
    <t>PRLS/25/13943</t>
  </si>
  <si>
    <t>PRLS/25/14064</t>
  </si>
  <si>
    <t>PRLS/25/14066</t>
  </si>
  <si>
    <t>PRLS/25/14067</t>
  </si>
  <si>
    <t>PRLS/25/14068</t>
  </si>
  <si>
    <t>PRLS/25/14069</t>
  </si>
  <si>
    <t>PRLS/25/14070</t>
  </si>
  <si>
    <t>PRLS/25/14071</t>
  </si>
  <si>
    <t>PRLS/25/14072</t>
  </si>
  <si>
    <t>PRLS/25/14073</t>
  </si>
  <si>
    <t>PRLS/25/14074</t>
  </si>
  <si>
    <t>PRLS/25/14075</t>
  </si>
  <si>
    <t>PRLS/25/14100</t>
  </si>
  <si>
    <t>PRLS/25/14101</t>
  </si>
  <si>
    <t>PRLS/25/14102</t>
  </si>
  <si>
    <t>PRLS/25/14103</t>
  </si>
  <si>
    <t>PRLS/25/14104</t>
  </si>
  <si>
    <t>PRLS/25/14105</t>
  </si>
  <si>
    <t>PRLS/25/14106</t>
  </si>
  <si>
    <t>PRLS/25/14107</t>
  </si>
  <si>
    <t>Signed on 03/18</t>
  </si>
  <si>
    <t>BSR BLUE/WHITE</t>
  </si>
  <si>
    <t>BSR ROYAL/WHITE</t>
  </si>
  <si>
    <t>PINK</t>
  </si>
  <si>
    <t>4702125947</t>
  </si>
  <si>
    <t>4702125946</t>
  </si>
  <si>
    <t>4702125949</t>
  </si>
  <si>
    <t>4702125948</t>
  </si>
  <si>
    <t>4702125950</t>
  </si>
  <si>
    <t>4702125951</t>
  </si>
  <si>
    <t>PRLS/25/12520, PRLS/25/13668</t>
  </si>
  <si>
    <t>PRLS/25/13302</t>
  </si>
  <si>
    <t>PRLS/25/12525, PRLS/25/13671</t>
  </si>
  <si>
    <t>PRLS/25/12515, PRLS/25/13673</t>
  </si>
  <si>
    <t>PRLS/25/13303</t>
  </si>
  <si>
    <t>PRLS/25/12524, PRLS/25/13674</t>
  </si>
  <si>
    <t>BSR-SC31-34</t>
  </si>
  <si>
    <t>Signed on 03/23</t>
  </si>
  <si>
    <t>PRLS/25/14123</t>
  </si>
  <si>
    <t>PRLS/25/14124</t>
  </si>
  <si>
    <t>PRLS/25/14125</t>
  </si>
  <si>
    <t>PRLS/25/14126</t>
  </si>
  <si>
    <t>PRLS/25/14127</t>
  </si>
  <si>
    <t>PRLS/25/14128</t>
  </si>
  <si>
    <t>PRLS/25/14129</t>
  </si>
  <si>
    <t>PRLS/25/14130</t>
  </si>
  <si>
    <t>PRLS/25/14131</t>
  </si>
  <si>
    <t>Apr Total</t>
  </si>
  <si>
    <t>May Total</t>
  </si>
  <si>
    <t>Jun Total</t>
  </si>
  <si>
    <t>Jul Total</t>
  </si>
  <si>
    <t>Aug Total</t>
  </si>
  <si>
    <t>17-May Total</t>
  </si>
  <si>
    <t>RUNETEX</t>
  </si>
  <si>
    <t>Garment wash</t>
  </si>
  <si>
    <t>100% cotton</t>
  </si>
  <si>
    <t>Signed on 03/26</t>
  </si>
  <si>
    <t>4702126955</t>
  </si>
  <si>
    <t>4702126954</t>
  </si>
  <si>
    <t>4702126957</t>
  </si>
  <si>
    <t>4702126956</t>
  </si>
  <si>
    <t>4702126958</t>
  </si>
  <si>
    <t>4702126959</t>
  </si>
  <si>
    <t>4702126270</t>
  </si>
  <si>
    <t>4702124964</t>
  </si>
  <si>
    <t>4702124965</t>
  </si>
  <si>
    <t>4702124977</t>
  </si>
  <si>
    <t>Under Cutting</t>
  </si>
  <si>
    <t>Under Sewing</t>
  </si>
  <si>
    <t>Signed on 03/30</t>
  </si>
  <si>
    <t>Reviewed on 03/30. Not Signed</t>
  </si>
  <si>
    <t>PRLS/25/12522, PRLS/25/13672, PRLS/25/13968</t>
  </si>
  <si>
    <t>l</t>
  </si>
  <si>
    <t>710615870001</t>
  </si>
  <si>
    <t>710615870002</t>
  </si>
  <si>
    <t>710757702001</t>
  </si>
  <si>
    <t>710757702002</t>
  </si>
  <si>
    <t>ZSC31PFS</t>
  </si>
  <si>
    <t>RSM</t>
  </si>
  <si>
    <t>RSM-01</t>
  </si>
  <si>
    <t>PRLS/26/10044</t>
  </si>
  <si>
    <t>PRLS/26/10037</t>
  </si>
  <si>
    <t>PRLS/26/10039</t>
  </si>
  <si>
    <t>PRLS/26/10040</t>
  </si>
  <si>
    <t>30-Mar</t>
  </si>
  <si>
    <t>30-Mar Total</t>
  </si>
  <si>
    <t>4702130370</t>
  </si>
  <si>
    <t>4702130371</t>
  </si>
  <si>
    <t>4702130673</t>
  </si>
  <si>
    <t>4702130672</t>
  </si>
  <si>
    <t>4702129853</t>
  </si>
  <si>
    <t>4702129854</t>
  </si>
  <si>
    <t>4702130674</t>
  </si>
  <si>
    <t>4702129855</t>
  </si>
  <si>
    <t>4702128161</t>
  </si>
  <si>
    <t>4702128162</t>
  </si>
  <si>
    <t>CLBDPPC-SI-SPS</t>
  </si>
  <si>
    <t>BDPPC-SI-SPS</t>
  </si>
  <si>
    <t>4702129782</t>
  </si>
  <si>
    <t>4702129786</t>
  </si>
  <si>
    <t>4702129783</t>
  </si>
  <si>
    <t>4702129785</t>
  </si>
  <si>
    <t>4702129787</t>
  </si>
  <si>
    <t>4702129789</t>
  </si>
  <si>
    <t>4702129784</t>
  </si>
  <si>
    <t>4702129788</t>
  </si>
  <si>
    <t>4702129201</t>
  </si>
  <si>
    <t>4702129202</t>
  </si>
  <si>
    <t>4702129204</t>
  </si>
  <si>
    <t>4702129203</t>
  </si>
  <si>
    <t>Z264SAVH33</t>
  </si>
  <si>
    <t>4702129780</t>
  </si>
  <si>
    <t>4702129779</t>
  </si>
  <si>
    <t>4702129778</t>
  </si>
  <si>
    <t>26-Jul</t>
  </si>
  <si>
    <t>Sep</t>
  </si>
  <si>
    <t>13-Sep</t>
  </si>
  <si>
    <t>Sep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</si>
</sst>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_(&quot;$&quot;* #,##0.00_);_(&quot;$&quot;* \(#,##0.00\);_(&quot;$&quot;* &quot;-&quot;??_);_(@_)"/>
    <numFmt numFmtId="166" formatCode="[$-14009]dd/mm/yyyy;@"/>
    <numFmt numFmtId="167" formatCode="0.000"/>
    <numFmt numFmtId="168" formatCode="0.0%"/>
    <numFmt numFmtId="169" formatCode="[$-F800]dddd\,\ mmmm\ dd\,\ yyyy"/>
    <numFmt numFmtId="170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theme="7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theme="7" tint="0.59999389629810485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0" fillId="0" borderId="0" xfId="2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" fontId="3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3" fillId="0" borderId="0" xfId="1" applyNumberFormat="1" applyFont="1" applyAlignment="1">
      <alignment horizontal="center" vertical="center"/>
    </xf>
    <xf numFmtId="168" fontId="8" fillId="0" borderId="0" xfId="1" applyNumberFormat="1" applyFont="1" applyAlignment="1">
      <alignment horizontal="center" vertical="center"/>
    </xf>
    <xf numFmtId="10" fontId="8" fillId="0" borderId="0" xfId="1" applyNumberFormat="1" applyFont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1" applyNumberFormat="1" applyFont="1" applyAlignment="1">
      <alignment horizontal="center" vertical="center" wrapText="1"/>
    </xf>
    <xf numFmtId="1" fontId="11" fillId="3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5" fontId="9" fillId="5" borderId="1" xfId="2" applyFont="1" applyFill="1" applyBorder="1" applyAlignment="1">
      <alignment horizontal="center" vertical="center" wrapText="1"/>
    </xf>
    <xf numFmtId="1" fontId="9" fillId="5" borderId="1" xfId="2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9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5" fontId="0" fillId="0" borderId="0" xfId="2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Border="1" applyAlignment="1">
      <alignment horizontal="left" vertical="center"/>
    </xf>
    <xf numFmtId="170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0" fillId="0" borderId="0" xfId="0" pivotButton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15" borderId="1" xfId="0" applyNumberFormat="1" applyFont="1" applyFill="1" applyBorder="1" applyAlignment="1">
      <alignment horizontal="left" vertical="center"/>
    </xf>
    <xf numFmtId="0" fontId="0" fillId="0" borderId="3" xfId="0" pivotButton="1" applyBorder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NumberFormat="1" applyFill="1"/>
    <xf numFmtId="0" fontId="3" fillId="0" borderId="0" xfId="0" applyFont="1" applyBorder="1" applyAlignment="1">
      <alignment horizontal="center" vertical="center"/>
    </xf>
    <xf numFmtId="0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3" borderId="1" xfId="0" applyNumberFormat="1" applyFill="1" applyBorder="1"/>
    <xf numFmtId="0" fontId="2" fillId="3" borderId="0" xfId="0" applyFont="1" applyFill="1"/>
    <xf numFmtId="0" fontId="0" fillId="0" borderId="4" xfId="0" pivotButton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3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2" fillId="15" borderId="3" xfId="0" applyFont="1" applyFill="1" applyBorder="1" applyAlignment="1">
      <alignment horizontal="left" vertical="center"/>
    </xf>
  </cellXfs>
  <cellStyles count="3">
    <cellStyle name="Currency 2" xfId="2"/>
    <cellStyle name="Normal" xfId="0" builtinId="0"/>
    <cellStyle name="Percent" xfId="1" builtinId="5"/>
  </cellStyles>
  <dxfs count="682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C0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thukrishnan\Downloads\Reallocation%20Laguna%20Request-Updated%20-%20Laguna%20040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OD"/>
      <sheetName val="Sheet2"/>
      <sheetName val="Sheet3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Ex. Factory Date</v>
          </cell>
          <cell r="C4" t="str">
            <v>Material</v>
          </cell>
          <cell r="D4" t="str">
            <v>RL Color Long Desc</v>
          </cell>
        </row>
        <row r="5">
          <cell r="A5" t="str">
            <v>710P038540014702130673</v>
          </cell>
          <cell r="B5">
            <v>46180</v>
          </cell>
          <cell r="C5" t="str">
            <v>710P03854001</v>
          </cell>
          <cell r="D5" t="str">
            <v>BSR BLUE</v>
          </cell>
        </row>
        <row r="6">
          <cell r="A6" t="str">
            <v>710P038540014702130672</v>
          </cell>
          <cell r="B6">
            <v>46166</v>
          </cell>
          <cell r="C6" t="str">
            <v>710P03854001</v>
          </cell>
          <cell r="D6" t="str">
            <v>BSR BLUE</v>
          </cell>
        </row>
        <row r="7">
          <cell r="A7" t="str">
            <v>710P038540014702129853</v>
          </cell>
          <cell r="B7">
            <v>46166</v>
          </cell>
          <cell r="C7" t="str">
            <v>710P03854001</v>
          </cell>
          <cell r="D7" t="str">
            <v>BSR BLUE</v>
          </cell>
        </row>
        <row r="8">
          <cell r="A8" t="str">
            <v>710P038540014702129854</v>
          </cell>
          <cell r="B8">
            <v>46166</v>
          </cell>
          <cell r="C8" t="str">
            <v>710P03854001</v>
          </cell>
          <cell r="D8" t="str">
            <v>BSR BLUE</v>
          </cell>
        </row>
        <row r="9">
          <cell r="A9" t="str">
            <v>711P038540014702130674</v>
          </cell>
          <cell r="B9">
            <v>46166</v>
          </cell>
          <cell r="C9" t="str">
            <v>711P03854001</v>
          </cell>
          <cell r="D9" t="str">
            <v>BSR BLUE</v>
          </cell>
        </row>
        <row r="10">
          <cell r="A10" t="str">
            <v>711P038540014702129855</v>
          </cell>
          <cell r="B10">
            <v>46166</v>
          </cell>
          <cell r="C10" t="str">
            <v>711P03854001</v>
          </cell>
          <cell r="D10" t="str">
            <v>BSR BLUE</v>
          </cell>
        </row>
        <row r="11">
          <cell r="B11" t="str">
            <v>Grand Total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THUKRISHNAN" refreshedDate="46115.514427083333" createdVersion="6" refreshedVersion="6" minRefreshableVersion="3" recordCount="636">
  <cacheSource type="worksheet">
    <worksheetSource ref="A5:FE1048576" sheet="Master Sheet"/>
  </cacheSource>
  <cacheFields count="165">
    <cacheField name="Con Number" numFmtId="0">
      <sharedItems containsBlank="1" count="1187">
        <s v="PRLS/25/12930"/>
        <s v="PRLS/25/12931"/>
        <s v="PRLS/25/12932"/>
        <s v="PRLS/25/12933"/>
        <s v="PRLS/23/10141"/>
        <s v="PRLS/25/12780"/>
        <s v="PRLS/25/12782"/>
        <s v="TBC"/>
        <s v="PRLS/25/12722"/>
        <s v="PRLS/25/12723"/>
        <s v="PRLS/25/12732"/>
        <s v="PRLS/25/12734"/>
        <s v="PRLS/25/12736"/>
        <s v="PRLS/25/12740"/>
        <s v="PRLS/25/13287"/>
        <s v="PRLS/25/13291"/>
        <s v="PRLS/25/13289"/>
        <s v="PRLS/25/13288"/>
        <s v="PRLS/25/13290"/>
        <s v="PRLS/25/13292"/>
        <s v="PRLS/25/13293"/>
        <s v="PRLS/25/13150"/>
        <s v="PRLS/25/13151"/>
        <s v="PRLS/25/13152"/>
        <s v="PRLS/25/13153"/>
        <s v="PRLS/25/13154"/>
        <s v="PRLS/25/13155"/>
        <s v="PRLS/25/13294"/>
        <s v="PRLS/25/13140"/>
        <s v="PRLS/25/13141"/>
        <s v="PRLS/25/13295"/>
        <s v="PRLS/25/13139"/>
        <s v="PRLS/25/13142"/>
        <s v="PRLS/25/13146"/>
        <s v="PRLS/25/13273"/>
        <s v="PRLS/25/13166"/>
        <s v="PRLS/25/13167"/>
        <s v="PRLS/25/13164"/>
        <s v="PRLS/25/13168"/>
        <s v="PRLS/25/13169"/>
        <s v="PRLS/25/13171"/>
        <s v="PRLS/25/13172"/>
        <s v="PRLS/25/13165"/>
        <s v="PRLS/25/13156"/>
        <s v="PRLS/25/13297"/>
        <s v="PRLS/25/13161"/>
        <s v="PRLS/25/13162"/>
        <s v="PRLS/25/13163"/>
        <s v="PRLS/25/13158"/>
        <s v="PRLS/25/13159"/>
        <s v="PRLS/25/13277"/>
        <s v="PRLS/25/13278"/>
        <s v="PRLS/25/13279"/>
        <s v="PRLS/25/13282"/>
        <s v="PRLS/25/13283"/>
        <s v="PRLS/25/13284"/>
        <s v="PRLS/25/13285"/>
        <s v="PRLS/25/13286"/>
        <s v="PRLS/25/13497"/>
        <s v="PRLS/25/13340"/>
        <s v="PRLS/25/13341"/>
        <s v="PRLS/25/13342"/>
        <s v="PRLS/25/13343"/>
        <s v="PRLS/25/13344"/>
        <s v="PRLS/25/13345"/>
        <s v="PRLS/25/13498"/>
        <s v="PRLS/25/13490"/>
        <s v="PRLS/25/13491"/>
        <s v="PRLS/2129"/>
        <s v="PRLS/25/10230"/>
        <s v="PRLS/25/10268"/>
        <s v="PRLS/25/10597"/>
        <s v="PRLS/25/10598"/>
        <s v="PRLS/25/10600"/>
        <s v="PRLS/25/10601"/>
        <s v="PRLS/25/10667"/>
        <s v="PRLS/25/10668"/>
        <s v="PRLS/25/10669"/>
        <s v="PRLS/25/10670"/>
        <s v="PRLS/25/13487"/>
        <s v="PRLS/25/13489"/>
        <s v="PRLS/25/13716"/>
        <s v="PRLS/25/13274"/>
        <s v="PRLS/25/13280"/>
        <s v="PRLS/25/13281"/>
        <s v="PRLS/25/13276"/>
        <s v="PRLS/25/13499"/>
        <s v="PRLS/25/13722"/>
        <s v="PRLS/25/13723"/>
        <s v="PRLS/25/13724"/>
        <s v="PRLS/25/13725"/>
        <s v="PRLS/25/13463"/>
        <s v="PRLS/25/13465"/>
        <s v="PRLS/25/13719"/>
        <s v="PRLS/25/13275"/>
        <s v="PRLS/25/13143"/>
        <s v="PRLS/25/13147"/>
        <s v="PRLS/25/13827"/>
        <s v="PRLS/25/13829"/>
        <s v="PRLS/25/13890"/>
        <s v="PRLS/25/13718"/>
        <s v="PRLS/25/13822"/>
        <s v="PRLS/25/13715"/>
        <s v="PRLS/25/13720"/>
        <s v="PRLS/25/13828"/>
        <s v="PRLS/25/13717"/>
        <s v="PRLS/25/13516"/>
        <s v="PRLS/25/13518"/>
        <s v="PRLS/25/13714"/>
        <s v="PRLS/25/13509"/>
        <s v="PRLS/25/13510"/>
        <s v="PRLS/25/13511"/>
        <s v="PRLS/25/13513"/>
        <s v="PRLS/25/13512"/>
        <s v="PRLS/25/13514"/>
        <s v="PRLS/25/13515"/>
        <s v="PRLS/25/13898"/>
        <s v="PRLS/25/13899"/>
        <s v="PRLS/25/13517"/>
        <s v="PRLS/25/13942"/>
        <s v="PRLS/25/13943"/>
        <s v="PRLS/25/14064"/>
        <s v="PRLS/25/14066"/>
        <s v="PRLS/25/14067"/>
        <s v="PRLS/25/14068"/>
        <s v="PRLS/25/14069"/>
        <s v="PRLS/25/14070"/>
        <s v="PRLS/25/14071"/>
        <s v="PRLS/25/14072"/>
        <s v="PRLS/25/14073"/>
        <s v="PRLS/25/14074"/>
        <s v="PRLS/25/14075"/>
        <s v="PRLS/25/14100"/>
        <s v="PRLS/25/14101"/>
        <s v="PRLS/25/14102"/>
        <s v="PRLS/25/14103"/>
        <s v="PRLS/25/14104"/>
        <s v="PRLS/25/14105"/>
        <s v="PRLS/25/14106"/>
        <s v="PRLS/25/14107"/>
        <s v="PRLS/25/12520, PRLS/25/13668"/>
        <s v="PRLS/25/13302"/>
        <s v="PRLS/25/14123"/>
        <s v="PRLS/25/12525, PRLS/25/13671"/>
        <s v="PRLS/25/14124"/>
        <s v="PRLS/25/14125"/>
        <s v="PRLS/25/12522, PRLS/25/13672, PRLS/25/13968"/>
        <s v="PRLS/25/14126"/>
        <s v="PRLS/25/12515, PRLS/25/13673"/>
        <s v="PRLS/25/14127"/>
        <s v="PRLS/25/13303"/>
        <s v="PRLS/25/14128"/>
        <s v="PRLS/25/12524, PRLS/25/13674"/>
        <s v="PRLS/25/14129"/>
        <s v="PRLS/25/14130"/>
        <s v="PRLS/25/14131"/>
        <s v="PRLS/26/10044"/>
        <s v="PRLS/26/10037"/>
        <s v="PRLS/26/10039"/>
        <s v="PRLS/26/10040"/>
        <m/>
        <s v="PRLS/25/10382" u="1"/>
        <s v="PRLS/25/10658" u="1"/>
        <s v="PRLS/24/12103" u="1"/>
        <s v="PRLS/25/11974" u="1"/>
        <s v="PRLS/25/10802" u="1"/>
        <s v="PRLS/25/13183" u="1"/>
        <s v="PRLS/24/13603" u="1"/>
        <s v="PRLS/25/12203" u="1"/>
        <s v="PRLS/24/13291" u="1"/>
        <s v="PRLS/24/13659" u="1"/>
        <s v="PRLS/24/13611" u="1"/>
        <s v="PRLS/25/10910" u="1"/>
        <s v="PRLS/25/12211" u="1"/>
        <s v="PRLS/24/13391" u="1"/>
        <s v="PRLS/24/12359" u="1"/>
        <s v="PRLS/25/10966" u="1"/>
        <s v="PRLS/25/12311" u="1"/>
        <s v="PRLS/24/12091" u="1"/>
        <s v="PRLS/24/12367" u="1"/>
        <s v="PRLS/24/12459" u="1"/>
        <s v="PRLS/25/10974" u="1"/>
        <s v="PRLS/24/12375" u="1"/>
        <s v="PRLS/24/12559" u="1"/>
        <s v="PRLS/25/10982" u="1"/>
        <s v="PRLS/25/12191" u="1"/>
        <s v="PRLS/25/11067" u="1"/>
        <s v="PRLS/24/12659" u="1"/>
        <s v="PRLS/24/12611" u="1"/>
        <s v="PRLS/25/11075" u="1"/>
        <s v="PRLS/24/12575" u="1"/>
        <s v="PRLS/24/12583" u="1"/>
        <s v="PRLS/24/12903" u="1"/>
        <s v="PRLS/25/10059" u="1"/>
        <s v="PRLS/24/12775" u="1"/>
        <s v="PRLS/24/12911" u="1"/>
        <s v="PRLS/25/10111" u="1"/>
        <s v="PRLS/25/10203" u="1"/>
        <s v="PRLS/25/11383" u="1"/>
        <s v="PRLS/25/10259" u="1"/>
        <s v="PRLS/25/11703" u="1"/>
        <s v="PRLS/25/10211" u="1"/>
        <s v="PRLS/25/10303" u="1"/>
        <s v="PRLS/24/12791" u="1"/>
        <s v="PRLS/24/11391" u="1"/>
        <s v="PRLS/24/13104" u="1"/>
        <s v="PRLS/25/12975" u="1"/>
        <s v="PRLS/25/11759" u="1"/>
        <s v="PRLS/25/10267" u="1"/>
        <s v="PRLS/25/10311" u="1"/>
        <s v="PRLS/24/12891" u="1"/>
        <s v="PRLS/24/13112" u="1"/>
        <s v="PRLS/25/12891" u="1"/>
        <s v="PRLS/25/10275" u="1"/>
        <s v="PRLS/24/13076" u="1"/>
        <s v="PRLS/25/10467" u="1"/>
        <s v="PRLS/24/13084" u="1"/>
        <s v="PRLS/24/13220" u="1"/>
        <s v="PRLS/24/13404" u="1"/>
        <s v="PRLS/25/10383" u="1"/>
        <s v="PRLS/25/10659" u="1"/>
        <s v="PRLS/24/12104" u="1"/>
        <s v="PRLS/25/11975" u="1"/>
        <s v="PRLS/25/10803" u="1"/>
        <s v="PRLS/24/13604" u="1"/>
        <s v="PRLS/25/11983" u="1"/>
        <s v="PRLS/25/10811" u="1"/>
        <s v="PRLS/25/12204" u="1"/>
        <s v="PRLS/24/13292" u="1"/>
        <s v="PRLS/24/12076" u="1"/>
        <s v="PRLS/24/13612" u="1"/>
        <s v="PRLS/24/12212" u="1"/>
        <s v="PRLS/25/10591" u="1"/>
        <s v="PRLS/25/12212" u="1"/>
        <s v="PRLS/24/13576" u="1"/>
        <s v="PRLS/24/13620" u="1"/>
        <s v="PRLS/24/12220" u="1"/>
        <s v="PRLS/25/10691" u="1"/>
        <s v="PRLS/25/10967" u="1"/>
        <s v="PRLS/25/12312" u="1"/>
        <s v="PRLS/24/12092" u="1"/>
        <s v="PRLS/24/12368" u="1"/>
        <s v="PRLS/24/12412" u="1"/>
        <s v="PRLS/25/10975" u="1"/>
        <s v="PRLS/25/12320" u="1"/>
        <s v="PRLS/24/12376" u="1"/>
        <s v="PRLS/24/12420" u="1"/>
        <s v="PRLS/25/10983" u="1"/>
        <s v="PRLS/25/11204" u="1"/>
        <s v="PRLS/24/12704" u="1"/>
        <s v="PRLS/24/12576" u="1"/>
        <s v="PRLS/25/11220" u="1"/>
        <s v="PRLS/25/11404" u="1"/>
        <s v="PRLS/24/12492" u="1"/>
        <s v="PRLS/24/12584" u="1"/>
        <s v="PRLS/25/12720" u="1"/>
        <s v="PRLS/25/11412" u="1"/>
        <s v="PRLS/24/12820" u="1"/>
        <s v="PRLS/24/12912" u="1"/>
        <s v="PRLS/25/10112" u="1"/>
        <s v="PRLS/25/10204" u="1"/>
        <s v="PRLS/24/12920" u="1"/>
        <s v="PRLS/25/11704" u="1"/>
        <s v="PRLS/25/10212" u="1"/>
        <s v="PRLS/25/10304" u="1"/>
        <s v="PRLS/24/12884" u="1"/>
        <s v="PRLS/24/11392" u="1"/>
        <s v="PRLS/24/13105" u="1"/>
        <s v="PRLS/25/10220" u="1"/>
        <s v="PRLS/25/10312" u="1"/>
        <s v="PRLS/24/12892" u="1"/>
        <s v="PRLS/24/13113" u="1"/>
        <s v="PRLS/25/12892" u="1"/>
        <s v="PRLS/25/10184" u="1"/>
        <s v="PRLS/25/11720" u="1"/>
        <s v="PRLS/24/13077" u="1"/>
        <s v="PRLS/24/13213" u="1"/>
        <s v="PRLS/25/10284" u="1"/>
        <s v="PRLS/25/10468" u="1"/>
        <s v="PRLS/24/13221" u="1"/>
        <s v="PRLS/24/13405" u="1"/>
        <s v="PRLS/25/11968" u="1"/>
        <s v="PRLS/25/10384" u="1"/>
        <s v="PRLS/24/12105" u="1"/>
        <s v="PRLS/24/13421" u="1"/>
        <s v="PRLS/25/11984" u="1"/>
        <s v="PRLS/25/10812" u="1"/>
        <s v="PRLS/25/12069" u="1"/>
        <s v="PRLS/25/12205" u="1"/>
        <s v="PRLS/24/13293" u="1"/>
        <s v="PRLS/24/13569" u="1"/>
        <s v="PRLS/24/12077" u="1"/>
        <s v="PRLS/24/13613" u="1"/>
        <s v="PRLS/24/12213" u="1"/>
        <s v="PRLS/25/10592" u="1"/>
        <s v="PRLS/25/10820" u="1"/>
        <s v="PRLS/25/10912" u="1"/>
        <s v="PRLS/25/12305" u="1"/>
        <s v="PRLS/24/13621" u="1"/>
        <s v="PRLS/24/12221" u="1"/>
        <s v="PRLS/25/10692" u="1"/>
        <s v="PRLS/25/10968" u="1"/>
        <s v="PRLS/25/12221" u="1"/>
        <s v="PRLS/24/12093" u="1"/>
        <s v="PRLS/24/12369" u="1"/>
        <s v="PRLS/24/12413" u="1"/>
        <s v="PRLS/25/10884" u="1"/>
        <s v="PRLS/25/10976" u="1"/>
        <s v="PRLS/25/12321" u="1"/>
        <s v="PRLS/24/12377" u="1"/>
        <s v="PRLS/24/12421" u="1"/>
        <s v="PRLS/25/10984" u="1"/>
        <s v="PRLS/24/12569" u="1"/>
        <s v="PRLS/25/12385" u="1"/>
        <s v="PRLS/24/12577" u="1"/>
        <s v="PRLS/24/12669" u="1"/>
        <s v="PRLS/24/12713" u="1"/>
        <s v="PRLS/24/12493" u="1"/>
        <s v="PRLS/24/12769" u="1"/>
        <s v="PRLS/24/12905" u="1"/>
        <s v="PRLS/25/12721" u="1"/>
        <s v="PRLS/24/12777" u="1"/>
        <s v="PRLS/24/12821" u="1"/>
        <s v="PRLS/24/12913" u="1"/>
        <s v="PRLS/25/11469" u="1"/>
        <s v="PRLS/25/10113" u="1"/>
        <s v="PRLS/25/10205" u="1"/>
        <s v="PRLS/24/12921" u="1"/>
        <s v="PRLS/25/12969" u="1"/>
        <s v="PRLS/25/11705" u="1"/>
        <s v="PRLS/25/10213" u="1"/>
        <s v="PRLS/24/11577" u="1"/>
        <s v="PRLS/24/13106" u="1"/>
        <s v="PRLS/25/11393" u="1"/>
        <s v="PRLS/25/10269" u="1"/>
        <s v="PRLS/25/10221" u="1"/>
        <s v="PRLS/24/12893" u="1"/>
        <s v="PRLS/24/13114" u="1"/>
        <s v="PRLS/25/12893" u="1"/>
        <s v="PRLS/25/11585" u="1"/>
        <s v="PRLS/25/10185" u="1"/>
        <s v="PRLS/25/10277" u="1"/>
        <s v="PRLS/24/13214" u="1"/>
        <s v="PRLS/25/10285" u="1"/>
        <s v="PRLS/25/10469" u="1"/>
        <s v="PRLS/25/10605" u="1"/>
        <s v="PRLS/24/13178" u="1"/>
        <s v="PRLS/24/13222" u="1"/>
        <s v="PRLS/25/10385" u="1"/>
        <s v="PRLS/24/12014" u="1"/>
        <s v="PRLS/24/13606" u="1"/>
        <s v="PRLS/25/10813" u="1"/>
        <s v="PRLS/25/12206" u="1"/>
        <s v="PRLS/24/13294" u="1"/>
        <s v="PRLS/24/12078" u="1"/>
        <s v="PRLS/24/13614" u="1"/>
        <s v="PRLS/25/10821" u="1"/>
        <s v="PRLS/25/12030" u="1"/>
        <s v="PRLS/25/12306" u="1"/>
        <s v="PRLS/24/13622" u="1"/>
        <s v="PRLS/24/12130" u="1"/>
        <s v="PRLS/24/12406" u="1"/>
        <s v="PRLS/24/11006" u="1"/>
        <s v="PRLS/25/10969" u="1"/>
        <s v="PRLS/25/12086" u="1"/>
        <s v="PRLS/25/12130" u="1"/>
        <s v="PRLS/25/12222" u="1"/>
        <s v="PRLS/25/12314" u="1"/>
        <s v="PRLS/24/12094" u="1"/>
        <s v="PRLS/24/12414" u="1"/>
        <s v="PRLS/25/10885" u="1"/>
        <s v="PRLS/25/10977" u="1"/>
        <s v="PRLS/25/12094" u="1"/>
        <s v="PRLS/25/12322" u="1"/>
        <s v="PRLS/24/12378" u="1"/>
        <s v="PRLS/24/12422" u="1"/>
        <s v="PRLS/25/10985" u="1"/>
        <s v="PRLS/25/12194" u="1"/>
        <s v="PRLS/25/12330" u="1"/>
        <s v="PRLS/25/11022" u="1"/>
        <s v="PRLS/24/12430" u="1"/>
        <s v="PRLS/25/12430" u="1"/>
        <s v="PRLS/25/11030" u="1"/>
        <s v="PRLS/24/12714" u="1"/>
        <s v="PRLS/24/12906" u="1"/>
        <s v="PRLS/24/12778" u="1"/>
        <s v="PRLS/24/12822" u="1"/>
        <s v="PRLS/24/12914" u="1"/>
        <s v="PRLS/25/11286" u="1"/>
        <s v="PRLS/25/12730" u="1"/>
        <s v="PRLS/25/10206" u="1"/>
        <s v="PRLS/24/12830" u="1"/>
        <s v="PRLS/24/12922" u="1"/>
        <s v="PRLS/25/11386" u="1"/>
        <s v="PRLS/25/12830" u="1"/>
        <s v="PRLS/25/11706" u="1"/>
        <s v="PRLS/25/10214" u="1"/>
        <s v="PRLS/25/10306" u="1"/>
        <s v="PRLS/24/12794" u="1"/>
        <s v="PRLS/24/11578" u="1"/>
        <s v="PRLS/24/12930" u="1"/>
        <s v="PRLS/24/13107" u="1"/>
        <s v="PRLS/25/11394" u="1"/>
        <s v="PRLS/25/11714" u="1"/>
        <s v="PRLS/25/10222" u="1"/>
        <s v="PRLS/24/12894" u="1"/>
        <s v="PRLS/24/13115" u="1"/>
        <s v="PRLS/25/11586" u="1"/>
        <s v="PRLS/25/11722" u="1"/>
        <s v="PRLS/24/13215" u="1"/>
        <s v="PRLS/25/11822" u="1"/>
        <s v="PRLS/25/10606" u="1"/>
        <s v="PRLS/24/13179" u="1"/>
        <s v="PRLS/24/13223" u="1"/>
        <s v="PRLS/25/10294" u="1"/>
        <s v="PRLS/24/11930" u="1"/>
        <s v="PRLS/24/13415" u="1"/>
        <s v="PRLS/24/12015" u="1"/>
        <s v="PRLS/24/13607" u="1"/>
        <s v="PRLS/24/12207" u="1"/>
        <s v="PRLS/25/10814" u="1"/>
        <s v="PRLS/25/13331" u="1"/>
        <s v="PRLS/24/13295" u="1"/>
        <s v="PRLS/24/13615" u="1"/>
        <s v="PRLS/24/12215" u="1"/>
        <s v="PRLS/25/10822" u="1"/>
        <s v="PRLS/25/12031" u="1"/>
        <s v="PRLS/25/12307" u="1"/>
        <s v="PRLS/24/12087" u="1"/>
        <s v="PRLS/24/13623" u="1"/>
        <s v="PRLS/24/12131" u="1"/>
        <s v="PRLS/25/12179" u="1"/>
        <s v="PRLS/25/12131" u="1"/>
        <s v="PRLS/25/12223" u="1"/>
        <s v="PRLS/25/12315" u="1"/>
        <s v="PRLS/24/12095" u="1"/>
        <s v="PRLS/24/12415" u="1"/>
        <s v="PRLS/25/10886" u="1"/>
        <s v="PRLS/25/10978" u="1"/>
        <s v="PRLS/25/10930" u="1"/>
        <s v="PRLS/25/12095" u="1"/>
        <s v="PRLS/25/12323" u="1"/>
        <s v="PRLS/24/12379" u="1"/>
        <s v="PRLS/24/12423" u="1"/>
        <s v="PRLS/24/12607" u="1"/>
        <s v="PRLS/25/10986" u="1"/>
        <s v="PRLS/25/12331" u="1"/>
        <s v="PRLS/25/11023" u="1"/>
        <s v="PRLS/24/12707" u="1"/>
        <s v="PRLS/25/12295" u="1"/>
        <s v="PRLS/25/12431" u="1"/>
        <s v="PRLS/25/11031" u="1"/>
        <s v="PRLS/24/12579" u="1"/>
        <s v="PRLS/24/12907" u="1"/>
        <s v="PRLS/25/10107" u="1"/>
        <s v="PRLS/24/12823" u="1"/>
        <s v="PRLS/24/12915" u="1"/>
        <s v="PRLS/25/12731" u="1"/>
        <s v="PRLS/25/10207" u="1"/>
        <s v="PRLS/24/12787" u="1"/>
        <s v="PRLS/24/12831" u="1"/>
        <s v="PRLS/24/12923" u="1"/>
        <s v="PRLS/25/11387" u="1"/>
        <s v="PRLS/25/12831" u="1"/>
        <s v="PRLS/25/10215" u="1"/>
        <s v="PRLS/25/10307" u="1"/>
        <s v="PRLS/24/12795" u="1"/>
        <s v="PRLS/24/12931" u="1"/>
        <s v="PRLS/24/13108" u="1"/>
        <s v="PRLS/25/11579" u="1"/>
        <s v="PRLS/25/11715" u="1"/>
        <s v="PRLS/25/10223" u="1"/>
        <s v="PRLS/24/12895" u="1"/>
        <s v="PRLS/24/11631" u="1"/>
        <s v="PRLS/24/13116" u="1"/>
        <s v="PRLS/25/11587" u="1"/>
        <s v="PRLS/25/10279" u="1"/>
        <s v="PRLS/25/12522, PRLS/25/13968" u="1"/>
        <s v="PRLS/25/10231" u="1"/>
        <s v="PRLS/24/13216" u="1"/>
        <s v="PRLS/25/10195" u="1"/>
        <s v="PRLS/25/10287" u="1"/>
        <s v="PRLS/25/10379" u="1"/>
        <s v="PRLS/25/11823" u="1"/>
        <s v="PRLS/25/10607" u="1"/>
        <s v="PRLS/25/13124" u="1"/>
        <s v="PRLS/24/13224" u="1"/>
        <s v="PRLS/24/13408" u="1"/>
        <s v="PRLS/25/10295" u="1"/>
        <s v="PRLS/24/11931" u="1"/>
        <s v="PRLS/24/13096" u="1"/>
        <s v="PRLS/25/10395" u="1"/>
        <s v="PRLS/24/13424" u="1"/>
        <s v="PRLS/24/13608" u="1"/>
        <s v="PRLS/24/12208" u="1"/>
        <s v="PRLS/25/10815" u="1"/>
        <s v="PRLS/25/13332" u="1"/>
        <s v="PRLS/25/12208" u="1"/>
        <s v="PRLS/24/13296" u="1"/>
        <s v="PRLS/24/13616" u="1"/>
        <s v="PRLS/24/12216" u="1"/>
        <s v="PRLS/25/10823" u="1"/>
        <s v="PRLS/25/10915" u="1"/>
        <s v="PRLS/25/12032" u="1"/>
        <s v="PRLS/25/12308" u="1"/>
        <s v="PRLS/24/12088" u="1"/>
        <s v="PRLS/24/13624" u="1"/>
        <s v="PRLS/24/12132" u="1"/>
        <s v="PRLS/24/12408" u="1"/>
        <s v="PRLS/25/12088" u="1"/>
        <s v="PRLS/25/12040" u="1"/>
        <s v="PRLS/25/12132" u="1"/>
        <s v="PRLS/25/12224" u="1"/>
        <s v="PRLS/25/12316" u="1"/>
        <s v="PRLS/24/12140" u="1"/>
        <s v="PRLS/24/12416" u="1"/>
        <s v="PRLS/25/10887" u="1"/>
        <s v="PRLS/25/10979" u="1"/>
        <s v="PRLS/25/10931" u="1"/>
        <s v="PRLS/25/12096" u="1"/>
        <s v="PRLS/25/12188" u="1"/>
        <s v="PRLS/25/12140" u="1"/>
        <s v="PRLS/25/12324" u="1"/>
        <s v="PRLS/24/12240" u="1"/>
        <s v="PRLS/24/12608" u="1"/>
        <s v="PRLS/25/10987" u="1"/>
        <s v="PRLS/25/12332" u="1"/>
        <s v="PRLS/25/11024" u="1"/>
        <s v="PRLS/24/12340" u="1"/>
        <s v="PRLS/24/12432" u="1"/>
        <s v="PRLS/24/12708" u="1"/>
        <s v="PRLS/25/12340" u="1"/>
        <s v="PRLS/25/12432" u="1"/>
        <s v="PRLS/25/11032" u="1"/>
        <s v="PRLS/24/12440" u="1"/>
        <s v="PRLS/25/12440" u="1"/>
        <s v="PRLS/25/12808" u="1"/>
        <s v="PRLS/25/11040" u="1"/>
        <s v="PRLS/24/12588" u="1"/>
        <s v="PRLS/24/12908" u="1"/>
        <s v="PRLS/25/12724" u="1"/>
        <s v="PRLS/24/12824" u="1"/>
        <s v="PRLS/25/12596" u="1"/>
        <s v="PRLS/25/10208" u="1"/>
        <s v="PRLS/24/12788" u="1"/>
        <s v="PRLS/24/12832" u="1"/>
        <s v="PRLS/24/12924" u="1"/>
        <s v="PRLS/25/12832" u="1"/>
        <s v="PRLS/25/10216" u="1"/>
        <s v="PRLS/25/10308" u="1"/>
        <s v="PRLS/24/12796" u="1"/>
        <s v="PRLS/24/12888" u="1"/>
        <s v="PRLS/24/12840" u="1"/>
        <s v="PRLS/24/12932" u="1"/>
        <s v="PRLS/24/11440" u="1"/>
        <s v="PRLS/24/13109" u="1"/>
        <s v="PRLS/25/12888" u="1"/>
        <s v="PRLS/25/11716" u="1"/>
        <s v="PRLS/25/10040" u="1"/>
        <s v="PRLS/24/12896" u="1"/>
        <s v="PRLS/24/12940" u="1"/>
        <s v="PRLS/24/11632" u="1"/>
        <s v="PRLS/24/13117" u="1"/>
        <s v="PRLS/25/11588" u="1"/>
        <s v="PRLS/25/10188" u="1"/>
        <s v="PRLS/25/10232" u="1"/>
        <s v="PRLS/24/11640" u="1"/>
        <s v="PRLS/24/13217" u="1"/>
        <s v="PRLS/25/10196" u="1"/>
        <s v="PRLS/25/10240" u="1"/>
        <s v="PRLS/25/10608" u="1"/>
        <s v="PRLS/24/13225" u="1"/>
        <s v="PRLS/24/13409" u="1"/>
        <s v="PRLS/25/10296" u="1"/>
        <s v="PRLS/25/11832" u="1"/>
        <s v="PRLS/24/11932" u="1"/>
        <s v="PRLS/24/13097" u="1"/>
        <s v="PRLS/24/13417" u="1"/>
        <s v="PRLS/25/10396" u="1"/>
        <s v="PRLS/24/13425" u="1"/>
        <s v="PRLS/24/13609" u="1"/>
        <s v="PRLS/25/10816" u="1"/>
        <s v="PRLS/25/13333" u="1"/>
        <s v="PRLS/25/12209" u="1"/>
        <s v="PRLS/24/13617" u="1"/>
        <s v="PRLS/25/10824" u="1"/>
        <s v="PRLS/25/12033" u="1"/>
        <s v="PRLS/24/12089" u="1"/>
        <s v="PRLS/24/13441" u="1"/>
        <s v="PRLS/24/13533" u="1"/>
        <s v="PRLS/24/13625" u="1"/>
        <s v="PRLS/24/12133" u="1"/>
        <s v="PRLS/24/12409" u="1"/>
        <s v="PRLS/25/10924" u="1"/>
        <s v="PRLS/25/12089" u="1"/>
        <s v="PRLS/25/12041" u="1"/>
        <s v="PRLS/25/12133" u="1"/>
        <s v="PRLS/25/12225" u="1"/>
        <s v="PRLS/25/12317" u="1"/>
        <s v="PRLS/24/12097" u="1"/>
        <s v="PRLS/24/13541" u="1"/>
        <s v="PRLS/24/12141" u="1"/>
        <s v="PRLS/25/10932" u="1"/>
        <s v="PRLS/25/12141" u="1"/>
        <s v="PRLS/25/12325" u="1"/>
        <s v="PRLS/24/12241" u="1"/>
        <s v="PRLS/24/12517" u="1"/>
        <s v="PRLS/24/12609" u="1"/>
        <s v="PRLS/25/10988" u="1"/>
        <s v="PRLS/25/12333" u="1"/>
        <s v="PRLS/25/11025" u="1"/>
        <s v="PRLS/24/12433" u="1"/>
        <s v="PRLS/24/12709" u="1"/>
        <s v="PRLS/25/12433" u="1"/>
        <s v="PRLS/25/11033" u="1"/>
        <s v="PRLS/25/11217" u="1"/>
        <s v="PRLS/25/12441" u="1"/>
        <s v="PRLS/25/11041" u="1"/>
        <s v="PRLS/25/11409" u="1"/>
        <s v="PRLS/25/12725" u="1"/>
        <s v="PRLS/25/10109" u="1"/>
        <s v="PRLS/24/12825" u="1"/>
        <s v="PRLS/24/12917" u="1"/>
        <s v="PRLS/25/12597" u="1"/>
        <s v="PRLS/25/12733" u="1"/>
        <s v="PRLS/25/10209" u="1"/>
        <s v="PRLS/24/12789" u="1"/>
        <s v="PRLS/24/12833" u="1"/>
        <s v="PRLS/24/12925" u="1"/>
        <s v="PRLS/25/12741" u="1"/>
        <s v="PRLS/25/10125" u="1"/>
        <s v="PRLS/25/10217" u="1"/>
        <s v="PRLS/25/10309" u="1"/>
        <s v="PRLS/24/12797" u="1"/>
        <s v="PRLS/24/12889" u="1"/>
        <s v="PRLS/24/12841" u="1"/>
        <s v="PRLS/24/12933" u="1"/>
        <s v="PRLS/24/11441" u="1"/>
        <s v="PRLS/24/11625" u="1"/>
        <s v="PRLS/25/12889" u="1"/>
        <s v="PRLS/25/11397" u="1"/>
        <s v="PRLS/25/11717" u="1"/>
        <s v="PRLS/25/10041" u="1"/>
        <s v="PRLS/25/10225" u="1"/>
        <s v="PRLS/25/10317" u="1"/>
        <s v="PRLS/24/12897" u="1"/>
        <s v="PRLS/24/12941" u="1"/>
        <s v="PRLS/24/11633" u="1"/>
        <s v="PRLS/24/13118" u="1"/>
        <s v="PRLS/25/10189" u="1"/>
        <s v="PRLS/25/10233" u="1"/>
        <s v="PRLS/24/13218" u="1"/>
        <s v="PRLS/25/10197" u="1"/>
        <s v="PRLS/25/10241" u="1"/>
        <s v="PRLS/24/13226" u="1"/>
        <s v="PRLS/25/11833" u="1"/>
        <s v="PRLS/24/11933" u="1"/>
        <s v="PRLS/24/13098" u="1"/>
        <s v="PRLS/24/13050" u="1"/>
        <s v="PRLS/24/13418" u="1"/>
        <s v="PRLS/25/10397" u="1"/>
        <s v="PRLS/25/11841" u="1"/>
        <s v="PRLS/24/11941" u="1"/>
        <s v="PRLS/24/13150" u="1"/>
        <s v="PRLS/24/13426" u="1"/>
        <s v="PRLS/25/10817" u="1"/>
        <s v="PRLS/25/10909" u="1"/>
        <s v="PRLS/25/13334" u="1"/>
        <s v="PRLS/25/12026" u="1"/>
        <s v="PRLS/24/13618" u="1"/>
        <s v="PRLS/25/10825" u="1"/>
        <s v="PRLS/25/10917" u="1"/>
        <s v="PRLS/25/12034" u="1"/>
        <s v="PRLS/24/13398" u="1"/>
        <s v="PRLS/24/13534" u="1"/>
        <s v="PRLS/24/13626" u="1"/>
        <s v="PRLS/24/12134" u="1"/>
        <s v="PRLS/25/12134" u="1"/>
        <s v="PRLS/25/12318" u="1"/>
        <s v="PRLS/24/13450" u="1"/>
        <s v="PRLS/24/13542" u="1"/>
        <s v="PRLS/24/12142" u="1"/>
        <s v="PRLS/24/12418" u="1"/>
        <s v="PRLS/25/10933" u="1"/>
        <s v="PRLS/25/12142" u="1"/>
        <s v="PRLS/25/12326" u="1"/>
        <s v="PRLS/24/13598" u="1"/>
        <s v="PRLS/24/12150" u="1"/>
        <s v="PRLS/24/12242" u="1"/>
        <s v="PRLS/24/12426" u="1"/>
        <s v="PRLS/25/10989" u="1"/>
        <s v="PRLS/25/12198" u="1"/>
        <s v="PRLS/25/12334" u="1"/>
        <s v="PRLS/25/12426" u="1"/>
        <s v="PRLS/25/11026" u="1"/>
        <s v="PRLS/25/12434" u="1"/>
        <s v="PRLS/25/11034" u="1"/>
        <s v="PRLS/25/11218" u="1"/>
        <s v="PRLS/24/12350" u="1"/>
        <s v="PRLS/25/12442" u="1"/>
        <s v="PRLS/25/11042" u="1"/>
        <s v="PRLS/25/11226" u="1"/>
        <s v="PRLS/25/12634" u="1"/>
        <s v="PRLS/25/12726" u="1"/>
        <s v="PRLS/24/12598" u="1"/>
        <s v="PRLS/24/12826" u="1"/>
        <s v="PRLS/24/12918" u="1"/>
        <s v="PRLS/25/12598" u="1"/>
        <s v="PRLS/24/12834" u="1"/>
        <s v="PRLS/24/12926" u="1"/>
        <s v="PRLS/25/12742" u="1"/>
        <s v="PRLS/25/10126" u="1"/>
        <s v="PRLS/25/10218" u="1"/>
        <s v="PRLS/24/12798" u="1"/>
        <s v="PRLS/24/12934" u="1"/>
        <s v="PRLS/24/11442" u="1"/>
        <s v="PRLS/25/11398" u="1"/>
        <s v="PRLS/25/10042" u="1"/>
        <s v="PRLS/25/10226" u="1"/>
        <s v="PRLS/24/12898" u="1"/>
        <s v="PRLS/24/12942" u="1"/>
        <s v="PRLS/24/11634" u="1"/>
        <s v="PRLS/25/10050" u="1"/>
        <s v="PRLS/25/10234" u="1"/>
        <s v="PRLS/24/12950" u="1"/>
        <s v="PRLS/24/11642" u="1"/>
        <s v="PRLS/24/13219" u="1"/>
        <s v="PRLS/25/10198" u="1"/>
        <s v="PRLS/25/11826" u="1"/>
        <s v="PRLS/25/10150" u="1"/>
        <s v="PRLS/24/11650" u="1"/>
        <s v="PRLS/25/10250" u="1"/>
        <s v="PRLS/24/13099" u="1"/>
        <s v="PRLS/25/10398" u="1"/>
        <s v="PRLS/25/11750" u="1"/>
        <s v="PRLS/25/11842" u="1"/>
        <s v="PRLS/24/11942" u="1"/>
        <s v="PRLS/24/13151" u="1"/>
        <s v="PRLS/25/10450" u="1"/>
        <s v="PRLS/25/10818" u="1"/>
        <s v="PRLS/25/13335" u="1"/>
        <s v="PRLS/25/12027" u="1"/>
        <s v="PRLS/24/11950" u="1"/>
        <s v="PRLS/24/13619" u="1"/>
        <s v="PRLS/24/12219" u="1"/>
        <s v="PRLS/25/10826" u="1"/>
        <s v="PRLS/25/10918" u="1"/>
        <s v="PRLS/25/12035" u="1"/>
        <s v="PRLS/25/12219" u="1"/>
        <s v="PRLS/24/13399" u="1"/>
        <s v="PRLS/24/13443" u="1"/>
        <s v="PRLS/24/13535" u="1"/>
        <s v="PRLS/24/13627" u="1"/>
        <s v="PRLS/24/12135" u="1"/>
        <s v="PRLS/25/10650" u="1"/>
        <s v="PRLS/25/10926" u="1"/>
        <s v="PRLS/25/12135" u="1"/>
        <s v="PRLS/25/12319" u="1"/>
        <s v="PRLS/24/12099" u="1"/>
        <s v="PRLS/24/13451" u="1"/>
        <s v="PRLS/24/13543" u="1"/>
        <s v="PRLS/24/12143" u="1"/>
        <s v="PRLS/24/12419" u="1"/>
        <s v="PRLS/25/12143" u="1"/>
        <s v="PRLS/25/12327" u="1"/>
        <s v="PRLS/24/13599" u="1"/>
        <s v="PRLS/24/12151" u="1"/>
        <s v="PRLS/24/12243" u="1"/>
        <s v="PRLS/25/12199" u="1"/>
        <s v="PRLS/25/12335" u="1"/>
        <s v="PRLS/25/12427" u="1"/>
        <s v="PRLS/25/11027" u="1"/>
        <s v="PRLS/25/12435" u="1"/>
        <s v="PRLS/25/11035" u="1"/>
        <s v="PRLS/25/11219" u="1"/>
        <s v="PRLS/24/12351" u="1"/>
        <s v="PRLS/24/12443" u="1"/>
        <s v="PRLS/25/12719" u="1"/>
        <s v="PRLS/25/11043" u="1"/>
        <s v="PRLS/24/12819" u="1"/>
        <s v="PRLS/25/12727" u="1"/>
        <s v="PRLS/24/12599" u="1"/>
        <s v="PRLS/24/12827" u="1"/>
        <s v="PRLS/24/12919" u="1"/>
        <s v="PRLS/25/12599" u="1"/>
        <s v="PRLS/25/12735" u="1"/>
        <s v="PRLS/24/12651" u="1"/>
        <s v="PRLS/24/12835" u="1"/>
        <s v="PRLS/24/12927" u="1"/>
        <s v="PRLS/25/12743" u="1"/>
        <s v="PRLS/25/10219" u="1"/>
        <s v="PRLS/24/12799" u="1"/>
        <s v="PRLS/24/12843" u="1"/>
        <s v="PRLS/25/11719" u="1"/>
        <s v="PRLS/24/12899" u="1"/>
        <s v="PRLS/24/12851" u="1"/>
        <s v="PRLS/24/12943" u="1"/>
        <s v="PRLS/24/11635" u="1"/>
        <s v="PRLS/25/10235" u="1"/>
        <s v="PRLS/24/12951" u="1"/>
        <s v="PRLS/24/11643" u="1"/>
        <s v="PRLS/25/10151" u="1"/>
        <s v="PRLS/24/11651" u="1"/>
        <s v="PRLS/24/13044" u="1"/>
        <s v="PRLS/25/11835" u="1"/>
        <s v="PRLS/25/10251" u="1"/>
        <s v="PRLS/25/11751" u="1"/>
        <s v="PRLS/25/11843" u="1"/>
        <s v="PRLS/25/13144" u="1"/>
        <s v="PRLS/24/11943" u="1"/>
        <s v="PRLS/25/10451" u="1"/>
        <s v="PRLS/25/10819" u="1"/>
        <s v="PRLS/25/13336" u="1"/>
        <s v="PRLS/24/11951" u="1"/>
        <s v="PRLS/24/13528" u="1"/>
        <s v="PRLS/24/12128" u="1"/>
        <s v="PRLS/25/10599" u="1"/>
        <s v="PRLS/25/10827" u="1"/>
        <s v="PRLS/25/13160" u="1"/>
        <s v="PRLS/25/12036" u="1"/>
        <s v="PRLS/24/13444" u="1"/>
        <s v="PRLS/24/13536" u="1"/>
        <s v="PRLS/24/12136" u="1"/>
        <s v="PRLS/25/10651" u="1"/>
        <s v="PRLS/25/10743" u="1"/>
        <s v="PRLS/25/12136" u="1"/>
        <s v="PRLS/24/13452" u="1"/>
        <s v="PRLS/24/12144" u="1"/>
        <s v="PRLS/24/12236" u="1"/>
        <s v="PRLS/25/12144" u="1"/>
        <s v="PRLS/24/12152" u="1"/>
        <s v="PRLS/24/12428" u="1"/>
        <s v="PRLS/25/11028" u="1"/>
        <s v="PRLS/25/10999" u="1"/>
        <s v="PRLS/25/12436" u="1"/>
        <s v="PRLS/25/11036" u="1"/>
        <s v="PRLS/24/12352" u="1"/>
        <s v="PRLS/25/12444" u="1"/>
        <s v="PRLS/25/11044" u="1"/>
        <s v="PRLS/24/12360" u="1"/>
        <s v="PRLS/24/12452" u="1"/>
        <s v="PRLS/25/12636" u="1"/>
        <s v="PRLS/25/12728" u="1"/>
        <s v="PRLS/24/12460" u="1"/>
        <s v="PRLS/24/12552" u="1"/>
        <s v="PRLS/24/12828" u="1"/>
        <s v="PRLS/25/12644" u="1"/>
        <s v="PRLS/24/12560" u="1"/>
        <s v="PRLS/24/12836" u="1"/>
        <s v="PRLS/24/12928" u="1"/>
        <s v="PRLS/25/12744" u="1"/>
        <s v="PRLS/24/12844" u="1"/>
        <s v="PRLS/24/12944" u="1"/>
        <s v="PRLS/24/11636" u="1"/>
        <s v="PRLS/25/10144" u="1"/>
        <s v="PRLS/25/10236" u="1"/>
        <s v="PRLS/25/10328" u="1"/>
        <s v="PRLS/24/11644" u="1"/>
        <s v="PRLS/25/11736" u="1"/>
        <s v="PRLS/25/10152" u="1"/>
        <s v="PRLS/25/10244" u="1"/>
        <s v="PRLS/24/11652" u="1"/>
        <s v="PRLS/24/11928" u="1"/>
        <s v="PRLS/24/11936" u="1"/>
        <s v="PRLS/25/11752" u="1"/>
        <s v="PRLS/25/10260" u="1"/>
        <s v="PRLS/25/13145" u="1"/>
        <s v="PRLS/24/11944" u="1"/>
        <s v="PRLS/25/10452" u="1"/>
        <s v="PRLS/25/13337" u="1"/>
        <s v="PRLS/24/11952" u="1"/>
        <s v="PRLS/24/13529" u="1"/>
        <s v="PRLS/24/12129" u="1"/>
        <s v="PRLS/25/10828" u="1"/>
        <s v="PRLS/25/12037" u="1"/>
        <s v="PRLS/24/13537" u="1"/>
        <s v="PRLS/24/12137" u="1"/>
        <s v="PRLS/25/10744" u="1"/>
        <s v="PRLS/25/12137" u="1"/>
        <s v="PRLS/24/12145" u="1"/>
        <s v="PRLS/24/12237" u="1"/>
        <s v="PRLS/25/10660" u="1"/>
        <s v="PRLS/25/12329" u="1"/>
        <s v="PRLS/24/12153" u="1"/>
        <s v="PRLS/25/12153" u="1"/>
        <s v="PRLS/25/12337" u="1"/>
        <s v="PRLS/25/12429" u="1"/>
        <s v="PRLS/25/11029" u="1"/>
        <s v="PRLS/24/12345" u="1"/>
        <s v="PRLS/24/12437" u="1"/>
        <s v="PRLS/25/12437" u="1"/>
        <s v="PRLS/25/11037" u="1"/>
        <s v="PRLS/24/12353" u="1"/>
        <s v="PRLS/25/11045" u="1"/>
        <s v="PRLS/24/12361" u="1"/>
        <s v="PRLS/24/12453" u="1"/>
        <s v="PRLS/25/12729" u="1"/>
        <s v="PRLS/24/12461" u="1"/>
        <s v="PRLS/24/12829" u="1"/>
        <s v="PRLS/25/12737" u="1"/>
        <s v="PRLS/25/12829" u="1"/>
        <s v="PRLS/24/12561" u="1"/>
        <s v="PRLS/24/12837" u="1"/>
        <s v="PRLS/24/12929" u="1"/>
        <s v="PRLS/24/12845" u="1"/>
        <s v="PRLS/24/12945" u="1"/>
        <s v="PRLS/24/11637" u="1"/>
        <s v="PRLS/25/10145" u="1"/>
        <s v="PRLS/25/10237" u="1"/>
        <s v="PRLS/25/10329" u="1"/>
        <s v="PRLS/24/11645" u="1"/>
        <s v="PRLS/25/11829" u="1"/>
        <s v="PRLS/25/10061" u="1"/>
        <s v="PRLS/25/10153" u="1"/>
        <s v="PRLS/25/10245" u="1"/>
        <s v="PRLS/24/11929" u="1"/>
        <s v="PRLS/24/13046" u="1"/>
        <s v="PRLS/25/10253" u="1"/>
        <s v="PRLS/25/11753" u="1"/>
        <s v="PRLS/25/11845" u="1"/>
        <s v="PRLS/25/11761" u="1"/>
        <s v="PRLS/25/10453" u="1"/>
        <s v="PRLS/25/13338" u="1"/>
        <s v="PRLS/24/13162" u="1"/>
        <s v="PRLS/25/10461" u="1"/>
        <s v="PRLS/25/10645" u="1"/>
        <s v="PRLS/25/12038" u="1"/>
        <s v="PRLS/24/13446" u="1"/>
        <s v="PRLS/24/13538" u="1"/>
        <s v="PRLS/24/12138" u="1"/>
        <s v="PRLS/25/10653" u="1"/>
        <s v="PRLS/25/10929" u="1"/>
        <s v="PRLS/25/12138" u="1"/>
        <s v="PRLS/24/12146" u="1"/>
        <s v="PRLS/24/12238" u="1"/>
        <s v="PRLS/25/10937" u="1"/>
        <s v="PRLS/24/12154" u="1"/>
        <s v="PRLS/24/12438" u="1"/>
        <s v="PRLS/25/12070" u="1"/>
        <s v="PRLS/25/12438" u="1"/>
        <s v="PRLS/25/11038" u="1"/>
        <s v="PRLS/24/12354" u="1"/>
        <s v="PRLS/25/10961" u="1"/>
        <s v="PRLS/25/12446" u="1"/>
        <s v="PRLS/25/11046" u="1"/>
        <s v="PRLS/24/13670" u="1"/>
        <s v="PRLS/24/12362" u="1"/>
        <s v="PRLS/24/12454" u="1"/>
        <s v="PRLS/24/12370" u="1"/>
        <s v="PRLS/24/12462" u="1"/>
        <s v="PRLS/24/12554" u="1"/>
        <s v="PRLS/25/12738" u="1"/>
        <s v="PRLS/24/12562" u="1"/>
        <s v="PRLS/24/12838" u="1"/>
        <s v="PRLS/24/11438" u="1"/>
        <s v="PRLS/25/11070" u="1"/>
        <s v="PRLS/24/12570" u="1"/>
        <s v="PRLS/24/12846" u="1"/>
        <s v="PRLS/24/11446" u="1"/>
        <s v="PRLS/24/12670" u="1"/>
        <s v="PRLS/24/12946" u="1"/>
        <s v="PRLS/24/11638" u="1"/>
        <s v="PRLS/25/12762" u="1"/>
        <s v="PRLS/25/10054" u="1"/>
        <s v="PRLS/25/10146" u="1"/>
        <s v="PRLS/25/10238" u="1"/>
        <s v="PRLS/24/12770" u="1"/>
        <s v="PRLS/24/11646" u="1"/>
        <s v="PRLS/25/11554" u="1"/>
        <s v="PRLS/25/10062" u="1"/>
        <s v="PRLS/25/10246" u="1"/>
        <s v="PRLS/25/11975, PRLS/25/12090" u="1"/>
        <s v="PRLS/24/13047" u="1"/>
        <s v="PRLS/25/11746" u="1"/>
        <s v="PRLS/25/12970" u="1"/>
        <s v="PRLS/25/11754" u="1"/>
        <s v="PRLS/25/11762" u="1"/>
        <s v="PRLS/25/10270" u="1"/>
        <s v="PRLS/25/10454" u="1"/>
        <s v="PRLS/25/13339" u="1"/>
        <s v="PRLS/25/10462" u="1"/>
        <s v="PRLS/25/10646" u="1"/>
        <s v="PRLS/25/12039" u="1"/>
        <s v="PRLS/24/13447" u="1"/>
        <s v="PRLS/24/13539" u="1"/>
        <s v="PRLS/24/12139" u="1"/>
        <s v="PRLS/25/10470" u="1"/>
        <s v="PRLS/25/10654" u="1"/>
        <s v="PRLS/25/12139" u="1"/>
        <s v="PRLS/24/12147" u="1"/>
        <s v="PRLS/24/12239" u="1"/>
        <s v="PRLS/25/11970" u="1"/>
        <s v="PRLS/25/10662" u="1"/>
        <s v="PRLS/24/12155" u="1"/>
        <s v="PRLS/24/12339" u="1"/>
        <s v="PRLS/25/12339" u="1"/>
        <s v="PRLS/24/12439" u="1"/>
        <s v="PRLS/25/11976, PRLS/25/12091" u="1"/>
        <s v="PRLS/25/12439" u="1"/>
        <s v="PRLS/25/11039" u="1"/>
        <s v="PRLS/24/13571" u="1"/>
        <s v="PRLS/24/12355" u="1"/>
        <s v="PRLS/25/10962" u="1"/>
        <s v="PRLS/25/11047" u="1"/>
        <s v="PRLS/24/12363" u="1"/>
        <s v="PRLS/24/12455" u="1"/>
        <s v="PRLS/25/10970" u="1"/>
        <s v="PRLS/24/12371" u="1"/>
        <s v="PRLS/24/12555" u="1"/>
        <s v="PRLS/25/12739" u="1"/>
        <s v="PRLS/24/12839" u="1"/>
        <s v="PRLS/24/11439" u="1"/>
        <s v="PRLS/25/11071" u="1"/>
        <s v="PRLS/25/10039" u="1"/>
        <s v="PRLS/24/12571" u="1"/>
        <s v="PRLS/24/12847" u="1"/>
        <s v="PRLS/24/11639" u="1"/>
        <s v="PRLS/25/10055" u="1"/>
        <s v="PRLS/25/10147" u="1"/>
        <s v="PRLS/25/10239" u="1"/>
        <s v="PRLS/24/11647" u="1"/>
        <s v="PRLS/25/11555" u="1"/>
        <s v="PRLS/25/10247" u="1"/>
        <s v="PRLS/25/11978, PRLS/25/12092" u="1"/>
        <s v="PRLS/24/13048" u="1"/>
        <s v="PRLS/25/11747" u="1"/>
        <s v="PRLS/25/10255" u="1"/>
        <s v="PRLS/24/13100" u="1"/>
        <s v="PRLS/25/11755" u="1"/>
        <s v="PRLS/25/13148" u="1"/>
        <s v="PRLS/25/11763" u="1"/>
        <s v="PRLS/25/10271" u="1"/>
        <s v="PRLS/25/10455" u="1"/>
        <s v="PRLS/24/11955" u="1"/>
        <s v="PRLS/24/13072" u="1"/>
        <s v="PRLS/25/11863" u="1"/>
        <s v="PRLS/25/10463" u="1"/>
        <s v="PRLS/25/10647" u="1"/>
        <s v="PRLS/24/13448" u="1"/>
        <s v="PRLS/24/13400" u="1"/>
        <s v="PRLS/25/10471" u="1"/>
        <s v="PRLS/24/12148" u="1"/>
        <s v="PRLS/24/12100" u="1"/>
        <s v="PRLS/25/11971" u="1"/>
        <s v="PRLS/24/12156" u="1"/>
        <s v="PRLS/24/13600" u="1"/>
        <s v="PRLS/25/12156" u="1"/>
        <s v="PRLS/25/11979, PRLS/25/12093" u="1"/>
        <s v="PRLS/24/12356" u="1"/>
        <s v="PRLS/25/10963" u="1"/>
        <s v="PRLS/25/12448" u="1"/>
        <s v="PRLS/24/12364" u="1"/>
        <s v="PRLS/25/10971" u="1"/>
        <s v="PRLS/25/12180" u="1"/>
        <s v="PRLS/24/12372" u="1"/>
        <s v="PRLS/25/12648" u="1"/>
        <s v="PRLS/25/12600" u="1"/>
        <s v="PRLS/24/12380" u="1"/>
        <s v="PRLS/24/12564" u="1"/>
        <s v="PRLS/24/12700" u="1"/>
        <s v="PRLS/25/11072" u="1"/>
        <s v="PRLS/24/12848" u="1"/>
        <s v="PRLS/24/12580" u="1"/>
        <s v="PRLS/24/12900" u="1"/>
        <s v="PRLS/25/10056" u="1"/>
        <s v="PRLS/25/10148" u="1"/>
        <s v="PRLS/24/12772" u="1"/>
        <s v="PRLS/24/11648" u="1"/>
        <s v="PRLS/25/11464" u="1"/>
        <s v="PRLS/25/10248" u="1"/>
        <s v="PRLS/25/10200" u="1"/>
        <s v="PRLS/24/11656" u="1"/>
        <s v="PRLS/25/11748" u="1"/>
        <s v="PRLS/24/13149" u="1"/>
        <s v="PRLS/24/13101" u="1"/>
        <s v="PRLS/25/11756" u="1"/>
        <s v="PRLS/25/13149" u="1"/>
        <s v="PRLS/24/11948" u="1"/>
        <s v="PRLS/25/11580" u="1"/>
        <s v="PRLS/25/11764" u="1"/>
        <s v="PRLS/25/10456" u="1"/>
        <s v="PRLS/24/11956" u="1"/>
        <s v="PRLS/25/10280" u="1"/>
        <s v="PRLS/25/10464" u="1"/>
        <s v="PRLS/25/10648" u="1"/>
        <s v="PRLS/24/13449" u="1"/>
        <s v="PRLS/25/10380" u="1"/>
        <s v="PRLS/25/10472" u="1"/>
        <s v="PRLS/24/13181" u="1"/>
        <s v="PRLS/24/12149" u="1"/>
        <s v="PRLS/25/11972" u="1"/>
        <s v="PRLS/25/10664" u="1"/>
        <s v="PRLS/24/12157" u="1"/>
        <s v="PRLS/24/13601" u="1"/>
        <s v="PRLS/25/11980" u="1"/>
        <s v="PRLS/25/12201" u="1"/>
        <s v="PRLS/24/10864" u="1"/>
        <s v="PRLS/24/10872" u="1"/>
        <s v="PRLS/24/12357" u="1"/>
        <s v="PRLS/24/12401" u="1"/>
        <s v="PRLS/25/10964" u="1"/>
        <s v="PRLS/24/12365" u="1"/>
        <s v="PRLS/25/10972" u="1"/>
        <s v="PRLS/24/12373" u="1"/>
        <s v="PRLS/25/10980" u="1"/>
        <s v="PRLS/25/11073" u="1"/>
        <s v="PRLS/24/11401" u="1"/>
        <s v="PRLS/25/11401" u="1"/>
        <s v="PRLS/24/12581" u="1"/>
        <s v="PRLS/24/12949" u="1"/>
        <s v="PRLS/24/12901" u="1"/>
        <s v="PRLS/25/11181" u="1"/>
        <s v="PRLS/25/10057" u="1"/>
        <s v="PRLS/25/10149" u="1"/>
        <s v="PRLS/24/11649" u="1"/>
        <s v="PRLS/25/10249" u="1"/>
        <s v="PRLS/25/10201" u="1"/>
        <s v="PRLS/24/11657" u="1"/>
        <s v="PRLS/25/11749" u="1"/>
        <s v="PRLS/25/10257" u="1"/>
        <s v="PRLS/24/13102" u="1"/>
        <s v="PRLS/25/10173" u="1"/>
        <s v="PRLS/25/10357" u="1"/>
        <s v="PRLS/24/13110" u="1"/>
        <s v="PRLS/25/11765" u="1"/>
        <s v="PRLS/25/10273" u="1"/>
        <s v="PRLS/25/10457" u="1"/>
        <s v="PRLS/24/11957" u="1"/>
        <s v="PRLS/25/11865" u="1"/>
        <s v="PRLS/25/10281" u="1"/>
        <s v="PRLS/25/10465" u="1"/>
        <s v="PRLS/25/10649" u="1"/>
        <s v="PRLS/24/13402" u="1"/>
        <s v="PRLS/25/10381" u="1"/>
        <s v="PRLS/25/10473" u="1"/>
        <s v="PRLS/25/11973" u="1"/>
        <s v="PRLS/24/12158" u="1"/>
        <s v="PRLS/24/13602" u="1"/>
        <s v="PRLS/25/11981" u="1"/>
        <s v="PRLS/25/12202" u="1"/>
        <s v="PRLS/24/13290" u="1"/>
        <s v="PRLS/24/13610" u="1"/>
        <s v="PRLS/24/12210" u="1"/>
        <s v="PRLS/25/12210" u="1"/>
        <s v="PRLS/24/12358" u="1"/>
        <s v="PRLS/25/10965" u="1"/>
        <s v="PRLS/25/12310" u="1"/>
        <s v="PRLS/24/12090" u="1"/>
        <s v="PRLS/24/12366" u="1"/>
        <s v="PRLS/24/12458" u="1"/>
        <s v="PRLS/24/12410" u="1"/>
        <s v="PRLS/25/10973" u="1"/>
        <s v="PRLS/24/12374" u="1"/>
        <s v="PRLS/24/12558" u="1"/>
        <s v="PRLS/25/12190" u="1"/>
        <s v="PRLS/24/12610" u="1"/>
        <s v="PRLS/25/11074" u="1"/>
        <s v="PRLS/25/11302" u="1"/>
        <s v="PRLS/24/12710" u="1"/>
        <s v="PRLS/24/12582" u="1"/>
        <s v="PRLS/24/12902" u="1"/>
        <s v="PRLS/25/11182" u="1"/>
        <s v="PRLS/25/10058" u="1"/>
        <s v="PRLS/24/12910" u="1"/>
        <s v="PRLS/25/10110" u="1"/>
        <s v="PRLS/25/10202" u="1"/>
        <s v="PRLS/24/11658" u="1"/>
        <s v="PRLS/25/11702" u="1"/>
        <s v="PRLS/25/10210" u="1"/>
        <s v="PRLS/24/12790" u="1"/>
        <s v="PRLS/24/13103" u="1"/>
        <s v="PRLS/25/12974" u="1"/>
        <s v="PRLS/25/11390" u="1"/>
        <s v="PRLS/25/11758" u="1"/>
        <s v="PRLS/25/10310" u="1"/>
        <s v="PRLS/24/12890" u="1"/>
        <s v="PRLS/24/13111" u="1"/>
        <s v="PRLS/25/12890" u="1"/>
        <s v="PRLS/25/11766" u="1"/>
        <s v="PRLS/25/10274" u="1"/>
        <s v="PRLS/24/11958" u="1"/>
        <s v="PRLS/24/13075" u="1"/>
        <s v="PRLS/24/13167" u="1"/>
        <s v="PRLS/25/11866" u="1"/>
        <s v="PRLS/25/10466" u="1"/>
        <s v="PRLS/24/13083" u="1"/>
        <s v="PRLS/24/13403" u="1"/>
      </sharedItems>
    </cacheField>
    <cacheField name="SEA" numFmtId="0">
      <sharedItems containsBlank="1" containsMixedTypes="1" containsNumber="1" containsInteger="1" minValue="999" maxValue="999" count="4">
        <s v="Seasonal"/>
        <n v="999"/>
        <s v="RSM"/>
        <m/>
      </sharedItems>
    </cacheField>
    <cacheField name="Season" numFmtId="0">
      <sharedItems containsBlank="1"/>
    </cacheField>
    <cacheField name="PO#" numFmtId="0">
      <sharedItems containsBlank="1" containsMixedTypes="1" containsNumber="1" containsInteger="1" minValue="4701896185" maxValue="4702110009" count="302">
        <n v="4702080081"/>
        <n v="4702080082"/>
        <n v="4702080083"/>
        <n v="4702080084"/>
        <n v="4702080085"/>
        <n v="4702080086"/>
        <n v="4702080087"/>
        <n v="4702080088"/>
        <n v="4702080089"/>
        <n v="4702080090"/>
        <n v="4702080091"/>
        <s v="4701788168"/>
        <s v="4702050918"/>
        <s v="4702050919"/>
        <s v="4702050920"/>
        <s v="4702050921"/>
        <s v="4702050922"/>
        <s v="4702050923"/>
        <s v="4702050924"/>
        <s v="4702050925"/>
        <s v="4702050926"/>
        <s v="4702062177"/>
        <s v="4702062178"/>
        <s v="4702062179"/>
        <s v="4702062180"/>
        <s v="4702062181"/>
        <s v="4702062182"/>
        <s v="4702062183"/>
        <s v="4702067318"/>
        <s v="4702067319"/>
        <s v="4702067320"/>
        <s v="4702067324"/>
        <s v="4702067325"/>
        <s v="4702067326"/>
        <s v="4702067333"/>
        <s v="4702067336"/>
        <s v="4702080249"/>
        <s v="4702080250"/>
        <s v="4702080251"/>
        <s v="4702080252"/>
        <s v="4702080253"/>
        <s v="4702080254"/>
        <s v="4702080255"/>
        <s v="4702080256"/>
        <s v="4702080257"/>
        <s v="4702080258"/>
        <s v="4702084864"/>
        <s v="4702084865"/>
        <s v="4702084866"/>
        <s v="4702084867"/>
        <s v="4702084868"/>
        <s v="4702087841"/>
        <s v="4702087842"/>
        <s v="4702087843"/>
        <s v="4702087844"/>
        <s v="4702087845"/>
        <s v="4702087846"/>
        <s v="4702087847"/>
        <s v="4702087848"/>
        <s v="4702087849"/>
        <s v="4702087850"/>
        <s v="4702087851"/>
        <s v="4702087852"/>
        <s v="4702087853"/>
        <s v="4702087854"/>
        <s v="4702087855"/>
        <s v="4702092402"/>
        <s v="4702092403"/>
        <s v="4702092404"/>
        <s v="4702092405"/>
        <s v="4702092406"/>
        <s v="4702092407"/>
        <s v="4702095326"/>
        <s v="4702095329"/>
        <s v="4702095349"/>
        <s v="4702095352"/>
        <s v="4702095353"/>
        <s v="4702095354"/>
        <s v="4702095355"/>
        <s v="4702095356"/>
        <s v="4702095358"/>
        <s v="4702095361"/>
        <s v="4702095362"/>
        <s v="4702095363"/>
        <s v="4702095364"/>
        <s v="4702095365"/>
        <s v="4702095653"/>
        <s v="4702095654"/>
        <s v="4702095655"/>
        <s v="4702095656"/>
        <s v="4702095657"/>
        <s v="4702095658"/>
        <s v="4702095659"/>
        <s v="4702095660"/>
        <s v="4702095661"/>
        <s v="4702095664"/>
        <s v="4702095671"/>
        <s v="4702095672"/>
        <s v="4702095844"/>
        <s v="4702095845"/>
        <s v="4702096670"/>
        <s v="4702096671"/>
        <s v="4702096674"/>
        <s v="4702096675"/>
        <s v="4702096676"/>
        <s v="4702096677"/>
        <s v="4702096678"/>
        <s v="4702096679"/>
        <s v="4702096680"/>
        <s v="4702096681"/>
        <s v="4702097397"/>
        <s v="4702099767"/>
        <s v="4702099768"/>
        <s v="4702099769"/>
        <s v="4702099770"/>
        <s v="4702099771"/>
        <s v="4702099772"/>
        <n v="4702102941"/>
        <s v="4702102942"/>
        <s v="4702124964"/>
        <s v="4702104040"/>
        <s v="4702124965"/>
        <s v="4702104041"/>
        <s v="4702124977"/>
        <s v="4702104042"/>
        <s v="4702104043"/>
        <s v="4702104682"/>
        <s v="4702121293"/>
        <s v="4702104683"/>
        <s v="4702104684"/>
        <s v="4702104685"/>
        <s v="TBC"/>
        <s v="4702108651"/>
        <s v="4702108653"/>
        <s v="4702108655"/>
        <s v="4702108659"/>
        <s v="4702108657"/>
        <s v="4702109542"/>
        <n v="4702109543"/>
        <s v="4702110010"/>
        <s v="4702110012"/>
        <s v="4702110011"/>
        <s v="4702110013"/>
        <n v="4702110009"/>
        <s v="4702110282"/>
        <s v="4702112444"/>
        <s v="4702112445"/>
        <s v="4702111952"/>
        <s v="4702111955"/>
        <s v="4702111953"/>
        <s v="4702111956"/>
        <s v="4702111954"/>
        <s v="4702111957"/>
        <s v="4702121295"/>
        <s v="4702121294"/>
        <s v="4702111958"/>
        <s v="4702112401"/>
        <s v="4702113591"/>
        <s v="4702113592"/>
        <s v="4702116225"/>
        <s v="4702116226"/>
        <s v="4702117732"/>
        <s v="4702117733"/>
        <s v="4702117735"/>
        <s v="4702117734"/>
        <s v="4702117737"/>
        <s v="4702121296"/>
        <s v="4702117736"/>
        <s v="4702121297"/>
        <s v="4702115113"/>
        <s v="4702121298"/>
        <s v="4702115114"/>
        <s v="4702116505"/>
        <s v="4702116506"/>
        <s v="4702118966"/>
        <s v="4702118967"/>
        <s v="4702119596"/>
        <s v="4702119597"/>
        <s v="4702119598"/>
        <s v="4702130673"/>
        <s v="4702120723"/>
        <s v="4702126957"/>
        <s v="4702126956"/>
        <s v="4702120724"/>
        <s v="4702120725"/>
        <s v="4702129854"/>
        <s v="4702129853"/>
        <s v="4702130672"/>
        <s v="4702126955"/>
        <s v="4702126954"/>
        <s v="4702120722"/>
        <s v="4702129855"/>
        <s v="4702130674"/>
        <s v="4702126958"/>
        <s v="4702120726"/>
        <s v="4702126959"/>
        <s v="4702120727"/>
        <s v="4702128161"/>
        <s v="4702128162"/>
        <s v="4702125947"/>
        <s v="4702125946"/>
        <s v="4702125949"/>
        <s v="4702125948"/>
        <s v="4702125950"/>
        <s v="4702125951"/>
        <s v="4702126270"/>
        <s v="4702130370"/>
        <s v="4702130371"/>
        <s v="4702129782"/>
        <s v="4702129786"/>
        <s v="4702129783"/>
        <s v="4702129785"/>
        <s v="4702129787"/>
        <s v="4702129789"/>
        <s v="4702129784"/>
        <s v="4702129788"/>
        <s v="4702129201"/>
        <s v="4702129202"/>
        <s v="4702129204"/>
        <s v="4702129203"/>
        <s v="4702129780"/>
        <s v="4702129779"/>
        <s v="4702129778"/>
        <m/>
        <n v="4702079688" u="1"/>
        <n v="4701906089" u="1"/>
        <n v="4701951519" u="1"/>
        <n v="4701984062" u="1"/>
        <n v="4701914957" u="1"/>
        <n v="4701915099" u="1"/>
        <n v="4701985275" u="1"/>
        <n v="4701914960" u="1"/>
        <n v="4701915102" u="1"/>
        <n v="4702040860" u="1"/>
        <n v="4701903567" u="1"/>
        <n v="4701906064" u="1"/>
        <n v="4701914963" u="1"/>
        <n v="4701985281" u="1"/>
        <n v="4701903570" u="1"/>
        <n v="4701906067" u="1"/>
        <n v="4701915250" u="1"/>
        <n v="4701914969" u="1"/>
        <n v="4701976493" u="1"/>
        <n v="4701916617" u="1"/>
        <n v="4701914972" u="1"/>
        <n v="4701915256" u="1"/>
        <n v="4701914975" u="1"/>
        <n v="4701896186" u="1"/>
        <n v="4701902835" u="1"/>
        <n v="4701914978" u="1"/>
        <n v="4701973628" u="1"/>
        <n v="4701914981" u="1"/>
        <n v="4701961457" u="1"/>
        <n v="4702079687" u="1"/>
        <n v="4701951518" u="1"/>
        <n v="4701951487" u="1"/>
        <n v="4701914959" u="1"/>
        <n v="4701915101" u="1"/>
        <n v="4701903566" u="1"/>
        <n v="4701914962" u="1"/>
        <n v="4701946014" u="1"/>
        <n v="4701915780" u="1"/>
        <n v="4701985280" u="1"/>
        <n v="4701903569" u="1"/>
        <n v="4701906066" u="1"/>
        <n v="4701915249" u="1"/>
        <n v="4701914968" u="1"/>
        <n v="4701976492" u="1"/>
        <n v="4701946838" u="1"/>
        <n v="4701914971" u="1"/>
        <n v="4701915255" u="1"/>
        <n v="4701914937" u="1"/>
        <n v="4701914974" u="1"/>
        <n v="4701896185" u="1"/>
        <n v="4701909674" u="1"/>
        <n v="4701914977" u="1"/>
        <n v="4701914980" u="1"/>
        <n v="4702079686" u="1"/>
        <n v="4701947137" u="1"/>
        <n v="4701906090" u="1"/>
        <n v="4701999447" u="1"/>
        <n v="4701915773" u="1"/>
        <n v="4702058548" u="1"/>
        <n v="4701914958" u="1"/>
        <n v="4701915100" u="1"/>
        <n v="4702040858" u="1"/>
        <n v="4701903565" u="1"/>
        <n v="4701914961" u="1"/>
        <n v="4701937009" u="1"/>
        <n v="4701903568" u="1"/>
        <n v="4701906065" u="1"/>
        <n v="4701985282" u="1"/>
        <n v="4701915251" u="1"/>
        <n v="4701913726" u="1"/>
        <n v="4701914970" u="1"/>
        <n v="4701976494" u="1"/>
        <n v="4701914973" u="1"/>
        <n v="4702051420" u="1"/>
        <n v="4701914976" u="1"/>
        <n v="4701937379" u="1"/>
        <n v="4701977352" u="1"/>
        <n v="4701914979" u="1"/>
      </sharedItems>
    </cacheField>
    <cacheField name="PLANT" numFmtId="0">
      <sharedItems containsBlank="1" count="16">
        <s v="LA00"/>
        <s v="HD00"/>
        <s v="NW00"/>
        <s v="V992"/>
        <s v="V993"/>
        <s v="CA10"/>
        <s v="TO17"/>
        <s v="V994"/>
        <s v="TO40"/>
        <s v="CA20"/>
        <s v="PF00"/>
        <s v="DS00"/>
        <s v="TBC"/>
        <m/>
        <s v="CA20-CTR" u="1"/>
        <s v="CA20 " u="1"/>
      </sharedItems>
    </cacheField>
    <cacheField name="COUNTRY" numFmtId="0">
      <sharedItems containsBlank="1"/>
    </cacheField>
    <cacheField name="S.LOC" numFmtId="0">
      <sharedItems containsBlank="1"/>
    </cacheField>
    <cacheField name="MATERIAL ID" numFmtId="0">
      <sharedItems containsBlank="1" count="490">
        <s v="710P03855501"/>
        <s v="710P03855502"/>
        <s v="710P03855503"/>
        <s v="710P03855504"/>
        <s v="782581596001"/>
        <s v="782528496001"/>
        <s v="710549084008"/>
        <s v="710631989017"/>
        <s v="710794942003"/>
        <s v="711548535001"/>
        <s v="711548535006"/>
        <s v="710B18131001"/>
        <s v="710B18274001"/>
        <s v="710B22588001"/>
        <s v="710B22588002"/>
        <s v="710B22588003"/>
        <s v="710B22589002"/>
        <s v="782P14904001"/>
        <s v="782P14908001"/>
        <s v="782P14906001"/>
        <s v="782P14905001"/>
        <s v="782P14907001"/>
        <s v="782P14909001"/>
        <s v="782P14919001"/>
        <s v="322B29646001"/>
        <s v="322B29646002"/>
        <s v="322B29646003"/>
        <s v="323B29646001"/>
        <s v="323B29646002"/>
        <s v="323B29646003"/>
        <s v="322903830500"/>
        <s v="322903830501"/>
        <s v="322903830502"/>
        <s v="323903830500"/>
        <s v="323903830501"/>
        <s v="323903830502"/>
        <s v="710942745001"/>
        <s v="710953355003"/>
        <s v="710967894002"/>
        <s v="710967894500"/>
        <s v="710967894001"/>
        <s v="710968971001"/>
        <s v="710968971005"/>
        <s v="710968973003"/>
        <s v="710968973004"/>
        <s v="710B29367001"/>
        <s v="710B29639001"/>
        <s v="710967632002"/>
        <s v="710967632005"/>
        <s v="710967632010"/>
        <s v="710798540083"/>
        <s v="710804257063"/>
        <s v="712936018001"/>
        <s v="712973694001"/>
        <s v="712973694500"/>
        <s v="712B26868001"/>
        <s v="712B26868002"/>
        <s v="712B26869001"/>
        <s v="712B26869002"/>
        <s v="712B26886001"/>
        <s v="782P14916001"/>
        <s v="712958478001"/>
        <s v="322B24622001"/>
        <s v="322B24622002"/>
        <s v="322B24622003"/>
        <s v="323B24622001"/>
        <s v="323B24622002"/>
        <s v="323B24622003"/>
        <s v="710B23941001"/>
        <s v="712929278004"/>
        <s v="712936019001"/>
        <s v="710944105001CTR"/>
        <s v="710548535001"/>
        <s v="710548535003"/>
        <s v="710548535002"/>
        <s v="710548535004"/>
        <s v="710964778020"/>
        <s v="710548535005"/>
        <s v="322858909001"/>
        <s v="322858909005"/>
        <s v="323858909001"/>
        <s v="323858909005"/>
        <s v="710716303002"/>
        <s v="710716303003"/>
        <s v="710729232003"/>
        <s v="710888705001"/>
        <s v="710888705002"/>
        <s v="710733596001"/>
        <s v="710852165004"/>
        <s v="710733596008"/>
        <s v="710733596015"/>
        <s v="710852165017"/>
        <s v="711548535002"/>
        <s v="711548535005"/>
        <s v="711548535007"/>
        <s v="710548535006"/>
        <s v="710548535007"/>
        <s v="710549084006"/>
        <s v="710549084007"/>
        <s v="710549084009"/>
        <s v="710549084010"/>
        <s v="710794942001"/>
        <s v="710794942002"/>
        <s v="710921641500"/>
        <s v="710921641501"/>
        <s v="710B34888001"/>
        <s v="710966427500"/>
        <s v="710B24259001"/>
        <s v="710P00629502"/>
        <s v="712917324001"/>
        <s v="322968098002"/>
        <s v="322968098003"/>
        <s v="323968098002"/>
        <s v="323968098003"/>
        <s v="710B29367004"/>
        <s v="710B29368001"/>
        <s v="710P03854004"/>
        <s v="711966427501"/>
        <s v="322967600003"/>
        <s v="323967600003"/>
        <s v="710953891001"/>
        <s v="712929278003"/>
        <s v="710B34888002"/>
        <s v="711P03855508"/>
        <s v="711P03855510"/>
        <s v="710966427501"/>
        <s v="710P03854001"/>
        <s v="710P03854002"/>
        <s v="710P03855507"/>
        <s v="710P03855509"/>
        <s v="710P03855508"/>
        <s v="711P03854001"/>
        <s v="711P03854002"/>
        <s v="710P03855505"/>
        <s v="710P03855506"/>
        <s v="711P03855509"/>
        <s v="712B29074001"/>
        <s v="710B32783002"/>
        <s v="710B32783006"/>
        <s v="710B36299001"/>
        <s v="710B36299002"/>
        <s v="710792041001"/>
        <s v="710792041002"/>
        <s v="710792041003"/>
        <s v="710792041004"/>
        <s v="710615870001"/>
        <s v="710615870002"/>
        <s v="710757702001"/>
        <s v="710757702002"/>
        <m/>
        <s v="323967600002" u="1"/>
        <s v="322979343002" u="1"/>
        <s v="323B16232003" u="1"/>
        <s v="710874251008" u="1"/>
        <s v="710966294004" u="1"/>
        <s v="711978098003" u="1"/>
        <s v="712827063003" u="1"/>
        <s v="712B22550001" u="1"/>
        <s v="710772288001" u="1"/>
        <s v="710889739001" u="1"/>
        <s v="710968971006" u="1"/>
        <s v="710971212001" u="1"/>
        <s v="710B15594004" u="1"/>
        <s v="710P04451005" u="1"/>
        <s v="323979343002" u="1"/>
        <s v="710905290012" u="1"/>
        <s v="710966293015" u="1"/>
        <s v="710966294009" u="1"/>
        <s v="710978098509" u="1"/>
        <s v="710980423002" u="1"/>
        <s v="710P03866001" u="1"/>
        <s v="710966292008" u="1"/>
        <s v="710B18627003" u="1"/>
        <s v="710P03855010" u="1"/>
        <s v="710982800001" u="1"/>
        <s v="710P03854003" u="1"/>
        <s v="322858909024" u="1"/>
        <s v="710967632004" u="1"/>
        <s v="710804257065" u="1"/>
        <s v="710805564034" u="1"/>
        <s v="710873446002" u="1"/>
        <s v="710B16388001" u="1"/>
        <s v="712827064002" u="1"/>
        <s v="712974796005" u="1"/>
        <s v="323858909024" u="1"/>
        <s v="710975009001" u="1"/>
        <s v="710B14231001" u="1"/>
        <s v="710B22228003" u="1"/>
        <s v="711967632004" u="1"/>
        <s v="712980684001" u="1"/>
        <s v="710772290004" u="1"/>
        <s v="710B23578001" u="1"/>
        <s v="322850927003" u="1"/>
        <s v="322B20795002" u="1"/>
        <s v="710723610003" u="1"/>
        <s v="710B14228001" u="1"/>
        <s v="710966294019" u="1"/>
        <s v="711B23578001" u="1"/>
        <s v="712929278001" u="1"/>
        <s v="712936018003" u="1"/>
        <s v="322964594001" u="1"/>
        <s v="323850927003" u="1"/>
        <s v="323B20795002" u="1"/>
        <s v="710943902001" u="1"/>
        <s v="710965825002" u="1"/>
        <s v="710P07024001" u="1"/>
        <s v="711B14228001" u="1"/>
        <s v="782973906001" u="1"/>
        <s v="782P05364001" u="1"/>
        <s v="322858909016" u="1"/>
        <s v="322967600004" u="1"/>
        <s v="710964097011" u="1"/>
        <s v="710966140004" u="1"/>
        <s v="710968915504" u="1"/>
        <s v="710P03855007" u="1"/>
        <s v="711729232003" u="1"/>
        <s v="712827065001" u="1"/>
        <s v="322971498002" u="1"/>
        <s v="323964594001" u="1"/>
        <s v="710978098501" u="1"/>
        <s v="710B18632001" u="1"/>
        <s v="320P01695500" u="1"/>
        <s v="323858909016" u="1"/>
        <s v="323967600004" u="1"/>
        <s v="323967600500" u="1"/>
        <s v="710968971003" u="1"/>
        <s v="710B15594001" u="1"/>
        <s v="710P04451002" u="1"/>
        <s v="711P03855503" u="1"/>
        <s v="782P05370001" u="1"/>
        <s v="323971498002" u="1"/>
        <s v="710889740002" u="1"/>
        <s v="710966421002" u="1"/>
        <s v="710978098506" u="1"/>
        <s v="711B18632001" u="1"/>
        <s v="710934649001" u="1"/>
        <s v="710B15594006" u="1"/>
        <s v="711954842001" u="1"/>
        <s v="782973909001" u="1"/>
        <s v="710966292023" u="1"/>
        <s v="322964585003" u="1"/>
        <s v="322P01695500" u="1"/>
        <s v="710912193003" u="1"/>
        <s v="710967632001" u="1"/>
        <s v="710P07182002" u="1"/>
        <s v="710964097003" u="1"/>
        <s v="712974796002" u="1"/>
        <s v="322A13343001" u="1"/>
        <s v="323964585003" u="1"/>
        <s v="323P01695500" u="1"/>
        <s v="710967632006" u="1"/>
        <s v="710968912501" u="1"/>
        <s v="710P07023004" u="1"/>
        <s v="320967600001" u="1"/>
        <s v="710772290001" u="1"/>
        <s v="710873446004" u="1"/>
        <s v="322975038002" u="1"/>
        <s v="323A13343001" u="1"/>
        <s v="710951190001" u="1"/>
        <s v="710967669004" u="1"/>
        <s v="710B14315001" u="1"/>
        <s v="710B15647001" u="1"/>
        <s v="710979618002" u="1"/>
        <s v="710B16217002" u="1"/>
        <s v="712870509001" u="1"/>
        <s v="322A12756001" u="1"/>
        <s v="323975038002" u="1"/>
        <s v="710966292015" u="1"/>
        <s v="322967600001" u="1"/>
        <s v="710966140001" u="1"/>
        <s v="710982798002" u="1"/>
        <s v="710982801002" u="1"/>
        <s v="710P03855500" u="1"/>
        <s v="711979618002" u="1"/>
        <s v="712936018501" u="1"/>
        <s v="322B16232002" u="1"/>
        <s v="323A12756001" u="1"/>
        <s v="710974537001" u="1"/>
        <s v="710978098002" u="1"/>
        <s v="710B14296001" u="1"/>
        <s v="710P07024003" u="1"/>
        <s v="711966142002" u="1"/>
        <s v="712915465001" u="1"/>
        <s v="323967600001" u="1"/>
        <s v="710964097013" u="1"/>
        <s v="710966140006" u="1"/>
        <s v="710P03855009" u="1"/>
        <s v="711966140001" u="1"/>
        <s v="322971498004" u="1"/>
        <s v="322979343001" u="1"/>
        <s v="710968973006" u="1"/>
        <s v="710978098503" u="1"/>
        <s v="710B18632003" u="1"/>
        <s v="711978098002" u="1"/>
        <s v="712827063002" u="1"/>
        <s v="710965478001" u="1"/>
        <s v="710B15594003" u="1"/>
        <s v="710P04451004" u="1"/>
        <s v="711684868002" u="1"/>
        <s v="711P03855505" u="1"/>
        <s v="712917323002" u="1"/>
        <s v="323971498004" u="1"/>
        <s v="323979343001" u="1"/>
        <s v="710723610010" u="1"/>
        <s v="710905290011" u="1"/>
        <s v="710966421500" u="1"/>
        <s v="710978098508" u="1"/>
        <s v="710B16705002" u="1"/>
        <s v="711B18632003" u="1"/>
        <s v="710982799001" u="1"/>
        <s v="710B15594008" u="1"/>
        <s v="710B18627002" u="1"/>
        <s v="710966293019" u="1"/>
        <s v="710966294509" u="1"/>
        <s v="710966418004" u="1"/>
        <s v="710978099001" u="1"/>
        <s v="322858909023" u="1"/>
        <s v="710968912002" u="1"/>
        <s v="710974981001" u="1"/>
        <s v="710P07182004" u="1"/>
        <s v="712925893001" u="1"/>
        <s v="710736557002" u="1"/>
        <s v="710873446001" u="1"/>
        <s v="710982800501" u="1"/>
        <s v="712827064001" u="1"/>
        <s v="712974796004" u="1"/>
        <s v="323858909023" u="1"/>
        <s v="710966293001" u="1"/>
        <s v="710B22228002" u="1"/>
        <s v="712966312001" u="1"/>
        <s v="710772290003" u="1"/>
        <s v="782973911001" u="1"/>
        <s v="322B20795001" u="1"/>
        <s v="710967669502" u="1"/>
        <s v="710968217002" u="1"/>
        <s v="710B15647003" u="1"/>
        <s v="710968915002" u="1"/>
        <s v="712936018002" u="1"/>
        <s v="712B16805002" u="1"/>
        <s v="782973908001" u="1"/>
        <s v="782P05366001" u="1"/>
        <s v="323B20795001" u="1"/>
        <s v="710965825001" u="1"/>
        <s v="710975045001" u="1"/>
        <s v="711966293502" u="1"/>
        <s v="712870507002" u="1"/>
        <s v="712P00454001" u="1"/>
        <s v="710953355004" u="1"/>
        <s v="710966140003" u="1"/>
        <s v="710968915503" u="1"/>
        <s v="710982798500" u="1"/>
        <s v="710B22589001" u="1"/>
        <s v="322934866004" u="1"/>
        <s v="322971498001" u="1"/>
        <s v="710978098004" u="1"/>
        <s v="710978098500" u="1"/>
        <s v="710968971002" u="1"/>
        <s v="710B14294002" u="1"/>
        <s v="710P04451001" u="1"/>
        <s v="322979343003" u="1"/>
        <s v="323934866004" u="1"/>
        <s v="323971498001" u="1"/>
        <s v="710874251009" u="1"/>
        <s v="710889740001" u="1"/>
        <s v="710966294501" u="1"/>
        <s v="710973082001" u="1"/>
        <s v="710978098505" u="1"/>
        <s v="711978098004" u="1"/>
        <s v="322968098004" u="1"/>
        <s v="710889739002" u="1"/>
        <s v="710966292004" u="1"/>
        <s v="710B14314001" u="1"/>
        <s v="710B15594005" u="1"/>
        <s v="710P04451006" u="1"/>
        <s v="782P05347001" u="1"/>
        <s v="323979343003" u="1"/>
        <s v="710634467001" u="1"/>
        <s v="710805564066" u="1"/>
        <s v="712870508001" u="1"/>
        <s v="323968098004" u="1"/>
        <s v="710P07182001" u="1"/>
        <s v="711966292004" u="1"/>
        <s v="710964097002" u="1"/>
        <s v="710978099003" u="1"/>
        <s v="710981751001" u="1"/>
        <s v="712974796001" u="1"/>
        <s v="712B16812001" u="1"/>
        <s v="322858909025" u="1"/>
        <s v="710B14295001" u="1"/>
        <s v="711966292505" u="1"/>
        <s v="712827064003" u="1"/>
        <s v="712974796006" u="1"/>
        <s v="323858909025" u="1"/>
        <s v="710852165003" u="1"/>
        <s v="710966293003" u="1"/>
        <s v="710B22363001" u="1"/>
        <s v="710979618001" u="1"/>
        <s v="710B16217001" u="1"/>
        <s v="322B20795003" u="1"/>
        <s v="710798540031" u="1"/>
        <s v="710972191001" u="1"/>
        <s v="710729232004" u="1"/>
        <s v="710966292032" u="1"/>
        <s v="710966293026" u="1"/>
        <s v="710982798001" u="1"/>
        <s v="710982801001" u="1"/>
        <s v="711716303005" u="1"/>
        <s v="711979618001" u="1"/>
        <s v="712936018500" u="1"/>
        <s v="323B20795003" u="1"/>
        <s v="710950436001" u="1"/>
        <s v="710965825003" u="1"/>
        <s v="710978098001" u="1"/>
        <s v="710982143500" u="1"/>
        <s v="710P07024002" u="1"/>
        <s v="711B14228002" u="1"/>
        <s v="712P07326001" u="1"/>
        <s v="322967600501" u="1"/>
        <s v="710964097012" u="1"/>
        <s v="710B16389001" u="1"/>
        <s v="710P03855008" u="1"/>
        <s v="712827065002" u="1"/>
        <s v="712876646001" u="1"/>
        <s v="322971498003" u="1"/>
        <s v="710968973005" u="1"/>
        <s v="710978098502" u="1"/>
        <s v="710B14232001" u="1"/>
        <s v="710B18632002" u="1"/>
        <s v="711978098001" u="1"/>
        <s v="712827063001" u="1"/>
        <s v="712P07016001" u="1"/>
        <s v="322968098001" u="1"/>
        <s v="710968971500" u="1"/>
        <s v="710B15594002" u="1"/>
        <s v="710P04451003" u="1"/>
        <s v="711P03855504" u="1"/>
        <s v="323971498003" u="1"/>
        <s v="710903422012" u="1"/>
        <s v="710978098507" u="1"/>
        <s v="710B16705001" u="1"/>
        <s v="712981233002" u="1"/>
        <s v="782973910001" u="1"/>
        <s v="323968098001" u="1"/>
        <s v="710951198001" u="1"/>
        <s v="710B15594007" u="1"/>
        <s v="710B18627001" u="1"/>
        <s v="710966418003" u="1"/>
        <s v="712870508003" u="1"/>
        <s v="712B20472001" u="1"/>
        <s v="782973907001" u="1"/>
        <s v="322858909022" u="1"/>
        <s v="710912193004" u="1"/>
        <s v="710P07182003" u="1"/>
        <s v="710615871001" u="1"/>
        <s v="710964097004" u="1"/>
        <s v="710978099005" u="1"/>
        <s v="710982800500" u="1"/>
        <s v="712966314001" u="1"/>
        <s v="712974796003" u="1"/>
        <s v="322A13343002" u="1"/>
        <s v="323858909022" u="1"/>
        <s v="710937403001" u="1"/>
        <s v="710772290002" u="1"/>
        <s v="710798540082" u="1"/>
        <s v="323A13343002" u="1"/>
        <s v="710802382001" u="1"/>
        <s v="710905290002" u="1"/>
        <s v="710B14315002" u="1"/>
        <s v="710B15647002" u="1"/>
        <s v="712966320001" u="1"/>
        <s v="710966293023" u="1"/>
        <s v="710B16217003" u="1"/>
        <s v="712B16805001" u="1"/>
        <s v="322A12756002" u="1"/>
        <s v="710982143001" u="1"/>
        <s v="711966293501" u="1"/>
        <s v="712870507001" u="1"/>
        <s v="712966320502" u="1"/>
        <s v="322967600002" u="1"/>
        <s v="710968915006" u="1"/>
        <s v="710P03855005" u="1"/>
        <s v="711729232001" u="1"/>
        <s v="712936018502" u="1"/>
        <s v="323A12756002" u="1"/>
        <s v="710792041005" u="1"/>
        <s v="710874251003" u="1"/>
        <s v="710978098003" u="1"/>
        <s v="711798540033" u="1"/>
        <s v="711966142003" u="1"/>
        <s v="712B16811001" u="1"/>
      </sharedItems>
    </cacheField>
    <cacheField name="Style" numFmtId="0">
      <sharedItems containsBlank="1" count="248">
        <s v="710P03855"/>
        <s v="782581596"/>
        <s v="782528496"/>
        <s v="710549084"/>
        <s v="710631989"/>
        <s v="710794942"/>
        <s v="711548535"/>
        <s v="710B18131"/>
        <s v="710B18274"/>
        <s v="710B22588"/>
        <s v="710B22589"/>
        <s v="782P14904"/>
        <s v="782P14908"/>
        <s v="782P14906"/>
        <s v="782P14905"/>
        <s v="782P14907"/>
        <s v="782P14909"/>
        <s v="782P14919"/>
        <s v="322B29646"/>
        <s v="323B29646"/>
        <s v="322903830"/>
        <s v="323903830"/>
        <s v="710942745"/>
        <s v="710953355"/>
        <s v="710967894"/>
        <s v="710968971"/>
        <s v="710968973"/>
        <s v="710B29367"/>
        <s v="710B29639"/>
        <s v="710967632"/>
        <s v="710798540"/>
        <s v="710804257"/>
        <s v="712936018"/>
        <s v="712973694"/>
        <s v="712B26868"/>
        <s v="712B26869"/>
        <s v="712B26886"/>
        <s v="782P14916"/>
        <s v="712958478"/>
        <s v="322B24622"/>
        <s v="323B24622"/>
        <s v="710B23941"/>
        <s v="712929278"/>
        <s v="712936019"/>
        <s v="710944105"/>
        <s v="710548535"/>
        <s v="710964778"/>
        <s v="322858909"/>
        <s v="323858909"/>
        <s v="710716303"/>
        <s v="710729232"/>
        <s v="710888705"/>
        <s v="710733596"/>
        <s v="710852165"/>
        <s v="710921641"/>
        <s v="710B34888"/>
        <s v="710966427"/>
        <s v="710B24259"/>
        <s v="710P00629"/>
        <s v="712917324"/>
        <s v="322968098"/>
        <s v="323968098"/>
        <s v="710B29368"/>
        <s v="710P03854"/>
        <s v="711966427"/>
        <s v="322967600"/>
        <s v="323967600"/>
        <s v="710953891"/>
        <s v="711P03855"/>
        <s v="711P03854"/>
        <s v="712B29074001"/>
        <s v="710953355003"/>
        <s v="710B23941001"/>
        <s v="322903830500"/>
        <s v="322903830502"/>
        <s v="322B29646001"/>
        <s v="322B29646002"/>
        <s v="322B29646003"/>
        <s v="323903830500"/>
        <s v="323903830501"/>
        <s v="323B29646001"/>
        <s v="323B29646002"/>
        <s v="323B29646003"/>
        <s v="322968098002"/>
        <s v="322968098003"/>
        <s v="323968098002"/>
        <s v="323968098003"/>
        <s v="710B32783002"/>
        <s v="710B32783006"/>
        <s v="710B36299001"/>
        <s v="710B36299002"/>
        <s v="710792041"/>
        <s v="710615870"/>
        <s v="710757702"/>
        <s v="710B32783"/>
        <s v="710B36299"/>
        <s v="712B29074"/>
        <m/>
        <s v="712827065" u="1"/>
        <s v="323964594" u="1"/>
        <s v="710966294" u="1"/>
        <s v="710B18632" u="1"/>
        <s v="710B15594" u="1"/>
        <s v="782P05370" u="1"/>
        <s v="711B18632" u="1"/>
        <s v="712981233" u="1"/>
        <s v="710934649" u="1"/>
        <s v="711954842" u="1"/>
        <s v="782973909" u="1"/>
        <s v="322A13343" u="1"/>
        <s v="711967632" u="1"/>
        <s v="320967600" u="1"/>
        <s v="710772290" u="1"/>
        <s v="323A13343" u="1"/>
        <s v="710905290" u="1"/>
        <s v="710951190" u="1"/>
        <s v="710B14315" u="1"/>
        <s v="710B15647" u="1"/>
        <s v="711716303" u="1"/>
        <s v="712870509" u="1"/>
        <s v="322A12756" u="1"/>
        <s v="710966140" u="1"/>
        <s v="323A12756" u="1"/>
        <s v="710974537" u="1"/>
        <s v="710B14296" u="1"/>
        <s v="712915465" u="1"/>
        <s v="320P01695" u="1"/>
        <s v="711966140" u="1"/>
        <s v="322979343" u="1"/>
        <s v="710965478" u="1"/>
        <s v="323979343" u="1"/>
        <s v="710980423" u="1"/>
        <s v="711798540" u="1"/>
        <s v="322P01695" u="1"/>
        <s v="710982799" u="1"/>
        <s v="710978099" u="1"/>
        <s v="323P01695" u="1"/>
        <s v="710974981" u="1"/>
        <s v="710P07023" u="1"/>
        <s v="712925893" u="1"/>
        <s v="710873446" u="1"/>
        <s v="712827064" u="1"/>
        <s v="710966293" u="1"/>
        <s v="710967669" u="1"/>
        <s v="712966312" u="1"/>
        <s v="782973911" u="1"/>
        <s v="322B20795" u="1"/>
        <s v="711966293" u="1"/>
        <s v="782973908" u="1"/>
        <s v="782P05366" u="1"/>
        <s v="323B20795" u="1"/>
        <s v="710965825" u="1"/>
        <s v="710975045" u="1"/>
        <s v="712P00454" u="1"/>
        <s v="322971498" u="1"/>
        <s v="710P04451" u="1"/>
        <s v="323971498" u="1"/>
        <s v="710889740" u="1"/>
        <s v="710966421" u="1"/>
        <s v="710973082" u="1"/>
        <s v="710B14314" u="1"/>
        <s v="782P05347" u="1"/>
        <s v="710634467" u="1"/>
        <s v="710966418" u="1"/>
        <s v="712870508" u="1"/>
        <s v="710P07182" u="1"/>
        <s v="710981751" u="1"/>
        <s v="712974796" u="1"/>
        <s v="712B16812" u="1"/>
        <s v="710B14295" u="1"/>
        <s v="322975038" u="1"/>
        <s v="710B22363" u="1"/>
        <s v="710979618" u="1"/>
        <s v="710B16217" u="1"/>
        <s v="323975038" u="1"/>
        <s v="710972191" u="1"/>
        <s v="710982798" u="1"/>
        <s v="710982801" u="1"/>
        <s v="711979618" u="1"/>
        <s v="322934866" u="1"/>
        <s v="322B16232" u="1"/>
        <s v="710874251" u="1"/>
        <s v="710950436" u="1"/>
        <s v="710978098" u="1"/>
        <s v="711966142" u="1"/>
        <s v="712P07326" u="1"/>
        <s v="710B16389" u="1"/>
        <s v="712876646" u="1"/>
        <s v="323934866" u="1"/>
        <s v="323B16232" u="1"/>
        <s v="710B14232" u="1"/>
        <s v="711978098" u="1"/>
        <s v="712827063" u="1"/>
        <s v="712P07016" u="1"/>
        <s v="710966292" u="1"/>
        <s v="711684868" u="1"/>
        <s v="712917323" u="1"/>
        <s v="710B16705" u="1"/>
        <s v="782973910" u="1"/>
        <s v="710951198" u="1"/>
        <s v="710B18627" u="1"/>
        <s v="711966292" u="1"/>
        <s v="712B20472" u="1"/>
        <s v="782973907" u="1"/>
        <s v="710968912" u="1"/>
        <s v="710615871" u="1"/>
        <s v="710736557" u="1"/>
        <s v="712966314" u="1"/>
        <s v="710937403" u="1"/>
        <s v="710B22228" u="1"/>
        <s v="322850927" u="1"/>
        <s v="710723610" u="1"/>
        <s v="710802382" u="1"/>
        <s v="710968217" u="1"/>
        <s v="712966320" u="1"/>
        <s v="710805564" u="1"/>
        <s v="710968915" u="1"/>
        <s v="712B16805" u="1"/>
        <s v="323850927" u="1"/>
        <s v="710982143" u="1"/>
        <s v="712870507" u="1"/>
        <s v="711729232" u="1"/>
        <s v="712B16811" u="1"/>
        <s v="710B14294" u="1"/>
        <s v="712B22550" u="1"/>
        <s v="710772288" u="1"/>
        <s v="710889739" u="1"/>
        <s v="710971212" u="1"/>
        <s v="710P03866" u="1"/>
        <s v="322964585" u="1"/>
        <s v="710912193" u="1"/>
        <s v="710964097" u="1"/>
        <s v="710982800" u="1"/>
        <s v="323964585" u="1"/>
        <s v="710B16388" u="1"/>
        <s v="710903422" u="1"/>
        <s v="710975009" u="1"/>
        <s v="710B14231" u="1"/>
        <s v="712980684" u="1"/>
        <s v="710B23578" u="1"/>
        <s v="710B14228" u="1"/>
        <s v="711B23578" u="1"/>
        <s v="322964594" u="1"/>
        <s v="710943902" u="1"/>
        <s v="710P07024" u="1"/>
        <s v="711B14228" u="1"/>
        <s v="782973906" u="1"/>
        <s v="782P05364" u="1"/>
      </sharedItems>
    </cacheField>
    <cacheField name="BOARD" numFmtId="0">
      <sharedItems containsBlank="1" count="151">
        <s v="Z263SC38"/>
        <s v="Z244RB39"/>
        <s v="Z264RB38"/>
        <s v="Z264RB39"/>
        <s v="ZSC31B"/>
        <s v="ZSC31A"/>
        <s v="ZSC31D"/>
        <s v="Z1C31A"/>
        <s v="Z263SV18"/>
        <s v="Z263ST19"/>
        <s v="Z263SC19"/>
        <s v="Z264RO01"/>
        <s v="Z264RO05"/>
        <s v="Z264RO03"/>
        <s v="Z264RO02"/>
        <s v="Z264RO04"/>
        <s v="Z264RO06"/>
        <s v="Z265RR01"/>
        <s v="Z254BC38"/>
        <s v="Z264BC32"/>
        <s v="Z253SC31"/>
        <s v="Z254SC53"/>
        <s v="Z251SC19PRO"/>
        <s v="Z253SC19"/>
        <s v="Z254SC38PRO"/>
        <s v="Z254SC32PRO"/>
        <s v="Z254SC32"/>
        <s v="Z264SAV30"/>
        <s v="Z264SAV33"/>
        <s v="Z265RP07"/>
        <s v="Z264BC38"/>
        <s v="Z264SV24"/>
        <s v="Z242SC18PFS"/>
        <s v="Z256SC19"/>
        <s v="Z221BC32"/>
        <s v="Z241BC32"/>
        <s v="Z186SC32"/>
        <s v="Z191SC32"/>
        <s v="ZSC32A"/>
        <s v="Z214SC32PFS"/>
        <s v="Z214SC32"/>
        <s v="Z191SC32PFS"/>
        <s v="TBC"/>
        <s v="Z253SC32PRO"/>
        <s v="Z254SC38"/>
        <s v="Z264SC31"/>
        <s v="Z231BC19"/>
        <s v="Z264SC38"/>
        <s v="Z2641C31"/>
        <s v="Z264BC19"/>
        <s v="Z254SC31"/>
        <s v="Z2641C38"/>
        <s v="SAVH33"/>
        <s v="SC53"/>
        <s v="Z265BC32"/>
        <s v="Z265BC38"/>
        <s v="Z265BC19"/>
        <s v="Z266SV18"/>
        <s v="ZSC31C"/>
        <s v="ZSC31PFS"/>
        <s v="Z264SAVH33"/>
        <m/>
        <s v="Z261SVM18" u="1"/>
        <s v="Z261BC19" u="1"/>
        <s v="Z254SC19" u="1"/>
        <s v="Z261SA10" u="1"/>
        <s v="Z253SVG22" u="1"/>
        <s v="Z2161C19PRO" u="1"/>
        <s v="Z243SC19" u="1"/>
        <s v="Z2561C19" u="1"/>
        <s v="Z254SC19PRO" u="1"/>
        <s v="Z253SV18" u="1"/>
        <s v="Z254BC32" u="1"/>
        <s v="Z254RD04" u="1"/>
        <s v="Z256SAV30" u="1"/>
        <s v="Z243SC19PRO" u="1"/>
        <s v="Z242SC32PFS" u="1"/>
        <s v="Z256SAV33" u="1"/>
        <s v="ZSC32B" u="1"/>
        <s v="ZSA04D" u="1"/>
        <s v="Z254RB39" u="1"/>
        <s v="Z253SV07" u="1"/>
        <s v="ZSC32C" u="1"/>
        <s v="Z242SC19PRO" u="1"/>
        <s v="ZSA04E" u="1"/>
        <s v="Z241SC19" u="1"/>
        <s v="Z261BC38" u="1"/>
        <s v="Z241SC32PFS" u="1"/>
        <s v="Z252SC19PRO" u="1"/>
        <s v="Z251SC19" u="1"/>
        <s v="Z251SV18" u="1"/>
        <s v="Z244SAV30" u="1"/>
        <s v="Z221SC19PRO" u="1"/>
        <s v="Z262SC19PRO" u="1"/>
        <s v="Z254RD03" u="1"/>
        <s v="Z261SC19" u="1"/>
        <s v="Z261SV18" u="1"/>
        <s v="Z254SAV30" u="1"/>
        <s v="Z244ST26" u="1"/>
        <s v="Z261BC12" u="1"/>
        <s v="Z241SC19PRO" u="1"/>
        <s v="Z2531C19" u="1"/>
        <s v="Z226BC32PFS" u="1"/>
        <s v="Z244SC53" u="1"/>
        <s v="Z2631C19" u="1"/>
        <s v="Z254SAV33" u="1"/>
        <s v="Z251BC32" u="1"/>
        <s v="Z254RB38" u="1"/>
        <s v="Z253SAV30" u="1"/>
        <s v="Z256BC19" u="1"/>
        <s v="Z1C32A" u="1"/>
        <s v="Z261BC32" u="1"/>
        <s v="Z262RK05" u="1"/>
        <s v="Z263SAV30" u="1"/>
        <s v="Z244SC32" u="1"/>
        <s v="Z253SM19" u="1"/>
        <s v="Z254RD02" u="1"/>
        <s v="Z261RB39" u="1"/>
        <s v="Z255BC32PFS" u="1"/>
        <s v="Z2511C19" u="1"/>
        <s v="Z2611C19" u="1"/>
        <s v="ZSA01B" u="1"/>
        <s v="Z251SAV30" u="1"/>
        <s v="Z261SC38" u="1"/>
        <s v="ZSA01C" u="1"/>
        <s v="Z261SAV30" u="1"/>
        <s v="Z2511C19PRO" u="1"/>
        <s v="Z2541C53" u="1"/>
        <s v="Z242SC19PFS" u="1"/>
        <s v="Z2631C38" u="1"/>
        <s v="Z254RD01" u="1"/>
        <s v="Z261SAV33" u="1"/>
        <s v="ZSA01E" u="1"/>
        <s v="Z254RD06" u="1"/>
        <s v="Z261RB38" u="1"/>
        <s v="Z242SC32PRO" u="1"/>
        <s v="Z2541C32" u="1"/>
        <s v="Z263BC19" u="1"/>
        <s v="Z246SC19" u="1"/>
        <s v="Z216SC19PRO" u="1"/>
        <s v="Z256SV13" u="1"/>
        <s v="Z256SV18" u="1"/>
        <s v="Z262RK03" u="1"/>
        <s v="Z241SC32PRO" u="1"/>
        <s v="Z261RI03" u="1"/>
        <s v="Z262BC19" u="1"/>
        <s v="Z262RL03" u="1"/>
        <s v="Z2611C38" u="1"/>
        <s v="Z2441C31" u="1"/>
        <s v="Z251BC19" u="1"/>
        <s v="Z254RD05" u="1"/>
      </sharedItems>
    </cacheField>
    <cacheField name="PFS/NON-PFS" numFmtId="0">
      <sharedItems containsBlank="1"/>
    </cacheField>
    <cacheField name="BLOCK" numFmtId="0">
      <sharedItems containsBlank="1" count="99">
        <s v="CLBDPPCS"/>
        <s v="ELI PLT TUX-DRS"/>
        <s v="VINTAGE PKT-DRS"/>
        <s v="SLBDPPCSP"/>
        <s v="BDPPCSPT"/>
        <s v="CLBDPPCSSSPT"/>
        <s v="CLBDPPCS- B&amp;T"/>
        <s v="CL3BDBLKPKS"/>
        <s v="CLESTPPCS"/>
        <s v="CUBDPPCS"/>
        <s v="CUESTPPCS"/>
        <m/>
        <s v="LSL-SPS"/>
        <s v="CLBDPPCPRPSS"/>
        <s v="CUESTBBPPCS"/>
        <s v="SLBDPPCS"/>
        <s v="CLBDPPCPRPS"/>
        <s v="CUESTPPHN"/>
        <s v="CUPHLSTN"/>
        <s v="CUHBDN"/>
        <s v="CUESTFCN"/>
        <s v="CUESTFMFCWPN"/>
        <s v="ESTATE FORMAL WPLEAT"/>
        <s v="CLBMILS - BB"/>
        <s v="CLESTBBPPCS"/>
        <s v="BD PPC SPT"/>
        <s v="CLBDPPPKS"/>
        <s v="CUBDPPPKS"/>
        <s v="CUESTBIBN"/>
        <s v="CLWINGWPFCA"/>
        <s v="CLBMILS"/>
        <s v="CLBDPPC"/>
        <s v="CLMDRNESTS"/>
        <s v="CUMDRNESTPPCS"/>
        <s v="CLBDPPCS B&amp;T"/>
        <s v="CLBDPPC-SI-SPS"/>
        <s v="BDPPC-SI-SPS"/>
        <s v="POSTBOY BAND-SI-SPS" u="1"/>
        <s v="2 PKT CAMP-SHORT SLEEVE-SPORT SHIRT" u="1"/>
        <s v="CLPHLA" u="1"/>
        <s v="_x0009_CUESTPPHN" u="1"/>
        <s v="CLGRBS" u="1"/>
        <s v="CUHBDPPCN" u="1"/>
        <s v="MADAGASCAR 3BD PO" u="1"/>
        <s v="CUHBDPPHN" u="1"/>
        <s v="ANDY CAMP PP PKT SS" u="1"/>
        <s v="SS BD" u="1"/>
        <s v="CLESTS" u="1"/>
        <s v="CLBDPPCSSSS" u="1"/>
        <s v="CLCarrington" u="1"/>
        <s v="ESTATE PPC" u="1"/>
        <s v="CUESTPPCNK" u="1"/>
        <s v="SS ANDY CAMP" u="1"/>
        <s v="ESTATE" u="1"/>
        <s v="CUPHLN" u="1"/>
        <s v="CLADYPPCSS" u="1"/>
        <s v="SLESTPPCNK" u="1"/>
        <s v="BLEEKER PKT" u="1"/>
        <s v="CU BD PPC SP" u="1"/>
        <s v="SS BD PPC-SI-SPS" u="1"/>
        <s v="CLSC KENNEDY PPC ASL" u="1"/>
        <s v="CUBDPPCSP" u="1"/>
        <s v="CLPSBBNDPPCS" u="1"/>
        <s v="CUESTFCPPSCN" u="1"/>
        <s v="SL BD PPC SPT" u="1"/>
        <s v="2 PKT CAMP SSS" u="1"/>
        <s v="CLESTFMFCNPA" u="1"/>
        <s v="CLHBDPPCA" u="1"/>
        <s v="CUBDPPCSSS" u="1"/>
        <s v="CLPHLSTFCA" u="1"/>
        <s v="SHIRT" u="1"/>
        <s v="CLSC HAB BD PPC ASL" u="1"/>
        <s v="CUSLNFMLN" u="1"/>
        <s v="SS BD PPC" u="1"/>
        <s v="CLESTATE" u="1"/>
        <s v="SLBDPPCSPT" u="1"/>
        <s v="SLIM BD PPC SP" u="1"/>
        <s v="SSANDYCAMP" u="1"/>
        <s v="CUPHLSTPPHN" u="1"/>
        <s v="CUESTN" u="1"/>
        <s v="ESTATE BB" u="1"/>
        <s v="BDPPCSPT B&amp;T" u="1"/>
        <s v="CLRNGRS" u="1"/>
        <s v="CLANDY LSL-SPS" u="1"/>
        <s v="CLKENPPCA" u="1"/>
        <s v="CLESTATEBB" u="1"/>
        <s v="CLADY1PKPPSS" u="1"/>
        <s v="CLBDPPCPRPS B&amp;T" u="1"/>
        <s v="LSL-DSS" u="1"/>
        <s v="CLPHLSTA" u="1"/>
        <s v="CLWHTS" u="1"/>
        <s v="CLADY1PKSSS" u="1"/>
        <s v="CLBDPPCS B &amp;T" u="1"/>
        <s v="MDRNESTS" u="1"/>
        <s v="CLBDPPCSSS" u="1"/>
        <s v="CLCVESS" u="1"/>
        <s v="CLESTPPCASL" u="1"/>
        <s v="CLADYPPPKSSS" u="1"/>
        <s v="LS BD-SI-SPS" u="1"/>
      </sharedItems>
    </cacheField>
    <cacheField name="COLOR" numFmtId="0">
      <sharedItems containsBlank="1" count="219">
        <s v="7289A HRBR ISLND BLUE WHT MLTI"/>
        <s v="7289D COASTAL BEIGE WHT MULTI"/>
        <s v="7289C PWDR PURPLE WHITE MULTI"/>
        <s v="7289B FADED MINT WHITE MULTI"/>
        <s v="WHITE"/>
        <s v="BSR PINK"/>
        <s v="1605A BLUE/WHITE MULTI"/>
        <s v="BSR BLUE/WHITE GINGHAM"/>
        <s v="BSR WHITE"/>
        <s v="7258 NAVY WHITE"/>
        <s v="7312 NAVY MULTI"/>
        <s v="6671H COASTAL BEIGE/WHITE"/>
        <s v="6671A CABANA BLUE/WHITE"/>
        <s v="6671I POWDER PURPLE/WHITE"/>
        <s v="6555B CABANA BLUE/WHITE"/>
        <s v="RL-825 PINK/BROWN"/>
        <s v="RL-829 BLUE/ORANGE"/>
        <s v="RL-827 WHITE/BLUE"/>
        <s v="RL-826 TURQUOISE"/>
        <s v="RL-828 PURPLE/CREAM"/>
        <s v="RL-830 BLUE"/>
        <s v="RL-840 BLACK/CREAM"/>
        <s v="#6937A WHITE BLUE MULTI"/>
        <s v="#6937C WHITE WINE MULTI"/>
        <s v="#6937B WHITE GREEN MULTI"/>
        <s v="NEW FOREST"/>
        <s v="ORANGE LEAF"/>
        <s v="VINTAGE KHAKI"/>
        <s v="5753 NAVY/GREEN MULTI"/>
        <s v="6944 PINE NAVY MULTI"/>
        <s v="NEWPORT NAVY"/>
        <s v="POLO BLACK"/>
        <s v="6555A ROYAL WHITE"/>
        <s v="6555H COASTAL BEIGE WHITE"/>
        <s v="6671F ADIRONDACK BERRY WHITE"/>
        <s v="6671E LOVAT WHITE"/>
        <s v="6937C WHITE WINE MULTI"/>
        <s v="6937B WHITE GREEN MULTI"/>
        <s v="SUPPLY OLIVE"/>
        <s v="6045A BLUE EOE"/>
        <s v="6771 BLUE/WHITE"/>
        <s v="6771C POWDER PURPLE WHITE"/>
        <s v="7428B WHITE PURPLE MULTI"/>
        <s v="7428A WHITE BLUE MULTI"/>
        <s v="7427B PURPLE WHITE MULTI"/>
        <s v="7427A BLUE WHITE MULTI"/>
        <s v="RL-837 GREY/CREAM"/>
        <s v="7372C WHITE OLIVE MULTI"/>
        <s v="7372A WHITE BLUE MULTI"/>
        <s v="7372B WHITE PURPLE MULTI"/>
        <s v="7413 WINE ROYAL MULTI"/>
        <s v="AUSTIN BLUE"/>
        <s v="5060 CAROLINA BLUE/WHITE"/>
        <s v="NEWPORT NAVY/WHITE"/>
        <s v="BSR AEGEAN BLUE"/>
        <s v="BSR BLUE"/>
        <s v="BSR YELLOW"/>
        <s v="RL NAVY"/>
        <s v="PERFECT GREY"/>
        <s v="SURREY TAN"/>
        <s v="BSR BLUE/WHITE STRIPE"/>
        <s v="FATIGUE GREEN"/>
        <s v="CORN YELLOW"/>
        <s v="6973B WINE NAVY MULTI"/>
        <s v="6890C BROWN GREEN MULTI"/>
        <s v="7404 PURPLE ORANGE MULTI"/>
        <s v="6973A NAVY WINE MULTI"/>
        <s v="6936B VINTAGE PINE NAVY MULTI"/>
        <s v="SLATE"/>
        <s v="6937A WHITE BLUE MULTI"/>
        <s v="7373A BLUE MULTI"/>
        <s v="6890D OLIVE BROWN MULTI"/>
        <s v="7373B BLUE PINK MULTI"/>
        <s v="ALPINE BROWN HEATHER"/>
        <s v="ONYX HEATHER"/>
        <s v="BSR BLUE/WHITE"/>
        <s v="BSR ROYAL/WHITE"/>
        <s v="BLUE"/>
        <s v="PINK"/>
        <s v="BLUE/WHITE STRIPE"/>
        <m/>
        <s v="FLORIDA PINK" u="1"/>
        <s v="6555I POWDER PURPLE/WHITE" u="1"/>
        <s v="6497A BLUE/NAVY MULTI" u="1"/>
        <s v="NEW FOREST/FRESH WATER PP" u="1"/>
        <s v="NEW ROSE" u="1"/>
        <s v="CARMEL PINK" u="1"/>
        <s v="594C BLUE/WHITE" u="1"/>
        <s v="#6752B NAVY RED MULTI" u="1"/>
        <s v="WHITE (POPLIN)" u="1"/>
        <s v="7110A WHITE BRIGHT NAVY" u="1"/>
        <s v="BASIC FOREST" u="1"/>
        <s v="6943A NAVY WINE MULTI" u="1"/>
        <s v="7108A BLUE PINK MULTI" u="1"/>
        <s v="3213A ROYAL/WHITE" u="1"/>
        <s v="6045C LAVENDER EOE" u="1"/>
        <s v="NEW OLIVE" u="1"/>
        <s v="7188B BLUE WHITE" u="1"/>
        <s v="6707A NAVY/GREEN MULTI" u="1"/>
        <s v="DARK BEECH" u="1"/>
        <s v="3210A LIGHT BLUE/WHITE" u="1"/>
        <s v="7105A BLUE ORANGE MULTI" u="1"/>
        <s v="6357A BLUE/GREEN MULTI" u="1"/>
        <s v="5463 WHITE/YELLOW MULTI" u="1"/>
        <s v="5137B PINK/WHITE" u="1"/>
        <s v="HARBOR ISLAND BLUE" u="1"/>
        <s v="7188A WHITE BLUE" u="1"/>
        <s v="5137I CAMBRIDGE YELLOW/WHITE" u="1"/>
        <s v="6845A BLUE/WHITE" u="1"/>
        <s v="7109B BLUE GREEN MULTI" u="1"/>
        <s v="YELLOW MULTI" u="1"/>
        <s v="5137A BLUE WHITE" u="1"/>
        <s v="6845B LAVENDER WHITE" u="1"/>
        <s v="6495 GREEN/NAVY MULTI" u="1"/>
        <s v="6555D PINK WHITE" u="1"/>
        <s v="INDIGO BLUE/CREAM MULTI" u="1"/>
        <s v="152A STEM/WHITE" u="1"/>
        <s v="6671H COASTAL BEIGE WHITE" u="1"/>
        <s v="RED MULTI" u="1"/>
        <s v="6671A CABANA BLUE WHITE" u="1"/>
        <s v="5089E LAVENDER PURPLE WHITE" u="1"/>
        <s v="BLUE STRIPE" u="1"/>
        <s v="6816 BLUE FUNSHIRT" u="1"/>
        <s v="6555B CABANA BLUE WHITE" u="1"/>
        <s v="6847A BLUE WHITE" u="1"/>
        <s v="7116B GREEN BLUE WHITE" u="1"/>
        <s v="7188F ESSEX GREEN WHITE" u="1"/>
        <s v="6828 GREEN BLUE MULTI" u="1"/>
        <s v="6707C TURQUISE/RED MULTI" u="1"/>
        <s v="7005A BLUE/WHITE" u="1"/>
        <s v="7105B PINK BLUE MULTI" u="1"/>
        <s v="3215A MINI BLUE/WHITE" u="1"/>
        <s v="7188C PINK WHITE" u="1"/>
        <s v="7170 ORANGE ROYAL MULTI" u="1"/>
        <s v="52B PINK/WHITE" u="1"/>
        <s v="RL-727 ORANGE/BLUE" u="1"/>
        <s v="CLASSIC AZURE" u="1"/>
        <s v="3334A BLUE/WHITE" u="1"/>
        <s v="6279 BLUE MULTI" u="1"/>
        <s v="6771B CARMEL PINK/WHITE" u="1"/>
        <s v="5137H GARDEN TRAIL WHITE" u="1"/>
        <s v="7188E COASTAL BEIGE WHITE" u="1"/>
        <s v="7239 NAVY WHITE" u="1"/>
        <s v="6457 STEEPLECHASE TOSS" u="1"/>
        <s v="7110C WHITE COASTAL BEIGE" u="1"/>
        <s v="BLUE/RED MULTI" u="1"/>
        <s v="BLUE MULTI" u="1"/>
        <s v="6845C POLO BLACK/WHITE" u="1"/>
        <s v="52C KEY WEST GREEN WHITE" u="1"/>
        <s v="52F COSTAL BEIGE/WHITE" u="1"/>
        <s v="6755 SEAFOAM BLUE MULTI" u="1"/>
        <s v="152B CANARY YELLOW/WHITE" u="1"/>
        <s v="7061 INDIGO" u="1"/>
        <s v="DECKWASH WHITE" u="1"/>
        <s v="6845A BLUE WHITE" u="1"/>
        <s v="6707B RED/GREEN MULTI" u="1"/>
        <s v="7187 PURPLE BLUE MULTI" u="1"/>
        <s v="TAN STRIPE" u="1"/>
        <s v="7116A BLUE GREEN MULTI" u="1"/>
        <s v="BASTILLE BLUE" u="1"/>
        <s v="6911 WINE KHAKI MULTI" u="1"/>
        <s v="CLASSIC CAMEL" u="1"/>
        <s v="7075B GREY MULTI" u="1"/>
        <s v="SAGE GREEN" u="1"/>
        <s v="FRESH WATER" u="1"/>
        <s v="COPEN BLUE" u="1"/>
        <s v="DARK METAL" u="1"/>
        <s v="BAYSIDE GREEN" u="1"/>
        <s v="6847B PINK WHITE" u="1"/>
        <s v="6555F LOVAT WHITE" u="1"/>
        <s v="52E HARBOR ISLAND BLUE WHITE" u="1"/>
        <s v="5137D WHITE/NEW CLASSIC NAVY" u="1"/>
        <s v="4366C TAN" u="1"/>
        <s v="WHITE (OXFORD)" u="1"/>
        <s v="7188G NEW CLASSIC NAVY WHITE" u="1"/>
        <s v="FL-76 BLUE NAVY" u="1"/>
        <s v="7005B POLO BLACK/WHITE" u="1"/>
        <s v="6555H COASTAL BEIGE/WHITE" u="1"/>
        <s v="#B4771 SEAFOAM PINK MULTI" u="1"/>
        <s v="2589F BLUE/WHITE" u="1"/>
        <s v="7316 WHITE BLUE" u="1"/>
        <s v="7110B WHITE HARBOR ISLAND BLE" u="1"/>
        <s v="CRUISE GREEN" u="1"/>
        <s v="#B6749C BLUE WHITE" u="1"/>
        <s v="4596A BLUE WHITE MULTI" u="1"/>
        <s v="5137F CHOCOLATE MOUSSE/WHITE" u="1"/>
        <s v="#B7158 WHITE FADED BLUE MULTI" u="1"/>
        <s v="7169 BLUE GREEN MULTI" u="1"/>
        <s v="MOSS AGATE" u="1"/>
        <s v="6045B PINK EOE" u="1"/>
        <s v="SU58 OLIVE WINE" u="1"/>
        <s v="7188D LAVENDER WHITE" u="1"/>
        <s v="2648 ROYAL BLUE/WHITE" u="1"/>
        <s v="6671G AIX LAVENDER WHITE" u="1"/>
        <s v="4366K CHOCOLATE MOUSSE" u="1"/>
        <s v="NIGHT NAVY" u="1"/>
        <s v="#7109B GREEN BLUE MULTI" u="1"/>
        <s v="6555G AIX LAVENDER WHITE" u="1"/>
        <s v="5089D HRBR ISLND BLUE WHT" u="1"/>
        <s v="#7108A BLUE PINK MULTI" u="1"/>
        <s v="#7109A BLUE PINK MULTI" u="1"/>
        <s v="5137G COASTAL BEIGE/WHITE" u="1"/>
        <s v="COOPER BROWN" u="1"/>
        <s v="COASTAL BEIGE" u="1"/>
        <s v="52A BLUE WHITE" u="1"/>
        <s v="RED WINE" u="1"/>
        <s v="#B222A BLUE CREAM" u="1"/>
        <s v="1021P TRUE BLUE/WHITE" u="1"/>
        <s v="5137A BLUE/WHITE" u="1"/>
        <s v="SKY LAVENDER" u="1"/>
        <s v="6357B NAVY/PINK MULTI" u="1"/>
        <s v="OASIS YELLOW" u="1"/>
        <s v="6555E KEY WEST WHITE" u="1"/>
        <s v="5089F COASTAL BEIGE WHITE" u="1"/>
        <s v="7109A BLUE PINK MULTI" u="1"/>
        <s v="#B6749 CARMEL PINK/WHITE" u="1"/>
        <s v="6555E KEYWEST WHITE" u="1"/>
        <s v="6855 NAVY WINE MULTI" u="1"/>
        <s v="7006 WHITE/POLO BLACK" u="1"/>
      </sharedItems>
    </cacheField>
    <cacheField name="Qty" numFmtId="0">
      <sharedItems containsString="0" containsBlank="1" containsNumber="1" containsInteger="1" minValue="0" maxValue="6086"/>
    </cacheField>
    <cacheField name="LS/SS" numFmtId="0">
      <sharedItems containsBlank="1"/>
    </cacheField>
    <cacheField name="PRICE" numFmtId="0">
      <sharedItems containsString="0" containsBlank="1" containsNumber="1" minValue="6.48" maxValue="57.68"/>
    </cacheField>
    <cacheField name="ARTICLE" numFmtId="0">
      <sharedItems containsBlank="1"/>
    </cacheField>
    <cacheField name="Costing" numFmtId="0">
      <sharedItems containsBlank="1"/>
    </cacheField>
    <cacheField name="MILL" numFmtId="0">
      <sharedItems containsBlank="1"/>
    </cacheField>
    <cacheField name="PI NUMBER" numFmtId="0">
      <sharedItems containsBlank="1"/>
    </cacheField>
    <cacheField name="PI QTY" numFmtId="0">
      <sharedItems containsString="0" containsBlank="1" containsNumber="1" containsInteger="1" minValue="0" maxValue="0"/>
    </cacheField>
    <cacheField name="Mill Ex-Mill" numFmtId="0">
      <sharedItems containsString="0" containsBlank="1" containsNumber="1" containsInteger="1" minValue="0" maxValue="0"/>
    </cacheField>
    <cacheField name="Fabric Price" numFmtId="0">
      <sharedItems containsNonDate="0" containsString="0" containsBlank="1"/>
    </cacheField>
    <cacheField name="FABRIC WFX Entry" numFmtId="0">
      <sharedItems containsString="0" containsBlank="1" containsNumber="1" containsInteger="1" minValue="100146314" maxValue="100146314"/>
    </cacheField>
    <cacheField name="FABRIC CONTENT" numFmtId="0">
      <sharedItems containsBlank="1" count="5">
        <s v="68%COTTON(BCI); 30% LYOCELL;  2%ELASTANE"/>
        <s v="100% COTTON"/>
        <s v="100% Linen"/>
        <m/>
        <s v="100% Viscose" u="1"/>
      </sharedItems>
    </cacheField>
    <cacheField name="WASH" numFmtId="0">
      <sharedItems containsBlank="1" count="5">
        <s v="Non-Wash"/>
        <s v="Garment Wash"/>
        <m/>
        <s v="Garment Dye"/>
        <s v="NON WASH" u="1"/>
      </sharedItems>
    </cacheField>
    <cacheField name="TRIM CATEGORY" numFmtId="0">
      <sharedItems containsBlank="1"/>
    </cacheField>
    <cacheField name="Body thread" numFmtId="0">
      <sharedItems containsBlank="1"/>
    </cacheField>
    <cacheField name="EMB THREAD" numFmtId="0">
      <sharedItems containsBlank="1"/>
    </cacheField>
    <cacheField name="EMB" numFmtId="0">
      <sharedItems containsBlank="1"/>
    </cacheField>
    <cacheField name="WASHCARE LABEL" numFmtId="0">
      <sharedItems containsNonDate="0" containsString="0" containsBlank="1"/>
    </cacheField>
    <cacheField name="Button Supplier" numFmtId="0">
      <sharedItems containsBlank="1"/>
    </cacheField>
    <cacheField name="Packaging temp" numFmtId="0">
      <sharedItems containsBlank="1"/>
    </cacheField>
    <cacheField name="Fold teap" numFmtId="0">
      <sharedItems containsBlank="1"/>
    </cacheField>
    <cacheField name="P.QTY DIFF" numFmtId="0">
      <sharedItems containsNonDate="0" containsString="0" containsBlank="1"/>
    </cacheField>
    <cacheField name="REMARKS" numFmtId="0">
      <sharedItems containsNonDate="0" containsString="0" containsBlank="1"/>
    </cacheField>
    <cacheField name="RATIO PACK" numFmtId="0">
      <sharedItems containsBlank="1"/>
    </cacheField>
    <cacheField name="Carton Size" numFmtId="0">
      <sharedItems containsNonDate="0" containsString="0" containsBlank="1"/>
    </cacheField>
    <cacheField name="Ratio Pack/Carton" numFmtId="0">
      <sharedItems containsString="0" containsBlank="1" containsNumber="1" containsInteger="1" minValue="6" maxValue="12"/>
    </cacheField>
    <cacheField name="Carton Required qty" numFmtId="0">
      <sharedItems containsNonDate="0" containsString="0" containsBlank="1"/>
    </cacheField>
    <cacheField name="LEAKAGE REASON" numFmtId="0">
      <sharedItems containsNonDate="0" containsString="0" containsBlank="1"/>
    </cacheField>
    <cacheField name="LEAKAGE DAYS" numFmtId="0">
      <sharedItems containsNonDate="0" containsString="0" containsBlank="1"/>
    </cacheField>
    <cacheField name="LEAKAGE RESPONSE TEAM" numFmtId="0">
      <sharedItems containsNonDate="0" containsString="0" containsBlank="1"/>
    </cacheField>
    <cacheField name="STATUS" numFmtId="0">
      <sharedItems containsNonDate="0" containsString="0" containsBlank="1"/>
    </cacheField>
    <cacheField name="RLI UPDATE STATUS" numFmtId="0">
      <sharedItems containsBlank="1" count="12">
        <s v="Shipped"/>
        <m/>
        <s v="Under Sizeset"/>
        <s v="Under Finishing"/>
        <s v="IN PROCESS"/>
        <s v="PENDING"/>
        <e v="#N/A"/>
        <s v="TO BE SUBMITTED"/>
        <s v="Under Sewing"/>
        <s v="Approved"/>
        <s v="Under Cutting"/>
        <s v="Under Size set" u="1"/>
      </sharedItems>
    </cacheField>
    <cacheField name="PPS Approved Units" numFmtId="0">
      <sharedItems containsNonDate="0" containsString="0" containsBlank="1"/>
    </cacheField>
    <cacheField name="BULK STATUS" numFmtId="0">
      <sharedItems containsNonDate="0" containsString="0" containsBlank="1"/>
    </cacheField>
    <cacheField name="CUT PLAN" numFmtId="0">
      <sharedItems containsNonDate="0" containsBlank="1" count="3">
        <m/>
        <s v="Approved" u="1"/>
        <s v="Approved " u="1"/>
      </sharedItems>
    </cacheField>
    <cacheField name="APPROVED CON'S" numFmtId="0">
      <sharedItems containsString="0" containsBlank="1" containsNumber="1" minValue="1.26" maxValue="2.4"/>
    </cacheField>
    <cacheField name="Allocated Fabric in yds" numFmtId="0">
      <sharedItems containsString="0" containsBlank="1" containsNumber="1" minValue="0" maxValue="13921.887145320001"/>
    </cacheField>
    <cacheField name="Cut Qty" numFmtId="0">
      <sharedItems containsNonDate="0" containsString="0" containsBlank="1"/>
    </cacheField>
    <cacheField name="SEALER STATUS" numFmtId="0">
      <sharedItems containsNonDate="0" containsString="0" containsBlank="1"/>
    </cacheField>
    <cacheField name="Drop" numFmtId="0">
      <sharedItems containsNonDate="0" containsString="0" containsBlank="1"/>
    </cacheField>
    <cacheField name="FIT STATUS" numFmtId="0">
      <sharedItems containsNonDate="0" containsString="0" containsBlank="1"/>
    </cacheField>
    <cacheField name="BOM Review" numFmtId="0">
      <sharedItems containsBlank="1"/>
    </cacheField>
    <cacheField name="FILE DATE" numFmtId="0">
      <sharedItems containsNonDate="0" containsDate="1" containsString="0" containsBlank="1" minDate="2026-01-12T00:00:00" maxDate="2026-06-04T00:00:00" count="44">
        <d v="2026-01-16T00:00:00"/>
        <d v="2026-01-20T00:00:00"/>
        <d v="2026-01-19T00:00:00"/>
        <d v="2026-01-13T00:00:00"/>
        <m/>
        <d v="2026-01-22T00:00:00"/>
        <d v="2026-01-15T00:00:00"/>
        <d v="2026-01-12T00:00:00"/>
        <d v="2026-03-11T00:00:00"/>
        <d v="2026-05-04T00:00:00"/>
        <d v="2026-02-12T00:00:00"/>
        <d v="2026-02-16T00:00:00"/>
        <d v="2026-01-30T00:00:00"/>
        <d v="2026-02-04T00:00:00"/>
        <d v="2026-02-20T00:00:00"/>
        <d v="2026-02-23T00:00:00"/>
        <d v="2026-03-02T00:00:00"/>
        <d v="2026-03-20T00:00:00"/>
        <d v="2026-03-09T00:00:00"/>
        <d v="2026-03-23T00:00:00"/>
        <d v="2026-03-31T00:00:00"/>
        <d v="2026-02-17T00:00:00"/>
        <d v="2026-03-28T00:00:00"/>
        <d v="2026-02-28T00:00:00"/>
        <d v="2026-03-30T00:00:00"/>
        <d v="2026-03-24T00:00:00"/>
        <d v="2026-03-17T00:00:00"/>
        <d v="2026-03-27T00:00:00"/>
        <d v="2026-02-13T00:00:00"/>
        <d v="2026-02-25T00:00:00"/>
        <d v="2026-04-09T00:00:00"/>
        <d v="2026-06-01T00:00:00"/>
        <d v="2026-04-15T00:00:00"/>
        <d v="2026-04-30T00:00:00"/>
        <d v="2026-04-27T00:00:00"/>
        <d v="2026-04-06T00:00:00"/>
        <d v="2026-04-01T00:00:00"/>
        <d v="2026-05-08T00:00:00"/>
        <d v="2026-05-11T00:00:00"/>
        <d v="2026-05-15T00:00:00"/>
        <d v="2026-05-18T00:00:00"/>
        <d v="2026-05-26T00:00:00"/>
        <d v="2026-05-19T00:00:00"/>
        <d v="2026-06-03T00:00:00"/>
      </sharedItems>
      <fieldGroup par="162" base="55">
        <rangePr groupBy="days" startDate="2026-01-12T00:00:00" endDate="2026-06-04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-06-2026"/>
        </groupItems>
      </fieldGroup>
    </cacheField>
    <cacheField name="FILE STATUS" numFmtId="0">
      <sharedItems containsDate="1" containsBlank="1" containsMixedTypes="1" minDate="2025-03-30T00:00:00" maxDate="2025-04-28T00:00:00" count="8">
        <s v="Released"/>
        <m/>
        <s v="PENDING"/>
        <d v="2025-04-27T00:00:00" u="1"/>
        <d v="2025-04-13T00:00:00" u="1"/>
        <d v="2025-04-06T00:00:00" u="1"/>
        <d v="2025-03-30T00:00:00" u="1"/>
        <s v="Pending to Release" u="1"/>
      </sharedItems>
    </cacheField>
    <cacheField name="PPS STATUS" numFmtId="0">
      <sharedItems containsDate="1" containsBlank="1" containsMixedTypes="1" minDate="2024-08-03T00:00:00" maxDate="2024-08-04T00:00:00" count="8">
        <s v="APPROVED"/>
        <m/>
        <s v="PENDING"/>
        <s v="Reseal Pending" u="1"/>
        <s v="Reseal" u="1"/>
        <s v="PP" u="1"/>
        <s v="Under Sampling" u="1"/>
        <d v="2024-08-03T00:00:00" u="1"/>
      </sharedItems>
    </cacheField>
    <cacheField name="FPT" numFmtId="0">
      <sharedItems containsDate="1" containsBlank="1" containsMixedTypes="1" minDate="2024-07-25T00:00:00" maxDate="2024-08-13T00:00:00" count="9">
        <s v="APPROVED"/>
        <m/>
        <s v="PENDING"/>
        <s v=" BGLT25055679" u="1"/>
        <d v="2024-07-25T00:00:00" u="1"/>
        <s v="TRPT25118652" u="1"/>
        <s v="DELT25038690" u="1"/>
        <d v="2024-08-12T00:00:00" u="1"/>
        <s v="TRPT25099489" u="1"/>
      </sharedItems>
    </cacheField>
    <cacheField name="GPT" numFmtId="0">
      <sharedItems containsDate="1" containsBlank="1" containsMixedTypes="1" minDate="2024-08-08T00:00:00" maxDate="2024-08-27T00:00:00" count="14">
        <s v="APPROVED"/>
        <m/>
        <s v="PENDING"/>
        <s v="Under Sampling"/>
        <s v="AWG FAB"/>
        <d v="2024-08-08T00:00:00" u="1"/>
        <s v="BGLT26006178" u="1"/>
        <s v="BGLT26004714" u="1"/>
        <s v="Exp 10/17" u="1"/>
        <s v="BGLT26009236" u="1"/>
        <d v="2024-08-26T00:00:00" u="1"/>
        <s v="BGLT26009241" u="1"/>
        <s v="Full Package Pass" u="1"/>
        <s v="Pass" u="1"/>
      </sharedItems>
    </cacheField>
    <cacheField name="QA FILE STATUS" numFmtId="0">
      <sharedItems containsDate="1" containsBlank="1" containsMixedTypes="1" minDate="2024-07-17T00:00:00" maxDate="2024-08-02T00:00:00" count="6">
        <s v="Approved"/>
        <m/>
        <s v="PENDING"/>
        <d v="2024-07-17T00:00:00" u="1"/>
        <d v="2024-08-01T00:00:00" u="1"/>
        <s v="Sent To FTY" u="1"/>
      </sharedItems>
    </cacheField>
    <cacheField name="Wash Approval Status" numFmtId="0">
      <sharedItems containsNonDate="0" containsString="0" containsBlank="1"/>
    </cacheField>
    <cacheField name="EMB Approval" numFmtId="0">
      <sharedItems containsBlank="1"/>
    </cacheField>
    <cacheField name="Ex-Mill" numFmtId="0">
      <sharedItems containsNonDate="0" containsDate="1" containsString="0" containsBlank="1" minDate="2024-01-06T00:00:00" maxDate="2024-01-07T00:00:00"/>
    </cacheField>
    <cacheField name="FABRIC I/H" numFmtId="0">
      <sharedItems containsNonDate="0" containsString="0" containsBlank="1"/>
    </cacheField>
    <cacheField name="SHARANG UPDATE" numFmtId="0">
      <sharedItems containsString="0" containsBlank="1" containsNumber="1" minValue="0" maxValue="885.6"/>
    </cacheField>
    <cacheField name="ACTUAL FILE RELEASED ON" numFmtId="0">
      <sharedItems containsNonDate="0" containsString="0" containsBlank="1" count="1">
        <m/>
      </sharedItems>
    </cacheField>
    <cacheField name="REQ EX-FACTORY" numFmtId="0">
      <sharedItems containsNonDate="0" containsDate="1" containsString="0" containsBlank="1" minDate="2024-10-20T00:00:00" maxDate="2026-05-29T00:00:00" count="59">
        <d v="2026-03-26T00:00:00"/>
        <m/>
        <d v="2026-04-02T00:00:00"/>
        <d v="2026-04-23T00:00:00"/>
        <d v="2026-04-16T00:00:00"/>
        <d v="2026-05-14T00:00:00"/>
        <d v="2026-04-09T00:00:00"/>
        <d v="2026-04-30T00:00:00"/>
        <d v="2026-05-28T00:00:00"/>
        <d v="2026-05-21T00:00:00"/>
        <d v="2025-12-04T00:00:00" u="1"/>
        <d v="2025-06-05T00:00:00" u="1"/>
        <d v="2025-01-30T00:00:00" u="1"/>
        <d v="2025-01-16T00:00:00" u="1"/>
        <d v="2025-09-25T00:00:00" u="1"/>
        <d v="2025-10-30T00:00:00" u="1"/>
        <d v="2025-09-18T00:00:00" u="1"/>
        <d v="2025-10-23T00:00:00" u="1"/>
        <d v="2025-04-24T00:00:00" u="1"/>
        <d v="2026-03-19T00:00:00" u="1"/>
        <d v="2025-09-11T00:00:00" u="1"/>
        <d v="2025-10-16T00:00:00" u="1"/>
        <d v="2025-04-17T00:00:00" u="1"/>
        <d v="2026-03-12T00:00:00" u="1"/>
        <d v="2025-05-22T00:00:00" u="1"/>
        <d v="2025-09-04T00:00:00" u="1"/>
        <d v="2026-02-26T00:00:00" u="1"/>
        <d v="2025-10-09T00:00:00" u="1"/>
        <d v="2025-05-15T00:00:00" u="1"/>
        <d v="2026-02-19T00:00:00" u="1"/>
        <d v="2025-10-02T00:00:00" u="1"/>
        <d v="2025-05-08T00:00:00" u="1"/>
        <d v="2026-02-12T00:00:00" u="1"/>
        <d v="2025-05-01T00:00:00" u="1"/>
        <d v="2026-02-05T00:00:00" u="1"/>
        <d v="2025-08-28T00:00:00" u="1"/>
        <d v="2025-03-27T00:00:00" u="1"/>
        <d v="2025-03-20T00:00:00" u="1"/>
        <d v="2026-01-29T00:00:00" u="1"/>
        <d v="2025-03-13T00:00:00" u="1"/>
        <d v="2025-02-27T00:00:00" u="1"/>
        <d v="2026-01-22T00:00:00" u="1"/>
        <d v="2025-03-06T00:00:00" u="1"/>
        <d v="2025-02-20T00:00:00" u="1"/>
        <d v="2026-01-15T00:00:00" u="1"/>
        <d v="2025-02-13T00:00:00" u="1"/>
        <d v="2026-01-08T00:00:00" u="1"/>
        <d v="2025-11-27T00:00:00" u="1"/>
        <d v="2025-02-06T00:00:00" u="1"/>
        <d v="2026-01-01T00:00:00" u="1"/>
        <d v="2025-11-20T00:00:00" u="1"/>
        <d v="2025-12-25T00:00:00" u="1"/>
        <d v="2025-06-26T00:00:00" u="1"/>
        <d v="2025-11-13T00:00:00" u="1"/>
        <d v="2025-12-18T00:00:00" u="1"/>
        <d v="2024-10-20T00:00:00" u="1"/>
        <d v="2025-07-24T00:00:00" u="1"/>
        <d v="2025-11-06T00:00:00" u="1"/>
        <d v="2025-12-11T00:00:00" u="1"/>
      </sharedItems>
    </cacheField>
    <cacheField name="INSPECTION" numFmtId="0">
      <sharedItems containsNonDate="0" containsString="0" containsBlank="1"/>
    </cacheField>
    <cacheField name="FTY LT" numFmtId="0">
      <sharedItems containsString="0" containsBlank="1" containsNumber="1" containsInteger="1" minValue="47" maxValue="83"/>
    </cacheField>
    <cacheField name="CDD" numFmtId="0">
      <sharedItems containsNonDate="0" containsDate="1" containsString="0" containsBlank="1" minDate="2026-03-08T00:00:00" maxDate="2026-07-27T00:00:00"/>
    </cacheField>
    <cacheField name="HANDOVER DATE" numFmtId="15">
      <sharedItems containsNonDate="0" containsDate="1" containsString="0" containsBlank="1" minDate="2026-04-05T00:00:00" maxDate="2026-09-14T00:00:00" count="20">
        <d v="2026-04-05T00:00:00"/>
        <m/>
        <d v="2026-05-17T00:00:00"/>
        <d v="2026-08-02T00:00:00"/>
        <d v="2026-08-03T00:00:00"/>
        <d v="2026-04-12T00:00:00"/>
        <d v="2026-05-03T00:00:00"/>
        <d v="2026-04-26T00:00:00"/>
        <d v="2026-05-24T00:00:00"/>
        <d v="2026-07-05T00:00:00"/>
        <d v="2026-07-06T00:00:00"/>
        <d v="2026-04-19T00:00:00"/>
        <d v="2026-05-10T00:00:00"/>
        <d v="2026-06-07T00:00:00"/>
        <d v="2026-05-31T00:00:00"/>
        <d v="2026-07-12T00:00:00"/>
        <d v="2026-06-14T00:00:00"/>
        <d v="2026-06-28T00:00:00"/>
        <d v="2026-09-13T00:00:00"/>
        <d v="2026-07-26T00:00:00"/>
      </sharedItems>
      <fieldGroup par="164" base="71">
        <rangePr groupBy="days" startDate="2026-04-05T00:00:00" endDate="2026-09-14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4-09-2026"/>
        </groupItems>
      </fieldGroup>
    </cacheField>
    <cacheField name="TSS" numFmtId="0">
      <sharedItems containsDate="1" containsString="0" containsBlank="1" containsMixedTypes="1" minDate="1900-01-05T09:24:12" maxDate="2026-11-16T00:00:00"/>
    </cacheField>
    <cacheField name="PORT" numFmtId="0">
      <sharedItems containsDate="1" containsBlank="1" containsMixedTypes="1" minDate="2025-02-03T00:00:00" maxDate="2025-03-02T00:00:00" count="14">
        <m/>
        <s v="TUTICORIN, IN"/>
        <s v="INBLR" u="1"/>
        <s v="INMAA" u="1"/>
        <s v="CHENNAI, IN" u="1"/>
        <s v="Need Extn" u="1"/>
        <s v="INTUT" u="1"/>
        <s v="MUMBAI" u="1"/>
        <e v="#N/A" u="1"/>
        <d v="2025-02-03T00:00:00" u="1"/>
        <d v="2025-03-01T00:00:00" u="1"/>
        <s v="INBOM" u="1"/>
        <s v="MUMBAI, IN" u="1"/>
        <s v="Chennai" u="1"/>
      </sharedItems>
    </cacheField>
    <cacheField name="VLOOKUP" numFmtId="0">
      <sharedItems containsBlank="1"/>
    </cacheField>
    <cacheField name="14" numFmtId="0">
      <sharedItems containsString="0" containsBlank="1" containsNumber="1" containsInteger="1" minValue="1" maxValue="1"/>
    </cacheField>
    <cacheField name="14.5" numFmtId="0">
      <sharedItems containsString="0" containsBlank="1" containsNumber="1" containsInteger="1" minValue="1" maxValue="31"/>
    </cacheField>
    <cacheField name="15" numFmtId="0">
      <sharedItems containsString="0" containsBlank="1" containsNumber="1" containsInteger="1" minValue="1" maxValue="69"/>
    </cacheField>
    <cacheField name="15.5" numFmtId="0">
      <sharedItems containsString="0" containsBlank="1" containsNumber="1" containsInteger="1" minValue="2" maxValue="120"/>
    </cacheField>
    <cacheField name="16" numFmtId="0">
      <sharedItems containsString="0" containsBlank="1" containsNumber="1" containsInteger="1" minValue="3" maxValue="95"/>
    </cacheField>
    <cacheField name="16.5" numFmtId="0">
      <sharedItems containsString="0" containsBlank="1" containsNumber="1" containsInteger="1" minValue="1" maxValue="100"/>
    </cacheField>
    <cacheField name="17" numFmtId="0">
      <sharedItems containsString="0" containsBlank="1" containsNumber="1" containsInteger="1" minValue="1" maxValue="54"/>
    </cacheField>
    <cacheField name="17.5" numFmtId="0">
      <sharedItems containsString="0" containsBlank="1" containsNumber="1" containsInteger="1" minValue="1" maxValue="49"/>
    </cacheField>
    <cacheField name="18" numFmtId="0">
      <sharedItems containsString="0" containsBlank="1" containsNumber="1" containsInteger="1" minValue="1" maxValue="26"/>
    </cacheField>
    <cacheField name="18.5" numFmtId="0">
      <sharedItems containsString="0" containsBlank="1" containsNumber="1" containsInteger="1" minValue="2" maxValue="7"/>
    </cacheField>
    <cacheField name="19" numFmtId="0">
      <sharedItems containsNonDate="0" containsString="0" containsBlank="1"/>
    </cacheField>
    <cacheField name="20" numFmtId="0">
      <sharedItems containsNonDate="0" containsString="0" containsBlank="1"/>
    </cacheField>
    <cacheField name="XXS" numFmtId="0">
      <sharedItems containsNonDate="0" containsString="0" containsBlank="1"/>
    </cacheField>
    <cacheField name="XS" numFmtId="0">
      <sharedItems containsString="0" containsBlank="1" containsNumber="1" containsInteger="1" minValue="0" maxValue="90"/>
    </cacheField>
    <cacheField name="S" numFmtId="0">
      <sharedItems containsString="0" containsBlank="1" containsNumber="1" containsInteger="1" minValue="0" maxValue="850"/>
    </cacheField>
    <cacheField name="M" numFmtId="0">
      <sharedItems containsString="0" containsBlank="1" containsNumber="1" containsInteger="1" minValue="0" maxValue="1382"/>
    </cacheField>
    <cacheField name="L" numFmtId="0">
      <sharedItems containsString="0" containsBlank="1" containsNumber="1" containsInteger="1" minValue="0" maxValue="1921"/>
    </cacheField>
    <cacheField name="XL" numFmtId="0">
      <sharedItems containsString="0" containsBlank="1" containsNumber="1" containsInteger="1" minValue="0" maxValue="1352"/>
    </cacheField>
    <cacheField name="XXL" numFmtId="0">
      <sharedItems containsBlank="1" containsMixedTypes="1" containsNumber="1" containsInteger="1" minValue="0" maxValue="850"/>
    </cacheField>
    <cacheField name="3XL" numFmtId="0">
      <sharedItems containsString="0" containsBlank="1" containsNumber="1" containsInteger="1" minValue="8" maxValue="163"/>
    </cacheField>
    <cacheField name="4XK" numFmtId="0">
      <sharedItems containsNonDate="0" containsString="0" containsBlank="1"/>
    </cacheField>
    <cacheField name="5XL" numFmtId="0">
      <sharedItems containsNonDate="0" containsString="0" containsBlank="1"/>
    </cacheField>
    <cacheField name="LT" numFmtId="0">
      <sharedItems containsString="0" containsBlank="1" containsNumber="1" containsInteger="1" minValue="9" maxValue="81"/>
    </cacheField>
    <cacheField name="XLT" numFmtId="0">
      <sharedItems containsString="0" containsBlank="1" containsNumber="1" containsInteger="1" minValue="26" maxValue="170"/>
    </cacheField>
    <cacheField name="2LT" numFmtId="0">
      <sharedItems containsString="0" containsBlank="1" containsNumber="1" containsInteger="1" minValue="7" maxValue="241"/>
    </cacheField>
    <cacheField name="3LT" numFmtId="0">
      <sharedItems containsString="0" containsBlank="1" containsNumber="1" containsInteger="1" minValue="11" maxValue="151"/>
    </cacheField>
    <cacheField name="4LT" numFmtId="0">
      <sharedItems containsString="0" containsBlank="1" containsNumber="1" containsInteger="1" minValue="2" maxValue="76"/>
    </cacheField>
    <cacheField name="5LT" numFmtId="0">
      <sharedItems containsNonDate="0" containsString="0" containsBlank="1"/>
    </cacheField>
    <cacheField name="1XB" numFmtId="0">
      <sharedItems containsString="0" containsBlank="1" containsNumber="1" containsInteger="1" minValue="5" maxValue="68"/>
    </cacheField>
    <cacheField name="2XB" numFmtId="0">
      <sharedItems containsString="0" containsBlank="1" containsNumber="1" containsInteger="1" minValue="5" maxValue="227"/>
    </cacheField>
    <cacheField name="3XB" numFmtId="0">
      <sharedItems containsString="0" containsBlank="1" containsNumber="1" containsInteger="1" minValue="5" maxValue="180"/>
    </cacheField>
    <cacheField name="4XB" numFmtId="0">
      <sharedItems containsString="0" containsBlank="1" containsNumber="1" containsInteger="1" minValue="5" maxValue="42"/>
    </cacheField>
    <cacheField name="5XB" numFmtId="0">
      <sharedItems containsString="0" containsBlank="1" containsNumber="1" containsInteger="1" minValue="2" maxValue="27"/>
    </cacheField>
    <cacheField name="6XB" numFmtId="0">
      <sharedItems containsNonDate="0" containsString="0" containsBlank="1"/>
    </cacheField>
    <cacheField name="MT" numFmtId="0">
      <sharedItems containsNonDate="0" containsString="0" containsBlank="1"/>
    </cacheField>
    <cacheField name="1XL" numFmtId="0">
      <sharedItems containsNonDate="0" containsString="0" containsBlank="1"/>
    </cacheField>
    <cacheField name="14/ 23" numFmtId="0">
      <sharedItems containsString="0" containsBlank="1" containsNumber="1" containsInteger="1" minValue="1" maxValue="2"/>
    </cacheField>
    <cacheField name="15  23" numFmtId="0">
      <sharedItems containsString="0" containsBlank="1" containsNumber="1" containsInteger="1" minValue="1" maxValue="7"/>
    </cacheField>
    <cacheField name="15  45" numFmtId="0">
      <sharedItems containsString="0" containsBlank="1" containsNumber="1" containsInteger="1" minValue="1" maxValue="60"/>
    </cacheField>
    <cacheField name="15/ 23" numFmtId="0">
      <sharedItems containsString="0" containsBlank="1" containsNumber="1" containsInteger="1" minValue="4" maxValue="8"/>
    </cacheField>
    <cacheField name="15/ 45" numFmtId="0">
      <sharedItems containsString="0" containsBlank="1" containsNumber="1" containsInteger="1" minValue="2" maxValue="100"/>
    </cacheField>
    <cacheField name="16  23" numFmtId="0">
      <sharedItems containsString="0" containsBlank="1" containsNumber="1" containsInteger="1" minValue="1" maxValue="4"/>
    </cacheField>
    <cacheField name="16  45" numFmtId="0">
      <sharedItems containsString="0" containsBlank="1" containsNumber="1" containsInteger="1" minValue="2" maxValue="39"/>
    </cacheField>
    <cacheField name="16  67" numFmtId="0">
      <sharedItems containsString="0" containsBlank="1" containsNumber="1" containsInteger="1" minValue="3" maxValue="3"/>
    </cacheField>
    <cacheField name="16/ 23" numFmtId="0">
      <sharedItems containsString="0" containsBlank="1" containsNumber="1" containsInteger="1" minValue="3" maxValue="13"/>
    </cacheField>
    <cacheField name="16/ 45" numFmtId="0">
      <sharedItems containsString="0" containsBlank="1" containsNumber="1" containsInteger="1" minValue="2" maxValue="74"/>
    </cacheField>
    <cacheField name="16/ 67" numFmtId="0">
      <sharedItems containsNonDate="0" containsString="0" containsBlank="1"/>
    </cacheField>
    <cacheField name="17  23" numFmtId="0">
      <sharedItems containsString="0" containsBlank="1" containsNumber="1" containsInteger="1" minValue="1" maxValue="1"/>
    </cacheField>
    <cacheField name="17  45" numFmtId="0">
      <sharedItems containsString="0" containsBlank="1" containsNumber="1" containsInteger="1" minValue="3" maxValue="31"/>
    </cacheField>
    <cacheField name="17  67" numFmtId="0">
      <sharedItems containsNonDate="0" containsString="0" containsBlank="1"/>
    </cacheField>
    <cacheField name="17/ 23" numFmtId="0">
      <sharedItems containsString="0" containsBlank="1" containsNumber="1" containsInteger="1" minValue="1" maxValue="5"/>
    </cacheField>
    <cacheField name="17/ 45" numFmtId="0">
      <sharedItems containsString="0" containsBlank="1" containsNumber="1" containsInteger="1" minValue="2" maxValue="44"/>
    </cacheField>
    <cacheField name="17/ 67" numFmtId="0">
      <sharedItems containsString="0" containsBlank="1" containsNumber="1" containsInteger="1" minValue="1" maxValue="1"/>
    </cacheField>
    <cacheField name="18  45" numFmtId="0">
      <sharedItems containsString="0" containsBlank="1" containsNumber="1" containsInteger="1" minValue="1" maxValue="12"/>
    </cacheField>
    <cacheField name="18  67" numFmtId="0">
      <sharedItems containsString="0" containsBlank="1" containsNumber="1" containsInteger="1" minValue="1" maxValue="1"/>
    </cacheField>
    <cacheField name="3M" numFmtId="0">
      <sharedItems containsNonDate="0" containsString="0" containsBlank="1"/>
    </cacheField>
    <cacheField name="6M" numFmtId="0">
      <sharedItems containsNonDate="0" containsString="0" containsBlank="1"/>
    </cacheField>
    <cacheField name="9M" numFmtId="0">
      <sharedItems containsNonDate="0" containsString="0" containsBlank="1"/>
    </cacheField>
    <cacheField name="12M" numFmtId="0">
      <sharedItems containsNonDate="0" containsString="0" containsBlank="1"/>
    </cacheField>
    <cacheField name="18M" numFmtId="0">
      <sharedItems containsNonDate="0" containsString="0" containsBlank="1"/>
    </cacheField>
    <cacheField name="24M" numFmtId="0">
      <sharedItems containsNonDate="0" containsString="0" containsBlank="1"/>
    </cacheField>
    <cacheField name="2" numFmtId="0">
      <sharedItems containsString="0" containsBlank="1" containsNumber="1" containsInteger="1" minValue="3" maxValue="253"/>
    </cacheField>
    <cacheField name="3" numFmtId="0">
      <sharedItems containsString="0" containsBlank="1" containsNumber="1" containsInteger="1" minValue="3" maxValue="282"/>
    </cacheField>
    <cacheField name="4" numFmtId="0">
      <sharedItems containsString="0" containsBlank="1" containsNumber="1" containsInteger="1" minValue="3" maxValue="264"/>
    </cacheField>
    <cacheField name="5" numFmtId="0">
      <sharedItems containsString="0" containsBlank="1" containsNumber="1" containsInteger="1" minValue="3" maxValue="269"/>
    </cacheField>
    <cacheField name="6" numFmtId="0">
      <sharedItems containsString="0" containsBlank="1" containsNumber="1" containsInteger="1" minValue="3" maxValue="265"/>
    </cacheField>
    <cacheField name="7" numFmtId="0">
      <sharedItems containsString="0" containsBlank="1" containsNumber="1" containsInteger="1" minValue="5" maxValue="265"/>
    </cacheField>
    <cacheField name="S(8)" numFmtId="0">
      <sharedItems containsString="0" containsBlank="1" containsNumber="1" containsInteger="1" minValue="3" maxValue="555"/>
    </cacheField>
    <cacheField name="M(10-12)" numFmtId="0">
      <sharedItems containsString="0" containsBlank="1" containsNumber="1" containsInteger="1" minValue="6" maxValue="954"/>
    </cacheField>
    <cacheField name="L(14-16)" numFmtId="0">
      <sharedItems containsString="0" containsBlank="1" containsNumber="1" containsInteger="1" minValue="6" maxValue="1680"/>
    </cacheField>
    <cacheField name="XL(18-20)" numFmtId="0">
      <sharedItems containsString="0" containsBlank="1" containsNumber="1" containsInteger="1" minValue="6" maxValue="1400"/>
    </cacheField>
    <cacheField name="total" numFmtId="0">
      <sharedItems containsString="0" containsBlank="1" containsNumber="1" containsInteger="1" minValue="0" maxValue="6086"/>
    </cacheField>
    <cacheField name="Shipment Sample" numFmtId="0">
      <sharedItems containsNonDate="0" containsString="0" containsBlank="1"/>
    </cacheField>
    <cacheField name="INTERLINING " numFmtId="0">
      <sharedItems containsBlank="1"/>
    </cacheField>
    <cacheField name="X" numFmtId="0">
      <sharedItems containsNonDate="0" containsString="0" containsBlank="1"/>
    </cacheField>
    <cacheField name="GLC HK REPORT" numFmtId="0">
      <sharedItems containsNonDate="0" containsString="0" containsBlank="1"/>
    </cacheField>
    <cacheField name="Ordered Qty" numFmtId="0">
      <sharedItems containsNonDate="0" containsString="0" containsBlank="1"/>
    </cacheField>
    <cacheField name="UPC &amp; PB stricker" numFmtId="0">
      <sharedItems containsBlank="1"/>
    </cacheField>
    <cacheField name="Additional KOR/HK Tag" numFmtId="0">
      <sharedItems containsNonDate="0" containsString="0" containsBlank="1"/>
    </cacheField>
    <cacheField name="Order Reference Number" numFmtId="0">
      <sharedItems containsNonDate="0" containsString="0" containsBlank="1"/>
    </cacheField>
    <cacheField name="TBC" numFmtId="0">
      <sharedItems containsBlank="1"/>
    </cacheField>
    <cacheField name="SIZE STRICKER" numFmtId="0">
      <sharedItems containsNonDate="0" containsString="0" containsBlank="1"/>
    </cacheField>
    <cacheField name="Thraed" numFmtId="0">
      <sharedItems containsNonDate="0" containsString="0" containsBlank="1"/>
    </cacheField>
    <cacheField name="PACK METHOD" numFmtId="0">
      <sharedItems containsNonDate="0" containsString="0" containsBlank="1"/>
    </cacheField>
    <cacheField name="Loading Plan" numFmtId="0">
      <sharedItems containsBlank="1"/>
    </cacheField>
    <cacheField name="Planned FTY" numFmtId="0">
      <sharedItems containsBlank="1" count="6">
        <s v="KPR"/>
        <s v="DBR"/>
        <s v="SAMUDRA"/>
        <m/>
        <s v="KPR-SAMUDRA" u="1"/>
        <s v="DBR-SAMUDRA" u="1"/>
      </sharedItems>
    </cacheField>
    <cacheField name="Months2" numFmtId="0" databaseField="0">
      <fieldGroup base="55">
        <rangePr groupBy="months" startDate="2026-01-12T00:00:00" endDate="2026-06-04T00:00:00"/>
        <groupItems count="14">
          <s v="&lt;12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6-2026"/>
        </groupItems>
      </fieldGroup>
    </cacheField>
    <cacheField name="Years2" numFmtId="0" databaseField="0">
      <fieldGroup base="55">
        <rangePr groupBy="years" startDate="2026-01-12T00:00:00" endDate="2026-06-04T00:00:00"/>
        <groupItems count="3">
          <s v="&lt;12-01-2026"/>
          <s v="2026"/>
          <s v="&gt;04-06-2026"/>
        </groupItems>
      </fieldGroup>
    </cacheField>
    <cacheField name="Months" numFmtId="0" databaseField="0">
      <fieldGroup base="71">
        <rangePr groupBy="months" startDate="2026-04-05T00:00:00" endDate="2026-09-14T00:00:00"/>
        <groupItems count="14">
          <s v="&lt;05-04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9-2026"/>
        </groupItems>
      </fieldGroup>
    </cacheField>
    <cacheField name="Years" numFmtId="0" databaseField="0">
      <fieldGroup base="71">
        <rangePr groupBy="years" startDate="2026-04-05T00:00:00" endDate="2026-09-14T00:00:00"/>
        <groupItems count="3">
          <s v="&lt;05-04-2026"/>
          <s v="2026"/>
          <s v="&gt;14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6">
  <r>
    <x v="0"/>
    <x v="0"/>
    <s v="PreFall'26"/>
    <x v="0"/>
    <x v="0"/>
    <s v="US"/>
    <m/>
    <x v="0"/>
    <x v="0"/>
    <x v="0"/>
    <s v="NON PFS"/>
    <x v="0"/>
    <x v="0"/>
    <n v="40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/1-2-3-2"/>
    <m/>
    <n v="8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5"/>
    <n v="10"/>
    <n v="15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1"/>
    <x v="0"/>
    <s v="PreFall'26"/>
    <x v="0"/>
    <x v="0"/>
    <s v="US"/>
    <m/>
    <x v="1"/>
    <x v="0"/>
    <x v="0"/>
    <s v="NON PFS"/>
    <x v="0"/>
    <x v="1"/>
    <n v="40"/>
    <m/>
    <n v="13.05"/>
    <s v="710P03855502 - CLBDPPCS"/>
    <m/>
    <s v="Vardhaman"/>
    <m/>
    <m/>
    <m/>
    <m/>
    <m/>
    <x v="0"/>
    <x v="0"/>
    <m/>
    <m/>
    <m/>
    <m/>
    <m/>
    <m/>
    <m/>
    <m/>
    <m/>
    <m/>
    <s v="S,M,L,XL/1-2-3-2"/>
    <m/>
    <n v="8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5"/>
    <n v="10"/>
    <n v="15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2"/>
    <x v="0"/>
    <s v="PreFall'26"/>
    <x v="0"/>
    <x v="0"/>
    <s v="US"/>
    <m/>
    <x v="2"/>
    <x v="0"/>
    <x v="0"/>
    <s v="NON PFS"/>
    <x v="0"/>
    <x v="2"/>
    <n v="40"/>
    <m/>
    <n v="13.05"/>
    <s v="710P03855503 - CLBDPPCS"/>
    <m/>
    <s v="Vardhaman"/>
    <m/>
    <m/>
    <m/>
    <m/>
    <m/>
    <x v="0"/>
    <x v="0"/>
    <m/>
    <m/>
    <m/>
    <m/>
    <m/>
    <m/>
    <m/>
    <m/>
    <m/>
    <m/>
    <s v="S,M,L,XL/1-2-3-2"/>
    <m/>
    <n v="8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5"/>
    <n v="10"/>
    <n v="15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3"/>
    <x v="0"/>
    <s v="PreFall'26"/>
    <x v="0"/>
    <x v="0"/>
    <s v="US"/>
    <m/>
    <x v="3"/>
    <x v="0"/>
    <x v="0"/>
    <s v="NON PFS"/>
    <x v="0"/>
    <x v="3"/>
    <n v="40"/>
    <m/>
    <n v="13.05"/>
    <s v="710P03855504 - CLBDPPCS"/>
    <m/>
    <s v="Vardhaman"/>
    <m/>
    <m/>
    <m/>
    <m/>
    <m/>
    <x v="0"/>
    <x v="0"/>
    <m/>
    <m/>
    <m/>
    <m/>
    <m/>
    <m/>
    <m/>
    <m/>
    <m/>
    <m/>
    <s v="S,M,L,XL/1-2-3-2"/>
    <m/>
    <n v="8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5"/>
    <n v="10"/>
    <n v="15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0"/>
    <x v="0"/>
    <s v="PreFall'26"/>
    <x v="1"/>
    <x v="0"/>
    <s v="US"/>
    <m/>
    <x v="0"/>
    <x v="0"/>
    <x v="0"/>
    <s v="NON PFS"/>
    <x v="0"/>
    <x v="0"/>
    <n v="330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,XXL/1-1-2-1-1"/>
    <m/>
    <n v="6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55"/>
    <n v="55"/>
    <n v="110"/>
    <n v="55"/>
    <n v="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"/>
    <m/>
    <m/>
    <m/>
    <m/>
    <m/>
    <m/>
    <m/>
    <m/>
    <m/>
    <m/>
    <m/>
    <m/>
    <m/>
    <x v="0"/>
  </r>
  <r>
    <x v="1"/>
    <x v="0"/>
    <s v="PreFall'26"/>
    <x v="1"/>
    <x v="0"/>
    <s v="US"/>
    <m/>
    <x v="1"/>
    <x v="0"/>
    <x v="0"/>
    <s v="NON PFS"/>
    <x v="0"/>
    <x v="1"/>
    <n v="294"/>
    <m/>
    <n v="13.05"/>
    <s v="710P03855502 - CLBDPPCS"/>
    <m/>
    <s v="Vardhaman"/>
    <m/>
    <m/>
    <m/>
    <m/>
    <m/>
    <x v="0"/>
    <x v="0"/>
    <m/>
    <m/>
    <m/>
    <m/>
    <m/>
    <m/>
    <m/>
    <m/>
    <m/>
    <m/>
    <s v="S,M,L,XL,XXL/1-1-2-1-1"/>
    <m/>
    <n v="6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49"/>
    <n v="49"/>
    <n v="98"/>
    <n v="49"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"/>
    <m/>
    <m/>
    <m/>
    <m/>
    <m/>
    <m/>
    <m/>
    <m/>
    <m/>
    <m/>
    <m/>
    <m/>
    <m/>
    <x v="0"/>
  </r>
  <r>
    <x v="2"/>
    <x v="0"/>
    <s v="PreFall'26"/>
    <x v="1"/>
    <x v="0"/>
    <s v="US"/>
    <m/>
    <x v="2"/>
    <x v="0"/>
    <x v="0"/>
    <s v="NON PFS"/>
    <x v="0"/>
    <x v="2"/>
    <n v="294"/>
    <m/>
    <n v="13.05"/>
    <s v="710P03855503 - CLBDPPCS"/>
    <m/>
    <s v="Vardhaman"/>
    <m/>
    <m/>
    <m/>
    <m/>
    <m/>
    <x v="0"/>
    <x v="0"/>
    <m/>
    <m/>
    <m/>
    <m/>
    <m/>
    <m/>
    <m/>
    <m/>
    <m/>
    <m/>
    <s v="S,M,L,XL,XXL/1-1-2-1-1"/>
    <m/>
    <n v="6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49"/>
    <n v="49"/>
    <n v="98"/>
    <n v="49"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"/>
    <m/>
    <m/>
    <m/>
    <m/>
    <m/>
    <m/>
    <m/>
    <m/>
    <m/>
    <m/>
    <m/>
    <m/>
    <m/>
    <x v="0"/>
  </r>
  <r>
    <x v="3"/>
    <x v="0"/>
    <s v="PreFall'26"/>
    <x v="1"/>
    <x v="0"/>
    <s v="US"/>
    <m/>
    <x v="3"/>
    <x v="0"/>
    <x v="0"/>
    <s v="NON PFS"/>
    <x v="0"/>
    <x v="3"/>
    <n v="294"/>
    <m/>
    <n v="13.05"/>
    <s v="710P03855504 - CLBDPPCS"/>
    <m/>
    <s v="Vardhaman"/>
    <m/>
    <m/>
    <m/>
    <m/>
    <m/>
    <x v="0"/>
    <x v="0"/>
    <m/>
    <m/>
    <m/>
    <m/>
    <m/>
    <m/>
    <m/>
    <m/>
    <m/>
    <m/>
    <s v="S,M,L,XL,XXL/1-1-2-1-1"/>
    <m/>
    <n v="6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49"/>
    <n v="49"/>
    <n v="98"/>
    <n v="49"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"/>
    <m/>
    <m/>
    <m/>
    <m/>
    <m/>
    <m/>
    <m/>
    <m/>
    <m/>
    <m/>
    <m/>
    <m/>
    <m/>
    <x v="0"/>
  </r>
  <r>
    <x v="0"/>
    <x v="0"/>
    <s v="PreFall'26"/>
    <x v="2"/>
    <x v="0"/>
    <s v="US"/>
    <m/>
    <x v="0"/>
    <x v="0"/>
    <x v="0"/>
    <s v="NON PFS"/>
    <x v="0"/>
    <x v="0"/>
    <n v="264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,XXL/1-2-2-2-1"/>
    <m/>
    <n v="8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33"/>
    <n v="66"/>
    <n v="66"/>
    <n v="66"/>
    <n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4"/>
    <m/>
    <m/>
    <m/>
    <m/>
    <m/>
    <m/>
    <m/>
    <m/>
    <m/>
    <m/>
    <m/>
    <m/>
    <m/>
    <x v="0"/>
  </r>
  <r>
    <x v="1"/>
    <x v="0"/>
    <s v="PreFall'26"/>
    <x v="2"/>
    <x v="0"/>
    <s v="US"/>
    <m/>
    <x v="1"/>
    <x v="0"/>
    <x v="0"/>
    <s v="NON PFS"/>
    <x v="0"/>
    <x v="1"/>
    <n v="200"/>
    <m/>
    <n v="13.05"/>
    <s v="710P03855502 - CLBDPPCS"/>
    <m/>
    <s v="Vardhaman"/>
    <m/>
    <m/>
    <m/>
    <m/>
    <m/>
    <x v="0"/>
    <x v="0"/>
    <m/>
    <m/>
    <m/>
    <m/>
    <m/>
    <m/>
    <m/>
    <m/>
    <m/>
    <m/>
    <s v="S,M,L,XL,XXL/1-2-2-2-1"/>
    <m/>
    <n v="8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25"/>
    <n v="50"/>
    <n v="50"/>
    <n v="5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x v="0"/>
  </r>
  <r>
    <x v="2"/>
    <x v="0"/>
    <s v="PreFall'26"/>
    <x v="2"/>
    <x v="0"/>
    <s v="US"/>
    <m/>
    <x v="2"/>
    <x v="0"/>
    <x v="0"/>
    <s v="NON PFS"/>
    <x v="0"/>
    <x v="2"/>
    <n v="200"/>
    <m/>
    <n v="13.05"/>
    <s v="710P03855503 - CLBDPPCS"/>
    <m/>
    <s v="Vardhaman"/>
    <m/>
    <m/>
    <m/>
    <m/>
    <m/>
    <x v="0"/>
    <x v="0"/>
    <m/>
    <m/>
    <m/>
    <m/>
    <m/>
    <m/>
    <m/>
    <m/>
    <m/>
    <m/>
    <s v="S,M,L,XL,XXL/1-2-2-2-1"/>
    <m/>
    <n v="8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25"/>
    <n v="50"/>
    <n v="50"/>
    <n v="5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x v="0"/>
  </r>
  <r>
    <x v="3"/>
    <x v="0"/>
    <s v="PreFall'26"/>
    <x v="2"/>
    <x v="0"/>
    <s v="US"/>
    <m/>
    <x v="3"/>
    <x v="0"/>
    <x v="0"/>
    <s v="NON PFS"/>
    <x v="0"/>
    <x v="3"/>
    <n v="200"/>
    <m/>
    <n v="13.05"/>
    <s v="710P03855504 - CLBDPPCS"/>
    <m/>
    <s v="Vardhaman"/>
    <m/>
    <m/>
    <m/>
    <m/>
    <m/>
    <x v="0"/>
    <x v="0"/>
    <m/>
    <m/>
    <m/>
    <m/>
    <m/>
    <m/>
    <m/>
    <m/>
    <m/>
    <m/>
    <s v="S,M,L,XL,XXL/1-2-2-2-1"/>
    <m/>
    <n v="8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25"/>
    <n v="50"/>
    <n v="50"/>
    <n v="5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x v="0"/>
  </r>
  <r>
    <x v="0"/>
    <x v="0"/>
    <s v="PreFall'26"/>
    <x v="3"/>
    <x v="0"/>
    <s v="US"/>
    <m/>
    <x v="0"/>
    <x v="0"/>
    <x v="0"/>
    <s v="NON PFS"/>
    <x v="0"/>
    <x v="0"/>
    <n v="204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/1-2-2-1"/>
    <m/>
    <n v="6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34"/>
    <n v="68"/>
    <n v="68"/>
    <n v="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4"/>
    <m/>
    <m/>
    <m/>
    <m/>
    <m/>
    <m/>
    <m/>
    <m/>
    <m/>
    <m/>
    <m/>
    <m/>
    <m/>
    <x v="0"/>
  </r>
  <r>
    <x v="1"/>
    <x v="0"/>
    <s v="PreFall'26"/>
    <x v="3"/>
    <x v="0"/>
    <s v="US"/>
    <m/>
    <x v="1"/>
    <x v="0"/>
    <x v="0"/>
    <s v="NON PFS"/>
    <x v="0"/>
    <x v="1"/>
    <n v="168"/>
    <m/>
    <n v="13.05"/>
    <s v="710P03855502 - CLBDPPCS"/>
    <m/>
    <s v="Vardhaman"/>
    <m/>
    <m/>
    <m/>
    <m/>
    <m/>
    <x v="0"/>
    <x v="0"/>
    <m/>
    <m/>
    <m/>
    <m/>
    <m/>
    <m/>
    <m/>
    <m/>
    <m/>
    <m/>
    <s v="S,M,L,XL/1-2-2-1"/>
    <m/>
    <n v="6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28"/>
    <n v="56"/>
    <n v="56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x v="0"/>
  </r>
  <r>
    <x v="2"/>
    <x v="0"/>
    <s v="PreFall'26"/>
    <x v="3"/>
    <x v="0"/>
    <s v="US"/>
    <m/>
    <x v="2"/>
    <x v="0"/>
    <x v="0"/>
    <s v="NON PFS"/>
    <x v="0"/>
    <x v="2"/>
    <n v="168"/>
    <m/>
    <n v="13.05"/>
    <s v="710P03855503 - CLBDPPCS"/>
    <m/>
    <s v="Vardhaman"/>
    <m/>
    <m/>
    <m/>
    <m/>
    <m/>
    <x v="0"/>
    <x v="0"/>
    <m/>
    <m/>
    <m/>
    <m/>
    <m/>
    <m/>
    <m/>
    <m/>
    <m/>
    <m/>
    <s v="S,M,L,XL/1-2-2-1"/>
    <m/>
    <n v="6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28"/>
    <n v="56"/>
    <n v="56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x v="0"/>
  </r>
  <r>
    <x v="3"/>
    <x v="0"/>
    <s v="PreFall'26"/>
    <x v="3"/>
    <x v="0"/>
    <s v="US"/>
    <m/>
    <x v="3"/>
    <x v="0"/>
    <x v="0"/>
    <s v="NON PFS"/>
    <x v="0"/>
    <x v="3"/>
    <n v="168"/>
    <m/>
    <n v="13.05"/>
    <s v="710P03855504 - CLBDPPCS"/>
    <m/>
    <s v="Vardhaman"/>
    <m/>
    <m/>
    <m/>
    <m/>
    <m/>
    <x v="0"/>
    <x v="0"/>
    <m/>
    <m/>
    <m/>
    <m/>
    <m/>
    <m/>
    <m/>
    <m/>
    <m/>
    <m/>
    <s v="S,M,L,XL/1-2-2-1"/>
    <m/>
    <n v="6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28"/>
    <n v="56"/>
    <n v="56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x v="0"/>
  </r>
  <r>
    <x v="0"/>
    <x v="0"/>
    <s v="PreFall'26"/>
    <x v="4"/>
    <x v="0"/>
    <s v="US"/>
    <m/>
    <x v="0"/>
    <x v="0"/>
    <x v="0"/>
    <s v="NON PFS"/>
    <x v="0"/>
    <x v="0"/>
    <n v="24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,XXL/2-3-3-3-1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4"/>
    <n v="6"/>
    <n v="6"/>
    <n v="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0"/>
    <x v="0"/>
    <s v="PreFall'26"/>
    <x v="5"/>
    <x v="0"/>
    <s v="US"/>
    <m/>
    <x v="0"/>
    <x v="0"/>
    <x v="0"/>
    <s v="NON PFS"/>
    <x v="0"/>
    <x v="0"/>
    <n v="90"/>
    <m/>
    <n v="13.05"/>
    <s v="710P03855501 - CLBDPPCS"/>
    <m/>
    <s v="Vardhaman"/>
    <m/>
    <m/>
    <m/>
    <m/>
    <m/>
    <x v="0"/>
    <x v="0"/>
    <m/>
    <m/>
    <m/>
    <m/>
    <m/>
    <m/>
    <m/>
    <m/>
    <m/>
    <m/>
    <s v="S,M,L,XL,XXL/1-2-1-1-1"/>
    <m/>
    <n v="6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15"/>
    <n v="30"/>
    <n v="15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x v="0"/>
  </r>
  <r>
    <x v="1"/>
    <x v="0"/>
    <s v="PreFall'26"/>
    <x v="5"/>
    <x v="0"/>
    <s v="US"/>
    <m/>
    <x v="1"/>
    <x v="0"/>
    <x v="0"/>
    <s v="NON PFS"/>
    <x v="0"/>
    <x v="1"/>
    <n v="72"/>
    <m/>
    <n v="13.05"/>
    <s v="710P03855502 - CLBDPPCS"/>
    <m/>
    <s v="Vardhaman"/>
    <m/>
    <m/>
    <m/>
    <m/>
    <m/>
    <x v="0"/>
    <x v="0"/>
    <m/>
    <m/>
    <m/>
    <m/>
    <m/>
    <m/>
    <m/>
    <m/>
    <m/>
    <m/>
    <s v="S,M,L,XL,XXL/1-2-1-1-1"/>
    <m/>
    <n v="6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12"/>
    <n v="24"/>
    <n v="12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m/>
    <x v="0"/>
  </r>
  <r>
    <x v="2"/>
    <x v="0"/>
    <s v="PreFall'26"/>
    <x v="5"/>
    <x v="0"/>
    <s v="US"/>
    <m/>
    <x v="2"/>
    <x v="0"/>
    <x v="0"/>
    <s v="NON PFS"/>
    <x v="0"/>
    <x v="2"/>
    <n v="72"/>
    <m/>
    <n v="13.05"/>
    <s v="710P03855503 - CLBDPPCS"/>
    <m/>
    <s v="Vardhaman"/>
    <m/>
    <m/>
    <m/>
    <m/>
    <m/>
    <x v="0"/>
    <x v="0"/>
    <m/>
    <m/>
    <m/>
    <m/>
    <m/>
    <m/>
    <m/>
    <m/>
    <m/>
    <m/>
    <s v="S,M,L,XL,XXL/1-2-1-1-1"/>
    <m/>
    <n v="6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12"/>
    <n v="24"/>
    <n v="12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m/>
    <x v="0"/>
  </r>
  <r>
    <x v="3"/>
    <x v="0"/>
    <s v="PreFall'26"/>
    <x v="5"/>
    <x v="0"/>
    <s v="US"/>
    <m/>
    <x v="3"/>
    <x v="0"/>
    <x v="0"/>
    <s v="NON PFS"/>
    <x v="0"/>
    <x v="3"/>
    <n v="72"/>
    <m/>
    <n v="13.05"/>
    <s v="710P03855504 - CLBDPPCS"/>
    <m/>
    <s v="Vardhaman"/>
    <m/>
    <m/>
    <m/>
    <m/>
    <m/>
    <x v="0"/>
    <x v="0"/>
    <m/>
    <m/>
    <m/>
    <m/>
    <m/>
    <m/>
    <m/>
    <m/>
    <m/>
    <m/>
    <s v="S,M,L,XL,XXL/1-2-1-1-1"/>
    <m/>
    <n v="6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12"/>
    <n v="24"/>
    <n v="12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m/>
    <x v="0"/>
  </r>
  <r>
    <x v="0"/>
    <x v="0"/>
    <s v="PreFall'26"/>
    <x v="6"/>
    <x v="0"/>
    <s v="US"/>
    <m/>
    <x v="0"/>
    <x v="0"/>
    <x v="0"/>
    <s v="NON PFS"/>
    <x v="0"/>
    <x v="0"/>
    <n v="12"/>
    <m/>
    <n v="13.05"/>
    <s v="710P03855501 - CLBDPPCS"/>
    <m/>
    <s v="Vardhaman"/>
    <m/>
    <m/>
    <m/>
    <m/>
    <m/>
    <x v="0"/>
    <x v="0"/>
    <m/>
    <m/>
    <m/>
    <m/>
    <m/>
    <m/>
    <m/>
    <m/>
    <m/>
    <m/>
    <s v="S/12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1"/>
    <x v="0"/>
    <s v="PreFall'26"/>
    <x v="6"/>
    <x v="0"/>
    <s v="US"/>
    <m/>
    <x v="1"/>
    <x v="0"/>
    <x v="0"/>
    <s v="NON PFS"/>
    <x v="0"/>
    <x v="1"/>
    <n v="12"/>
    <m/>
    <n v="13.05"/>
    <s v="710P03855502 - CLBDPPCS"/>
    <m/>
    <s v="Vardhaman"/>
    <m/>
    <m/>
    <m/>
    <m/>
    <m/>
    <x v="0"/>
    <x v="0"/>
    <m/>
    <m/>
    <m/>
    <m/>
    <m/>
    <m/>
    <m/>
    <m/>
    <m/>
    <m/>
    <s v="S/12"/>
    <m/>
    <n v="12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2"/>
    <x v="0"/>
    <s v="PreFall'26"/>
    <x v="6"/>
    <x v="0"/>
    <s v="US"/>
    <m/>
    <x v="2"/>
    <x v="0"/>
    <x v="0"/>
    <s v="NON PFS"/>
    <x v="0"/>
    <x v="2"/>
    <n v="12"/>
    <m/>
    <n v="13.05"/>
    <s v="710P03855503 - CLBDPPCS"/>
    <m/>
    <s v="Vardhaman"/>
    <m/>
    <m/>
    <m/>
    <m/>
    <m/>
    <x v="0"/>
    <x v="0"/>
    <m/>
    <m/>
    <m/>
    <m/>
    <m/>
    <m/>
    <m/>
    <m/>
    <m/>
    <m/>
    <s v="S/12"/>
    <m/>
    <n v="12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3"/>
    <x v="0"/>
    <s v="PreFall'26"/>
    <x v="6"/>
    <x v="0"/>
    <s v="US"/>
    <m/>
    <x v="3"/>
    <x v="0"/>
    <x v="0"/>
    <s v="NON PFS"/>
    <x v="0"/>
    <x v="3"/>
    <n v="12"/>
    <m/>
    <n v="13.05"/>
    <s v="710P03855504 - CLBDPPCS"/>
    <m/>
    <s v="Vardhaman"/>
    <m/>
    <m/>
    <m/>
    <m/>
    <m/>
    <x v="0"/>
    <x v="0"/>
    <m/>
    <m/>
    <m/>
    <m/>
    <m/>
    <m/>
    <m/>
    <m/>
    <m/>
    <m/>
    <s v="S/12"/>
    <m/>
    <n v="12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0"/>
    <x v="0"/>
    <s v="PreFall'26"/>
    <x v="7"/>
    <x v="0"/>
    <s v="US"/>
    <m/>
    <x v="0"/>
    <x v="0"/>
    <x v="0"/>
    <s v="NON PFS"/>
    <x v="0"/>
    <x v="0"/>
    <n v="24"/>
    <m/>
    <n v="13.05"/>
    <s v="710P03855501 - CLBDPPCS"/>
    <m/>
    <s v="Vardhaman"/>
    <m/>
    <m/>
    <m/>
    <m/>
    <m/>
    <x v="0"/>
    <x v="0"/>
    <m/>
    <m/>
    <m/>
    <m/>
    <m/>
    <m/>
    <m/>
    <m/>
    <m/>
    <m/>
    <s v="M/12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1"/>
    <x v="0"/>
    <s v="PreFall'26"/>
    <x v="7"/>
    <x v="0"/>
    <s v="US"/>
    <m/>
    <x v="1"/>
    <x v="0"/>
    <x v="0"/>
    <s v="NON PFS"/>
    <x v="0"/>
    <x v="1"/>
    <n v="24"/>
    <m/>
    <n v="13.05"/>
    <s v="710P03855502 - CLBDPPCS"/>
    <m/>
    <s v="Vardhaman"/>
    <m/>
    <m/>
    <m/>
    <m/>
    <m/>
    <x v="0"/>
    <x v="0"/>
    <m/>
    <m/>
    <m/>
    <m/>
    <m/>
    <m/>
    <m/>
    <m/>
    <m/>
    <m/>
    <s v="M/12"/>
    <m/>
    <n v="12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2"/>
    <x v="0"/>
    <s v="PreFall'26"/>
    <x v="7"/>
    <x v="0"/>
    <s v="US"/>
    <m/>
    <x v="2"/>
    <x v="0"/>
    <x v="0"/>
    <s v="NON PFS"/>
    <x v="0"/>
    <x v="2"/>
    <n v="24"/>
    <m/>
    <n v="13.05"/>
    <s v="710P03855503 - CLBDPPCS"/>
    <m/>
    <s v="Vardhaman"/>
    <m/>
    <m/>
    <m/>
    <m/>
    <m/>
    <x v="0"/>
    <x v="0"/>
    <m/>
    <m/>
    <m/>
    <m/>
    <m/>
    <m/>
    <m/>
    <m/>
    <m/>
    <m/>
    <s v="M/12"/>
    <m/>
    <n v="12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3"/>
    <x v="0"/>
    <s v="PreFall'26"/>
    <x v="7"/>
    <x v="0"/>
    <s v="US"/>
    <m/>
    <x v="3"/>
    <x v="0"/>
    <x v="0"/>
    <s v="NON PFS"/>
    <x v="0"/>
    <x v="3"/>
    <n v="24"/>
    <m/>
    <n v="13.05"/>
    <s v="710P03855504 - CLBDPPCS"/>
    <m/>
    <s v="Vardhaman"/>
    <m/>
    <m/>
    <m/>
    <m/>
    <m/>
    <x v="0"/>
    <x v="0"/>
    <m/>
    <m/>
    <m/>
    <m/>
    <m/>
    <m/>
    <m/>
    <m/>
    <m/>
    <m/>
    <s v="M/12"/>
    <m/>
    <n v="12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0"/>
    <x v="0"/>
    <s v="PreFall'26"/>
    <x v="8"/>
    <x v="0"/>
    <s v="US"/>
    <m/>
    <x v="0"/>
    <x v="0"/>
    <x v="0"/>
    <s v="NON PFS"/>
    <x v="0"/>
    <x v="0"/>
    <n v="36"/>
    <m/>
    <n v="13.05"/>
    <s v="710P03855501 - CLBDPPCS"/>
    <m/>
    <s v="Vardhaman"/>
    <m/>
    <m/>
    <m/>
    <m/>
    <m/>
    <x v="0"/>
    <x v="0"/>
    <m/>
    <m/>
    <m/>
    <m/>
    <m/>
    <m/>
    <m/>
    <m/>
    <m/>
    <m/>
    <s v="L/12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x v="0"/>
  </r>
  <r>
    <x v="1"/>
    <x v="0"/>
    <s v="PreFall'26"/>
    <x v="8"/>
    <x v="0"/>
    <s v="US"/>
    <m/>
    <x v="1"/>
    <x v="0"/>
    <x v="0"/>
    <s v="NON PFS"/>
    <x v="0"/>
    <x v="1"/>
    <n v="24"/>
    <m/>
    <n v="13.05"/>
    <s v="710P03855502 - CLBDPPCS"/>
    <m/>
    <s v="Vardhaman"/>
    <m/>
    <m/>
    <m/>
    <m/>
    <m/>
    <x v="0"/>
    <x v="0"/>
    <m/>
    <m/>
    <m/>
    <m/>
    <m/>
    <m/>
    <m/>
    <m/>
    <m/>
    <m/>
    <s v="L/12"/>
    <m/>
    <n v="12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2"/>
    <x v="0"/>
    <s v="PreFall'26"/>
    <x v="8"/>
    <x v="0"/>
    <s v="US"/>
    <m/>
    <x v="2"/>
    <x v="0"/>
    <x v="0"/>
    <s v="NON PFS"/>
    <x v="0"/>
    <x v="2"/>
    <n v="24"/>
    <m/>
    <n v="13.05"/>
    <s v="710P03855503 - CLBDPPCS"/>
    <m/>
    <s v="Vardhaman"/>
    <m/>
    <m/>
    <m/>
    <m/>
    <m/>
    <x v="0"/>
    <x v="0"/>
    <m/>
    <m/>
    <m/>
    <m/>
    <m/>
    <m/>
    <m/>
    <m/>
    <m/>
    <m/>
    <s v="L/12"/>
    <m/>
    <n v="12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3"/>
    <x v="0"/>
    <s v="PreFall'26"/>
    <x v="8"/>
    <x v="0"/>
    <s v="US"/>
    <m/>
    <x v="3"/>
    <x v="0"/>
    <x v="0"/>
    <s v="NON PFS"/>
    <x v="0"/>
    <x v="3"/>
    <n v="24"/>
    <m/>
    <n v="13.05"/>
    <s v="710P03855504 - CLBDPPCS"/>
    <m/>
    <s v="Vardhaman"/>
    <m/>
    <m/>
    <m/>
    <m/>
    <m/>
    <x v="0"/>
    <x v="0"/>
    <m/>
    <m/>
    <m/>
    <m/>
    <m/>
    <m/>
    <m/>
    <m/>
    <m/>
    <m/>
    <s v="L/12"/>
    <m/>
    <n v="12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0"/>
    <x v="0"/>
    <s v="PreFall'26"/>
    <x v="9"/>
    <x v="0"/>
    <s v="US"/>
    <m/>
    <x v="0"/>
    <x v="0"/>
    <x v="0"/>
    <s v="NON PFS"/>
    <x v="0"/>
    <x v="0"/>
    <n v="24"/>
    <m/>
    <n v="13.05"/>
    <s v="710P03855501 - CLBDPPCS"/>
    <m/>
    <s v="Vardhaman"/>
    <m/>
    <m/>
    <m/>
    <m/>
    <m/>
    <x v="0"/>
    <x v="0"/>
    <m/>
    <m/>
    <m/>
    <m/>
    <m/>
    <m/>
    <m/>
    <m/>
    <m/>
    <m/>
    <s v="XL/12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1"/>
    <x v="0"/>
    <s v="PreFall'26"/>
    <x v="9"/>
    <x v="0"/>
    <s v="US"/>
    <m/>
    <x v="1"/>
    <x v="0"/>
    <x v="0"/>
    <s v="NON PFS"/>
    <x v="0"/>
    <x v="1"/>
    <n v="12"/>
    <m/>
    <n v="13.05"/>
    <s v="710P03855502 - CLBDPPCS"/>
    <m/>
    <s v="Vardhaman"/>
    <m/>
    <m/>
    <m/>
    <m/>
    <m/>
    <x v="0"/>
    <x v="0"/>
    <m/>
    <m/>
    <m/>
    <m/>
    <m/>
    <m/>
    <m/>
    <m/>
    <m/>
    <m/>
    <s v="XL/12"/>
    <m/>
    <n v="12"/>
    <m/>
    <m/>
    <m/>
    <m/>
    <m/>
    <x v="0"/>
    <m/>
    <m/>
    <x v="0"/>
    <m/>
    <m/>
    <m/>
    <m/>
    <m/>
    <m/>
    <m/>
    <x v="1"/>
    <x v="0"/>
    <x v="0"/>
    <x v="0"/>
    <x v="0"/>
    <x v="0"/>
    <m/>
    <m/>
    <m/>
    <m/>
    <m/>
    <x v="0"/>
    <x v="0"/>
    <m/>
    <n v="47"/>
    <d v="2026-03-08T00:00:00"/>
    <x v="0"/>
    <d v="2026-06-15T00:00:00"/>
    <x v="0"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2"/>
    <x v="0"/>
    <s v="PreFall'26"/>
    <x v="9"/>
    <x v="0"/>
    <s v="US"/>
    <m/>
    <x v="2"/>
    <x v="0"/>
    <x v="0"/>
    <s v="NON PFS"/>
    <x v="0"/>
    <x v="2"/>
    <n v="12"/>
    <m/>
    <n v="13.05"/>
    <s v="710P03855503 - CLBDPPCS"/>
    <m/>
    <s v="Vardhaman"/>
    <m/>
    <m/>
    <m/>
    <m/>
    <m/>
    <x v="0"/>
    <x v="0"/>
    <m/>
    <m/>
    <m/>
    <m/>
    <m/>
    <m/>
    <m/>
    <m/>
    <m/>
    <m/>
    <s v="XL/12"/>
    <m/>
    <n v="12"/>
    <m/>
    <m/>
    <m/>
    <m/>
    <m/>
    <x v="0"/>
    <m/>
    <m/>
    <x v="0"/>
    <m/>
    <m/>
    <m/>
    <m/>
    <m/>
    <m/>
    <m/>
    <x v="2"/>
    <x v="0"/>
    <x v="0"/>
    <x v="0"/>
    <x v="0"/>
    <x v="0"/>
    <m/>
    <m/>
    <m/>
    <m/>
    <m/>
    <x v="0"/>
    <x v="0"/>
    <m/>
    <n v="48"/>
    <d v="2026-03-08T00:00:00"/>
    <x v="0"/>
    <d v="2026-06-15T00:00:00"/>
    <x v="0"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3"/>
    <x v="0"/>
    <s v="PreFall'26"/>
    <x v="9"/>
    <x v="0"/>
    <s v="US"/>
    <m/>
    <x v="3"/>
    <x v="0"/>
    <x v="0"/>
    <s v="NON PFS"/>
    <x v="0"/>
    <x v="3"/>
    <n v="12"/>
    <m/>
    <n v="13.05"/>
    <s v="710P03855504 - CLBDPPCS"/>
    <m/>
    <s v="Vardhaman"/>
    <m/>
    <m/>
    <m/>
    <m/>
    <m/>
    <x v="0"/>
    <x v="0"/>
    <m/>
    <m/>
    <m/>
    <m/>
    <m/>
    <m/>
    <m/>
    <m/>
    <m/>
    <m/>
    <s v="XL/12"/>
    <m/>
    <n v="12"/>
    <m/>
    <m/>
    <m/>
    <m/>
    <m/>
    <x v="0"/>
    <m/>
    <m/>
    <x v="0"/>
    <m/>
    <m/>
    <m/>
    <m/>
    <m/>
    <m/>
    <m/>
    <x v="3"/>
    <x v="0"/>
    <x v="0"/>
    <x v="0"/>
    <x v="0"/>
    <x v="0"/>
    <m/>
    <m/>
    <m/>
    <m/>
    <m/>
    <x v="0"/>
    <x v="0"/>
    <m/>
    <n v="52"/>
    <d v="2026-03-08T00:00:00"/>
    <x v="0"/>
    <d v="2026-06-15T00:00:00"/>
    <x v="0"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0"/>
    <x v="0"/>
    <s v="PreFall'26"/>
    <x v="10"/>
    <x v="0"/>
    <s v="US"/>
    <m/>
    <x v="0"/>
    <x v="0"/>
    <x v="0"/>
    <s v="NON PFS"/>
    <x v="0"/>
    <x v="0"/>
    <n v="12"/>
    <m/>
    <n v="13.05"/>
    <s v="710P03855501 - CLBDPPCS"/>
    <m/>
    <s v="Vardhaman"/>
    <m/>
    <m/>
    <m/>
    <m/>
    <m/>
    <x v="0"/>
    <x v="0"/>
    <m/>
    <m/>
    <m/>
    <m/>
    <m/>
    <m/>
    <m/>
    <m/>
    <m/>
    <m/>
    <s v="XXL/12"/>
    <m/>
    <n v="12"/>
    <m/>
    <m/>
    <m/>
    <m/>
    <m/>
    <x v="0"/>
    <m/>
    <m/>
    <x v="0"/>
    <m/>
    <m/>
    <m/>
    <m/>
    <m/>
    <m/>
    <m/>
    <x v="0"/>
    <x v="0"/>
    <x v="0"/>
    <x v="0"/>
    <x v="0"/>
    <x v="0"/>
    <m/>
    <m/>
    <m/>
    <m/>
    <m/>
    <x v="0"/>
    <x v="0"/>
    <m/>
    <n v="51"/>
    <d v="2026-03-08T00:00:00"/>
    <x v="0"/>
    <d v="2026-06-15T00:00:00"/>
    <x v="0"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m/>
    <m/>
    <m/>
    <m/>
    <m/>
    <m/>
    <m/>
    <m/>
    <m/>
    <m/>
    <m/>
    <m/>
    <m/>
    <x v="0"/>
  </r>
  <r>
    <x v="4"/>
    <x v="0"/>
    <s v="RRL-FALL'24"/>
    <x v="11"/>
    <x v="1"/>
    <s v="US"/>
    <m/>
    <x v="4"/>
    <x v="1"/>
    <x v="1"/>
    <s v="NON PFS"/>
    <x v="1"/>
    <x v="4"/>
    <n v="18"/>
    <s v="L/S"/>
    <n v="49.2"/>
    <s v="782581596001 - ELI PLT TUX-DRS"/>
    <s v="PRLS/23/10141"/>
    <s v="Runetex"/>
    <s v="TBC"/>
    <n v="0"/>
    <n v="0"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4"/>
    <x v="0"/>
    <x v="1"/>
    <x v="1"/>
    <x v="1"/>
    <x v="1"/>
    <m/>
    <m/>
    <m/>
    <m/>
    <n v="885.6"/>
    <x v="0"/>
    <x v="1"/>
    <m/>
    <m/>
    <m/>
    <x v="1"/>
    <n v="-70"/>
    <x v="1"/>
    <m/>
    <m/>
    <n v="8"/>
    <n v="9"/>
    <n v="22"/>
    <n v="16"/>
    <n v="14"/>
    <n v="8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"/>
    <m/>
    <s v="RRL"/>
    <m/>
    <m/>
    <m/>
    <m/>
    <m/>
    <m/>
    <s v="Placed on 03/04"/>
    <m/>
    <m/>
    <m/>
    <s v="RRL-GIVEN"/>
    <x v="0"/>
  </r>
  <r>
    <x v="5"/>
    <x v="0"/>
    <s v="RRL FALL'26"/>
    <x v="12"/>
    <x v="1"/>
    <s v="US"/>
    <s v="0001"/>
    <x v="5"/>
    <x v="2"/>
    <x v="2"/>
    <s v="NON PFS"/>
    <x v="2"/>
    <x v="4"/>
    <n v="175"/>
    <m/>
    <n v="38.29"/>
    <s v="782528496001 - VINTAGE PKT-DRS"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n v="1"/>
    <n v="6"/>
    <n v="15"/>
    <n v="44"/>
    <n v="41"/>
    <n v="36"/>
    <n v="16"/>
    <n v="7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"/>
    <m/>
    <m/>
    <m/>
    <m/>
    <m/>
    <m/>
    <m/>
    <m/>
    <m/>
    <m/>
    <m/>
    <m/>
    <m/>
    <x v="0"/>
  </r>
  <r>
    <x v="5"/>
    <x v="0"/>
    <s v="RRL FALL'26"/>
    <x v="13"/>
    <x v="2"/>
    <s v="US"/>
    <s v="0001"/>
    <x v="5"/>
    <x v="2"/>
    <x v="2"/>
    <s v="NON PFS"/>
    <x v="2"/>
    <x v="4"/>
    <n v="18"/>
    <m/>
    <n v="38.29"/>
    <s v="782528496001 - VINTAGE PKT-DRS"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n v="1"/>
    <n v="2"/>
    <n v="3"/>
    <n v="4"/>
    <n v="3"/>
    <n v="2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5"/>
    <x v="0"/>
    <s v="RRL FALL'26"/>
    <x v="14"/>
    <x v="3"/>
    <s v="HK"/>
    <s v="WHS"/>
    <x v="5"/>
    <x v="2"/>
    <x v="2"/>
    <s v="NON PFS"/>
    <x v="2"/>
    <x v="4"/>
    <n v="30"/>
    <m/>
    <n v="38.29"/>
    <s v="782528496001 - VINTAGE PKT-DRS"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n v="1"/>
    <n v="2"/>
    <n v="13"/>
    <n v="1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5"/>
    <x v="0"/>
    <s v="RRL FALL'26"/>
    <x v="15"/>
    <x v="4"/>
    <s v="KOREA"/>
    <s v="WHS"/>
    <x v="5"/>
    <x v="2"/>
    <x v="2"/>
    <s v="NON PFS"/>
    <x v="2"/>
    <x v="4"/>
    <n v="30"/>
    <m/>
    <n v="38.29"/>
    <s v="782528496001 - VINTAGE PKT-DRS"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m/>
    <n v="3"/>
    <n v="8"/>
    <n v="1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6"/>
    <x v="0"/>
    <s v="RRL FALL'26"/>
    <x v="16"/>
    <x v="5"/>
    <s v="ITALY"/>
    <s v="0001"/>
    <x v="4"/>
    <x v="1"/>
    <x v="3"/>
    <s v="NON PFS"/>
    <x v="1"/>
    <x v="4"/>
    <n v="30"/>
    <m/>
    <n v="49.18"/>
    <s v="782581596001 - ELI PLT TUX-DRS"/>
    <m/>
    <s v="RUENTEX"/>
    <m/>
    <m/>
    <m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n v="3"/>
    <n v="5"/>
    <n v="5"/>
    <n v="3"/>
    <n v="4"/>
    <n v="3"/>
    <n v="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6"/>
    <x v="0"/>
    <s v="RRL FALL'26"/>
    <x v="17"/>
    <x v="1"/>
    <s v="US"/>
    <s v="0001"/>
    <x v="4"/>
    <x v="1"/>
    <x v="3"/>
    <s v="NON PFS"/>
    <x v="1"/>
    <x v="4"/>
    <n v="91"/>
    <m/>
    <n v="49.18"/>
    <s v="782581596001 - ELI PLT TUX-DRS"/>
    <m/>
    <s v="RUENTEX"/>
    <m/>
    <m/>
    <m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n v="1"/>
    <n v="3"/>
    <n v="8"/>
    <n v="25"/>
    <n v="21"/>
    <n v="17"/>
    <n v="9"/>
    <n v="4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"/>
    <m/>
    <m/>
    <m/>
    <m/>
    <m/>
    <m/>
    <m/>
    <m/>
    <m/>
    <m/>
    <m/>
    <m/>
    <m/>
    <x v="0"/>
  </r>
  <r>
    <x v="6"/>
    <x v="0"/>
    <s v="RRL FALL'26"/>
    <x v="18"/>
    <x v="2"/>
    <s v="US"/>
    <s v="0001"/>
    <x v="4"/>
    <x v="1"/>
    <x v="3"/>
    <s v="NON PFS"/>
    <x v="1"/>
    <x v="4"/>
    <n v="9"/>
    <m/>
    <n v="49.18"/>
    <s v="782581596001 - ELI PLT TUX-DRS"/>
    <m/>
    <s v="RUENTEX"/>
    <m/>
    <m/>
    <m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m/>
    <n v="1"/>
    <n v="2"/>
    <n v="3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m/>
    <m/>
    <m/>
    <m/>
    <m/>
    <m/>
    <m/>
    <m/>
    <m/>
    <m/>
    <m/>
    <x v="0"/>
  </r>
  <r>
    <x v="6"/>
    <x v="0"/>
    <s v="RRL FALL'26"/>
    <x v="19"/>
    <x v="3"/>
    <s v="HK"/>
    <s v="WHS"/>
    <x v="4"/>
    <x v="1"/>
    <x v="3"/>
    <s v="NON PFS"/>
    <x v="1"/>
    <x v="4"/>
    <n v="30"/>
    <m/>
    <n v="49.18"/>
    <s v="782581596001 - ELI PLT TUX-DRS"/>
    <m/>
    <s v="RUENTEX"/>
    <m/>
    <m/>
    <m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m/>
    <n v="5"/>
    <n v="6"/>
    <n v="10"/>
    <n v="2"/>
    <n v="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6"/>
    <x v="0"/>
    <s v="RRL FALL'26"/>
    <x v="20"/>
    <x v="4"/>
    <s v="KOREA"/>
    <s v="WHS"/>
    <x v="4"/>
    <x v="1"/>
    <x v="3"/>
    <s v="NON PFS"/>
    <x v="1"/>
    <x v="4"/>
    <n v="40"/>
    <m/>
    <n v="49.18"/>
    <s v="782581596001 - ELI PLT TUX-DRS"/>
    <m/>
    <s v="RUENTEX"/>
    <m/>
    <m/>
    <m/>
    <m/>
    <m/>
    <x v="1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5"/>
    <x v="0"/>
    <x v="0"/>
    <x v="0"/>
    <x v="0"/>
    <x v="0"/>
    <m/>
    <m/>
    <m/>
    <m/>
    <m/>
    <x v="0"/>
    <x v="1"/>
    <m/>
    <m/>
    <m/>
    <x v="0"/>
    <d v="2026-06-15T00:00:00"/>
    <x v="0"/>
    <m/>
    <m/>
    <n v="1"/>
    <n v="2"/>
    <n v="12"/>
    <n v="17"/>
    <n v="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7"/>
    <x v="1"/>
    <s v="BSR-SC31-31"/>
    <x v="21"/>
    <x v="1"/>
    <s v="US"/>
    <s v="0001"/>
    <x v="6"/>
    <x v="3"/>
    <x v="4"/>
    <m/>
    <x v="3"/>
    <x v="5"/>
    <n v="300"/>
    <m/>
    <m/>
    <s v="710549084008 - SLBDPPCSP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n v="10"/>
    <n v="70"/>
    <n v="50"/>
    <n v="110"/>
    <n v="50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1"/>
  </r>
  <r>
    <x v="7"/>
    <x v="1"/>
    <s v="BSR-SC31-31"/>
    <x v="22"/>
    <x v="1"/>
    <s v="US"/>
    <s v="0001"/>
    <x v="7"/>
    <x v="4"/>
    <x v="5"/>
    <m/>
    <x v="4"/>
    <x v="6"/>
    <n v="75"/>
    <m/>
    <m/>
    <s v="710631989017 - BDPPCSP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n v="10"/>
    <n v="15"/>
    <n v="15"/>
    <n v="10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"/>
    <m/>
    <m/>
    <m/>
    <m/>
    <m/>
    <m/>
    <m/>
    <m/>
    <m/>
    <m/>
    <m/>
    <m/>
    <m/>
    <x v="1"/>
  </r>
  <r>
    <x v="7"/>
    <x v="1"/>
    <s v="BSR-SC31-31"/>
    <x v="23"/>
    <x v="2"/>
    <s v="US"/>
    <s v="0001"/>
    <x v="7"/>
    <x v="4"/>
    <x v="5"/>
    <m/>
    <x v="4"/>
    <x v="6"/>
    <n v="1000"/>
    <m/>
    <m/>
    <s v="710631989017 - BDPPCSP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n v="10"/>
    <n v="86"/>
    <n v="264"/>
    <n v="292"/>
    <n v="219"/>
    <n v="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  <m/>
    <m/>
    <m/>
    <m/>
    <m/>
    <m/>
    <m/>
    <m/>
    <m/>
    <m/>
    <x v="1"/>
  </r>
  <r>
    <x v="7"/>
    <x v="1"/>
    <s v="BSR-SC31-31"/>
    <x v="24"/>
    <x v="2"/>
    <s v="US"/>
    <s v="0001"/>
    <x v="8"/>
    <x v="5"/>
    <x v="6"/>
    <m/>
    <x v="5"/>
    <x v="5"/>
    <n v="752"/>
    <m/>
    <m/>
    <s v="710794942003 - CLBDPPCSSSP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n v="206"/>
    <n v="233"/>
    <n v="218"/>
    <n v="13"/>
    <n v="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2"/>
    <m/>
    <m/>
    <m/>
    <m/>
    <m/>
    <m/>
    <m/>
    <m/>
    <m/>
    <m/>
    <m/>
    <m/>
    <m/>
    <x v="1"/>
  </r>
  <r>
    <x v="7"/>
    <x v="1"/>
    <s v="BSR-SC31-31"/>
    <x v="25"/>
    <x v="1"/>
    <s v="US"/>
    <s v="0001"/>
    <x v="9"/>
    <x v="6"/>
    <x v="7"/>
    <m/>
    <x v="6"/>
    <x v="7"/>
    <n v="300"/>
    <m/>
    <m/>
    <s v="711548535001 - CLBDPPCS- B&amp;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m/>
    <m/>
    <m/>
    <m/>
    <m/>
    <m/>
    <m/>
    <m/>
    <n v="20"/>
    <n v="70"/>
    <n v="60"/>
    <n v="15"/>
    <n v="15"/>
    <m/>
    <n v="15"/>
    <n v="45"/>
    <n v="30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1"/>
  </r>
  <r>
    <x v="7"/>
    <x v="1"/>
    <s v="BSR-SC31-31"/>
    <x v="25"/>
    <x v="1"/>
    <s v="US"/>
    <s v="0001"/>
    <x v="10"/>
    <x v="6"/>
    <x v="7"/>
    <m/>
    <x v="6"/>
    <x v="8"/>
    <n v="33"/>
    <m/>
    <m/>
    <s v="711548535006 - CLBDPPCS- B&amp;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m/>
    <m/>
    <m/>
    <m/>
    <m/>
    <m/>
    <m/>
    <m/>
    <m/>
    <n v="26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x v="1"/>
  </r>
  <r>
    <x v="7"/>
    <x v="1"/>
    <s v="BSR-SC31-31"/>
    <x v="26"/>
    <x v="2"/>
    <s v="US"/>
    <s v="0001"/>
    <x v="10"/>
    <x v="6"/>
    <x v="7"/>
    <m/>
    <x v="6"/>
    <x v="8"/>
    <n v="300"/>
    <m/>
    <m/>
    <s v="711548535006 - CLBDPPCS- B&amp;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m/>
    <m/>
    <m/>
    <m/>
    <m/>
    <m/>
    <m/>
    <m/>
    <n v="10"/>
    <n v="33"/>
    <n v="44"/>
    <n v="20"/>
    <n v="29"/>
    <m/>
    <m/>
    <n v="80"/>
    <n v="47"/>
    <n v="10"/>
    <n v="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1"/>
  </r>
  <r>
    <x v="7"/>
    <x v="1"/>
    <s v="BSR-SC31-31"/>
    <x v="27"/>
    <x v="6"/>
    <s v="CANADA"/>
    <s v="0001"/>
    <x v="10"/>
    <x v="6"/>
    <x v="7"/>
    <m/>
    <x v="6"/>
    <x v="8"/>
    <n v="10"/>
    <m/>
    <m/>
    <s v="711548535006 - CLBDPPCS- B&amp;T"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2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m/>
    <m/>
    <m/>
    <m/>
    <m/>
    <m/>
    <m/>
    <m/>
    <m/>
    <m/>
    <m/>
    <m/>
    <m/>
    <x v="1"/>
  </r>
  <r>
    <x v="8"/>
    <x v="0"/>
    <s v="PreFall'26"/>
    <x v="28"/>
    <x v="3"/>
    <s v="HK"/>
    <s v="FPCN"/>
    <x v="11"/>
    <x v="7"/>
    <x v="8"/>
    <s v="NON PFS"/>
    <x v="7"/>
    <x v="9"/>
    <n v="35"/>
    <m/>
    <n v="27.94"/>
    <s v="710B18131001 - CL3BDBLKPK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66"/>
    <d v="2026-04-05T00:00:00"/>
    <x v="0"/>
    <d v="2026-05-15T00:00:00"/>
    <x v="0"/>
    <m/>
    <m/>
    <m/>
    <m/>
    <m/>
    <m/>
    <m/>
    <m/>
    <m/>
    <m/>
    <m/>
    <m/>
    <m/>
    <m/>
    <n v="2"/>
    <n v="9"/>
    <n v="13"/>
    <n v="8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  <m/>
    <m/>
    <m/>
    <m/>
    <m/>
    <m/>
    <m/>
    <m/>
    <x v="0"/>
  </r>
  <r>
    <x v="8"/>
    <x v="0"/>
    <s v="PreFall'26"/>
    <x v="29"/>
    <x v="3"/>
    <s v="HK"/>
    <s v="FPWS"/>
    <x v="11"/>
    <x v="7"/>
    <x v="8"/>
    <s v="NON PFS"/>
    <x v="7"/>
    <x v="9"/>
    <n v="101"/>
    <m/>
    <n v="27.94"/>
    <s v="710B18131001 - CL3BDBLKPK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66"/>
    <d v="2026-04-05T00:00:00"/>
    <x v="0"/>
    <d v="2026-05-15T00:00:00"/>
    <x v="0"/>
    <m/>
    <m/>
    <m/>
    <m/>
    <m/>
    <m/>
    <m/>
    <m/>
    <m/>
    <m/>
    <m/>
    <m/>
    <m/>
    <m/>
    <n v="1"/>
    <n v="22"/>
    <n v="37"/>
    <n v="29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"/>
    <m/>
    <m/>
    <m/>
    <m/>
    <m/>
    <m/>
    <m/>
    <m/>
    <m/>
    <m/>
    <m/>
    <m/>
    <m/>
    <x v="0"/>
  </r>
  <r>
    <x v="8"/>
    <x v="0"/>
    <s v="PreFall'26"/>
    <x v="30"/>
    <x v="3"/>
    <s v="HK"/>
    <s v="WHS"/>
    <x v="11"/>
    <x v="7"/>
    <x v="8"/>
    <s v="NON PFS"/>
    <x v="7"/>
    <x v="9"/>
    <n v="105"/>
    <m/>
    <n v="27.94"/>
    <s v="710B18131001 - CL3BDBLKPK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66"/>
    <d v="2026-04-05T00:00:00"/>
    <x v="0"/>
    <d v="2026-05-15T00:00:00"/>
    <x v="0"/>
    <m/>
    <m/>
    <m/>
    <m/>
    <m/>
    <m/>
    <m/>
    <m/>
    <m/>
    <m/>
    <m/>
    <m/>
    <m/>
    <m/>
    <n v="5"/>
    <n v="24"/>
    <n v="36"/>
    <n v="26"/>
    <n v="11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"/>
    <m/>
    <m/>
    <m/>
    <m/>
    <m/>
    <m/>
    <m/>
    <m/>
    <m/>
    <m/>
    <m/>
    <m/>
    <m/>
    <x v="0"/>
  </r>
  <r>
    <x v="9"/>
    <x v="0"/>
    <s v="PreFall'26"/>
    <x v="31"/>
    <x v="3"/>
    <s v="HK"/>
    <s v="FPCN"/>
    <x v="12"/>
    <x v="8"/>
    <x v="9"/>
    <s v="NON PFS"/>
    <x v="8"/>
    <x v="10"/>
    <n v="290"/>
    <m/>
    <n v="23.95"/>
    <s v="710B18274001 - CLEST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n v="17"/>
    <n v="75"/>
    <n v="107"/>
    <n v="64"/>
    <n v="20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m/>
    <m/>
    <m/>
    <m/>
    <m/>
    <m/>
    <x v="0"/>
  </r>
  <r>
    <x v="9"/>
    <x v="0"/>
    <s v="PreFall'26"/>
    <x v="32"/>
    <x v="3"/>
    <s v="HK"/>
    <s v="FPWS"/>
    <x v="12"/>
    <x v="8"/>
    <x v="9"/>
    <s v="NON PFS"/>
    <x v="8"/>
    <x v="10"/>
    <n v="149"/>
    <m/>
    <n v="23.95"/>
    <s v="710B18274001 - CLEST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n v="3"/>
    <n v="31"/>
    <n v="56"/>
    <n v="45"/>
    <n v="1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"/>
    <m/>
    <m/>
    <m/>
    <m/>
    <m/>
    <m/>
    <m/>
    <m/>
    <m/>
    <m/>
    <m/>
    <m/>
    <m/>
    <x v="0"/>
  </r>
  <r>
    <x v="9"/>
    <x v="0"/>
    <s v="PreFall'26"/>
    <x v="33"/>
    <x v="3"/>
    <s v="HK"/>
    <s v="WHS"/>
    <x v="12"/>
    <x v="8"/>
    <x v="9"/>
    <s v="NON PFS"/>
    <x v="8"/>
    <x v="10"/>
    <n v="765"/>
    <m/>
    <n v="23.95"/>
    <s v="710B18274001 - CLEST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n v="27"/>
    <n v="148"/>
    <n v="256"/>
    <n v="206"/>
    <n v="94"/>
    <n v="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5"/>
    <m/>
    <m/>
    <m/>
    <m/>
    <m/>
    <m/>
    <m/>
    <m/>
    <m/>
    <m/>
    <m/>
    <m/>
    <m/>
    <x v="0"/>
  </r>
  <r>
    <x v="10"/>
    <x v="0"/>
    <s v="PreFall'26"/>
    <x v="34"/>
    <x v="3"/>
    <s v="HK"/>
    <s v="FPWS"/>
    <x v="13"/>
    <x v="9"/>
    <x v="10"/>
    <s v="NON PFS"/>
    <x v="9"/>
    <x v="11"/>
    <n v="141"/>
    <m/>
    <n v="18.18"/>
    <s v="710B22588001 - CUBD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n v="1"/>
    <n v="28"/>
    <n v="50"/>
    <n v="41"/>
    <n v="20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1"/>
    <m/>
    <m/>
    <m/>
    <m/>
    <m/>
    <m/>
    <m/>
    <m/>
    <m/>
    <m/>
    <m/>
    <m/>
    <m/>
    <x v="0"/>
  </r>
  <r>
    <x v="11"/>
    <x v="0"/>
    <s v="PreFall'26"/>
    <x v="34"/>
    <x v="3"/>
    <s v="HK"/>
    <s v="FPWS"/>
    <x v="14"/>
    <x v="9"/>
    <x v="10"/>
    <s v="NON PFS"/>
    <x v="9"/>
    <x v="12"/>
    <n v="211"/>
    <m/>
    <n v="18.18"/>
    <s v="710B22588002 - CUBD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m/>
    <n v="42"/>
    <n v="81"/>
    <n v="62"/>
    <n v="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1"/>
    <m/>
    <m/>
    <m/>
    <m/>
    <m/>
    <m/>
    <m/>
    <m/>
    <m/>
    <m/>
    <m/>
    <m/>
    <m/>
    <x v="0"/>
  </r>
  <r>
    <x v="12"/>
    <x v="0"/>
    <s v="PreFall'26"/>
    <x v="34"/>
    <x v="3"/>
    <s v="HK"/>
    <s v="FPWS"/>
    <x v="15"/>
    <x v="9"/>
    <x v="10"/>
    <s v="NON PFS"/>
    <x v="9"/>
    <x v="13"/>
    <n v="90"/>
    <m/>
    <n v="18.18"/>
    <s v="710B22588003 - CUBD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6"/>
    <x v="0"/>
    <x v="0"/>
    <x v="0"/>
    <x v="0"/>
    <x v="0"/>
    <m/>
    <m/>
    <m/>
    <m/>
    <m/>
    <x v="0"/>
    <x v="0"/>
    <m/>
    <n v="83"/>
    <d v="2026-04-05T00:00:00"/>
    <x v="0"/>
    <d v="2026-05-15T00:00:00"/>
    <x v="0"/>
    <m/>
    <m/>
    <m/>
    <m/>
    <m/>
    <m/>
    <m/>
    <m/>
    <m/>
    <m/>
    <m/>
    <m/>
    <m/>
    <m/>
    <m/>
    <n v="10"/>
    <n v="26"/>
    <n v="26"/>
    <n v="2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x v="0"/>
  </r>
  <r>
    <x v="13"/>
    <x v="0"/>
    <s v="PreFall'26"/>
    <x v="35"/>
    <x v="3"/>
    <s v="HK"/>
    <s v="FPWS"/>
    <x v="16"/>
    <x v="10"/>
    <x v="10"/>
    <s v="NON PFS"/>
    <x v="10"/>
    <x v="14"/>
    <n v="35"/>
    <m/>
    <n v="18.18"/>
    <s v="710B22589002 - CUEST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7"/>
    <x v="0"/>
    <x v="0"/>
    <x v="0"/>
    <x v="0"/>
    <x v="0"/>
    <m/>
    <m/>
    <m/>
    <m/>
    <m/>
    <x v="0"/>
    <x v="0"/>
    <m/>
    <n v="80"/>
    <d v="2026-04-05T00:00:00"/>
    <x v="0"/>
    <d v="2026-05-15T00:00:00"/>
    <x v="0"/>
    <m/>
    <m/>
    <m/>
    <m/>
    <m/>
    <m/>
    <m/>
    <m/>
    <m/>
    <m/>
    <m/>
    <m/>
    <m/>
    <m/>
    <m/>
    <n v="12"/>
    <n v="14"/>
    <n v="6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  <m/>
    <m/>
    <m/>
    <m/>
    <m/>
    <m/>
    <m/>
    <m/>
    <x v="0"/>
  </r>
  <r>
    <x v="14"/>
    <x v="0"/>
    <s v="RRL FALL'26"/>
    <x v="36"/>
    <x v="5"/>
    <s v="ITALY"/>
    <s v="0001"/>
    <x v="17"/>
    <x v="11"/>
    <x v="11"/>
    <s v="NON PFS"/>
    <x v="11"/>
    <x v="15"/>
    <n v="20"/>
    <m/>
    <n v="46.81"/>
    <s v="782P14904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2"/>
    <n v="6"/>
    <n v="7"/>
    <n v="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x v="0"/>
  </r>
  <r>
    <x v="14"/>
    <x v="0"/>
    <s v="RRL FALL'26"/>
    <x v="37"/>
    <x v="1"/>
    <s v="US"/>
    <s v="0001"/>
    <x v="17"/>
    <x v="11"/>
    <x v="11"/>
    <s v="NON PFS"/>
    <x v="11"/>
    <x v="15"/>
    <n v="124"/>
    <m/>
    <n v="46.81"/>
    <s v="782P14904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10"/>
    <n v="35"/>
    <n v="40"/>
    <n v="23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"/>
    <m/>
    <m/>
    <m/>
    <m/>
    <m/>
    <m/>
    <m/>
    <m/>
    <m/>
    <m/>
    <m/>
    <m/>
    <m/>
    <x v="0"/>
  </r>
  <r>
    <x v="14"/>
    <x v="0"/>
    <s v="RRL FALL'26"/>
    <x v="38"/>
    <x v="3"/>
    <s v="HK"/>
    <s v="WHS"/>
    <x v="17"/>
    <x v="11"/>
    <x v="11"/>
    <s v="NON PFS"/>
    <x v="11"/>
    <x v="15"/>
    <n v="17"/>
    <m/>
    <n v="46.81"/>
    <s v="782P14904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3"/>
    <n v="5"/>
    <n v="4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x v="0"/>
  </r>
  <r>
    <x v="14"/>
    <x v="0"/>
    <s v="RRL FALL'26"/>
    <x v="39"/>
    <x v="4"/>
    <s v="KOREA"/>
    <s v="WHS"/>
    <x v="17"/>
    <x v="11"/>
    <x v="11"/>
    <s v="NON PFS"/>
    <x v="11"/>
    <x v="15"/>
    <n v="8"/>
    <m/>
    <n v="46.81"/>
    <s v="782P14904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1"/>
    <n v="2"/>
    <n v="3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x v="0"/>
  </r>
  <r>
    <x v="14"/>
    <x v="0"/>
    <s v="RRL FALL'26"/>
    <x v="40"/>
    <x v="7"/>
    <s v="JAPAN"/>
    <s v="WHS"/>
    <x v="17"/>
    <x v="11"/>
    <x v="11"/>
    <s v="NON PFS"/>
    <x v="11"/>
    <x v="15"/>
    <n v="31"/>
    <m/>
    <n v="46.81"/>
    <s v="782P14904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2"/>
    <n v="8"/>
    <n v="11"/>
    <n v="7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"/>
    <m/>
    <m/>
    <m/>
    <m/>
    <m/>
    <m/>
    <m/>
    <m/>
    <m/>
    <m/>
    <m/>
    <m/>
    <m/>
    <x v="0"/>
  </r>
  <r>
    <x v="15"/>
    <x v="0"/>
    <s v="RRL FALL'26"/>
    <x v="41"/>
    <x v="5"/>
    <s v="ITALY"/>
    <s v="0001"/>
    <x v="18"/>
    <x v="12"/>
    <x v="12"/>
    <s v="NON PFS"/>
    <x v="11"/>
    <x v="16"/>
    <n v="30"/>
    <m/>
    <n v="45.11"/>
    <s v="782P14908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3"/>
    <n v="9"/>
    <n v="10"/>
    <n v="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15"/>
    <x v="0"/>
    <s v="RRL FALL'26"/>
    <x v="42"/>
    <x v="1"/>
    <s v="US"/>
    <s v="0001"/>
    <x v="18"/>
    <x v="12"/>
    <x v="12"/>
    <s v="NON PFS"/>
    <x v="11"/>
    <x v="16"/>
    <n v="114"/>
    <m/>
    <n v="45.11"/>
    <s v="782P14908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9"/>
    <n v="32"/>
    <n v="37"/>
    <n v="2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"/>
    <m/>
    <m/>
    <m/>
    <m/>
    <m/>
    <m/>
    <m/>
    <m/>
    <m/>
    <m/>
    <m/>
    <m/>
    <m/>
    <x v="0"/>
  </r>
  <r>
    <x v="15"/>
    <x v="0"/>
    <s v="RRL FALL'26"/>
    <x v="43"/>
    <x v="3"/>
    <s v="HK"/>
    <s v="WHS"/>
    <x v="18"/>
    <x v="12"/>
    <x v="12"/>
    <s v="NON PFS"/>
    <x v="11"/>
    <x v="16"/>
    <n v="50"/>
    <m/>
    <n v="45.11"/>
    <s v="782P14908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8"/>
    <n v="16"/>
    <n v="16"/>
    <n v="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x v="0"/>
  </r>
  <r>
    <x v="15"/>
    <x v="0"/>
    <s v="RRL FALL'26"/>
    <x v="44"/>
    <x v="4"/>
    <s v="KOREA"/>
    <s v="WHS"/>
    <x v="18"/>
    <x v="12"/>
    <x v="12"/>
    <s v="NON PFS"/>
    <x v="11"/>
    <x v="16"/>
    <n v="18"/>
    <m/>
    <n v="45.11"/>
    <s v="782P14908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2"/>
    <n v="6"/>
    <n v="7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15"/>
    <x v="0"/>
    <s v="RRL FALL'26"/>
    <x v="45"/>
    <x v="7"/>
    <s v="JAPAN"/>
    <s v="WHS"/>
    <x v="18"/>
    <x v="12"/>
    <x v="12"/>
    <s v="NON PFS"/>
    <x v="11"/>
    <x v="16"/>
    <n v="40"/>
    <m/>
    <n v="45.11"/>
    <s v="782P14908001 - "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4"/>
    <n v="9"/>
    <n v="14"/>
    <n v="8"/>
    <n v="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x v="0"/>
  </r>
  <r>
    <x v="16"/>
    <x v="0"/>
    <s v="RRL FALL'26"/>
    <x v="46"/>
    <x v="5"/>
    <s v="ITALY"/>
    <s v="0001"/>
    <x v="19"/>
    <x v="13"/>
    <x v="13"/>
    <s v="NON PFS"/>
    <x v="11"/>
    <x v="17"/>
    <n v="38"/>
    <m/>
    <n v="46.97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4"/>
    <n v="10"/>
    <n v="14"/>
    <n v="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"/>
    <m/>
    <m/>
    <m/>
    <m/>
    <m/>
    <m/>
    <m/>
    <m/>
    <m/>
    <m/>
    <m/>
    <m/>
    <m/>
    <x v="0"/>
  </r>
  <r>
    <x v="16"/>
    <x v="0"/>
    <s v="RRL FALL'26"/>
    <x v="47"/>
    <x v="1"/>
    <s v="US"/>
    <s v="0001"/>
    <x v="19"/>
    <x v="13"/>
    <x v="13"/>
    <s v="NON PFS"/>
    <x v="11"/>
    <x v="17"/>
    <n v="124"/>
    <m/>
    <n v="46.97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10"/>
    <n v="34"/>
    <n v="40"/>
    <n v="24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"/>
    <m/>
    <m/>
    <m/>
    <m/>
    <m/>
    <m/>
    <m/>
    <m/>
    <m/>
    <m/>
    <m/>
    <m/>
    <m/>
    <x v="0"/>
  </r>
  <r>
    <x v="16"/>
    <x v="0"/>
    <s v="RRL FALL'26"/>
    <x v="48"/>
    <x v="3"/>
    <s v="HK"/>
    <s v="WHS"/>
    <x v="19"/>
    <x v="13"/>
    <x v="13"/>
    <s v="NON PFS"/>
    <x v="11"/>
    <x v="17"/>
    <n v="50"/>
    <m/>
    <n v="46.97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8"/>
    <n v="16"/>
    <n v="16"/>
    <n v="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x v="0"/>
  </r>
  <r>
    <x v="16"/>
    <x v="0"/>
    <s v="RRL FALL'26"/>
    <x v="49"/>
    <x v="4"/>
    <s v="KOREA"/>
    <s v="WHS"/>
    <x v="19"/>
    <x v="13"/>
    <x v="13"/>
    <s v="NON PFS"/>
    <x v="11"/>
    <x v="17"/>
    <n v="18"/>
    <m/>
    <n v="46.97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2"/>
    <n v="6"/>
    <n v="7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16"/>
    <x v="0"/>
    <s v="RRL FALL'26"/>
    <x v="50"/>
    <x v="7"/>
    <s v="JAPAN"/>
    <s v="WHS"/>
    <x v="19"/>
    <x v="13"/>
    <x v="13"/>
    <s v="NON PFS"/>
    <x v="11"/>
    <x v="17"/>
    <n v="44"/>
    <m/>
    <n v="46.97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11"/>
    <n v="15"/>
    <n v="9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"/>
    <m/>
    <m/>
    <m/>
    <m/>
    <m/>
    <m/>
    <m/>
    <m/>
    <m/>
    <m/>
    <m/>
    <m/>
    <m/>
    <x v="0"/>
  </r>
  <r>
    <x v="17"/>
    <x v="0"/>
    <s v="RRL FALL'26"/>
    <x v="51"/>
    <x v="1"/>
    <s v="US"/>
    <s v="0001"/>
    <x v="20"/>
    <x v="14"/>
    <x v="14"/>
    <s v="NON PFS"/>
    <x v="11"/>
    <x v="18"/>
    <n v="118"/>
    <m/>
    <n v="43.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2"/>
    <n v="9"/>
    <n v="34"/>
    <n v="38"/>
    <n v="23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"/>
    <m/>
    <m/>
    <m/>
    <m/>
    <m/>
    <m/>
    <m/>
    <m/>
    <m/>
    <m/>
    <m/>
    <m/>
    <m/>
    <x v="0"/>
  </r>
  <r>
    <x v="17"/>
    <x v="0"/>
    <s v="RRL FALL'26"/>
    <x v="52"/>
    <x v="3"/>
    <s v="HK"/>
    <s v="WHS"/>
    <x v="20"/>
    <x v="14"/>
    <x v="14"/>
    <s v="NON PFS"/>
    <x v="11"/>
    <x v="18"/>
    <n v="27"/>
    <m/>
    <n v="43.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3"/>
    <n v="10"/>
    <n v="9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"/>
    <m/>
    <m/>
    <m/>
    <m/>
    <m/>
    <m/>
    <m/>
    <m/>
    <m/>
    <m/>
    <m/>
    <m/>
    <m/>
    <x v="0"/>
  </r>
  <r>
    <x v="17"/>
    <x v="0"/>
    <s v="RRL FALL'26"/>
    <x v="53"/>
    <x v="4"/>
    <s v="KOREA"/>
    <s v="WHS"/>
    <x v="20"/>
    <x v="14"/>
    <x v="14"/>
    <s v="NON PFS"/>
    <x v="11"/>
    <x v="18"/>
    <n v="8"/>
    <m/>
    <n v="43.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1"/>
    <n v="2"/>
    <n v="3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x v="0"/>
  </r>
  <r>
    <x v="17"/>
    <x v="0"/>
    <s v="RRL FALL'26"/>
    <x v="54"/>
    <x v="7"/>
    <s v="JAPAN"/>
    <s v="WHS"/>
    <x v="20"/>
    <x v="14"/>
    <x v="14"/>
    <s v="NON PFS"/>
    <x v="11"/>
    <x v="18"/>
    <n v="47"/>
    <m/>
    <n v="43.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4"/>
    <n v="11"/>
    <n v="16"/>
    <n v="10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"/>
    <m/>
    <m/>
    <m/>
    <m/>
    <m/>
    <m/>
    <m/>
    <m/>
    <m/>
    <m/>
    <m/>
    <m/>
    <m/>
    <x v="0"/>
  </r>
  <r>
    <x v="18"/>
    <x v="0"/>
    <s v="RRL FALL'26"/>
    <x v="55"/>
    <x v="5"/>
    <s v="ITALY"/>
    <s v="0001"/>
    <x v="21"/>
    <x v="15"/>
    <x v="15"/>
    <s v="NON PFS"/>
    <x v="11"/>
    <x v="19"/>
    <n v="28"/>
    <m/>
    <n v="4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3"/>
    <n v="8"/>
    <n v="10"/>
    <n v="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x v="0"/>
  </r>
  <r>
    <x v="18"/>
    <x v="0"/>
    <s v="RRL FALL'26"/>
    <x v="56"/>
    <x v="1"/>
    <s v="US"/>
    <s v="0001"/>
    <x v="21"/>
    <x v="15"/>
    <x v="15"/>
    <s v="NON PFS"/>
    <x v="11"/>
    <x v="19"/>
    <n v="106"/>
    <m/>
    <n v="4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8"/>
    <n v="30"/>
    <n v="34"/>
    <n v="20"/>
    <n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"/>
    <m/>
    <m/>
    <m/>
    <m/>
    <m/>
    <m/>
    <m/>
    <m/>
    <m/>
    <m/>
    <m/>
    <m/>
    <m/>
    <x v="0"/>
  </r>
  <r>
    <x v="18"/>
    <x v="0"/>
    <s v="RRL FALL'26"/>
    <x v="57"/>
    <x v="3"/>
    <s v="HK"/>
    <s v="WHS"/>
    <x v="21"/>
    <x v="15"/>
    <x v="15"/>
    <s v="NON PFS"/>
    <x v="11"/>
    <x v="19"/>
    <n v="50"/>
    <m/>
    <n v="4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8"/>
    <n v="16"/>
    <n v="16"/>
    <n v="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m/>
    <m/>
    <m/>
    <m/>
    <m/>
    <m/>
    <m/>
    <m/>
    <m/>
    <m/>
    <m/>
    <m/>
    <m/>
    <x v="0"/>
  </r>
  <r>
    <x v="18"/>
    <x v="0"/>
    <s v="RRL FALL'26"/>
    <x v="58"/>
    <x v="4"/>
    <s v="KOREA"/>
    <s v="WHS"/>
    <x v="21"/>
    <x v="15"/>
    <x v="15"/>
    <s v="NON PFS"/>
    <x v="11"/>
    <x v="19"/>
    <n v="18"/>
    <m/>
    <n v="4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2"/>
    <n v="6"/>
    <n v="7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18"/>
    <x v="0"/>
    <s v="RRL FALL'26"/>
    <x v="59"/>
    <x v="7"/>
    <s v="JAPAN"/>
    <s v="WHS"/>
    <x v="21"/>
    <x v="15"/>
    <x v="15"/>
    <s v="NON PFS"/>
    <x v="11"/>
    <x v="19"/>
    <n v="44"/>
    <m/>
    <n v="46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11"/>
    <n v="15"/>
    <n v="9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"/>
    <m/>
    <m/>
    <m/>
    <m/>
    <m/>
    <m/>
    <m/>
    <m/>
    <m/>
    <m/>
    <m/>
    <m/>
    <m/>
    <x v="0"/>
  </r>
  <r>
    <x v="19"/>
    <x v="0"/>
    <s v="RRL FALL'26"/>
    <x v="60"/>
    <x v="5"/>
    <s v="ITALY"/>
    <s v="0001"/>
    <x v="22"/>
    <x v="16"/>
    <x v="16"/>
    <s v="NON PFS"/>
    <x v="11"/>
    <x v="20"/>
    <n v="36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4"/>
    <n v="10"/>
    <n v="13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x v="0"/>
  </r>
  <r>
    <x v="19"/>
    <x v="0"/>
    <s v="RRL FALL'26"/>
    <x v="61"/>
    <x v="1"/>
    <s v="US"/>
    <s v="0001"/>
    <x v="22"/>
    <x v="16"/>
    <x v="16"/>
    <s v="NON PFS"/>
    <x v="11"/>
    <x v="20"/>
    <n v="128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3"/>
    <n v="11"/>
    <n v="36"/>
    <n v="40"/>
    <n v="24"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8"/>
    <m/>
    <m/>
    <m/>
    <m/>
    <m/>
    <m/>
    <m/>
    <m/>
    <m/>
    <m/>
    <m/>
    <m/>
    <m/>
    <x v="0"/>
  </r>
  <r>
    <x v="19"/>
    <x v="0"/>
    <s v="RRL FALL'26"/>
    <x v="62"/>
    <x v="2"/>
    <s v="US"/>
    <s v="0001"/>
    <x v="22"/>
    <x v="16"/>
    <x v="16"/>
    <s v="NON PFS"/>
    <x v="11"/>
    <x v="20"/>
    <n v="5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m/>
    <n v="1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x v="0"/>
  </r>
  <r>
    <x v="19"/>
    <x v="0"/>
    <s v="RRL FALL'26"/>
    <x v="63"/>
    <x v="3"/>
    <s v="HK"/>
    <s v="WHS"/>
    <x v="22"/>
    <x v="16"/>
    <x v="16"/>
    <s v="NON PFS"/>
    <x v="11"/>
    <x v="20"/>
    <n v="16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1"/>
    <n v="3"/>
    <n v="4"/>
    <n v="4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x v="0"/>
  </r>
  <r>
    <x v="19"/>
    <x v="0"/>
    <s v="RRL FALL'26"/>
    <x v="64"/>
    <x v="4"/>
    <s v="KOREA"/>
    <s v="WHS"/>
    <x v="22"/>
    <x v="16"/>
    <x v="16"/>
    <s v="NON PFS"/>
    <x v="11"/>
    <x v="20"/>
    <n v="8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m/>
    <n v="1"/>
    <n v="2"/>
    <n v="3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x v="0"/>
  </r>
  <r>
    <x v="19"/>
    <x v="0"/>
    <s v="RRL FALL'26"/>
    <x v="65"/>
    <x v="7"/>
    <s v="JAPAN"/>
    <s v="WHS"/>
    <x v="22"/>
    <x v="16"/>
    <x v="16"/>
    <s v="NON PFS"/>
    <x v="11"/>
    <x v="20"/>
    <n v="22"/>
    <m/>
    <n v="43.81"/>
    <m/>
    <m/>
    <m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0"/>
    <x v="0"/>
    <x v="0"/>
    <m/>
    <s v="Pending"/>
    <m/>
    <m/>
    <m/>
    <x v="0"/>
    <x v="1"/>
    <m/>
    <m/>
    <m/>
    <x v="2"/>
    <d v="2026-07-25T00:00:00"/>
    <x v="0"/>
    <m/>
    <m/>
    <m/>
    <m/>
    <m/>
    <m/>
    <m/>
    <m/>
    <m/>
    <m/>
    <m/>
    <m/>
    <m/>
    <m/>
    <n v="2"/>
    <n v="5"/>
    <n v="8"/>
    <n v="4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"/>
    <m/>
    <m/>
    <m/>
    <m/>
    <m/>
    <m/>
    <m/>
    <m/>
    <m/>
    <m/>
    <m/>
    <m/>
    <m/>
    <x v="0"/>
  </r>
  <r>
    <x v="20"/>
    <x v="0"/>
    <s v="RRL FALL'26"/>
    <x v="66"/>
    <x v="5"/>
    <s v="ITALY"/>
    <s v="0001"/>
    <x v="23"/>
    <x v="17"/>
    <x v="17"/>
    <s v="NON PFS"/>
    <x v="11"/>
    <x v="21"/>
    <n v="30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3"/>
    <d v="2026-10-15T00:00:00"/>
    <x v="0"/>
    <m/>
    <m/>
    <m/>
    <m/>
    <m/>
    <m/>
    <m/>
    <m/>
    <m/>
    <m/>
    <m/>
    <m/>
    <m/>
    <m/>
    <m/>
    <n v="3"/>
    <n v="9"/>
    <n v="9"/>
    <n v="6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20"/>
    <x v="0"/>
    <s v="RRL FALL'26"/>
    <x v="67"/>
    <x v="1"/>
    <s v="US"/>
    <s v="0001"/>
    <x v="23"/>
    <x v="17"/>
    <x v="17"/>
    <s v="NON PFS"/>
    <x v="11"/>
    <x v="21"/>
    <n v="148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3"/>
    <d v="2026-10-15T00:00:00"/>
    <x v="0"/>
    <m/>
    <m/>
    <m/>
    <m/>
    <m/>
    <m/>
    <m/>
    <m/>
    <m/>
    <m/>
    <m/>
    <m/>
    <m/>
    <m/>
    <n v="3"/>
    <n v="12"/>
    <n v="42"/>
    <n v="48"/>
    <n v="28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8"/>
    <m/>
    <m/>
    <m/>
    <m/>
    <m/>
    <m/>
    <m/>
    <m/>
    <m/>
    <m/>
    <m/>
    <m/>
    <m/>
    <x v="0"/>
  </r>
  <r>
    <x v="20"/>
    <x v="0"/>
    <s v="RRL FALL'26"/>
    <x v="68"/>
    <x v="2"/>
    <s v="US"/>
    <s v="0001"/>
    <x v="23"/>
    <x v="17"/>
    <x v="17"/>
    <s v="NON PFS"/>
    <x v="11"/>
    <x v="21"/>
    <n v="49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3"/>
    <d v="2026-10-15T00:00:00"/>
    <x v="0"/>
    <m/>
    <m/>
    <m/>
    <m/>
    <m/>
    <m/>
    <m/>
    <m/>
    <m/>
    <m/>
    <m/>
    <m/>
    <m/>
    <m/>
    <m/>
    <n v="5"/>
    <n v="15"/>
    <n v="18"/>
    <n v="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"/>
    <m/>
    <m/>
    <m/>
    <m/>
    <m/>
    <m/>
    <m/>
    <m/>
    <m/>
    <m/>
    <m/>
    <m/>
    <m/>
    <x v="0"/>
  </r>
  <r>
    <x v="20"/>
    <x v="0"/>
    <s v="RRL FALL'26"/>
    <x v="69"/>
    <x v="3"/>
    <s v="HK"/>
    <s v="WHS"/>
    <x v="23"/>
    <x v="17"/>
    <x v="17"/>
    <s v="NON PFS"/>
    <x v="11"/>
    <x v="21"/>
    <n v="60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4"/>
    <d v="2026-10-15T00:00:00"/>
    <x v="0"/>
    <m/>
    <m/>
    <m/>
    <m/>
    <m/>
    <m/>
    <m/>
    <m/>
    <m/>
    <m/>
    <m/>
    <m/>
    <m/>
    <m/>
    <n v="2"/>
    <n v="10"/>
    <n v="19"/>
    <n v="17"/>
    <n v="1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x v="0"/>
  </r>
  <r>
    <x v="20"/>
    <x v="0"/>
    <s v="RRL FALL'26"/>
    <x v="70"/>
    <x v="4"/>
    <s v="KOREA"/>
    <s v="WHS"/>
    <x v="23"/>
    <x v="17"/>
    <x v="17"/>
    <s v="NON PFS"/>
    <x v="11"/>
    <x v="21"/>
    <n v="33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4"/>
    <d v="2026-10-15T00:00:00"/>
    <x v="0"/>
    <m/>
    <m/>
    <m/>
    <m/>
    <m/>
    <m/>
    <m/>
    <m/>
    <m/>
    <m/>
    <m/>
    <m/>
    <m/>
    <m/>
    <n v="1"/>
    <n v="5"/>
    <n v="10"/>
    <n v="10"/>
    <n v="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x v="0"/>
  </r>
  <r>
    <x v="20"/>
    <x v="0"/>
    <s v="RRL FALL'26"/>
    <x v="71"/>
    <x v="7"/>
    <s v="JAPAN"/>
    <s v="WHS"/>
    <x v="23"/>
    <x v="17"/>
    <x v="17"/>
    <s v="NON PFS"/>
    <x v="11"/>
    <x v="21"/>
    <n v="70"/>
    <m/>
    <n v="57.6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4"/>
    <d v="2026-10-15T00:00:00"/>
    <x v="0"/>
    <m/>
    <m/>
    <m/>
    <m/>
    <m/>
    <m/>
    <m/>
    <m/>
    <m/>
    <m/>
    <m/>
    <m/>
    <m/>
    <m/>
    <n v="4"/>
    <n v="12"/>
    <n v="25"/>
    <n v="19"/>
    <n v="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"/>
    <m/>
    <m/>
    <m/>
    <m/>
    <m/>
    <m/>
    <m/>
    <m/>
    <m/>
    <m/>
    <m/>
    <m/>
    <m/>
    <x v="0"/>
  </r>
  <r>
    <x v="21"/>
    <x v="0"/>
    <s v="RLCW FALL'26"/>
    <x v="72"/>
    <x v="8"/>
    <s v="CANADA"/>
    <s v="0001"/>
    <x v="24"/>
    <x v="18"/>
    <x v="18"/>
    <s v="PFS"/>
    <x v="0"/>
    <x v="22"/>
    <n v="280"/>
    <m/>
    <n v="8.43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0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"/>
    <n v="45"/>
    <n v="49"/>
    <n v="50"/>
    <n v="50"/>
    <n v="52"/>
    <m/>
    <m/>
    <m/>
    <m/>
    <n v="280"/>
    <m/>
    <m/>
    <m/>
    <m/>
    <m/>
    <m/>
    <m/>
    <m/>
    <m/>
    <m/>
    <m/>
    <m/>
    <m/>
    <x v="1"/>
  </r>
  <r>
    <x v="22"/>
    <x v="0"/>
    <s v="RLCW FALL'26"/>
    <x v="72"/>
    <x v="8"/>
    <s v="CANADA"/>
    <s v="0001"/>
    <x v="25"/>
    <x v="18"/>
    <x v="18"/>
    <s v="PFS"/>
    <x v="0"/>
    <x v="23"/>
    <n v="221"/>
    <m/>
    <n v="8.43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  <n v="35"/>
    <n v="39"/>
    <n v="40"/>
    <n v="40"/>
    <n v="41"/>
    <m/>
    <m/>
    <m/>
    <m/>
    <n v="221"/>
    <m/>
    <m/>
    <m/>
    <m/>
    <m/>
    <m/>
    <m/>
    <m/>
    <m/>
    <m/>
    <m/>
    <m/>
    <m/>
    <x v="1"/>
  </r>
  <r>
    <x v="23"/>
    <x v="0"/>
    <s v="RLCW FALL'26"/>
    <x v="72"/>
    <x v="8"/>
    <s v="CANADA"/>
    <s v="0001"/>
    <x v="26"/>
    <x v="18"/>
    <x v="18"/>
    <s v="PFS"/>
    <x v="0"/>
    <x v="24"/>
    <n v="90"/>
    <m/>
    <n v="8.43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n v="14"/>
    <n v="16"/>
    <n v="16"/>
    <n v="16"/>
    <n v="17"/>
    <m/>
    <m/>
    <m/>
    <m/>
    <n v="90"/>
    <m/>
    <m/>
    <m/>
    <m/>
    <m/>
    <m/>
    <m/>
    <m/>
    <m/>
    <m/>
    <m/>
    <m/>
    <m/>
    <x v="1"/>
  </r>
  <r>
    <x v="24"/>
    <x v="0"/>
    <s v="RLCW FALL'26"/>
    <x v="73"/>
    <x v="8"/>
    <s v="CANADA"/>
    <s v="0001"/>
    <x v="27"/>
    <x v="19"/>
    <x v="18"/>
    <s v="PFS"/>
    <x v="0"/>
    <x v="22"/>
    <n v="280"/>
    <m/>
    <n v="9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0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"/>
    <n v="60"/>
    <n v="98"/>
    <n v="83"/>
    <n v="280"/>
    <m/>
    <m/>
    <m/>
    <m/>
    <m/>
    <m/>
    <m/>
    <m/>
    <m/>
    <m/>
    <m/>
    <m/>
    <m/>
    <x v="1"/>
  </r>
  <r>
    <x v="25"/>
    <x v="0"/>
    <s v="RLCW FALL'26"/>
    <x v="73"/>
    <x v="8"/>
    <s v="CANADA"/>
    <s v="0001"/>
    <x v="28"/>
    <x v="19"/>
    <x v="18"/>
    <s v="PFS"/>
    <x v="0"/>
    <x v="24"/>
    <n v="101"/>
    <m/>
    <n v="9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n v="22"/>
    <n v="35"/>
    <n v="30"/>
    <n v="101"/>
    <m/>
    <m/>
    <m/>
    <m/>
    <m/>
    <m/>
    <m/>
    <m/>
    <m/>
    <m/>
    <m/>
    <m/>
    <m/>
    <x v="1"/>
  </r>
  <r>
    <x v="26"/>
    <x v="0"/>
    <s v="RLCW FALL'26"/>
    <x v="73"/>
    <x v="8"/>
    <s v="CANADA"/>
    <s v="0001"/>
    <x v="29"/>
    <x v="19"/>
    <x v="18"/>
    <s v="PFS"/>
    <x v="0"/>
    <x v="23"/>
    <n v="251"/>
    <m/>
    <n v="9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n v="54"/>
    <n v="88"/>
    <n v="74"/>
    <n v="251"/>
    <m/>
    <m/>
    <m/>
    <m/>
    <m/>
    <m/>
    <m/>
    <m/>
    <m/>
    <m/>
    <m/>
    <m/>
    <m/>
    <x v="1"/>
  </r>
  <r>
    <x v="27"/>
    <x v="0"/>
    <s v="RLCW FALL'26"/>
    <x v="74"/>
    <x v="9"/>
    <s v="ITALY"/>
    <s v="0001"/>
    <x v="30"/>
    <x v="20"/>
    <x v="19"/>
    <s v="PFS"/>
    <x v="0"/>
    <x v="25"/>
    <n v="182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  <n v="30"/>
    <n v="34"/>
    <n v="36"/>
    <n v="32"/>
    <n v="24"/>
    <m/>
    <m/>
    <m/>
    <m/>
    <n v="182"/>
    <m/>
    <m/>
    <m/>
    <m/>
    <m/>
    <m/>
    <m/>
    <m/>
    <m/>
    <m/>
    <m/>
    <m/>
    <m/>
    <x v="1"/>
  </r>
  <r>
    <x v="28"/>
    <x v="0"/>
    <s v="RLCW FALL'26"/>
    <x v="74"/>
    <x v="9"/>
    <s v="ITALY"/>
    <s v="0001"/>
    <x v="31"/>
    <x v="20"/>
    <x v="19"/>
    <s v="PFS"/>
    <x v="0"/>
    <x v="26"/>
    <n v="30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  <n v="53"/>
    <n v="53"/>
    <n v="55"/>
    <n v="50"/>
    <n v="44"/>
    <m/>
    <m/>
    <m/>
    <m/>
    <n v="300"/>
    <m/>
    <m/>
    <m/>
    <m/>
    <m/>
    <m/>
    <m/>
    <m/>
    <m/>
    <m/>
    <m/>
    <m/>
    <m/>
    <x v="1"/>
  </r>
  <r>
    <x v="29"/>
    <x v="0"/>
    <s v="RLCW FALL'26"/>
    <x v="74"/>
    <x v="9"/>
    <s v="ITALY"/>
    <s v="0001"/>
    <x v="32"/>
    <x v="20"/>
    <x v="19"/>
    <s v="PFS"/>
    <x v="0"/>
    <x v="27"/>
    <n v="37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"/>
    <n v="66"/>
    <n v="65"/>
    <n v="66"/>
    <n v="62"/>
    <n v="54"/>
    <m/>
    <m/>
    <m/>
    <m/>
    <n v="370"/>
    <m/>
    <m/>
    <m/>
    <m/>
    <m/>
    <m/>
    <m/>
    <m/>
    <m/>
    <m/>
    <m/>
    <m/>
    <m/>
    <x v="1"/>
  </r>
  <r>
    <x v="29"/>
    <x v="0"/>
    <s v="RLCW FALL'26"/>
    <x v="75"/>
    <x v="8"/>
    <s v="CANADA"/>
    <s v="0001"/>
    <x v="32"/>
    <x v="20"/>
    <x v="19"/>
    <s v="PFS"/>
    <x v="0"/>
    <x v="27"/>
    <n v="9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2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n v="14"/>
    <n v="16"/>
    <n v="16"/>
    <n v="16"/>
    <n v="17"/>
    <m/>
    <m/>
    <m/>
    <m/>
    <n v="90"/>
    <m/>
    <m/>
    <m/>
    <m/>
    <m/>
    <m/>
    <m/>
    <m/>
    <m/>
    <m/>
    <m/>
    <m/>
    <m/>
    <x v="1"/>
  </r>
  <r>
    <x v="27"/>
    <x v="0"/>
    <s v="RLCW FALL'26"/>
    <x v="76"/>
    <x v="3"/>
    <s v="HK"/>
    <s v="FOCN"/>
    <x v="30"/>
    <x v="20"/>
    <x v="19"/>
    <s v="PFS"/>
    <x v="0"/>
    <x v="25"/>
    <n v="16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4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n v="24"/>
    <n v="29"/>
    <n v="26"/>
    <n v="29"/>
    <n v="38"/>
    <m/>
    <m/>
    <m/>
    <m/>
    <n v="160"/>
    <m/>
    <m/>
    <m/>
    <m/>
    <m/>
    <m/>
    <m/>
    <m/>
    <m/>
    <m/>
    <m/>
    <m/>
    <m/>
    <x v="1"/>
  </r>
  <r>
    <x v="29"/>
    <x v="0"/>
    <s v="RLCW FALL'26"/>
    <x v="76"/>
    <x v="3"/>
    <s v="HK"/>
    <s v="FOCN"/>
    <x v="32"/>
    <x v="20"/>
    <x v="19"/>
    <s v="PFS"/>
    <x v="0"/>
    <x v="27"/>
    <n v="16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n v="24"/>
    <n v="29"/>
    <n v="26"/>
    <n v="29"/>
    <n v="38"/>
    <m/>
    <m/>
    <m/>
    <m/>
    <n v="160"/>
    <m/>
    <m/>
    <m/>
    <m/>
    <m/>
    <m/>
    <m/>
    <m/>
    <m/>
    <m/>
    <m/>
    <m/>
    <m/>
    <x v="1"/>
  </r>
  <r>
    <x v="27"/>
    <x v="0"/>
    <s v="RLCW FALL'26"/>
    <x v="77"/>
    <x v="3"/>
    <s v="HK"/>
    <s v="FOGC"/>
    <x v="30"/>
    <x v="20"/>
    <x v="19"/>
    <s v="PFS"/>
    <x v="0"/>
    <x v="25"/>
    <n v="244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4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"/>
    <n v="44"/>
    <n v="39"/>
    <n v="44"/>
    <n v="37"/>
    <n v="46"/>
    <m/>
    <m/>
    <m/>
    <m/>
    <n v="244"/>
    <m/>
    <m/>
    <m/>
    <m/>
    <m/>
    <m/>
    <m/>
    <m/>
    <m/>
    <m/>
    <m/>
    <m/>
    <m/>
    <x v="1"/>
  </r>
  <r>
    <x v="29"/>
    <x v="0"/>
    <s v="RLCW FALL'26"/>
    <x v="77"/>
    <x v="3"/>
    <s v="HK"/>
    <s v="FOGC"/>
    <x v="32"/>
    <x v="20"/>
    <x v="19"/>
    <s v="PFS"/>
    <x v="0"/>
    <x v="27"/>
    <n v="26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n v="47"/>
    <n v="42"/>
    <n v="47"/>
    <n v="39"/>
    <n v="49"/>
    <m/>
    <m/>
    <m/>
    <m/>
    <n v="260"/>
    <m/>
    <m/>
    <m/>
    <m/>
    <m/>
    <m/>
    <m/>
    <m/>
    <m/>
    <m/>
    <m/>
    <m/>
    <m/>
    <x v="1"/>
  </r>
  <r>
    <x v="27"/>
    <x v="0"/>
    <s v="RLCW FALL'26"/>
    <x v="78"/>
    <x v="4"/>
    <s v="KOREA"/>
    <s v="FOK"/>
    <x v="30"/>
    <x v="20"/>
    <x v="19"/>
    <s v="PFS"/>
    <x v="0"/>
    <x v="25"/>
    <n v="11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4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20"/>
    <n v="20"/>
    <n v="18"/>
    <n v="19"/>
    <n v="21"/>
    <m/>
    <m/>
    <m/>
    <m/>
    <n v="110"/>
    <m/>
    <m/>
    <m/>
    <m/>
    <m/>
    <m/>
    <m/>
    <m/>
    <m/>
    <m/>
    <m/>
    <m/>
    <m/>
    <x v="1"/>
  </r>
  <r>
    <x v="29"/>
    <x v="0"/>
    <s v="RLCW FALL'26"/>
    <x v="78"/>
    <x v="4"/>
    <s v="KOREA"/>
    <s v="FOK"/>
    <x v="32"/>
    <x v="20"/>
    <x v="19"/>
    <s v="PFS"/>
    <x v="0"/>
    <x v="27"/>
    <n v="11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20"/>
    <n v="20"/>
    <n v="18"/>
    <n v="19"/>
    <n v="21"/>
    <m/>
    <m/>
    <m/>
    <m/>
    <n v="110"/>
    <m/>
    <m/>
    <m/>
    <m/>
    <m/>
    <m/>
    <m/>
    <m/>
    <m/>
    <m/>
    <m/>
    <m/>
    <m/>
    <x v="1"/>
  </r>
  <r>
    <x v="27"/>
    <x v="0"/>
    <s v="RLCW FALL'26"/>
    <x v="79"/>
    <x v="7"/>
    <s v="JAPAN"/>
    <s v="FOJ"/>
    <x v="30"/>
    <x v="20"/>
    <x v="19"/>
    <s v="PFS"/>
    <x v="0"/>
    <x v="25"/>
    <n v="26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4"/>
    <m/>
    <m/>
    <m/>
    <x v="7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"/>
    <n v="49"/>
    <n v="44"/>
    <n v="31"/>
    <n v="42"/>
    <n v="47"/>
    <m/>
    <m/>
    <m/>
    <m/>
    <n v="260"/>
    <m/>
    <m/>
    <m/>
    <m/>
    <m/>
    <m/>
    <m/>
    <m/>
    <m/>
    <m/>
    <m/>
    <m/>
    <m/>
    <x v="1"/>
  </r>
  <r>
    <x v="29"/>
    <x v="0"/>
    <s v="RLCW FALL'26"/>
    <x v="79"/>
    <x v="7"/>
    <s v="JAPAN"/>
    <s v="FOJ"/>
    <x v="32"/>
    <x v="20"/>
    <x v="19"/>
    <s v="PFS"/>
    <x v="0"/>
    <x v="27"/>
    <n v="280"/>
    <m/>
    <n v="6.48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4"/>
    <m/>
    <m/>
    <m/>
    <x v="7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53"/>
    <n v="48"/>
    <n v="34"/>
    <n v="45"/>
    <n v="50"/>
    <m/>
    <m/>
    <m/>
    <m/>
    <n v="280"/>
    <m/>
    <m/>
    <m/>
    <m/>
    <m/>
    <m/>
    <m/>
    <m/>
    <m/>
    <m/>
    <m/>
    <m/>
    <m/>
    <x v="1"/>
  </r>
  <r>
    <x v="30"/>
    <x v="0"/>
    <s v="RLCW FALL'26"/>
    <x v="80"/>
    <x v="9"/>
    <s v="ITALY"/>
    <s v="0001"/>
    <x v="33"/>
    <x v="21"/>
    <x v="19"/>
    <s v="PFS"/>
    <x v="0"/>
    <x v="25"/>
    <n v="296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n v="68"/>
    <n v="93"/>
    <n v="87"/>
    <n v="296"/>
    <m/>
    <m/>
    <m/>
    <m/>
    <m/>
    <m/>
    <m/>
    <m/>
    <m/>
    <m/>
    <m/>
    <m/>
    <m/>
    <x v="1"/>
  </r>
  <r>
    <x v="31"/>
    <x v="0"/>
    <s v="RLCW FALL'26"/>
    <x v="80"/>
    <x v="9"/>
    <s v="ITALY"/>
    <s v="0001"/>
    <x v="34"/>
    <x v="21"/>
    <x v="19"/>
    <s v="PFS"/>
    <x v="0"/>
    <x v="27"/>
    <n v="550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"/>
    <n v="117"/>
    <n v="174"/>
    <n v="177"/>
    <n v="550"/>
    <m/>
    <m/>
    <m/>
    <m/>
    <m/>
    <m/>
    <m/>
    <m/>
    <m/>
    <m/>
    <m/>
    <m/>
    <m/>
    <x v="1"/>
  </r>
  <r>
    <x v="32"/>
    <x v="0"/>
    <s v="RLCW FALL'26"/>
    <x v="80"/>
    <x v="9"/>
    <s v="ITALY"/>
    <s v="0001"/>
    <x v="35"/>
    <x v="21"/>
    <x v="19"/>
    <s v="PFS"/>
    <x v="0"/>
    <x v="26"/>
    <n v="300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"/>
    <n v="66"/>
    <n v="96"/>
    <n v="91"/>
    <n v="300"/>
    <m/>
    <m/>
    <m/>
    <m/>
    <m/>
    <m/>
    <m/>
    <m/>
    <m/>
    <m/>
    <m/>
    <m/>
    <m/>
    <x v="1"/>
  </r>
  <r>
    <x v="31"/>
    <x v="0"/>
    <s v="RLCW FALL'26"/>
    <x v="81"/>
    <x v="8"/>
    <s v="CANADA"/>
    <s v="0001"/>
    <x v="34"/>
    <x v="21"/>
    <x v="19"/>
    <s v="PFS"/>
    <x v="0"/>
    <x v="27"/>
    <n v="101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2"/>
    <x v="0"/>
    <x v="0"/>
    <x v="0"/>
    <x v="0"/>
    <x v="0"/>
    <m/>
    <m/>
    <m/>
    <m/>
    <m/>
    <x v="0"/>
    <x v="0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n v="22"/>
    <n v="35"/>
    <n v="30"/>
    <n v="101"/>
    <m/>
    <m/>
    <m/>
    <m/>
    <m/>
    <m/>
    <m/>
    <m/>
    <m/>
    <m/>
    <m/>
    <m/>
    <m/>
    <x v="1"/>
  </r>
  <r>
    <x v="30"/>
    <x v="0"/>
    <s v="RLCW FALL'26"/>
    <x v="82"/>
    <x v="3"/>
    <s v="HK"/>
    <s v="FOCN"/>
    <x v="33"/>
    <x v="21"/>
    <x v="19"/>
    <s v="PFS"/>
    <x v="0"/>
    <x v="25"/>
    <n v="224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58"/>
    <n v="89"/>
    <n v="34"/>
    <n v="224"/>
    <m/>
    <m/>
    <m/>
    <m/>
    <m/>
    <m/>
    <m/>
    <m/>
    <m/>
    <m/>
    <m/>
    <m/>
    <m/>
    <x v="1"/>
  </r>
  <r>
    <x v="31"/>
    <x v="0"/>
    <s v="RLCW FALL'26"/>
    <x v="82"/>
    <x v="3"/>
    <s v="HK"/>
    <s v="FOCN"/>
    <x v="34"/>
    <x v="21"/>
    <x v="19"/>
    <s v="PFS"/>
    <x v="0"/>
    <x v="27"/>
    <n v="224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58"/>
    <n v="89"/>
    <n v="34"/>
    <n v="224"/>
    <m/>
    <m/>
    <m/>
    <m/>
    <m/>
    <m/>
    <m/>
    <m/>
    <m/>
    <m/>
    <m/>
    <m/>
    <m/>
    <x v="1"/>
  </r>
  <r>
    <x v="30"/>
    <x v="0"/>
    <s v="RLCW FALL'26"/>
    <x v="83"/>
    <x v="3"/>
    <s v="HK"/>
    <s v="FOGC"/>
    <x v="33"/>
    <x v="21"/>
    <x v="19"/>
    <s v="PFS"/>
    <x v="0"/>
    <x v="25"/>
    <n v="420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"/>
    <n v="109"/>
    <n v="176"/>
    <n v="80"/>
    <n v="420"/>
    <m/>
    <m/>
    <m/>
    <m/>
    <m/>
    <m/>
    <m/>
    <m/>
    <m/>
    <m/>
    <m/>
    <m/>
    <m/>
    <x v="1"/>
  </r>
  <r>
    <x v="31"/>
    <x v="0"/>
    <s v="RLCW FALL'26"/>
    <x v="83"/>
    <x v="3"/>
    <s v="HK"/>
    <s v="FOGC"/>
    <x v="34"/>
    <x v="21"/>
    <x v="19"/>
    <s v="PFS"/>
    <x v="0"/>
    <x v="27"/>
    <n v="632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"/>
    <n v="164"/>
    <n v="266"/>
    <n v="120"/>
    <n v="632"/>
    <m/>
    <m/>
    <m/>
    <m/>
    <m/>
    <m/>
    <m/>
    <m/>
    <m/>
    <m/>
    <m/>
    <m/>
    <m/>
    <x v="1"/>
  </r>
  <r>
    <x v="30"/>
    <x v="0"/>
    <s v="RLCW FALL'26"/>
    <x v="84"/>
    <x v="4"/>
    <s v="KOREA"/>
    <s v="FOK"/>
    <x v="33"/>
    <x v="21"/>
    <x v="19"/>
    <s v="PFS"/>
    <x v="0"/>
    <x v="25"/>
    <n v="175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"/>
    <n v="35"/>
    <n v="78"/>
    <n v="39"/>
    <n v="175"/>
    <m/>
    <m/>
    <m/>
    <m/>
    <m/>
    <m/>
    <m/>
    <m/>
    <m/>
    <m/>
    <m/>
    <m/>
    <m/>
    <x v="1"/>
  </r>
  <r>
    <x v="31"/>
    <x v="0"/>
    <s v="RLCW FALL'26"/>
    <x v="84"/>
    <x v="4"/>
    <s v="KOREA"/>
    <s v="FOK"/>
    <x v="34"/>
    <x v="21"/>
    <x v="19"/>
    <s v="PFS"/>
    <x v="0"/>
    <x v="27"/>
    <n v="720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5"/>
    <m/>
    <m/>
    <x v="0"/>
    <m/>
    <m/>
    <m/>
    <m/>
    <m/>
    <m/>
    <m/>
    <x v="12"/>
    <x v="0"/>
    <x v="0"/>
    <x v="1"/>
    <x v="1"/>
    <x v="0"/>
    <m/>
    <m/>
    <m/>
    <m/>
    <m/>
    <x v="0"/>
    <x v="3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"/>
    <n v="144"/>
    <n v="324"/>
    <n v="158"/>
    <n v="720"/>
    <m/>
    <m/>
    <m/>
    <m/>
    <m/>
    <m/>
    <m/>
    <m/>
    <m/>
    <m/>
    <m/>
    <m/>
    <m/>
    <x v="1"/>
  </r>
  <r>
    <x v="30"/>
    <x v="0"/>
    <s v="RLCW FALL'26"/>
    <x v="85"/>
    <x v="7"/>
    <s v="JAPAN"/>
    <s v="FOJ"/>
    <x v="33"/>
    <x v="21"/>
    <x v="19"/>
    <s v="PFS"/>
    <x v="0"/>
    <x v="25"/>
    <n v="364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4"/>
    <m/>
    <m/>
    <m/>
    <x v="7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73"/>
    <n v="142"/>
    <n v="109"/>
    <n v="364"/>
    <m/>
    <m/>
    <m/>
    <m/>
    <m/>
    <m/>
    <m/>
    <m/>
    <m/>
    <m/>
    <m/>
    <m/>
    <m/>
    <x v="1"/>
  </r>
  <r>
    <x v="31"/>
    <x v="0"/>
    <s v="RLCW FALL'26"/>
    <x v="85"/>
    <x v="7"/>
    <s v="JAPAN"/>
    <s v="FOJ"/>
    <x v="34"/>
    <x v="21"/>
    <x v="19"/>
    <s v="PFS"/>
    <x v="0"/>
    <x v="27"/>
    <n v="645"/>
    <m/>
    <n v="7.66"/>
    <m/>
    <m/>
    <s v="Vardhman"/>
    <m/>
    <m/>
    <m/>
    <m/>
    <m/>
    <x v="1"/>
    <x v="3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2"/>
    <x v="0"/>
    <x v="0"/>
    <x v="0"/>
    <x v="0"/>
    <x v="0"/>
    <m/>
    <m/>
    <m/>
    <m/>
    <m/>
    <x v="0"/>
    <x v="4"/>
    <m/>
    <m/>
    <m/>
    <x v="7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"/>
    <n v="129"/>
    <n v="251"/>
    <n v="194"/>
    <n v="645"/>
    <m/>
    <m/>
    <m/>
    <m/>
    <m/>
    <m/>
    <m/>
    <m/>
    <m/>
    <m/>
    <m/>
    <m/>
    <m/>
    <x v="1"/>
  </r>
  <r>
    <x v="33"/>
    <x v="0"/>
    <s v="FALL'26"/>
    <x v="86"/>
    <x v="9"/>
    <s v="ITALY"/>
    <s v="0001"/>
    <x v="36"/>
    <x v="22"/>
    <x v="20"/>
    <s v="PFS"/>
    <x v="12"/>
    <x v="28"/>
    <n v="842"/>
    <m/>
    <n v="15.92"/>
    <m/>
    <m/>
    <s v="RUENTEX"/>
    <m/>
    <m/>
    <m/>
    <m/>
    <m/>
    <x v="1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48"/>
    <n v="111"/>
    <n v="245"/>
    <n v="229"/>
    <n v="126"/>
    <n v="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2"/>
    <m/>
    <m/>
    <m/>
    <m/>
    <m/>
    <m/>
    <m/>
    <m/>
    <m/>
    <m/>
    <m/>
    <m/>
    <m/>
    <x v="0"/>
  </r>
  <r>
    <x v="34"/>
    <x v="0"/>
    <s v="FALL'26"/>
    <x v="87"/>
    <x v="9"/>
    <s v="ITALY"/>
    <s v="0001"/>
    <x v="37"/>
    <x v="23"/>
    <x v="21"/>
    <s v="PFS"/>
    <x v="9"/>
    <x v="29"/>
    <n v="600"/>
    <m/>
    <n v="18.66"/>
    <m/>
    <m/>
    <s v="Earth sea"/>
    <m/>
    <m/>
    <m/>
    <m/>
    <m/>
    <x v="1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3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36"/>
    <n v="54"/>
    <n v="180"/>
    <n v="186"/>
    <n v="90"/>
    <n v="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x v="0"/>
  </r>
  <r>
    <x v="35"/>
    <x v="0"/>
    <s v="FALL'26"/>
    <x v="88"/>
    <x v="10"/>
    <s v="US"/>
    <s v="0001"/>
    <x v="38"/>
    <x v="24"/>
    <x v="22"/>
    <s v="PFS"/>
    <x v="13"/>
    <x v="30"/>
    <n v="2820"/>
    <m/>
    <n v="13.6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181"/>
    <n v="673"/>
    <n v="946"/>
    <n v="653"/>
    <n v="3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20"/>
    <m/>
    <m/>
    <m/>
    <m/>
    <m/>
    <m/>
    <m/>
    <m/>
    <m/>
    <m/>
    <m/>
    <m/>
    <m/>
    <x v="0"/>
  </r>
  <r>
    <x v="36"/>
    <x v="0"/>
    <s v="FALL'26"/>
    <x v="88"/>
    <x v="10"/>
    <s v="US"/>
    <s v="0001"/>
    <x v="39"/>
    <x v="24"/>
    <x v="22"/>
    <s v="PFS"/>
    <x v="13"/>
    <x v="31"/>
    <n v="1128"/>
    <m/>
    <n v="13.6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73"/>
    <n v="269"/>
    <n v="378"/>
    <n v="261"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8"/>
    <m/>
    <m/>
    <m/>
    <m/>
    <m/>
    <m/>
    <m/>
    <m/>
    <m/>
    <m/>
    <m/>
    <m/>
    <m/>
    <x v="0"/>
  </r>
  <r>
    <x v="37"/>
    <x v="0"/>
    <s v="FALL'26"/>
    <x v="89"/>
    <x v="8"/>
    <s v="CANADA"/>
    <s v="0001"/>
    <x v="40"/>
    <x v="24"/>
    <x v="22"/>
    <s v="PFS"/>
    <x v="13"/>
    <x v="4"/>
    <n v="240"/>
    <m/>
    <n v="13.6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3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21"/>
    <n v="64"/>
    <n v="79"/>
    <n v="47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m/>
    <x v="0"/>
  </r>
  <r>
    <x v="35"/>
    <x v="0"/>
    <s v="FALL'26"/>
    <x v="89"/>
    <x v="8"/>
    <s v="CANADA"/>
    <s v="0001"/>
    <x v="38"/>
    <x v="24"/>
    <x v="22"/>
    <s v="PFS"/>
    <x v="13"/>
    <x v="30"/>
    <n v="180"/>
    <m/>
    <n v="13.6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17"/>
    <n v="48"/>
    <n v="59"/>
    <n v="35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x v="0"/>
  </r>
  <r>
    <x v="36"/>
    <x v="0"/>
    <s v="FALL'26"/>
    <x v="89"/>
    <x v="8"/>
    <s v="CANADA"/>
    <s v="0001"/>
    <x v="39"/>
    <x v="24"/>
    <x v="22"/>
    <s v="PFS"/>
    <x v="13"/>
    <x v="31"/>
    <n v="72"/>
    <m/>
    <n v="13.6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7"/>
    <n v="18"/>
    <n v="24"/>
    <n v="14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m/>
    <x v="0"/>
  </r>
  <r>
    <x v="38"/>
    <x v="0"/>
    <s v="FALL'26"/>
    <x v="90"/>
    <x v="9"/>
    <s v="ITALY"/>
    <s v="0001"/>
    <x v="41"/>
    <x v="25"/>
    <x v="23"/>
    <s v="PFS"/>
    <x v="14"/>
    <x v="32"/>
    <n v="1406"/>
    <m/>
    <n v="19.96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5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78"/>
    <n v="173"/>
    <n v="422"/>
    <n v="422"/>
    <n v="225"/>
    <n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6"/>
    <m/>
    <m/>
    <m/>
    <m/>
    <m/>
    <m/>
    <m/>
    <m/>
    <m/>
    <m/>
    <m/>
    <m/>
    <m/>
    <x v="0"/>
  </r>
  <r>
    <x v="39"/>
    <x v="0"/>
    <s v="FALL'26"/>
    <x v="90"/>
    <x v="9"/>
    <s v="ITALY"/>
    <s v="0001"/>
    <x v="42"/>
    <x v="25"/>
    <x v="23"/>
    <s v="PFS"/>
    <x v="14"/>
    <x v="33"/>
    <n v="1560"/>
    <m/>
    <n v="19.100000000000001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5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90"/>
    <n v="191"/>
    <n v="467"/>
    <n v="467"/>
    <n v="249"/>
    <n v="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0"/>
    <m/>
    <m/>
    <m/>
    <m/>
    <m/>
    <m/>
    <m/>
    <m/>
    <m/>
    <m/>
    <m/>
    <m/>
    <m/>
    <x v="0"/>
  </r>
  <r>
    <x v="40"/>
    <x v="0"/>
    <s v="FALL'26"/>
    <x v="91"/>
    <x v="9"/>
    <s v="ITALY"/>
    <s v="0001"/>
    <x v="43"/>
    <x v="26"/>
    <x v="23"/>
    <s v="PFS"/>
    <x v="9"/>
    <x v="34"/>
    <n v="500"/>
    <m/>
    <n v="22.67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30"/>
    <n v="60"/>
    <n v="149"/>
    <n v="151"/>
    <n v="8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x v="0"/>
  </r>
  <r>
    <x v="41"/>
    <x v="0"/>
    <s v="FALL'26"/>
    <x v="91"/>
    <x v="9"/>
    <s v="ITALY"/>
    <s v="0001"/>
    <x v="44"/>
    <x v="26"/>
    <x v="23"/>
    <s v="PFS"/>
    <x v="9"/>
    <x v="35"/>
    <n v="650"/>
    <m/>
    <n v="22.67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39"/>
    <n v="78"/>
    <n v="195"/>
    <n v="195"/>
    <n v="104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"/>
    <m/>
    <m/>
    <m/>
    <m/>
    <m/>
    <m/>
    <m/>
    <m/>
    <m/>
    <m/>
    <m/>
    <m/>
    <m/>
    <x v="0"/>
  </r>
  <r>
    <x v="42"/>
    <x v="0"/>
    <s v="FALL'26"/>
    <x v="92"/>
    <x v="10"/>
    <s v="US"/>
    <s v="0001"/>
    <x v="45"/>
    <x v="27"/>
    <x v="24"/>
    <s v="PFS"/>
    <x v="0"/>
    <x v="36"/>
    <n v="358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382"/>
    <n v="1003"/>
    <n v="1182"/>
    <n v="686"/>
    <n v="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0"/>
    <m/>
    <m/>
    <m/>
    <m/>
    <m/>
    <m/>
    <m/>
    <m/>
    <m/>
    <m/>
    <m/>
    <m/>
    <m/>
    <x v="0"/>
  </r>
  <r>
    <x v="42"/>
    <x v="0"/>
    <s v="FALL'26"/>
    <x v="93"/>
    <x v="10"/>
    <s v="US"/>
    <s v="0002"/>
    <x v="45"/>
    <x v="27"/>
    <x v="24"/>
    <s v="PFS"/>
    <x v="0"/>
    <x v="36"/>
    <n v="10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11"/>
    <n v="28"/>
    <n v="33"/>
    <n v="19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x v="0"/>
  </r>
  <r>
    <x v="42"/>
    <x v="0"/>
    <s v="FALL'26"/>
    <x v="94"/>
    <x v="8"/>
    <s v="CANADA"/>
    <s v="0001"/>
    <x v="45"/>
    <x v="27"/>
    <x v="24"/>
    <s v="PFS"/>
    <x v="0"/>
    <x v="36"/>
    <n v="32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40"/>
    <n v="98"/>
    <n v="103"/>
    <n v="53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"/>
    <m/>
    <m/>
    <m/>
    <m/>
    <m/>
    <m/>
    <m/>
    <m/>
    <m/>
    <m/>
    <m/>
    <m/>
    <m/>
    <x v="0"/>
  </r>
  <r>
    <x v="43"/>
    <x v="0"/>
    <s v="FALL'26"/>
    <x v="95"/>
    <x v="8"/>
    <s v="CANADA"/>
    <s v="0001"/>
    <x v="46"/>
    <x v="28"/>
    <x v="24"/>
    <s v="PFS"/>
    <x v="15"/>
    <x v="37"/>
    <n v="304"/>
    <m/>
    <n v="12.46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39"/>
    <n v="93"/>
    <n v="98"/>
    <n v="5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4"/>
    <m/>
    <m/>
    <m/>
    <m/>
    <m/>
    <m/>
    <m/>
    <m/>
    <m/>
    <m/>
    <m/>
    <m/>
    <m/>
    <x v="0"/>
  </r>
  <r>
    <x v="44"/>
    <x v="0"/>
    <s v="FALL'26"/>
    <x v="96"/>
    <x v="9"/>
    <s v="ITALY"/>
    <s v="0001"/>
    <x v="42"/>
    <x v="25"/>
    <x v="23"/>
    <s v="PFS"/>
    <x v="14"/>
    <x v="33"/>
    <n v="506"/>
    <m/>
    <n v="19.100000000000001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5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23"/>
    <n v="92"/>
    <n v="161"/>
    <n v="115"/>
    <n v="69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6"/>
    <m/>
    <m/>
    <m/>
    <m/>
    <m/>
    <m/>
    <m/>
    <m/>
    <m/>
    <m/>
    <m/>
    <m/>
    <m/>
    <x v="0"/>
  </r>
  <r>
    <x v="44"/>
    <x v="0"/>
    <s v="FALL'26"/>
    <x v="97"/>
    <x v="9"/>
    <s v="ITALY"/>
    <s v="0001"/>
    <x v="42"/>
    <x v="25"/>
    <x v="23"/>
    <s v="PFS"/>
    <x v="14"/>
    <x v="33"/>
    <n v="198"/>
    <m/>
    <n v="19.100000000000001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5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9"/>
    <n v="36"/>
    <n v="63"/>
    <n v="45"/>
    <n v="27"/>
    <n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"/>
    <m/>
    <m/>
    <m/>
    <m/>
    <m/>
    <m/>
    <m/>
    <m/>
    <m/>
    <m/>
    <m/>
    <m/>
    <m/>
    <x v="0"/>
  </r>
  <r>
    <x v="45"/>
    <x v="0"/>
    <s v="FALL'26"/>
    <x v="98"/>
    <x v="10"/>
    <s v="US"/>
    <s v="0001"/>
    <x v="47"/>
    <x v="29"/>
    <x v="22"/>
    <s v="PFS"/>
    <x v="16"/>
    <x v="30"/>
    <n v="376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438"/>
    <n v="1101"/>
    <n v="1237"/>
    <n v="680"/>
    <n v="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0"/>
    <m/>
    <m/>
    <m/>
    <m/>
    <m/>
    <m/>
    <m/>
    <m/>
    <m/>
    <m/>
    <m/>
    <m/>
    <m/>
    <x v="0"/>
  </r>
  <r>
    <x v="46"/>
    <x v="0"/>
    <s v="FALL'26"/>
    <x v="98"/>
    <x v="10"/>
    <s v="US"/>
    <s v="0001"/>
    <x v="48"/>
    <x v="29"/>
    <x v="22"/>
    <s v="PFS"/>
    <x v="16"/>
    <x v="38"/>
    <n v="376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438"/>
    <n v="1101"/>
    <n v="1237"/>
    <n v="680"/>
    <n v="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0"/>
    <m/>
    <m/>
    <m/>
    <m/>
    <m/>
    <m/>
    <m/>
    <m/>
    <m/>
    <m/>
    <m/>
    <m/>
    <m/>
    <x v="0"/>
  </r>
  <r>
    <x v="47"/>
    <x v="0"/>
    <s v="FALL'26"/>
    <x v="98"/>
    <x v="10"/>
    <s v="US"/>
    <s v="0001"/>
    <x v="49"/>
    <x v="29"/>
    <x v="22"/>
    <s v="PFS"/>
    <x v="16"/>
    <x v="31"/>
    <n v="282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328"/>
    <n v="826"/>
    <n v="928"/>
    <n v="510"/>
    <n v="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20"/>
    <m/>
    <m/>
    <m/>
    <m/>
    <m/>
    <m/>
    <m/>
    <m/>
    <m/>
    <m/>
    <m/>
    <m/>
    <m/>
    <x v="0"/>
  </r>
  <r>
    <x v="45"/>
    <x v="0"/>
    <s v="FALL'26"/>
    <x v="99"/>
    <x v="8"/>
    <s v="CANADA"/>
    <s v="0001"/>
    <x v="47"/>
    <x v="29"/>
    <x v="22"/>
    <s v="PFS"/>
    <x v="16"/>
    <x v="30"/>
    <n v="24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36"/>
    <n v="76"/>
    <n v="72"/>
    <n v="39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m/>
    <x v="0"/>
  </r>
  <r>
    <x v="46"/>
    <x v="0"/>
    <s v="FALL'26"/>
    <x v="99"/>
    <x v="8"/>
    <s v="CANADA"/>
    <s v="0001"/>
    <x v="48"/>
    <x v="29"/>
    <x v="22"/>
    <s v="PFS"/>
    <x v="16"/>
    <x v="38"/>
    <n v="24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4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36"/>
    <n v="76"/>
    <n v="72"/>
    <n v="39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  <m/>
    <m/>
    <m/>
    <m/>
    <x v="0"/>
  </r>
  <r>
    <x v="47"/>
    <x v="0"/>
    <s v="FALL'26"/>
    <x v="99"/>
    <x v="8"/>
    <s v="CANADA"/>
    <s v="0001"/>
    <x v="49"/>
    <x v="29"/>
    <x v="22"/>
    <s v="PFS"/>
    <x v="16"/>
    <x v="31"/>
    <n v="180"/>
    <m/>
    <n v="15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1"/>
    <x v="0"/>
    <x v="0"/>
    <x v="0"/>
    <x v="0"/>
    <x v="0"/>
    <m/>
    <m/>
    <m/>
    <m/>
    <m/>
    <x v="0"/>
    <x v="0"/>
    <m/>
    <m/>
    <d v="2026-04-05T00:00:00"/>
    <x v="0"/>
    <d v="2026-06-16T00:00:00"/>
    <x v="0"/>
    <m/>
    <m/>
    <m/>
    <m/>
    <m/>
    <m/>
    <m/>
    <m/>
    <m/>
    <m/>
    <m/>
    <m/>
    <m/>
    <m/>
    <m/>
    <n v="27"/>
    <n v="57"/>
    <n v="54"/>
    <n v="29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x v="0"/>
  </r>
  <r>
    <x v="48"/>
    <x v="0"/>
    <s v="FALL'26"/>
    <x v="100"/>
    <x v="5"/>
    <s v="ITALY"/>
    <s v="0001"/>
    <x v="50"/>
    <x v="30"/>
    <x v="25"/>
    <s v="NON PFS"/>
    <x v="0"/>
    <x v="25"/>
    <n v="3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5"/>
    <n v="5"/>
    <n v="5"/>
    <n v="5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0"/>
  </r>
  <r>
    <x v="48"/>
    <x v="0"/>
    <s v="FALL'26"/>
    <x v="101"/>
    <x v="9"/>
    <s v="ITALY"/>
    <s v="0001"/>
    <x v="50"/>
    <x v="30"/>
    <x v="25"/>
    <s v="PFS"/>
    <x v="0"/>
    <x v="25"/>
    <n v="72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2"/>
    <x v="0"/>
    <x v="0"/>
    <x v="0"/>
    <x v="0"/>
    <x v="0"/>
    <m/>
    <m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36"/>
    <n v="73"/>
    <n v="215"/>
    <n v="222"/>
    <n v="109"/>
    <n v="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"/>
    <m/>
    <m/>
    <m/>
    <m/>
    <m/>
    <m/>
    <m/>
    <m/>
    <m/>
    <m/>
    <m/>
    <m/>
    <m/>
    <x v="0"/>
  </r>
  <r>
    <x v="49"/>
    <x v="0"/>
    <s v="FALL'26"/>
    <x v="102"/>
    <x v="8"/>
    <s v="CANADA"/>
    <s v="0001"/>
    <x v="51"/>
    <x v="31"/>
    <x v="26"/>
    <s v="PFS"/>
    <x v="15"/>
    <x v="25"/>
    <n v="143"/>
    <m/>
    <n v="8.11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12"/>
    <x v="0"/>
    <x v="0"/>
    <x v="0"/>
    <x v="0"/>
    <x v="0"/>
    <m/>
    <m/>
    <m/>
    <m/>
    <m/>
    <x v="0"/>
    <x v="0"/>
    <m/>
    <m/>
    <m/>
    <x v="0"/>
    <d v="2026-06-16T00:00:00"/>
    <x v="0"/>
    <m/>
    <m/>
    <m/>
    <m/>
    <m/>
    <m/>
    <m/>
    <m/>
    <m/>
    <m/>
    <m/>
    <m/>
    <m/>
    <m/>
    <m/>
    <n v="21"/>
    <n v="46"/>
    <n v="43"/>
    <n v="23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"/>
    <m/>
    <m/>
    <m/>
    <m/>
    <m/>
    <m/>
    <m/>
    <m/>
    <m/>
    <m/>
    <m/>
    <m/>
    <m/>
    <x v="0"/>
  </r>
  <r>
    <x v="50"/>
    <x v="0"/>
    <s v="FALL'26"/>
    <x v="103"/>
    <x v="5"/>
    <s v="ITALY"/>
    <s v="0001"/>
    <x v="52"/>
    <x v="32"/>
    <x v="27"/>
    <s v="NON PFS"/>
    <x v="17"/>
    <x v="39"/>
    <n v="200"/>
    <m/>
    <n v="25.85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5"/>
    <n v="22"/>
    <n v="47"/>
    <n v="38"/>
    <n v="45"/>
    <n v="26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"/>
    <m/>
    <m/>
    <m/>
    <m/>
    <m/>
    <m/>
    <m/>
    <m/>
    <m/>
    <m/>
    <m/>
    <m/>
    <m/>
    <x v="0"/>
  </r>
  <r>
    <x v="50"/>
    <x v="0"/>
    <s v="FALL'26"/>
    <x v="104"/>
    <x v="3"/>
    <s v="HK"/>
    <s v="WHS"/>
    <x v="52"/>
    <x v="32"/>
    <x v="27"/>
    <s v="NON PFS"/>
    <x v="17"/>
    <x v="39"/>
    <n v="112"/>
    <m/>
    <n v="25.85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3"/>
    <m/>
    <m/>
    <m/>
    <x v="6"/>
    <d v="2026-06-16T00:00:00"/>
    <x v="0"/>
    <m/>
    <m/>
    <n v="9"/>
    <n v="43"/>
    <m/>
    <n v="43"/>
    <m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"/>
    <m/>
    <m/>
    <m/>
    <m/>
    <m/>
    <m/>
    <m/>
    <m/>
    <m/>
    <m/>
    <m/>
    <m/>
    <m/>
    <x v="0"/>
  </r>
  <r>
    <x v="50"/>
    <x v="0"/>
    <s v="FALL'26"/>
    <x v="105"/>
    <x v="7"/>
    <s v="JAPAN"/>
    <s v="WHS"/>
    <x v="52"/>
    <x v="32"/>
    <x v="27"/>
    <s v="NON PFS"/>
    <x v="17"/>
    <x v="39"/>
    <n v="150"/>
    <m/>
    <n v="25.85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4"/>
    <m/>
    <m/>
    <m/>
    <x v="7"/>
    <d v="2026-06-16T00:00:00"/>
    <x v="0"/>
    <m/>
    <m/>
    <n v="31"/>
    <n v="69"/>
    <m/>
    <n v="4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"/>
    <m/>
    <m/>
    <m/>
    <m/>
    <m/>
    <m/>
    <m/>
    <m/>
    <m/>
    <m/>
    <m/>
    <m/>
    <m/>
    <x v="0"/>
  </r>
  <r>
    <x v="51"/>
    <x v="0"/>
    <s v="FALL'26"/>
    <x v="106"/>
    <x v="5"/>
    <s v="ITALY"/>
    <s v="0001"/>
    <x v="53"/>
    <x v="33"/>
    <x v="27"/>
    <s v="NON PFS"/>
    <x v="18"/>
    <x v="40"/>
    <n v="65"/>
    <m/>
    <n v="29.77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"/>
    <n v="9"/>
    <n v="13"/>
    <n v="15"/>
    <n v="10"/>
    <n v="9"/>
    <n v="5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"/>
    <m/>
    <m/>
    <m/>
    <m/>
    <m/>
    <m/>
    <m/>
    <m/>
    <m/>
    <m/>
    <m/>
    <m/>
    <m/>
    <x v="0"/>
  </r>
  <r>
    <x v="52"/>
    <x v="0"/>
    <s v="FALL'26"/>
    <x v="106"/>
    <x v="5"/>
    <s v="ITALY"/>
    <s v="0001"/>
    <x v="54"/>
    <x v="33"/>
    <x v="27"/>
    <s v="NON PFS"/>
    <x v="18"/>
    <x v="41"/>
    <n v="25"/>
    <m/>
    <n v="33.130000000000003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"/>
    <n v="3"/>
    <n v="5"/>
    <n v="6"/>
    <n v="4"/>
    <n v="3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"/>
    <m/>
    <m/>
    <m/>
    <m/>
    <m/>
    <m/>
    <m/>
    <m/>
    <m/>
    <m/>
    <m/>
    <m/>
    <m/>
    <x v="0"/>
  </r>
  <r>
    <x v="51"/>
    <x v="0"/>
    <s v="FALL'26"/>
    <x v="107"/>
    <x v="1"/>
    <s v="US"/>
    <s v="0001"/>
    <x v="53"/>
    <x v="33"/>
    <x v="27"/>
    <s v="NON PFS"/>
    <x v="18"/>
    <x v="40"/>
    <n v="440"/>
    <m/>
    <n v="29.77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22"/>
    <n v="53"/>
    <n v="106"/>
    <n v="84"/>
    <n v="88"/>
    <n v="44"/>
    <n v="26"/>
    <n v="13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m/>
    <m/>
    <m/>
    <m/>
    <m/>
    <m/>
    <m/>
    <m/>
    <m/>
    <m/>
    <m/>
    <m/>
    <m/>
    <x v="0"/>
  </r>
  <r>
    <x v="52"/>
    <x v="0"/>
    <s v="FALL'26"/>
    <x v="107"/>
    <x v="1"/>
    <s v="US"/>
    <s v="0001"/>
    <x v="54"/>
    <x v="33"/>
    <x v="27"/>
    <s v="NON PFS"/>
    <x v="18"/>
    <x v="41"/>
    <n v="305"/>
    <m/>
    <n v="33.130000000000003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5"/>
    <n v="36"/>
    <n v="73"/>
    <n v="58"/>
    <n v="61"/>
    <n v="31"/>
    <n v="18"/>
    <n v="10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5"/>
    <m/>
    <m/>
    <m/>
    <m/>
    <m/>
    <m/>
    <m/>
    <m/>
    <m/>
    <m/>
    <m/>
    <m/>
    <m/>
    <x v="0"/>
  </r>
  <r>
    <x v="53"/>
    <x v="0"/>
    <s v="FALL'26"/>
    <x v="108"/>
    <x v="1"/>
    <s v="US"/>
    <s v="0001"/>
    <x v="55"/>
    <x v="34"/>
    <x v="27"/>
    <s v="NON PFS"/>
    <x v="19"/>
    <x v="42"/>
    <n v="300"/>
    <m/>
    <n v="34.97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6"/>
    <n v="36"/>
    <n v="70"/>
    <n v="58"/>
    <n v="58"/>
    <n v="30"/>
    <n v="18"/>
    <n v="10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54"/>
    <x v="0"/>
    <s v="FALL'26"/>
    <x v="108"/>
    <x v="1"/>
    <s v="US"/>
    <s v="0001"/>
    <x v="56"/>
    <x v="34"/>
    <x v="27"/>
    <s v="NON PFS"/>
    <x v="19"/>
    <x v="43"/>
    <n v="440"/>
    <m/>
    <n v="34.97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22"/>
    <n v="53"/>
    <n v="106"/>
    <n v="84"/>
    <n v="88"/>
    <n v="44"/>
    <n v="26"/>
    <n v="13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m/>
    <m/>
    <m/>
    <m/>
    <m/>
    <m/>
    <m/>
    <m/>
    <m/>
    <m/>
    <m/>
    <m/>
    <m/>
    <x v="0"/>
  </r>
  <r>
    <x v="55"/>
    <x v="0"/>
    <s v="FALL'26"/>
    <x v="109"/>
    <x v="1"/>
    <s v="US"/>
    <s v="0001"/>
    <x v="57"/>
    <x v="35"/>
    <x v="27"/>
    <s v="NON PFS"/>
    <x v="20"/>
    <x v="44"/>
    <n v="300"/>
    <m/>
    <n v="35.520000000000003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6"/>
    <n v="36"/>
    <n v="70"/>
    <n v="58"/>
    <n v="58"/>
    <n v="30"/>
    <n v="18"/>
    <n v="10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56"/>
    <x v="0"/>
    <s v="FALL'26"/>
    <x v="109"/>
    <x v="1"/>
    <s v="US"/>
    <s v="0001"/>
    <x v="58"/>
    <x v="35"/>
    <x v="27"/>
    <s v="NON PFS"/>
    <x v="20"/>
    <x v="45"/>
    <n v="300"/>
    <m/>
    <n v="35.520000000000003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16"/>
    <x v="0"/>
    <x v="0"/>
    <x v="0"/>
    <x v="0"/>
    <x v="0"/>
    <m/>
    <m/>
    <m/>
    <m/>
    <m/>
    <x v="0"/>
    <x v="2"/>
    <m/>
    <m/>
    <m/>
    <x v="5"/>
    <d v="2026-06-16T00:00:00"/>
    <x v="0"/>
    <m/>
    <m/>
    <n v="16"/>
    <n v="36"/>
    <n v="70"/>
    <n v="58"/>
    <n v="58"/>
    <n v="30"/>
    <n v="18"/>
    <n v="10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57"/>
    <x v="0"/>
    <s v="FALL'26"/>
    <x v="110"/>
    <x v="1"/>
    <s v="US"/>
    <s v="0001"/>
    <x v="59"/>
    <x v="36"/>
    <x v="28"/>
    <s v="NON PFS"/>
    <x v="21"/>
    <x v="31"/>
    <n v="300"/>
    <m/>
    <n v="40.869999999999997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8"/>
    <x v="0"/>
    <x v="0"/>
    <x v="2"/>
    <x v="2"/>
    <x v="2"/>
    <m/>
    <m/>
    <m/>
    <m/>
    <m/>
    <x v="0"/>
    <x v="5"/>
    <m/>
    <m/>
    <m/>
    <x v="8"/>
    <d v="2026-07-15T00:00:00"/>
    <x v="0"/>
    <m/>
    <m/>
    <n v="15"/>
    <n v="36"/>
    <n v="71"/>
    <n v="57"/>
    <n v="60"/>
    <n v="30"/>
    <n v="18"/>
    <n v="9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7"/>
    <x v="0"/>
    <s v="RRL FALL'26"/>
    <x v="111"/>
    <x v="5"/>
    <s v="ITALY"/>
    <s v="0001"/>
    <x v="60"/>
    <x v="37"/>
    <x v="29"/>
    <m/>
    <x v="11"/>
    <x v="46"/>
    <n v="42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0"/>
    <s v="RRL FALL'26"/>
    <x v="112"/>
    <x v="1"/>
    <s v="US"/>
    <s v="0001"/>
    <x v="60"/>
    <x v="37"/>
    <x v="29"/>
    <m/>
    <x v="11"/>
    <x v="46"/>
    <n v="136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0"/>
    <s v="RRL FALL'26"/>
    <x v="113"/>
    <x v="2"/>
    <s v="US"/>
    <s v="0001"/>
    <x v="60"/>
    <x v="37"/>
    <x v="29"/>
    <m/>
    <x v="11"/>
    <x v="46"/>
    <n v="32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0"/>
    <s v="RRL FALL'26"/>
    <x v="114"/>
    <x v="3"/>
    <s v="HK"/>
    <s v="WHS"/>
    <x v="60"/>
    <x v="37"/>
    <x v="29"/>
    <m/>
    <x v="11"/>
    <x v="46"/>
    <n v="67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10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0"/>
    <s v="RRL FALL'26"/>
    <x v="115"/>
    <x v="4"/>
    <s v="KOREA"/>
    <s v="WHS"/>
    <x v="60"/>
    <x v="37"/>
    <x v="29"/>
    <m/>
    <x v="11"/>
    <x v="46"/>
    <n v="4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10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0"/>
    <s v="RRL FALL'26"/>
    <x v="116"/>
    <x v="7"/>
    <s v="JAPAN"/>
    <s v="WHS"/>
    <x v="60"/>
    <x v="37"/>
    <x v="29"/>
    <m/>
    <x v="11"/>
    <x v="46"/>
    <n v="267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1"/>
    <x v="1"/>
    <x v="1"/>
    <x v="1"/>
    <m/>
    <m/>
    <m/>
    <m/>
    <m/>
    <x v="0"/>
    <x v="1"/>
    <m/>
    <m/>
    <m/>
    <x v="10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58"/>
    <x v="0"/>
    <s v="FALL'26"/>
    <x v="117"/>
    <x v="5"/>
    <s v="ITALY"/>
    <s v="0001"/>
    <x v="61"/>
    <x v="38"/>
    <x v="28"/>
    <s v="NON PFS"/>
    <x v="22"/>
    <x v="4"/>
    <n v="360"/>
    <m/>
    <n v="30.02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7"/>
    <m/>
    <m/>
    <x v="0"/>
    <m/>
    <m/>
    <m/>
    <m/>
    <m/>
    <m/>
    <m/>
    <x v="17"/>
    <x v="1"/>
    <x v="2"/>
    <x v="2"/>
    <x v="2"/>
    <x v="2"/>
    <m/>
    <m/>
    <m/>
    <m/>
    <m/>
    <x v="0"/>
    <x v="5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n v="100"/>
    <m/>
    <n v="39"/>
    <m/>
    <m/>
    <n v="74"/>
    <m/>
    <m/>
    <n v="31"/>
    <m/>
    <m/>
    <n v="44"/>
    <m/>
    <n v="12"/>
    <m/>
    <m/>
    <m/>
    <m/>
    <m/>
    <m/>
    <m/>
    <m/>
    <m/>
    <m/>
    <m/>
    <m/>
    <m/>
    <m/>
    <m/>
    <m/>
    <m/>
    <n v="360"/>
    <m/>
    <m/>
    <m/>
    <m/>
    <m/>
    <m/>
    <m/>
    <m/>
    <m/>
    <m/>
    <m/>
    <m/>
    <m/>
    <x v="1"/>
  </r>
  <r>
    <x v="58"/>
    <x v="0"/>
    <s v="FALL'26"/>
    <x v="118"/>
    <x v="2"/>
    <s v="US"/>
    <s v="0001"/>
    <x v="61"/>
    <x v="38"/>
    <x v="28"/>
    <s v="NON PFS"/>
    <x v="22"/>
    <x v="4"/>
    <n v="58"/>
    <m/>
    <n v="30.02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7"/>
    <m/>
    <m/>
    <x v="0"/>
    <m/>
    <m/>
    <m/>
    <m/>
    <m/>
    <m/>
    <m/>
    <x v="17"/>
    <x v="1"/>
    <x v="2"/>
    <x v="2"/>
    <x v="2"/>
    <x v="2"/>
    <m/>
    <m/>
    <m/>
    <m/>
    <m/>
    <x v="0"/>
    <x v="5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8"/>
    <n v="2"/>
    <n v="2"/>
    <n v="10"/>
    <m/>
    <n v="13"/>
    <n v="2"/>
    <m/>
    <n v="1"/>
    <n v="9"/>
    <m/>
    <n v="5"/>
    <n v="2"/>
    <m/>
    <n v="2"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x v="1"/>
  </r>
  <r>
    <x v="59"/>
    <x v="0"/>
    <s v="RLCW FALL'26"/>
    <x v="119"/>
    <x v="11"/>
    <s v="RL-Mexico"/>
    <s v="TDS"/>
    <x v="62"/>
    <x v="39"/>
    <x v="30"/>
    <s v="NON PFS"/>
    <x v="0"/>
    <x v="47"/>
    <n v="64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0"/>
    <n v="28"/>
    <m/>
    <m/>
    <m/>
    <m/>
    <n v="64"/>
    <m/>
    <m/>
    <m/>
    <m/>
    <m/>
    <m/>
    <m/>
    <m/>
    <m/>
    <m/>
    <m/>
    <m/>
    <m/>
    <x v="1"/>
  </r>
  <r>
    <x v="59"/>
    <x v="0"/>
    <s v="RLCW FALL'26"/>
    <x v="120"/>
    <x v="2"/>
    <s v="US"/>
    <s v="0001"/>
    <x v="62"/>
    <x v="39"/>
    <x v="30"/>
    <s v="NON PFS"/>
    <x v="0"/>
    <x v="47"/>
    <n v="1165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8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"/>
    <n v="203"/>
    <n v="200"/>
    <n v="198"/>
    <n v="191"/>
    <n v="195"/>
    <m/>
    <m/>
    <m/>
    <m/>
    <n v="1165"/>
    <m/>
    <m/>
    <m/>
    <m/>
    <m/>
    <m/>
    <m/>
    <m/>
    <m/>
    <m/>
    <m/>
    <m/>
    <m/>
    <x v="1"/>
  </r>
  <r>
    <x v="60"/>
    <x v="0"/>
    <s v="RLCW FALL'26"/>
    <x v="121"/>
    <x v="11"/>
    <s v="RL-Mexico"/>
    <s v="TDS"/>
    <x v="63"/>
    <x v="39"/>
    <x v="30"/>
    <s v="NON PFS"/>
    <x v="0"/>
    <x v="48"/>
    <n v="64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0"/>
    <n v="28"/>
    <m/>
    <m/>
    <m/>
    <m/>
    <n v="64"/>
    <m/>
    <m/>
    <m/>
    <m/>
    <m/>
    <m/>
    <m/>
    <m/>
    <m/>
    <m/>
    <m/>
    <m/>
    <m/>
    <x v="1"/>
  </r>
  <r>
    <x v="60"/>
    <x v="0"/>
    <s v="RLCW FALL'26"/>
    <x v="120"/>
    <x v="2"/>
    <s v="US"/>
    <s v="0001"/>
    <x v="63"/>
    <x v="39"/>
    <x v="30"/>
    <s v="NON PFS"/>
    <x v="0"/>
    <x v="48"/>
    <n v="1316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4"/>
    <n v="208"/>
    <n v="212"/>
    <n v="232"/>
    <n v="243"/>
    <n v="227"/>
    <m/>
    <m/>
    <m/>
    <m/>
    <n v="1316"/>
    <m/>
    <m/>
    <m/>
    <m/>
    <m/>
    <m/>
    <m/>
    <m/>
    <m/>
    <m/>
    <m/>
    <m/>
    <m/>
    <x v="1"/>
  </r>
  <r>
    <x v="61"/>
    <x v="0"/>
    <s v="RLCW FALL'26"/>
    <x v="120"/>
    <x v="2"/>
    <s v="US"/>
    <s v="0001"/>
    <x v="64"/>
    <x v="39"/>
    <x v="30"/>
    <s v="NON PFS"/>
    <x v="0"/>
    <x v="49"/>
    <n v="1083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1"/>
    <n v="186"/>
    <n v="179"/>
    <n v="181"/>
    <n v="183"/>
    <n v="183"/>
    <m/>
    <m/>
    <m/>
    <m/>
    <n v="1083"/>
    <m/>
    <m/>
    <m/>
    <m/>
    <m/>
    <m/>
    <m/>
    <m/>
    <m/>
    <m/>
    <m/>
    <m/>
    <m/>
    <x v="1"/>
  </r>
  <r>
    <x v="60"/>
    <x v="0"/>
    <s v="RLCW FALL'26"/>
    <x v="122"/>
    <x v="6"/>
    <s v="CANADA"/>
    <s v="0001"/>
    <x v="63"/>
    <x v="39"/>
    <x v="30"/>
    <s v="NON PFS"/>
    <x v="0"/>
    <x v="48"/>
    <n v="12"/>
    <m/>
    <n v="8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9"/>
    <m/>
    <m/>
    <x v="0"/>
    <m/>
    <m/>
    <m/>
    <m/>
    <m/>
    <m/>
    <m/>
    <x v="18"/>
    <x v="0"/>
    <x v="0"/>
    <x v="0"/>
    <x v="2"/>
    <x v="0"/>
    <m/>
    <m/>
    <m/>
    <m/>
    <m/>
    <x v="0"/>
    <x v="3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3"/>
    <n v="3"/>
    <n v="3"/>
    <m/>
    <m/>
    <m/>
    <m/>
    <m/>
    <n v="12"/>
    <m/>
    <m/>
    <m/>
    <m/>
    <m/>
    <m/>
    <m/>
    <m/>
    <m/>
    <m/>
    <m/>
    <m/>
    <m/>
    <x v="1"/>
  </r>
  <r>
    <x v="62"/>
    <x v="0"/>
    <s v="RLCW FALL'26"/>
    <x v="123"/>
    <x v="11"/>
    <s v="RL-Mexico"/>
    <s v="TDS"/>
    <x v="65"/>
    <x v="40"/>
    <x v="30"/>
    <s v="NON PFS"/>
    <x v="0"/>
    <x v="48"/>
    <n v="112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32"/>
    <n v="40"/>
    <n v="24"/>
    <n v="112"/>
    <m/>
    <m/>
    <m/>
    <m/>
    <m/>
    <m/>
    <m/>
    <m/>
    <m/>
    <m/>
    <m/>
    <m/>
    <m/>
    <x v="1"/>
  </r>
  <r>
    <x v="62"/>
    <x v="0"/>
    <s v="RLCW FALL'26"/>
    <x v="124"/>
    <x v="2"/>
    <s v="US"/>
    <s v="0001"/>
    <x v="65"/>
    <x v="40"/>
    <x v="30"/>
    <s v="NON PFS"/>
    <x v="0"/>
    <x v="48"/>
    <n v="1916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8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7"/>
    <n v="470"/>
    <n v="672"/>
    <n v="487"/>
    <n v="1916"/>
    <m/>
    <m/>
    <m/>
    <m/>
    <m/>
    <m/>
    <m/>
    <m/>
    <m/>
    <m/>
    <m/>
    <m/>
    <m/>
    <x v="1"/>
  </r>
  <r>
    <x v="63"/>
    <x v="0"/>
    <s v="RLCW FALL'26"/>
    <x v="124"/>
    <x v="2"/>
    <s v="US"/>
    <s v="0001"/>
    <x v="66"/>
    <x v="40"/>
    <x v="30"/>
    <s v="NON PFS"/>
    <x v="0"/>
    <x v="49"/>
    <n v="918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7"/>
    <n v="256"/>
    <n v="319"/>
    <n v="206"/>
    <n v="918"/>
    <m/>
    <m/>
    <m/>
    <m/>
    <m/>
    <m/>
    <m/>
    <m/>
    <m/>
    <m/>
    <m/>
    <m/>
    <m/>
    <x v="1"/>
  </r>
  <r>
    <x v="64"/>
    <x v="0"/>
    <s v="RLCW FALL'26"/>
    <x v="123"/>
    <x v="11"/>
    <s v="RL-Mexico"/>
    <s v="0001"/>
    <x v="67"/>
    <x v="40"/>
    <x v="30"/>
    <s v="NON PFS"/>
    <x v="0"/>
    <x v="47"/>
    <n v="112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32"/>
    <n v="40"/>
    <n v="24"/>
    <n v="112"/>
    <m/>
    <m/>
    <m/>
    <m/>
    <m/>
    <m/>
    <m/>
    <m/>
    <m/>
    <m/>
    <m/>
    <m/>
    <m/>
    <x v="1"/>
  </r>
  <r>
    <x v="64"/>
    <x v="0"/>
    <s v="RLCW FALL'26"/>
    <x v="124"/>
    <x v="2"/>
    <s v="0001"/>
    <s v="0001"/>
    <x v="67"/>
    <x v="40"/>
    <x v="30"/>
    <s v="NON PFS"/>
    <x v="0"/>
    <x v="47"/>
    <n v="1930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18"/>
    <x v="0"/>
    <x v="0"/>
    <x v="0"/>
    <x v="2"/>
    <x v="0"/>
    <m/>
    <m/>
    <m/>
    <m/>
    <m/>
    <x v="0"/>
    <x v="6"/>
    <m/>
    <m/>
    <m/>
    <x v="11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"/>
    <n v="480"/>
    <n v="681"/>
    <n v="471"/>
    <n v="1930"/>
    <m/>
    <m/>
    <m/>
    <m/>
    <m/>
    <m/>
    <m/>
    <m/>
    <m/>
    <m/>
    <m/>
    <m/>
    <m/>
    <x v="1"/>
  </r>
  <r>
    <x v="64"/>
    <x v="0"/>
    <s v="RLCW FALL'26"/>
    <x v="125"/>
    <x v="6"/>
    <s v="CANADA"/>
    <s v="0001"/>
    <x v="67"/>
    <x v="40"/>
    <x v="30"/>
    <s v="NON PFS"/>
    <x v="0"/>
    <x v="47"/>
    <n v="21"/>
    <m/>
    <n v="9.69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9"/>
    <m/>
    <m/>
    <x v="0"/>
    <m/>
    <m/>
    <m/>
    <m/>
    <m/>
    <m/>
    <m/>
    <x v="18"/>
    <x v="0"/>
    <x v="0"/>
    <x v="0"/>
    <x v="2"/>
    <x v="0"/>
    <m/>
    <m/>
    <m/>
    <m/>
    <m/>
    <x v="0"/>
    <x v="3"/>
    <m/>
    <m/>
    <m/>
    <x v="6"/>
    <d v="2026-07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6"/>
    <n v="6"/>
    <n v="6"/>
    <n v="21"/>
    <m/>
    <m/>
    <m/>
    <m/>
    <m/>
    <m/>
    <m/>
    <m/>
    <m/>
    <m/>
    <m/>
    <m/>
    <m/>
    <x v="1"/>
  </r>
  <r>
    <x v="65"/>
    <x v="0"/>
    <s v="FALL'26"/>
    <x v="126"/>
    <x v="1"/>
    <s v="US"/>
    <s v="0001"/>
    <x v="68"/>
    <x v="41"/>
    <x v="31"/>
    <s v="NON PFS"/>
    <x v="23"/>
    <x v="50"/>
    <n v="460"/>
    <m/>
    <n v="19.47"/>
    <m/>
    <m/>
    <s v="Earthsea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9"/>
    <x v="2"/>
    <x v="2"/>
    <x v="2"/>
    <x v="3"/>
    <x v="2"/>
    <m/>
    <m/>
    <m/>
    <m/>
    <m/>
    <x v="0"/>
    <x v="7"/>
    <m/>
    <m/>
    <m/>
    <x v="12"/>
    <d v="2026-07-15T00:00:00"/>
    <x v="0"/>
    <m/>
    <m/>
    <m/>
    <m/>
    <m/>
    <m/>
    <m/>
    <m/>
    <m/>
    <m/>
    <m/>
    <m/>
    <m/>
    <m/>
    <n v="5"/>
    <n v="54"/>
    <n v="144"/>
    <n v="146"/>
    <n v="80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0"/>
    <m/>
    <m/>
    <m/>
    <m/>
    <m/>
    <m/>
    <m/>
    <m/>
    <m/>
    <m/>
    <m/>
    <m/>
    <m/>
    <x v="0"/>
  </r>
  <r>
    <x v="65"/>
    <x v="0"/>
    <s v="FALL'26"/>
    <x v="127"/>
    <x v="11"/>
    <s v="RL-Mexico"/>
    <s v="TDS"/>
    <x v="68"/>
    <x v="41"/>
    <x v="31"/>
    <s v="NON PFS"/>
    <x v="23"/>
    <x v="50"/>
    <n v="154"/>
    <m/>
    <n v="18.82"/>
    <m/>
    <m/>
    <s v="Earthsea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9"/>
    <x v="2"/>
    <x v="2"/>
    <x v="2"/>
    <x v="3"/>
    <x v="2"/>
    <m/>
    <m/>
    <m/>
    <m/>
    <m/>
    <x v="0"/>
    <x v="7"/>
    <m/>
    <m/>
    <m/>
    <x v="12"/>
    <d v="2026-07-15T00:00:00"/>
    <x v="0"/>
    <m/>
    <m/>
    <m/>
    <m/>
    <m/>
    <m/>
    <m/>
    <m/>
    <m/>
    <m/>
    <m/>
    <m/>
    <m/>
    <m/>
    <m/>
    <n v="27"/>
    <n v="49"/>
    <n v="42"/>
    <n v="24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"/>
    <m/>
    <m/>
    <m/>
    <m/>
    <m/>
    <m/>
    <m/>
    <m/>
    <m/>
    <m/>
    <m/>
    <m/>
    <m/>
    <x v="0"/>
  </r>
  <r>
    <x v="65"/>
    <x v="0"/>
    <s v="FALL'26"/>
    <x v="128"/>
    <x v="2"/>
    <s v="US"/>
    <s v="0001"/>
    <x v="68"/>
    <x v="41"/>
    <x v="31"/>
    <s v="NON PFS"/>
    <x v="23"/>
    <x v="50"/>
    <n v="246"/>
    <m/>
    <n v="19.47"/>
    <m/>
    <m/>
    <s v="Earthsea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9"/>
    <x v="2"/>
    <x v="2"/>
    <x v="2"/>
    <x v="3"/>
    <x v="2"/>
    <m/>
    <m/>
    <m/>
    <m/>
    <m/>
    <x v="0"/>
    <x v="7"/>
    <m/>
    <m/>
    <m/>
    <x v="12"/>
    <d v="2026-07-15T00:00:00"/>
    <x v="0"/>
    <m/>
    <m/>
    <m/>
    <m/>
    <m/>
    <m/>
    <m/>
    <m/>
    <m/>
    <m/>
    <m/>
    <m/>
    <m/>
    <m/>
    <n v="4"/>
    <n v="5"/>
    <n v="55"/>
    <n v="94"/>
    <n v="68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6"/>
    <m/>
    <m/>
    <m/>
    <m/>
    <m/>
    <m/>
    <m/>
    <m/>
    <m/>
    <m/>
    <m/>
    <m/>
    <m/>
    <x v="0"/>
  </r>
  <r>
    <x v="66"/>
    <x v="0"/>
    <s v="FALL'26"/>
    <x v="129"/>
    <x v="1"/>
    <s v="US"/>
    <s v="0001"/>
    <x v="69"/>
    <x v="42"/>
    <x v="27"/>
    <s v="NON PFS"/>
    <x v="17"/>
    <x v="51"/>
    <n v="440"/>
    <m/>
    <n v="26.24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20"/>
    <x v="1"/>
    <x v="0"/>
    <x v="2"/>
    <x v="4"/>
    <x v="2"/>
    <m/>
    <m/>
    <m/>
    <m/>
    <m/>
    <x v="0"/>
    <x v="7"/>
    <m/>
    <m/>
    <m/>
    <x v="12"/>
    <d v="2026-07-15T00:00:00"/>
    <x v="0"/>
    <m/>
    <m/>
    <n v="22"/>
    <n v="53"/>
    <n v="106"/>
    <n v="84"/>
    <n v="88"/>
    <n v="44"/>
    <n v="26"/>
    <n v="13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"/>
    <m/>
    <m/>
    <m/>
    <m/>
    <m/>
    <m/>
    <m/>
    <m/>
    <m/>
    <m/>
    <m/>
    <m/>
    <m/>
    <x v="0"/>
  </r>
  <r>
    <x v="67"/>
    <x v="0"/>
    <s v="FALL'26"/>
    <x v="130"/>
    <x v="1"/>
    <s v="US"/>
    <s v="0001"/>
    <x v="70"/>
    <x v="43"/>
    <x v="27"/>
    <s v="NON PFS"/>
    <x v="17"/>
    <x v="52"/>
    <n v="500"/>
    <m/>
    <n v="22.66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20"/>
    <x v="1"/>
    <x v="0"/>
    <x v="2"/>
    <x v="4"/>
    <x v="2"/>
    <m/>
    <m/>
    <m/>
    <m/>
    <m/>
    <x v="0"/>
    <x v="7"/>
    <m/>
    <m/>
    <m/>
    <x v="12"/>
    <d v="2026-07-15T00:00:00"/>
    <x v="0"/>
    <m/>
    <m/>
    <n v="25"/>
    <n v="60"/>
    <n v="120"/>
    <n v="95"/>
    <n v="100"/>
    <n v="50"/>
    <n v="30"/>
    <n v="15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x v="0"/>
  </r>
  <r>
    <x v="68"/>
    <x v="0"/>
    <s v="Dropped"/>
    <x v="131"/>
    <x v="9"/>
    <s v="ITALY"/>
    <m/>
    <x v="71"/>
    <x v="44"/>
    <x v="32"/>
    <s v="CTR-PFS"/>
    <x v="10"/>
    <x v="53"/>
    <n v="418"/>
    <s v="L/S"/>
    <m/>
    <s v="710944105001CTR - CUESTPPCS"/>
    <m/>
    <s v="TUNGA"/>
    <s v="TBC"/>
    <n v="0"/>
    <n v="0"/>
    <m/>
    <m/>
    <x v="2"/>
    <x v="1"/>
    <s v="UP-04"/>
    <s v="TBC"/>
    <s v="C7361"/>
    <s v="YES"/>
    <m/>
    <s v="Jindal-Regular"/>
    <s v="UP-SP"/>
    <s v="PCPS-LS"/>
    <m/>
    <m/>
    <m/>
    <m/>
    <m/>
    <m/>
    <m/>
    <m/>
    <m/>
    <m/>
    <x v="0"/>
    <m/>
    <m/>
    <x v="0"/>
    <m/>
    <m/>
    <m/>
    <m/>
    <m/>
    <m/>
    <m/>
    <x v="4"/>
    <x v="2"/>
    <x v="1"/>
    <x v="1"/>
    <x v="1"/>
    <x v="1"/>
    <m/>
    <m/>
    <d v="2024-01-06T00:00:00"/>
    <m/>
    <n v="0"/>
    <x v="0"/>
    <x v="1"/>
    <m/>
    <m/>
    <m/>
    <x v="1"/>
    <d v="2024-04-15T00:00:00"/>
    <x v="0"/>
    <s v="PRL/1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s v="Cancelled"/>
    <m/>
    <m/>
    <s v="Received on 12/11"/>
    <m/>
    <m/>
    <m/>
    <s v="RRL-GIVEN"/>
    <x v="0"/>
  </r>
  <r>
    <x v="68"/>
    <x v="0"/>
    <s v="Dropped"/>
    <x v="131"/>
    <x v="9"/>
    <s v="ITALY"/>
    <m/>
    <x v="71"/>
    <x v="44"/>
    <x v="32"/>
    <s v="CTR-PFS"/>
    <x v="10"/>
    <x v="53"/>
    <n v="198"/>
    <s v="L/S"/>
    <m/>
    <s v="710944105001CTR - CUESTPPCS"/>
    <m/>
    <s v="TUNGA"/>
    <s v="TBC"/>
    <n v="0"/>
    <n v="0"/>
    <m/>
    <m/>
    <x v="2"/>
    <x v="1"/>
    <s v="UP-04"/>
    <s v="TBC"/>
    <s v="C7361"/>
    <s v="YES"/>
    <m/>
    <s v="Jindal-Regular"/>
    <s v="UP-SP"/>
    <s v="PCPS-LS"/>
    <m/>
    <m/>
    <m/>
    <m/>
    <m/>
    <m/>
    <m/>
    <m/>
    <m/>
    <m/>
    <x v="0"/>
    <m/>
    <m/>
    <x v="0"/>
    <m/>
    <m/>
    <m/>
    <m/>
    <m/>
    <m/>
    <m/>
    <x v="4"/>
    <x v="2"/>
    <x v="1"/>
    <x v="1"/>
    <x v="1"/>
    <x v="1"/>
    <m/>
    <m/>
    <d v="2024-01-06T00:00:00"/>
    <m/>
    <n v="0"/>
    <x v="0"/>
    <x v="1"/>
    <m/>
    <m/>
    <m/>
    <x v="1"/>
    <d v="2024-04-15T00:00:00"/>
    <x v="0"/>
    <s v="PRL/1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s v="Cancelled"/>
    <m/>
    <m/>
    <s v="Received on 12/11"/>
    <m/>
    <m/>
    <m/>
    <s v="RRL-GIVEN"/>
    <x v="0"/>
  </r>
  <r>
    <x v="69"/>
    <x v="1"/>
    <s v="BSR-SC31-29"/>
    <x v="131"/>
    <x v="12"/>
    <s v="TBC"/>
    <m/>
    <x v="72"/>
    <x v="45"/>
    <x v="5"/>
    <m/>
    <x v="4"/>
    <x v="8"/>
    <n v="72"/>
    <m/>
    <m/>
    <s v="710548535001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13921.887145320001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19"/>
    <m/>
    <m/>
    <m/>
    <n v="5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m/>
    <m/>
    <m/>
    <m/>
    <m/>
    <m/>
    <m/>
    <m/>
    <m/>
    <m/>
    <m/>
    <m/>
    <m/>
    <x v="2"/>
  </r>
  <r>
    <x v="69"/>
    <x v="1"/>
    <s v="BSR-SC31-29"/>
    <x v="131"/>
    <x v="12"/>
    <s v="TBC"/>
    <m/>
    <x v="73"/>
    <x v="45"/>
    <x v="5"/>
    <m/>
    <x v="4"/>
    <x v="54"/>
    <n v="4033"/>
    <m/>
    <m/>
    <s v="710548535003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2114.5638324300003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m/>
    <n v="2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6"/>
    <m/>
    <m/>
    <m/>
    <m/>
    <m/>
    <m/>
    <m/>
    <m/>
    <m/>
    <m/>
    <m/>
    <m/>
    <m/>
    <x v="2"/>
  </r>
  <r>
    <x v="69"/>
    <x v="1"/>
    <s v="BSR-SC31-29"/>
    <x v="131"/>
    <x v="12"/>
    <s v="TBC"/>
    <m/>
    <x v="74"/>
    <x v="45"/>
    <x v="5"/>
    <m/>
    <x v="4"/>
    <x v="55"/>
    <n v="1961"/>
    <m/>
    <m/>
    <s v="710548535002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7028.3744716499996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51"/>
    <n v="127"/>
    <n v="413"/>
    <n v="619"/>
    <n v="498"/>
    <n v="2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61"/>
    <m/>
    <m/>
    <m/>
    <m/>
    <m/>
    <m/>
    <m/>
    <m/>
    <m/>
    <m/>
    <m/>
    <m/>
    <m/>
    <x v="2"/>
  </r>
  <r>
    <x v="69"/>
    <x v="1"/>
    <s v="BSR-SC31-29"/>
    <x v="131"/>
    <x v="12"/>
    <s v="TBC"/>
    <m/>
    <x v="75"/>
    <x v="45"/>
    <x v="5"/>
    <m/>
    <x v="4"/>
    <x v="5"/>
    <n v="2158"/>
    <m/>
    <m/>
    <s v="710548535004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3070.6994001600006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14"/>
    <n v="293"/>
    <n v="626"/>
    <n v="636"/>
    <n v="371"/>
    <n v="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58"/>
    <m/>
    <m/>
    <m/>
    <m/>
    <m/>
    <m/>
    <m/>
    <m/>
    <m/>
    <m/>
    <m/>
    <m/>
    <m/>
    <x v="2"/>
  </r>
  <r>
    <x v="70"/>
    <x v="0"/>
    <s v="CRU'25-FF"/>
    <x v="131"/>
    <x v="12"/>
    <s v="TBC"/>
    <m/>
    <x v="76"/>
    <x v="46"/>
    <x v="33"/>
    <m/>
    <x v="24"/>
    <x v="31"/>
    <n v="0"/>
    <m/>
    <m/>
    <s v="710964778020 - CLESTBBPPCS"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1"/>
    <x v="1"/>
    <s v="BSR-SC31-29"/>
    <x v="131"/>
    <x v="12"/>
    <s v="TBC"/>
    <m/>
    <x v="72"/>
    <x v="45"/>
    <x v="5"/>
    <m/>
    <x v="4"/>
    <x v="8"/>
    <n v="220"/>
    <m/>
    <m/>
    <s v="710548535001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13921.887145320001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32"/>
    <n v="0"/>
    <m/>
    <n v="0"/>
    <n v="171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0"/>
    <m/>
    <m/>
    <m/>
    <m/>
    <m/>
    <m/>
    <m/>
    <m/>
    <m/>
    <m/>
    <m/>
    <m/>
    <m/>
    <x v="2"/>
  </r>
  <r>
    <x v="72"/>
    <x v="1"/>
    <s v="BSR-SC31-29"/>
    <x v="131"/>
    <x v="12"/>
    <s v="TBC"/>
    <m/>
    <x v="74"/>
    <x v="45"/>
    <x v="5"/>
    <m/>
    <x v="4"/>
    <x v="55"/>
    <n v="599"/>
    <m/>
    <m/>
    <s v="710548535002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7028.3744716499996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18"/>
    <n v="0"/>
    <n v="240"/>
    <n v="72"/>
    <n v="140"/>
    <n v="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"/>
    <m/>
    <m/>
    <m/>
    <m/>
    <m/>
    <m/>
    <m/>
    <m/>
    <m/>
    <m/>
    <m/>
    <m/>
    <m/>
    <x v="2"/>
  </r>
  <r>
    <x v="73"/>
    <x v="1"/>
    <s v="BSR-SC31-29"/>
    <x v="131"/>
    <x v="12"/>
    <s v="TBC"/>
    <m/>
    <x v="75"/>
    <x v="45"/>
    <x v="5"/>
    <m/>
    <x v="4"/>
    <x v="5"/>
    <n v="528"/>
    <m/>
    <m/>
    <s v="710548535004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3070.6994001600006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6"/>
    <n v="62"/>
    <n v="133"/>
    <n v="109"/>
    <n v="90"/>
    <n v="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8"/>
    <m/>
    <m/>
    <m/>
    <m/>
    <m/>
    <m/>
    <m/>
    <m/>
    <m/>
    <m/>
    <m/>
    <m/>
    <m/>
    <x v="2"/>
  </r>
  <r>
    <x v="74"/>
    <x v="1"/>
    <s v="BSR-SC31-29"/>
    <x v="131"/>
    <x v="12"/>
    <s v="TBC"/>
    <m/>
    <x v="77"/>
    <x v="45"/>
    <x v="5"/>
    <m/>
    <x v="4"/>
    <x v="56"/>
    <n v="36"/>
    <m/>
    <m/>
    <s v="710548535005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2555.4581719800003"/>
    <m/>
    <m/>
    <m/>
    <m/>
    <m/>
    <x v="4"/>
    <x v="1"/>
    <x v="0"/>
    <x v="1"/>
    <x v="1"/>
    <x v="1"/>
    <m/>
    <m/>
    <m/>
    <m/>
    <n v="0"/>
    <x v="0"/>
    <x v="1"/>
    <m/>
    <m/>
    <m/>
    <x v="1"/>
    <d v="2025-11-15T00:00:00"/>
    <x v="0"/>
    <m/>
    <m/>
    <m/>
    <m/>
    <m/>
    <m/>
    <m/>
    <m/>
    <m/>
    <m/>
    <m/>
    <m/>
    <m/>
    <m/>
    <n v="0"/>
    <n v="0"/>
    <n v="0"/>
    <n v="0"/>
    <n v="0"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x v="3"/>
  </r>
  <r>
    <x v="75"/>
    <x v="1"/>
    <s v="DTC-RLCW-05"/>
    <x v="131"/>
    <x v="12"/>
    <s v="TBC"/>
    <s v="TBC"/>
    <x v="78"/>
    <x v="47"/>
    <x v="34"/>
    <s v="NON PFS"/>
    <x v="0"/>
    <x v="57"/>
    <n v="600"/>
    <m/>
    <m/>
    <s v="322858909001 - CLBDPPCS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0"/>
    <x v="1"/>
    <x v="1"/>
    <x v="1"/>
    <m/>
    <m/>
    <m/>
    <m/>
    <n v="0"/>
    <x v="0"/>
    <x v="1"/>
    <m/>
    <m/>
    <m/>
    <x v="1"/>
    <d v="2025-10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1"/>
  </r>
  <r>
    <x v="76"/>
    <x v="1"/>
    <s v="DTC-RLCW-05"/>
    <x v="131"/>
    <x v="12"/>
    <s v="TBC"/>
    <s v="TBC"/>
    <x v="79"/>
    <x v="47"/>
    <x v="35"/>
    <s v="NON PFS"/>
    <x v="0"/>
    <x v="4"/>
    <n v="500"/>
    <m/>
    <m/>
    <s v="322858909005 - CLBDPPCS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0"/>
    <x v="1"/>
    <x v="1"/>
    <x v="1"/>
    <m/>
    <m/>
    <m/>
    <m/>
    <n v="0"/>
    <x v="0"/>
    <x v="1"/>
    <m/>
    <m/>
    <m/>
    <x v="1"/>
    <d v="2025-10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1"/>
  </r>
  <r>
    <x v="77"/>
    <x v="1"/>
    <s v="DTC-RLCW-05"/>
    <x v="131"/>
    <x v="12"/>
    <s v="TBC"/>
    <s v="TBC"/>
    <x v="80"/>
    <x v="48"/>
    <x v="34"/>
    <s v="NON PFS"/>
    <x v="0"/>
    <x v="57"/>
    <n v="500"/>
    <m/>
    <m/>
    <s v="323858909001 - CLBDPPCS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0"/>
    <x v="1"/>
    <x v="1"/>
    <x v="1"/>
    <m/>
    <m/>
    <m/>
    <m/>
    <n v="0"/>
    <x v="0"/>
    <x v="1"/>
    <m/>
    <m/>
    <m/>
    <x v="1"/>
    <d v="2025-10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1"/>
  </r>
  <r>
    <x v="78"/>
    <x v="1"/>
    <s v="DTC-RLCW-05"/>
    <x v="131"/>
    <x v="12"/>
    <s v="TBC"/>
    <s v="TBC"/>
    <x v="81"/>
    <x v="48"/>
    <x v="35"/>
    <s v="NON PFS"/>
    <x v="0"/>
    <x v="4"/>
    <n v="500"/>
    <m/>
    <m/>
    <s v="323858909005 - CLBDPPCS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0"/>
    <x v="1"/>
    <x v="1"/>
    <x v="1"/>
    <m/>
    <m/>
    <m/>
    <m/>
    <n v="0"/>
    <x v="0"/>
    <x v="1"/>
    <m/>
    <m/>
    <m/>
    <x v="1"/>
    <d v="2025-10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1"/>
  </r>
  <r>
    <x v="7"/>
    <x v="1"/>
    <s v="DTC-16"/>
    <x v="131"/>
    <x v="12"/>
    <s v="TBC"/>
    <s v="TBC"/>
    <x v="82"/>
    <x v="49"/>
    <x v="36"/>
    <s v="NON PFS"/>
    <x v="25"/>
    <x v="31"/>
    <n v="318"/>
    <m/>
    <m/>
    <s v="710716303002 - BD PPC SPT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486.54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3"/>
    <x v="49"/>
    <x v="37"/>
    <s v="NON PFS"/>
    <x v="25"/>
    <x v="57"/>
    <n v="457"/>
    <m/>
    <m/>
    <s v="710716303003 - BD PPC SPT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699.21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4"/>
    <x v="50"/>
    <x v="37"/>
    <s v="NON PFS"/>
    <x v="25"/>
    <x v="4"/>
    <n v="987"/>
    <m/>
    <m/>
    <s v="710729232003 - BD PPC SPT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n v="1.5"/>
    <n v="1510.1100000000001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5"/>
    <x v="51"/>
    <x v="38"/>
    <s v="NON PFS"/>
    <x v="0"/>
    <x v="58"/>
    <n v="395"/>
    <m/>
    <m/>
    <s v="710888705001 - CLBDPPCS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604.35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6"/>
    <x v="51"/>
    <x v="38"/>
    <s v="NON PFS"/>
    <x v="0"/>
    <x v="59"/>
    <n v="363"/>
    <m/>
    <m/>
    <s v="710888705002 - CLBDPPCS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555.39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7"/>
    <x v="52"/>
    <x v="39"/>
    <s v="NON PFS"/>
    <x v="25"/>
    <x v="31"/>
    <n v="500"/>
    <m/>
    <m/>
    <s v="710733596001 - BD PPC SPT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765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8"/>
    <x v="53"/>
    <x v="40"/>
    <s v="NON PFS"/>
    <x v="0"/>
    <x v="57"/>
    <n v="600"/>
    <m/>
    <m/>
    <s v="710852165004 - CLBDPPCS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918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89"/>
    <x v="52"/>
    <x v="41"/>
    <s v="NON PFS"/>
    <x v="25"/>
    <x v="59"/>
    <n v="700"/>
    <m/>
    <m/>
    <s v="710733596008 - BD PPC SPT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1071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90"/>
    <x v="52"/>
    <x v="41"/>
    <s v="NON PFS"/>
    <x v="25"/>
    <x v="4"/>
    <n v="1200"/>
    <m/>
    <m/>
    <s v="710733596015 - BD PPC SPT"/>
    <m/>
    <s v="Vardhaman"/>
    <m/>
    <m/>
    <m/>
    <m/>
    <m/>
    <x v="1"/>
    <x v="1"/>
    <m/>
    <m/>
    <m/>
    <m/>
    <m/>
    <m/>
    <m/>
    <m/>
    <m/>
    <m/>
    <m/>
    <m/>
    <m/>
    <m/>
    <m/>
    <m/>
    <m/>
    <m/>
    <x v="1"/>
    <m/>
    <m/>
    <x v="0"/>
    <n v="1.5"/>
    <n v="1836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DTC-16"/>
    <x v="131"/>
    <x v="12"/>
    <s v="TBC"/>
    <s v="TBC"/>
    <x v="91"/>
    <x v="53"/>
    <x v="42"/>
    <s v="NON PFS"/>
    <x v="25"/>
    <x v="58"/>
    <n v="300"/>
    <m/>
    <m/>
    <s v="710852165017 - BD PPC SPT"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n v="1.5"/>
    <n v="459"/>
    <m/>
    <m/>
    <m/>
    <m/>
    <m/>
    <x v="4"/>
    <x v="1"/>
    <x v="0"/>
    <x v="1"/>
    <x v="1"/>
    <x v="1"/>
    <m/>
    <m/>
    <m/>
    <m/>
    <n v="0"/>
    <x v="0"/>
    <x v="1"/>
    <m/>
    <m/>
    <m/>
    <x v="1"/>
    <d v="2026-01-20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0"/>
  </r>
  <r>
    <x v="7"/>
    <x v="1"/>
    <s v="BSR-SC31-33"/>
    <x v="131"/>
    <x v="12"/>
    <m/>
    <m/>
    <x v="9"/>
    <x v="6"/>
    <x v="7"/>
    <m/>
    <x v="6"/>
    <x v="7"/>
    <n v="0"/>
    <m/>
    <m/>
    <s v="711548535001 - CLBDPPCS- B&amp;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2.4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2"/>
    <x v="6"/>
    <x v="7"/>
    <m/>
    <x v="6"/>
    <x v="54"/>
    <n v="0"/>
    <m/>
    <m/>
    <s v="711548535002 - CLBDPPCS- B&amp;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2.12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3"/>
    <x v="6"/>
    <x v="7"/>
    <m/>
    <x v="6"/>
    <x v="60"/>
    <n v="0"/>
    <m/>
    <m/>
    <s v="711548535005 - CLBDPPCS- B&amp;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2.2599999999999998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10"/>
    <x v="6"/>
    <x v="7"/>
    <m/>
    <x v="6"/>
    <x v="8"/>
    <n v="362"/>
    <m/>
    <m/>
    <s v="711548535006 - CLBDPPCS- B&amp;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2.12"/>
    <n v="856.065659568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4"/>
    <x v="6"/>
    <x v="7"/>
    <m/>
    <x v="6"/>
    <x v="55"/>
    <n v="0"/>
    <m/>
    <m/>
    <s v="711548535007 - CLBDPPCS- B&amp;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2.12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2"/>
    <x v="45"/>
    <x v="5"/>
    <m/>
    <x v="4"/>
    <x v="8"/>
    <n v="505"/>
    <m/>
    <m/>
    <s v="710548535001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873.14369205000003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4"/>
    <x v="45"/>
    <x v="5"/>
    <m/>
    <x v="4"/>
    <x v="55"/>
    <n v="1619"/>
    <m/>
    <m/>
    <s v="710548535002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2799.2468067900004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3"/>
    <x v="45"/>
    <x v="5"/>
    <m/>
    <x v="4"/>
    <x v="54"/>
    <n v="0"/>
    <m/>
    <m/>
    <s v="710548535003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5"/>
    <x v="45"/>
    <x v="5"/>
    <m/>
    <x v="4"/>
    <x v="5"/>
    <n v="0"/>
    <m/>
    <m/>
    <s v="710548535004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7"/>
    <x v="45"/>
    <x v="5"/>
    <m/>
    <x v="4"/>
    <x v="56"/>
    <n v="0"/>
    <m/>
    <m/>
    <s v="710548535005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5"/>
    <x v="45"/>
    <x v="5"/>
    <m/>
    <x v="4"/>
    <x v="60"/>
    <n v="1750"/>
    <m/>
    <m/>
    <s v="710548535006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6"/>
    <n v="3123.35016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6"/>
    <x v="45"/>
    <x v="5"/>
    <m/>
    <x v="4"/>
    <x v="7"/>
    <n v="0"/>
    <m/>
    <m/>
    <s v="710548535007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73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7"/>
    <x v="4"/>
    <x v="5"/>
    <m/>
    <x v="4"/>
    <x v="6"/>
    <n v="660"/>
    <m/>
    <m/>
    <s v="710631989017 - BDPPC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81"/>
    <n v="1332.5550361200001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7"/>
    <x v="3"/>
    <x v="4"/>
    <m/>
    <x v="3"/>
    <x v="8"/>
    <n v="0"/>
    <m/>
    <m/>
    <s v="710549084006 - SLBDPPCSP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4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8"/>
    <x v="3"/>
    <x v="4"/>
    <m/>
    <x v="3"/>
    <x v="55"/>
    <n v="0"/>
    <m/>
    <m/>
    <s v="710549084007 - SLBDPPCSP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4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6"/>
    <x v="3"/>
    <x v="4"/>
    <m/>
    <x v="3"/>
    <x v="5"/>
    <n v="0"/>
    <m/>
    <m/>
    <s v="710549084008 - SLBDPPCSP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4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99"/>
    <x v="3"/>
    <x v="4"/>
    <m/>
    <x v="3"/>
    <x v="60"/>
    <n v="0"/>
    <m/>
    <m/>
    <s v="710549084009 - SLBDPPCSP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5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100"/>
    <x v="3"/>
    <x v="4"/>
    <m/>
    <x v="3"/>
    <x v="7"/>
    <n v="0"/>
    <m/>
    <m/>
    <s v="710549084010 - SLBDPPCSP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68"/>
    <n v="0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101"/>
    <x v="5"/>
    <x v="6"/>
    <m/>
    <x v="5"/>
    <x v="8"/>
    <n v="1214"/>
    <m/>
    <m/>
    <s v="710794942001 - CLBDPPCSS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26"/>
    <n v="1706.2861924080003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102"/>
    <x v="5"/>
    <x v="6"/>
    <m/>
    <x v="5"/>
    <x v="55"/>
    <n v="591"/>
    <m/>
    <m/>
    <s v="710794942002 - CLBDPPCSS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26"/>
    <n v="830.65497505199994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"/>
    <x v="1"/>
    <s v="BSR-SC31-33"/>
    <x v="131"/>
    <x v="12"/>
    <m/>
    <m/>
    <x v="8"/>
    <x v="5"/>
    <x v="6"/>
    <m/>
    <x v="5"/>
    <x v="5"/>
    <n v="300"/>
    <m/>
    <m/>
    <s v="710794942003 - CLBDPPCSSSPT"/>
    <m/>
    <s v="RUENTEX"/>
    <m/>
    <m/>
    <m/>
    <m/>
    <n v="100146314"/>
    <x v="1"/>
    <x v="1"/>
    <m/>
    <m/>
    <m/>
    <m/>
    <m/>
    <m/>
    <m/>
    <m/>
    <m/>
    <m/>
    <m/>
    <m/>
    <m/>
    <m/>
    <m/>
    <m/>
    <m/>
    <m/>
    <x v="1"/>
    <m/>
    <m/>
    <x v="0"/>
    <n v="1.26"/>
    <n v="421.65227160000001"/>
    <m/>
    <m/>
    <m/>
    <m/>
    <m/>
    <x v="4"/>
    <x v="1"/>
    <x v="0"/>
    <x v="1"/>
    <x v="1"/>
    <x v="1"/>
    <m/>
    <m/>
    <m/>
    <m/>
    <n v="0"/>
    <x v="0"/>
    <x v="1"/>
    <m/>
    <m/>
    <m/>
    <x v="1"/>
    <d v="2026-04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79"/>
    <x v="0"/>
    <s v="FALL'26"/>
    <x v="132"/>
    <x v="3"/>
    <s v="HK"/>
    <s v="FOCN"/>
    <x v="103"/>
    <x v="54"/>
    <x v="43"/>
    <s v="PFS"/>
    <x v="0"/>
    <x v="61"/>
    <n v="42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26"/>
    <n v="105"/>
    <n v="157"/>
    <n v="93"/>
    <n v="29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0"/>
    <m/>
    <m/>
    <m/>
    <m/>
    <m/>
    <m/>
    <m/>
    <m/>
    <m/>
    <m/>
    <m/>
    <m/>
    <m/>
    <x v="0"/>
  </r>
  <r>
    <x v="79"/>
    <x v="0"/>
    <s v="FALL'26"/>
    <x v="133"/>
    <x v="3"/>
    <s v="HK"/>
    <s v="FOGC"/>
    <x v="103"/>
    <x v="54"/>
    <x v="43"/>
    <s v="PFS"/>
    <x v="0"/>
    <x v="61"/>
    <n v="491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28"/>
    <n v="105"/>
    <n v="161"/>
    <n v="116"/>
    <n v="55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1"/>
    <m/>
    <m/>
    <m/>
    <m/>
    <m/>
    <m/>
    <m/>
    <m/>
    <m/>
    <m/>
    <m/>
    <m/>
    <m/>
    <x v="0"/>
  </r>
  <r>
    <x v="79"/>
    <x v="0"/>
    <s v="FALL'26"/>
    <x v="134"/>
    <x v="3"/>
    <s v="HK"/>
    <s v="FOWS"/>
    <x v="103"/>
    <x v="54"/>
    <x v="43"/>
    <s v="PFS"/>
    <x v="0"/>
    <x v="61"/>
    <n v="18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2"/>
    <n v="4"/>
    <n v="4"/>
    <n v="4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80"/>
    <x v="0"/>
    <s v="FALL'26"/>
    <x v="132"/>
    <x v="3"/>
    <s v="HK"/>
    <s v="FOCN"/>
    <x v="104"/>
    <x v="54"/>
    <x v="43"/>
    <s v="PFS"/>
    <x v="0"/>
    <x v="62"/>
    <n v="285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17"/>
    <n v="72"/>
    <n v="107"/>
    <n v="63"/>
    <n v="19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5"/>
    <m/>
    <m/>
    <m/>
    <m/>
    <m/>
    <m/>
    <m/>
    <m/>
    <m/>
    <m/>
    <m/>
    <m/>
    <m/>
    <x v="0"/>
  </r>
  <r>
    <x v="80"/>
    <x v="0"/>
    <s v="FALL'26"/>
    <x v="133"/>
    <x v="3"/>
    <s v="HK"/>
    <s v="FOGC"/>
    <x v="104"/>
    <x v="54"/>
    <x v="43"/>
    <s v="PFS"/>
    <x v="0"/>
    <x v="62"/>
    <n v="361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20"/>
    <n v="74"/>
    <n v="120"/>
    <n v="88"/>
    <n v="39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"/>
    <m/>
    <m/>
    <m/>
    <m/>
    <m/>
    <m/>
    <m/>
    <m/>
    <m/>
    <m/>
    <m/>
    <m/>
    <m/>
    <x v="0"/>
  </r>
  <r>
    <x v="80"/>
    <x v="0"/>
    <s v="FALL'26"/>
    <x v="134"/>
    <x v="3"/>
    <s v="HK"/>
    <s v="FOWS"/>
    <x v="104"/>
    <x v="54"/>
    <x v="43"/>
    <s v="PFS"/>
    <x v="0"/>
    <x v="62"/>
    <n v="18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1"/>
    <x v="0"/>
    <x v="0"/>
    <x v="1"/>
    <x v="1"/>
    <x v="0"/>
    <m/>
    <m/>
    <m/>
    <m/>
    <m/>
    <x v="0"/>
    <x v="8"/>
    <m/>
    <m/>
    <m/>
    <x v="13"/>
    <d v="2026-07-15T00:00:00"/>
    <x v="0"/>
    <m/>
    <m/>
    <m/>
    <m/>
    <m/>
    <m/>
    <m/>
    <m/>
    <m/>
    <m/>
    <m/>
    <m/>
    <m/>
    <m/>
    <n v="2"/>
    <n v="4"/>
    <n v="4"/>
    <n v="4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79"/>
    <x v="0"/>
    <s v="FALL'26"/>
    <x v="135"/>
    <x v="7"/>
    <s v="JAPAN"/>
    <s v="FOJ"/>
    <x v="103"/>
    <x v="54"/>
    <x v="43"/>
    <s v="PFS"/>
    <x v="0"/>
    <x v="61"/>
    <n v="42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21"/>
    <x v="0"/>
    <x v="0"/>
    <x v="1"/>
    <x v="1"/>
    <x v="0"/>
    <m/>
    <m/>
    <m/>
    <m/>
    <m/>
    <x v="0"/>
    <x v="5"/>
    <m/>
    <m/>
    <m/>
    <x v="8"/>
    <d v="2026-07-15T00:00:00"/>
    <x v="0"/>
    <m/>
    <m/>
    <m/>
    <m/>
    <m/>
    <m/>
    <m/>
    <m/>
    <m/>
    <m/>
    <m/>
    <m/>
    <m/>
    <m/>
    <n v="46"/>
    <n v="110"/>
    <n v="137"/>
    <n v="87"/>
    <n v="31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0"/>
    <m/>
    <m/>
    <m/>
    <m/>
    <m/>
    <m/>
    <m/>
    <m/>
    <m/>
    <m/>
    <m/>
    <m/>
    <m/>
    <x v="0"/>
  </r>
  <r>
    <x v="80"/>
    <x v="0"/>
    <s v="FALL'26"/>
    <x v="135"/>
    <x v="7"/>
    <s v="JAPAN"/>
    <s v="FOJ"/>
    <x v="104"/>
    <x v="54"/>
    <x v="43"/>
    <s v="PFS"/>
    <x v="0"/>
    <x v="62"/>
    <n v="255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21"/>
    <x v="0"/>
    <x v="0"/>
    <x v="1"/>
    <x v="1"/>
    <x v="0"/>
    <m/>
    <m/>
    <m/>
    <m/>
    <m/>
    <x v="0"/>
    <x v="5"/>
    <m/>
    <m/>
    <m/>
    <x v="8"/>
    <d v="2026-07-15T00:00:00"/>
    <x v="0"/>
    <m/>
    <m/>
    <m/>
    <m/>
    <m/>
    <m/>
    <m/>
    <m/>
    <m/>
    <m/>
    <m/>
    <m/>
    <m/>
    <m/>
    <n v="28"/>
    <n v="67"/>
    <n v="82"/>
    <n v="53"/>
    <n v="19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5"/>
    <m/>
    <m/>
    <m/>
    <m/>
    <m/>
    <m/>
    <m/>
    <m/>
    <m/>
    <m/>
    <m/>
    <m/>
    <m/>
    <x v="0"/>
  </r>
  <r>
    <x v="79"/>
    <x v="0"/>
    <s v="FALL'26"/>
    <x v="136"/>
    <x v="4"/>
    <s v="KOREA"/>
    <s v="FOK"/>
    <x v="103"/>
    <x v="54"/>
    <x v="43"/>
    <s v="PFS"/>
    <x v="0"/>
    <x v="61"/>
    <n v="43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21"/>
    <x v="0"/>
    <x v="0"/>
    <x v="1"/>
    <x v="1"/>
    <x v="0"/>
    <m/>
    <m/>
    <m/>
    <m/>
    <m/>
    <x v="0"/>
    <x v="9"/>
    <m/>
    <m/>
    <m/>
    <x v="14"/>
    <d v="2026-07-15T00:00:00"/>
    <x v="0"/>
    <m/>
    <m/>
    <m/>
    <m/>
    <m/>
    <m/>
    <m/>
    <m/>
    <m/>
    <m/>
    <m/>
    <m/>
    <m/>
    <m/>
    <n v="10"/>
    <n v="46"/>
    <n v="124"/>
    <n v="152"/>
    <n v="81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0"/>
    <m/>
    <m/>
    <m/>
    <m/>
    <m/>
    <m/>
    <m/>
    <m/>
    <m/>
    <m/>
    <m/>
    <m/>
    <m/>
    <x v="0"/>
  </r>
  <r>
    <x v="80"/>
    <x v="0"/>
    <s v="FALL'26"/>
    <x v="136"/>
    <x v="4"/>
    <s v="KOREA"/>
    <s v="FOK"/>
    <x v="104"/>
    <x v="54"/>
    <x v="43"/>
    <s v="PFS"/>
    <x v="0"/>
    <x v="62"/>
    <n v="180"/>
    <m/>
    <n v="8.16"/>
    <m/>
    <m/>
    <s v="Vardhaman"/>
    <m/>
    <m/>
    <m/>
    <m/>
    <m/>
    <x v="1"/>
    <x v="3"/>
    <m/>
    <m/>
    <m/>
    <m/>
    <m/>
    <m/>
    <m/>
    <m/>
    <m/>
    <m/>
    <m/>
    <m/>
    <m/>
    <m/>
    <m/>
    <m/>
    <m/>
    <m/>
    <x v="6"/>
    <m/>
    <m/>
    <x v="0"/>
    <m/>
    <m/>
    <m/>
    <m/>
    <m/>
    <m/>
    <m/>
    <x v="21"/>
    <x v="0"/>
    <x v="0"/>
    <x v="1"/>
    <x v="1"/>
    <x v="0"/>
    <m/>
    <m/>
    <m/>
    <m/>
    <m/>
    <x v="0"/>
    <x v="9"/>
    <m/>
    <m/>
    <m/>
    <x v="14"/>
    <d v="2026-07-15T00:00:00"/>
    <x v="0"/>
    <m/>
    <m/>
    <m/>
    <m/>
    <m/>
    <m/>
    <m/>
    <m/>
    <m/>
    <m/>
    <m/>
    <m/>
    <m/>
    <m/>
    <n v="4"/>
    <n v="19"/>
    <n v="52"/>
    <n v="64"/>
    <n v="34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"/>
    <m/>
    <m/>
    <m/>
    <m/>
    <m/>
    <m/>
    <m/>
    <m/>
    <m/>
    <m/>
    <m/>
    <m/>
    <m/>
    <x v="0"/>
  </r>
  <r>
    <x v="81"/>
    <x v="0"/>
    <s v="TJ MAXX"/>
    <x v="137"/>
    <x v="11"/>
    <s v="MARSHALLS"/>
    <s v="DDS"/>
    <x v="105"/>
    <x v="55"/>
    <x v="44"/>
    <m/>
    <x v="0"/>
    <x v="63"/>
    <n v="2700"/>
    <m/>
    <n v="12.79"/>
    <m/>
    <m/>
    <s v="Vardhaman"/>
    <m/>
    <m/>
    <m/>
    <m/>
    <m/>
    <x v="0"/>
    <x v="0"/>
    <m/>
    <m/>
    <m/>
    <m/>
    <m/>
    <m/>
    <m/>
    <m/>
    <m/>
    <m/>
    <s v="S M L XL 1-2-2-1"/>
    <m/>
    <n v="6"/>
    <m/>
    <m/>
    <m/>
    <m/>
    <m/>
    <x v="2"/>
    <m/>
    <m/>
    <x v="0"/>
    <m/>
    <m/>
    <m/>
    <m/>
    <m/>
    <m/>
    <m/>
    <x v="22"/>
    <x v="2"/>
    <x v="0"/>
    <x v="2"/>
    <x v="2"/>
    <x v="2"/>
    <m/>
    <m/>
    <m/>
    <m/>
    <m/>
    <x v="0"/>
    <x v="3"/>
    <m/>
    <m/>
    <m/>
    <x v="6"/>
    <d v="2026-07-11T00:00:00"/>
    <x v="0"/>
    <m/>
    <m/>
    <m/>
    <m/>
    <m/>
    <m/>
    <m/>
    <m/>
    <m/>
    <m/>
    <m/>
    <m/>
    <m/>
    <m/>
    <m/>
    <n v="450"/>
    <n v="900"/>
    <n v="900"/>
    <n v="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00"/>
    <m/>
    <m/>
    <m/>
    <m/>
    <m/>
    <m/>
    <m/>
    <m/>
    <m/>
    <m/>
    <m/>
    <m/>
    <m/>
    <x v="0"/>
  </r>
  <r>
    <x v="81"/>
    <x v="0"/>
    <s v="TJ MAXX"/>
    <x v="138"/>
    <x v="11"/>
    <s v="TJ MAXX"/>
    <s v="DDS"/>
    <x v="105"/>
    <x v="55"/>
    <x v="44"/>
    <m/>
    <x v="0"/>
    <x v="63"/>
    <n v="2100"/>
    <m/>
    <n v="12.79"/>
    <m/>
    <m/>
    <s v="Vardhaman"/>
    <m/>
    <m/>
    <m/>
    <m/>
    <m/>
    <x v="0"/>
    <x v="0"/>
    <m/>
    <m/>
    <m/>
    <m/>
    <m/>
    <m/>
    <m/>
    <m/>
    <m/>
    <m/>
    <s v="S M L XL 1-2-2-1"/>
    <m/>
    <n v="6"/>
    <m/>
    <m/>
    <m/>
    <m/>
    <m/>
    <x v="2"/>
    <m/>
    <m/>
    <x v="0"/>
    <m/>
    <m/>
    <m/>
    <m/>
    <m/>
    <m/>
    <m/>
    <x v="22"/>
    <x v="2"/>
    <x v="0"/>
    <x v="2"/>
    <x v="2"/>
    <x v="2"/>
    <m/>
    <m/>
    <m/>
    <m/>
    <m/>
    <x v="0"/>
    <x v="3"/>
    <m/>
    <m/>
    <m/>
    <x v="6"/>
    <d v="2026-07-11T00:00:00"/>
    <x v="0"/>
    <m/>
    <m/>
    <m/>
    <m/>
    <m/>
    <m/>
    <m/>
    <m/>
    <m/>
    <m/>
    <m/>
    <m/>
    <m/>
    <m/>
    <m/>
    <n v="350"/>
    <n v="700"/>
    <n v="700"/>
    <n v="3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00"/>
    <m/>
    <m/>
    <m/>
    <m/>
    <m/>
    <m/>
    <m/>
    <m/>
    <m/>
    <m/>
    <m/>
    <m/>
    <m/>
    <x v="0"/>
  </r>
  <r>
    <x v="82"/>
    <x v="0"/>
    <s v="FALL'26"/>
    <x v="139"/>
    <x v="4"/>
    <s v="KOREA"/>
    <s v="WHS"/>
    <x v="106"/>
    <x v="56"/>
    <x v="45"/>
    <s v="NON PFS"/>
    <x v="26"/>
    <x v="64"/>
    <n v="400"/>
    <m/>
    <n v="15.62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16"/>
    <x v="0"/>
    <x v="0"/>
    <x v="0"/>
    <x v="0"/>
    <x v="0"/>
    <m/>
    <m/>
    <m/>
    <m/>
    <m/>
    <x v="0"/>
    <x v="4"/>
    <m/>
    <m/>
    <m/>
    <x v="7"/>
    <d v="2026-06-16T00:00:00"/>
    <x v="0"/>
    <m/>
    <m/>
    <m/>
    <m/>
    <m/>
    <m/>
    <m/>
    <m/>
    <m/>
    <m/>
    <m/>
    <m/>
    <m/>
    <m/>
    <m/>
    <n v="64"/>
    <n v="128"/>
    <n v="148"/>
    <n v="52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"/>
    <m/>
    <m/>
    <m/>
    <m/>
    <m/>
    <m/>
    <m/>
    <m/>
    <m/>
    <m/>
    <m/>
    <m/>
    <m/>
    <x v="0"/>
  </r>
  <r>
    <x v="83"/>
    <x v="0"/>
    <s v="FALL'26"/>
    <x v="140"/>
    <x v="2"/>
    <s v="US"/>
    <s v="0001"/>
    <x v="107"/>
    <x v="57"/>
    <x v="31"/>
    <s v="NON PFS"/>
    <x v="7"/>
    <x v="65"/>
    <n v="52"/>
    <m/>
    <n v="25.07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23"/>
    <x v="0"/>
    <x v="0"/>
    <x v="0"/>
    <x v="3"/>
    <x v="0"/>
    <m/>
    <s v="Pending"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1"/>
    <n v="4"/>
    <n v="13"/>
    <n v="16"/>
    <n v="12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"/>
    <m/>
    <m/>
    <m/>
    <m/>
    <m/>
    <m/>
    <m/>
    <m/>
    <m/>
    <m/>
    <m/>
    <m/>
    <m/>
    <x v="0"/>
  </r>
  <r>
    <x v="83"/>
    <x v="0"/>
    <s v="FALL'26"/>
    <x v="141"/>
    <x v="1"/>
    <s v="US"/>
    <s v="0001"/>
    <x v="107"/>
    <x v="57"/>
    <x v="31"/>
    <s v="NON PFS"/>
    <x v="7"/>
    <x v="65"/>
    <n v="320"/>
    <m/>
    <n v="25.07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23"/>
    <x v="0"/>
    <x v="0"/>
    <x v="0"/>
    <x v="3"/>
    <x v="0"/>
    <m/>
    <s v="Pending"/>
    <m/>
    <m/>
    <m/>
    <x v="0"/>
    <x v="2"/>
    <m/>
    <m/>
    <m/>
    <x v="5"/>
    <d v="2026-06-16T00:00:00"/>
    <x v="0"/>
    <m/>
    <m/>
    <m/>
    <m/>
    <m/>
    <m/>
    <m/>
    <m/>
    <m/>
    <m/>
    <m/>
    <m/>
    <m/>
    <m/>
    <n v="5"/>
    <n v="34"/>
    <n v="93"/>
    <n v="99"/>
    <n v="6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"/>
    <m/>
    <m/>
    <m/>
    <m/>
    <m/>
    <m/>
    <m/>
    <m/>
    <m/>
    <m/>
    <m/>
    <m/>
    <m/>
    <x v="0"/>
  </r>
  <r>
    <x v="84"/>
    <x v="0"/>
    <s v="FALL'26"/>
    <x v="142"/>
    <x v="5"/>
    <s v="ITALY"/>
    <s v="0001"/>
    <x v="108"/>
    <x v="58"/>
    <x v="45"/>
    <s v="NON PFS"/>
    <x v="27"/>
    <x v="64"/>
    <n v="1600"/>
    <m/>
    <n v="15.57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16"/>
    <x v="0"/>
    <x v="0"/>
    <x v="0"/>
    <x v="0"/>
    <x v="0"/>
    <m/>
    <m/>
    <m/>
    <m/>
    <m/>
    <x v="0"/>
    <x v="6"/>
    <m/>
    <m/>
    <m/>
    <x v="11"/>
    <d v="2026-06-16T00:00:00"/>
    <x v="0"/>
    <m/>
    <m/>
    <m/>
    <m/>
    <m/>
    <m/>
    <m/>
    <m/>
    <m/>
    <m/>
    <m/>
    <m/>
    <m/>
    <m/>
    <n v="21"/>
    <n v="197"/>
    <n v="461"/>
    <n v="493"/>
    <n v="294"/>
    <n v="1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0"/>
    <m/>
    <m/>
    <m/>
    <m/>
    <m/>
    <m/>
    <m/>
    <m/>
    <m/>
    <m/>
    <m/>
    <m/>
    <m/>
    <x v="0"/>
  </r>
  <r>
    <x v="85"/>
    <x v="0"/>
    <s v="FALL'26"/>
    <x v="143"/>
    <x v="5"/>
    <s v="ITALY"/>
    <s v="0001"/>
    <x v="109"/>
    <x v="59"/>
    <x v="28"/>
    <s v="NON PFS"/>
    <x v="28"/>
    <x v="4"/>
    <n v="300"/>
    <m/>
    <n v="36.68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8"/>
    <x v="0"/>
    <x v="2"/>
    <x v="0"/>
    <x v="2"/>
    <x v="0"/>
    <m/>
    <m/>
    <m/>
    <m/>
    <m/>
    <x v="0"/>
    <x v="7"/>
    <m/>
    <m/>
    <m/>
    <x v="12"/>
    <d v="2026-07-15T00:00:00"/>
    <x v="0"/>
    <m/>
    <m/>
    <n v="15"/>
    <n v="40"/>
    <n v="61"/>
    <n v="59"/>
    <n v="51"/>
    <n v="37"/>
    <n v="26"/>
    <n v="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86"/>
    <x v="0"/>
    <s v="FALL'26"/>
    <x v="144"/>
    <x v="5"/>
    <s v="ITALY"/>
    <s v="0001"/>
    <x v="108"/>
    <x v="58"/>
    <x v="45"/>
    <s v="NON PFS"/>
    <x v="27"/>
    <x v="64"/>
    <n v="1200"/>
    <m/>
    <n v="15.88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19"/>
    <x v="2"/>
    <x v="0"/>
    <x v="0"/>
    <x v="0"/>
    <x v="2"/>
    <m/>
    <m/>
    <m/>
    <m/>
    <m/>
    <x v="0"/>
    <x v="7"/>
    <m/>
    <m/>
    <m/>
    <x v="12"/>
    <d v="2026-07-15T00:00:00"/>
    <x v="0"/>
    <m/>
    <m/>
    <m/>
    <m/>
    <m/>
    <m/>
    <m/>
    <m/>
    <m/>
    <m/>
    <m/>
    <m/>
    <m/>
    <m/>
    <n v="11"/>
    <n v="142"/>
    <n v="350"/>
    <n v="379"/>
    <n v="226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0"/>
    <m/>
    <m/>
    <m/>
    <m/>
    <m/>
    <m/>
    <m/>
    <m/>
    <m/>
    <m/>
    <m/>
    <m/>
    <m/>
    <x v="0"/>
  </r>
  <r>
    <x v="87"/>
    <x v="0"/>
    <s v="RLCW FALL'26"/>
    <x v="145"/>
    <x v="10"/>
    <s v="US"/>
    <s v="0001"/>
    <x v="110"/>
    <x v="60"/>
    <x v="46"/>
    <s v="PFS"/>
    <x v="0"/>
    <x v="30"/>
    <n v="501"/>
    <m/>
    <n v="9.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4"/>
    <x v="1"/>
    <x v="0"/>
    <x v="1"/>
    <x v="1"/>
    <x v="1"/>
    <m/>
    <m/>
    <m/>
    <m/>
    <m/>
    <x v="0"/>
    <x v="1"/>
    <m/>
    <m/>
    <m/>
    <x v="12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n v="80"/>
    <n v="88"/>
    <n v="90"/>
    <n v="90"/>
    <n v="93"/>
    <m/>
    <m/>
    <m/>
    <m/>
    <n v="501"/>
    <m/>
    <m/>
    <m/>
    <m/>
    <m/>
    <m/>
    <m/>
    <m/>
    <m/>
    <m/>
    <m/>
    <m/>
    <m/>
    <x v="1"/>
  </r>
  <r>
    <x v="88"/>
    <x v="0"/>
    <s v="RLCW FALL'26"/>
    <x v="145"/>
    <x v="10"/>
    <s v="US"/>
    <s v="0001"/>
    <x v="111"/>
    <x v="60"/>
    <x v="46"/>
    <s v="PFS"/>
    <x v="0"/>
    <x v="4"/>
    <n v="60"/>
    <m/>
    <n v="8.26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5"/>
    <x v="2"/>
    <x v="0"/>
    <x v="0"/>
    <x v="0"/>
    <x v="2"/>
    <m/>
    <m/>
    <m/>
    <m/>
    <m/>
    <x v="0"/>
    <x v="1"/>
    <m/>
    <m/>
    <m/>
    <x v="12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n v="60"/>
    <m/>
    <m/>
    <m/>
    <m/>
    <m/>
    <m/>
    <m/>
    <m/>
    <m/>
    <m/>
    <m/>
    <m/>
    <m/>
    <x v="1"/>
  </r>
  <r>
    <x v="89"/>
    <x v="0"/>
    <s v="RLCW FALL'26"/>
    <x v="146"/>
    <x v="10"/>
    <s v="US"/>
    <s v="0001"/>
    <x v="112"/>
    <x v="61"/>
    <x v="46"/>
    <s v="PFS"/>
    <x v="0"/>
    <x v="30"/>
    <n v="650"/>
    <m/>
    <n v="12.37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4"/>
    <x v="1"/>
    <x v="0"/>
    <x v="1"/>
    <x v="1"/>
    <x v="1"/>
    <m/>
    <m/>
    <m/>
    <m/>
    <m/>
    <x v="0"/>
    <x v="1"/>
    <m/>
    <m/>
    <m/>
    <x v="12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n v="140"/>
    <n v="420"/>
    <m/>
    <n v="650"/>
    <m/>
    <m/>
    <m/>
    <m/>
    <m/>
    <m/>
    <m/>
    <m/>
    <m/>
    <m/>
    <m/>
    <m/>
    <m/>
    <x v="1"/>
  </r>
  <r>
    <x v="88"/>
    <x v="0"/>
    <s v="RLCW FALL'26"/>
    <x v="145"/>
    <x v="10"/>
    <s v="US"/>
    <s v="0001"/>
    <x v="111"/>
    <x v="60"/>
    <x v="46"/>
    <s v="PFS"/>
    <x v="0"/>
    <x v="4"/>
    <n v="441"/>
    <m/>
    <n v="8.26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5"/>
    <x v="2"/>
    <x v="0"/>
    <x v="0"/>
    <x v="0"/>
    <x v="2"/>
    <m/>
    <m/>
    <m/>
    <m/>
    <m/>
    <x v="0"/>
    <x v="1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n v="88"/>
    <n v="90"/>
    <n v="90"/>
    <n v="93"/>
    <m/>
    <m/>
    <m/>
    <m/>
    <n v="441"/>
    <m/>
    <m/>
    <m/>
    <m/>
    <m/>
    <m/>
    <m/>
    <m/>
    <m/>
    <m/>
    <m/>
    <m/>
    <m/>
    <x v="1"/>
  </r>
  <r>
    <x v="89"/>
    <x v="0"/>
    <s v="RLCW FALL'26"/>
    <x v="146"/>
    <x v="10"/>
    <s v="US"/>
    <s v="0001"/>
    <x v="112"/>
    <x v="61"/>
    <x v="46"/>
    <s v="PFS"/>
    <x v="0"/>
    <x v="30"/>
    <n v="350"/>
    <m/>
    <n v="12.37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4"/>
    <x v="2"/>
    <x v="0"/>
    <x v="0"/>
    <x v="0"/>
    <x v="2"/>
    <m/>
    <m/>
    <m/>
    <m/>
    <m/>
    <x v="0"/>
    <x v="1"/>
    <m/>
    <m/>
    <m/>
    <x v="12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0"/>
    <n v="350"/>
    <m/>
    <m/>
    <m/>
    <m/>
    <m/>
    <m/>
    <m/>
    <m/>
    <m/>
    <m/>
    <m/>
    <m/>
    <m/>
    <x v="1"/>
  </r>
  <r>
    <x v="90"/>
    <x v="0"/>
    <s v="RLCW FALL'26"/>
    <x v="146"/>
    <x v="10"/>
    <s v="US"/>
    <s v="0001"/>
    <x v="113"/>
    <x v="61"/>
    <x v="46"/>
    <s v="PFS"/>
    <x v="0"/>
    <x v="4"/>
    <n v="4000"/>
    <m/>
    <n v="10.63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5"/>
    <x v="2"/>
    <x v="0"/>
    <x v="0"/>
    <x v="0"/>
    <x v="2"/>
    <m/>
    <m/>
    <m/>
    <m/>
    <m/>
    <x v="0"/>
    <x v="1"/>
    <m/>
    <m/>
    <m/>
    <x v="6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"/>
    <n v="560"/>
    <n v="1680"/>
    <n v="1400"/>
    <n v="4000"/>
    <m/>
    <m/>
    <m/>
    <m/>
    <m/>
    <m/>
    <m/>
    <m/>
    <m/>
    <m/>
    <m/>
    <m/>
    <m/>
    <x v="1"/>
  </r>
  <r>
    <x v="91"/>
    <x v="0"/>
    <s v="FALL'26"/>
    <x v="147"/>
    <x v="10"/>
    <s v="US"/>
    <s v="0001"/>
    <x v="114"/>
    <x v="27"/>
    <x v="24"/>
    <m/>
    <x v="0"/>
    <x v="66"/>
    <n v="358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s v="Done on 3/12"/>
    <x v="26"/>
    <x v="1"/>
    <x v="0"/>
    <x v="2"/>
    <x v="2"/>
    <x v="2"/>
    <m/>
    <m/>
    <m/>
    <m/>
    <m/>
    <x v="0"/>
    <x v="1"/>
    <m/>
    <m/>
    <m/>
    <x v="7"/>
    <d v="2026-07-15T00:00:00"/>
    <x v="0"/>
    <m/>
    <m/>
    <m/>
    <m/>
    <m/>
    <m/>
    <m/>
    <m/>
    <m/>
    <m/>
    <m/>
    <m/>
    <m/>
    <m/>
    <m/>
    <n v="382"/>
    <n v="1003"/>
    <n v="1182"/>
    <n v="686"/>
    <n v="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0"/>
    <m/>
    <m/>
    <m/>
    <m/>
    <m/>
    <m/>
    <m/>
    <m/>
    <m/>
    <m/>
    <m/>
    <m/>
    <m/>
    <x v="0"/>
  </r>
  <r>
    <x v="92"/>
    <x v="0"/>
    <s v="FALL'26"/>
    <x v="148"/>
    <x v="10"/>
    <s v="US"/>
    <s v="0001"/>
    <x v="115"/>
    <x v="62"/>
    <x v="24"/>
    <m/>
    <x v="8"/>
    <x v="67"/>
    <n v="312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s v="Done on 3/12"/>
    <x v="26"/>
    <x v="1"/>
    <x v="2"/>
    <x v="2"/>
    <x v="2"/>
    <x v="2"/>
    <m/>
    <m/>
    <m/>
    <m/>
    <m/>
    <x v="0"/>
    <x v="1"/>
    <m/>
    <m/>
    <m/>
    <x v="7"/>
    <d v="2026-07-15T00:00:00"/>
    <x v="0"/>
    <m/>
    <m/>
    <m/>
    <m/>
    <m/>
    <m/>
    <m/>
    <m/>
    <m/>
    <m/>
    <m/>
    <m/>
    <m/>
    <m/>
    <m/>
    <n v="333"/>
    <n v="874"/>
    <n v="1030"/>
    <n v="598"/>
    <n v="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0"/>
    <m/>
    <m/>
    <m/>
    <m/>
    <m/>
    <m/>
    <m/>
    <m/>
    <m/>
    <m/>
    <m/>
    <m/>
    <m/>
    <x v="0"/>
  </r>
  <r>
    <x v="91"/>
    <x v="0"/>
    <s v="FALL'26"/>
    <x v="149"/>
    <x v="10"/>
    <s v="US"/>
    <s v="0002"/>
    <x v="114"/>
    <x v="27"/>
    <x v="24"/>
    <m/>
    <x v="0"/>
    <x v="66"/>
    <n v="10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s v="Done on 3/12"/>
    <x v="26"/>
    <x v="1"/>
    <x v="0"/>
    <x v="2"/>
    <x v="2"/>
    <x v="2"/>
    <m/>
    <m/>
    <m/>
    <m/>
    <m/>
    <x v="0"/>
    <x v="1"/>
    <m/>
    <m/>
    <m/>
    <x v="7"/>
    <d v="2026-07-15T00:00:00"/>
    <x v="0"/>
    <m/>
    <m/>
    <m/>
    <m/>
    <m/>
    <m/>
    <m/>
    <m/>
    <m/>
    <m/>
    <m/>
    <m/>
    <m/>
    <m/>
    <m/>
    <n v="11"/>
    <n v="28"/>
    <n v="33"/>
    <n v="19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x v="0"/>
  </r>
  <r>
    <x v="92"/>
    <x v="0"/>
    <s v="FALL'26"/>
    <x v="150"/>
    <x v="10"/>
    <s v="US"/>
    <s v="0002"/>
    <x v="115"/>
    <x v="62"/>
    <x v="24"/>
    <m/>
    <x v="8"/>
    <x v="67"/>
    <n v="10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s v="Done on 3/12"/>
    <x v="26"/>
    <x v="1"/>
    <x v="2"/>
    <x v="2"/>
    <x v="2"/>
    <x v="2"/>
    <m/>
    <m/>
    <m/>
    <m/>
    <m/>
    <x v="0"/>
    <x v="1"/>
    <m/>
    <m/>
    <m/>
    <x v="7"/>
    <d v="2026-07-15T00:00:00"/>
    <x v="0"/>
    <m/>
    <m/>
    <m/>
    <m/>
    <m/>
    <m/>
    <m/>
    <m/>
    <m/>
    <m/>
    <m/>
    <m/>
    <m/>
    <m/>
    <m/>
    <n v="11"/>
    <n v="28"/>
    <n v="33"/>
    <n v="19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x v="0"/>
  </r>
  <r>
    <x v="91"/>
    <x v="0"/>
    <s v="FALL'26"/>
    <x v="151"/>
    <x v="8"/>
    <s v="CANADA"/>
    <s v="0001"/>
    <x v="114"/>
    <x v="27"/>
    <x v="24"/>
    <m/>
    <x v="0"/>
    <x v="66"/>
    <n v="32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s v="Done on 3/12"/>
    <x v="26"/>
    <x v="1"/>
    <x v="0"/>
    <x v="2"/>
    <x v="2"/>
    <x v="2"/>
    <m/>
    <m/>
    <m/>
    <m/>
    <m/>
    <x v="0"/>
    <x v="1"/>
    <m/>
    <m/>
    <m/>
    <x v="12"/>
    <d v="2026-07-15T00:00:00"/>
    <x v="0"/>
    <m/>
    <m/>
    <m/>
    <m/>
    <m/>
    <m/>
    <m/>
    <m/>
    <m/>
    <m/>
    <m/>
    <m/>
    <m/>
    <m/>
    <m/>
    <n v="40"/>
    <n v="98"/>
    <n v="103"/>
    <n v="53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"/>
    <m/>
    <m/>
    <m/>
    <m/>
    <m/>
    <m/>
    <m/>
    <m/>
    <m/>
    <m/>
    <m/>
    <m/>
    <m/>
    <x v="0"/>
  </r>
  <r>
    <x v="92"/>
    <x v="0"/>
    <s v="FALL'26"/>
    <x v="152"/>
    <x v="8"/>
    <s v="CANADA"/>
    <s v="0001"/>
    <x v="115"/>
    <x v="62"/>
    <x v="24"/>
    <m/>
    <x v="8"/>
    <x v="67"/>
    <n v="280"/>
    <m/>
    <n v="12.51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6"/>
    <m/>
    <m/>
    <x v="0"/>
    <m/>
    <m/>
    <m/>
    <m/>
    <m/>
    <m/>
    <s v="Done on 3/12"/>
    <x v="26"/>
    <x v="1"/>
    <x v="2"/>
    <x v="2"/>
    <x v="2"/>
    <x v="2"/>
    <m/>
    <m/>
    <m/>
    <m/>
    <m/>
    <x v="0"/>
    <x v="1"/>
    <m/>
    <m/>
    <m/>
    <x v="12"/>
    <d v="2026-07-15T00:00:00"/>
    <x v="0"/>
    <m/>
    <m/>
    <m/>
    <m/>
    <m/>
    <m/>
    <m/>
    <m/>
    <m/>
    <m/>
    <m/>
    <m/>
    <m/>
    <m/>
    <m/>
    <n v="34"/>
    <n v="86"/>
    <n v="91"/>
    <n v="46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m/>
    <m/>
    <x v="0"/>
  </r>
  <r>
    <x v="93"/>
    <x v="0"/>
    <s v="FALL'26"/>
    <x v="153"/>
    <x v="11"/>
    <s v="RL-Mexico"/>
    <s v="TDS"/>
    <x v="116"/>
    <x v="63"/>
    <x v="47"/>
    <m/>
    <x v="0"/>
    <x v="68"/>
    <n v="126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27"/>
    <x v="2"/>
    <x v="0"/>
    <x v="2"/>
    <x v="2"/>
    <x v="2"/>
    <m/>
    <m/>
    <m/>
    <m/>
    <m/>
    <x v="0"/>
    <x v="1"/>
    <m/>
    <m/>
    <m/>
    <x v="6"/>
    <d v="2026-07-15T00:00:00"/>
    <x v="0"/>
    <m/>
    <m/>
    <m/>
    <m/>
    <m/>
    <m/>
    <m/>
    <m/>
    <m/>
    <m/>
    <m/>
    <m/>
    <m/>
    <m/>
    <m/>
    <n v="22"/>
    <n v="40"/>
    <n v="34"/>
    <n v="20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6"/>
    <m/>
    <m/>
    <m/>
    <m/>
    <m/>
    <m/>
    <m/>
    <m/>
    <m/>
    <m/>
    <m/>
    <m/>
    <m/>
    <x v="0"/>
  </r>
  <r>
    <x v="93"/>
    <x v="0"/>
    <s v="FALL'26"/>
    <x v="154"/>
    <x v="11"/>
    <s v="RL-Mexico"/>
    <s v="TDS"/>
    <x v="116"/>
    <x v="63"/>
    <x v="47"/>
    <m/>
    <x v="0"/>
    <x v="68"/>
    <n v="84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27"/>
    <x v="2"/>
    <x v="0"/>
    <x v="2"/>
    <x v="2"/>
    <x v="2"/>
    <m/>
    <m/>
    <m/>
    <m/>
    <m/>
    <x v="0"/>
    <x v="1"/>
    <m/>
    <m/>
    <m/>
    <x v="6"/>
    <d v="2026-07-15T00:00:00"/>
    <x v="0"/>
    <m/>
    <m/>
    <m/>
    <m/>
    <m/>
    <m/>
    <m/>
    <m/>
    <m/>
    <m/>
    <m/>
    <m/>
    <m/>
    <m/>
    <m/>
    <n v="13"/>
    <n v="27"/>
    <n v="24"/>
    <n v="13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x v="0"/>
  </r>
  <r>
    <x v="93"/>
    <x v="0"/>
    <s v="FALL'26"/>
    <x v="155"/>
    <x v="2"/>
    <s v="US"/>
    <s v="0001"/>
    <x v="116"/>
    <x v="63"/>
    <x v="47"/>
    <m/>
    <x v="0"/>
    <x v="68"/>
    <n v="2144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27"/>
    <x v="2"/>
    <x v="0"/>
    <x v="2"/>
    <x v="2"/>
    <x v="2"/>
    <m/>
    <m/>
    <m/>
    <m/>
    <m/>
    <x v="0"/>
    <x v="1"/>
    <m/>
    <m/>
    <m/>
    <x v="6"/>
    <d v="2026-07-15T00:00:00"/>
    <x v="0"/>
    <m/>
    <m/>
    <m/>
    <m/>
    <m/>
    <m/>
    <m/>
    <m/>
    <m/>
    <m/>
    <m/>
    <m/>
    <m/>
    <m/>
    <n v="11"/>
    <n v="232"/>
    <n v="460"/>
    <n v="635"/>
    <n v="520"/>
    <n v="2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4"/>
    <m/>
    <m/>
    <m/>
    <m/>
    <m/>
    <m/>
    <m/>
    <m/>
    <m/>
    <m/>
    <m/>
    <m/>
    <m/>
    <x v="0"/>
  </r>
  <r>
    <x v="94"/>
    <x v="0"/>
    <s v="FALL'26"/>
    <x v="156"/>
    <x v="1"/>
    <s v="US"/>
    <s v="0001"/>
    <x v="117"/>
    <x v="64"/>
    <x v="48"/>
    <m/>
    <x v="26"/>
    <x v="64"/>
    <n v="450"/>
    <m/>
    <n v="17.22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16"/>
    <x v="0"/>
    <x v="0"/>
    <x v="0"/>
    <x v="0"/>
    <x v="0"/>
    <m/>
    <m/>
    <m/>
    <m/>
    <m/>
    <x v="0"/>
    <x v="1"/>
    <m/>
    <m/>
    <m/>
    <x v="11"/>
    <d v="2026-06-16T00:00:00"/>
    <x v="0"/>
    <m/>
    <m/>
    <m/>
    <m/>
    <m/>
    <m/>
    <m/>
    <m/>
    <m/>
    <m/>
    <m/>
    <m/>
    <m/>
    <m/>
    <m/>
    <m/>
    <m/>
    <m/>
    <m/>
    <m/>
    <m/>
    <m/>
    <m/>
    <n v="36"/>
    <n v="54"/>
    <n v="63"/>
    <n v="41"/>
    <n v="23"/>
    <m/>
    <m/>
    <n v="89"/>
    <n v="85"/>
    <n v="36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"/>
    <m/>
    <m/>
    <m/>
    <m/>
    <m/>
    <m/>
    <m/>
    <m/>
    <m/>
    <m/>
    <m/>
    <m/>
    <m/>
    <x v="0"/>
  </r>
  <r>
    <x v="95"/>
    <x v="0"/>
    <s v="RLCW FALL'26"/>
    <x v="157"/>
    <x v="2"/>
    <s v="US"/>
    <s v="0001"/>
    <x v="118"/>
    <x v="65"/>
    <x v="49"/>
    <m/>
    <x v="0"/>
    <x v="4"/>
    <n v="1590"/>
    <m/>
    <n v="8.26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28"/>
    <x v="0"/>
    <x v="0"/>
    <x v="0"/>
    <x v="0"/>
    <x v="0"/>
    <m/>
    <m/>
    <m/>
    <m/>
    <m/>
    <x v="0"/>
    <x v="1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3"/>
    <n v="282"/>
    <n v="264"/>
    <n v="261"/>
    <n v="265"/>
    <n v="265"/>
    <m/>
    <m/>
    <m/>
    <m/>
    <n v="1590"/>
    <m/>
    <m/>
    <m/>
    <m/>
    <m/>
    <m/>
    <m/>
    <m/>
    <m/>
    <m/>
    <m/>
    <m/>
    <m/>
    <x v="1"/>
  </r>
  <r>
    <x v="96"/>
    <x v="0"/>
    <s v="RLCW FALL'26"/>
    <x v="158"/>
    <x v="2"/>
    <s v="US"/>
    <s v="0001"/>
    <x v="119"/>
    <x v="66"/>
    <x v="49"/>
    <m/>
    <x v="0"/>
    <x v="4"/>
    <n v="3378"/>
    <m/>
    <n v="10.63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28"/>
    <x v="0"/>
    <x v="0"/>
    <x v="0"/>
    <x v="0"/>
    <x v="0"/>
    <m/>
    <m/>
    <m/>
    <m/>
    <m/>
    <x v="0"/>
    <x v="1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"/>
    <n v="954"/>
    <n v="1144"/>
    <n v="725"/>
    <n v="3378"/>
    <m/>
    <m/>
    <m/>
    <m/>
    <m/>
    <m/>
    <m/>
    <m/>
    <m/>
    <m/>
    <m/>
    <m/>
    <m/>
    <x v="1"/>
  </r>
  <r>
    <x v="97"/>
    <x v="0"/>
    <s v="RLCW FALL'26"/>
    <x v="159"/>
    <x v="2"/>
    <s v="US"/>
    <s v="0001"/>
    <x v="118"/>
    <x v="65"/>
    <x v="49"/>
    <m/>
    <x v="0"/>
    <x v="4"/>
    <n v="109"/>
    <m/>
    <n v="8.26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29"/>
    <x v="0"/>
    <x v="0"/>
    <x v="0"/>
    <x v="0"/>
    <x v="0"/>
    <m/>
    <m/>
    <m/>
    <m/>
    <m/>
    <x v="0"/>
    <x v="1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20"/>
    <n v="18"/>
    <n v="18"/>
    <n v="18"/>
    <n v="18"/>
    <m/>
    <m/>
    <m/>
    <m/>
    <n v="109"/>
    <m/>
    <m/>
    <m/>
    <m/>
    <m/>
    <m/>
    <m/>
    <m/>
    <m/>
    <m/>
    <m/>
    <m/>
    <m/>
    <x v="1"/>
  </r>
  <r>
    <x v="98"/>
    <x v="0"/>
    <s v="RLCW FALL'26"/>
    <x v="160"/>
    <x v="2"/>
    <s v="US"/>
    <s v="0001"/>
    <x v="119"/>
    <x v="66"/>
    <x v="49"/>
    <m/>
    <x v="0"/>
    <x v="4"/>
    <n v="2236"/>
    <m/>
    <n v="14.45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0"/>
    <x v="1"/>
    <x v="0"/>
    <x v="1"/>
    <x v="1"/>
    <x v="1"/>
    <m/>
    <m/>
    <m/>
    <m/>
    <m/>
    <x v="0"/>
    <x v="1"/>
    <m/>
    <m/>
    <m/>
    <x v="14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292"/>
    <n v="959"/>
    <n v="961"/>
    <n v="2236"/>
    <m/>
    <m/>
    <m/>
    <m/>
    <m/>
    <m/>
    <m/>
    <m/>
    <m/>
    <m/>
    <m/>
    <m/>
    <m/>
    <x v="1"/>
  </r>
  <r>
    <x v="99"/>
    <x v="0"/>
    <s v="FALL'26"/>
    <x v="161"/>
    <x v="9"/>
    <s v="ITALY"/>
    <s v="0001"/>
    <x v="120"/>
    <x v="67"/>
    <x v="50"/>
    <m/>
    <x v="9"/>
    <x v="28"/>
    <n v="780"/>
    <m/>
    <n v="17.03"/>
    <m/>
    <m/>
    <s v="Runetex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1"/>
    <x v="1"/>
    <x v="2"/>
    <x v="2"/>
    <x v="2"/>
    <x v="2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n v="42"/>
    <n v="78"/>
    <n v="211"/>
    <n v="260"/>
    <n v="144"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0"/>
    <m/>
    <m/>
    <m/>
    <m/>
    <m/>
    <m/>
    <m/>
    <m/>
    <m/>
    <m/>
    <m/>
    <m/>
    <m/>
    <x v="0"/>
  </r>
  <r>
    <x v="100"/>
    <x v="0"/>
    <s v="FALL'26"/>
    <x v="162"/>
    <x v="5"/>
    <s v="ITALY"/>
    <s v="0001"/>
    <x v="108"/>
    <x v="58"/>
    <x v="45"/>
    <m/>
    <x v="27"/>
    <x v="64"/>
    <n v="1378"/>
    <m/>
    <n v="15.57"/>
    <m/>
    <m/>
    <s v="Earthsea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2"/>
    <x v="2"/>
    <x v="0"/>
    <x v="0"/>
    <x v="0"/>
    <x v="0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n v="4"/>
    <n v="193"/>
    <n v="437"/>
    <n v="414"/>
    <n v="262"/>
    <n v="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78"/>
    <m/>
    <m/>
    <m/>
    <m/>
    <m/>
    <m/>
    <m/>
    <m/>
    <m/>
    <m/>
    <m/>
    <m/>
    <m/>
    <x v="0"/>
  </r>
  <r>
    <x v="101"/>
    <x v="0"/>
    <s v="FALL'26"/>
    <x v="163"/>
    <x v="5"/>
    <s v="ITALY"/>
    <s v="0001"/>
    <x v="121"/>
    <x v="42"/>
    <x v="27"/>
    <m/>
    <x v="17"/>
    <x v="4"/>
    <n v="362"/>
    <m/>
    <n v="24.2"/>
    <m/>
    <m/>
    <s v="Monti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3"/>
    <x v="2"/>
    <x v="0"/>
    <x v="2"/>
    <x v="2"/>
    <x v="2"/>
    <m/>
    <m/>
    <m/>
    <m/>
    <m/>
    <x v="0"/>
    <x v="1"/>
    <m/>
    <m/>
    <m/>
    <x v="16"/>
    <d v="2026-08-15T00:00:00"/>
    <x v="0"/>
    <m/>
    <m/>
    <n v="26"/>
    <n v="47"/>
    <n v="38"/>
    <n v="57"/>
    <n v="60"/>
    <n v="54"/>
    <n v="49"/>
    <n v="26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2"/>
    <m/>
    <m/>
    <m/>
    <m/>
    <m/>
    <m/>
    <m/>
    <m/>
    <m/>
    <m/>
    <m/>
    <m/>
    <m/>
    <x v="0"/>
  </r>
  <r>
    <x v="100"/>
    <x v="0"/>
    <s v="FALL'26"/>
    <x v="164"/>
    <x v="4"/>
    <s v="KOREA"/>
    <s v="FPWK"/>
    <x v="108"/>
    <x v="58"/>
    <x v="45"/>
    <m/>
    <x v="27"/>
    <x v="64"/>
    <n v="22"/>
    <m/>
    <n v="15.57"/>
    <m/>
    <m/>
    <s v="Earthsea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2"/>
    <x v="2"/>
    <x v="0"/>
    <x v="0"/>
    <x v="0"/>
    <x v="0"/>
    <m/>
    <m/>
    <m/>
    <m/>
    <m/>
    <x v="0"/>
    <x v="1"/>
    <m/>
    <m/>
    <m/>
    <x v="17"/>
    <d v="2026-08-15T00:00:00"/>
    <x v="0"/>
    <m/>
    <m/>
    <m/>
    <m/>
    <m/>
    <m/>
    <m/>
    <m/>
    <m/>
    <m/>
    <m/>
    <m/>
    <m/>
    <m/>
    <m/>
    <n v="3"/>
    <n v="7"/>
    <n v="7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"/>
    <m/>
    <m/>
    <m/>
    <m/>
    <m/>
    <m/>
    <m/>
    <m/>
    <m/>
    <m/>
    <m/>
    <m/>
    <m/>
    <x v="0"/>
  </r>
  <r>
    <x v="101"/>
    <x v="0"/>
    <s v="FALL'26"/>
    <x v="165"/>
    <x v="4"/>
    <s v="KOREA"/>
    <s v="FPWK"/>
    <x v="121"/>
    <x v="42"/>
    <x v="27"/>
    <m/>
    <x v="17"/>
    <x v="4"/>
    <n v="18"/>
    <m/>
    <n v="24.2"/>
    <m/>
    <m/>
    <s v="Monti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3"/>
    <x v="2"/>
    <x v="0"/>
    <x v="2"/>
    <x v="2"/>
    <x v="2"/>
    <m/>
    <m/>
    <m/>
    <m/>
    <m/>
    <x v="0"/>
    <x v="1"/>
    <m/>
    <m/>
    <m/>
    <x v="17"/>
    <d v="2026-08-15T00:00:00"/>
    <x v="0"/>
    <m/>
    <m/>
    <n v="3"/>
    <n v="3"/>
    <m/>
    <n v="4"/>
    <m/>
    <n v="4"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0"/>
  </r>
  <r>
    <x v="101"/>
    <x v="0"/>
    <s v="FALL'26"/>
    <x v="166"/>
    <x v="11"/>
    <s v="RL-Mexico"/>
    <s v="TDS"/>
    <x v="121"/>
    <x v="42"/>
    <x v="27"/>
    <m/>
    <x v="17"/>
    <x v="4"/>
    <n v="96"/>
    <m/>
    <n v="24.2"/>
    <m/>
    <m/>
    <s v="Monti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3"/>
    <x v="2"/>
    <x v="0"/>
    <x v="2"/>
    <x v="2"/>
    <x v="2"/>
    <m/>
    <m/>
    <m/>
    <m/>
    <m/>
    <x v="0"/>
    <x v="1"/>
    <m/>
    <m/>
    <m/>
    <x v="13"/>
    <d v="2026-08-15T00:00:00"/>
    <x v="0"/>
    <m/>
    <m/>
    <n v="5"/>
    <n v="12"/>
    <n v="14"/>
    <n v="16"/>
    <n v="14"/>
    <n v="12"/>
    <n v="8"/>
    <n v="8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"/>
    <m/>
    <m/>
    <m/>
    <m/>
    <m/>
    <m/>
    <m/>
    <m/>
    <m/>
    <m/>
    <m/>
    <m/>
    <m/>
    <x v="0"/>
  </r>
  <r>
    <x v="101"/>
    <x v="0"/>
    <s v="FALL'26"/>
    <x v="167"/>
    <x v="2"/>
    <s v="US"/>
    <s v="0001"/>
    <x v="121"/>
    <x v="42"/>
    <x v="27"/>
    <m/>
    <x v="17"/>
    <x v="4"/>
    <n v="60"/>
    <m/>
    <n v="24.2"/>
    <m/>
    <m/>
    <s v="Monti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3"/>
    <x v="2"/>
    <x v="0"/>
    <x v="2"/>
    <x v="2"/>
    <x v="2"/>
    <m/>
    <m/>
    <m/>
    <m/>
    <m/>
    <x v="0"/>
    <x v="1"/>
    <m/>
    <m/>
    <m/>
    <x v="13"/>
    <d v="2026-08-15T00:00:00"/>
    <x v="0"/>
    <m/>
    <m/>
    <n v="1"/>
    <n v="4"/>
    <n v="14"/>
    <n v="14"/>
    <n v="15"/>
    <n v="7"/>
    <n v="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x v="0"/>
  </r>
  <r>
    <x v="102"/>
    <x v="0"/>
    <s v="FALL'26"/>
    <x v="168"/>
    <x v="11"/>
    <s v="RL-Mexico"/>
    <s v="TDS"/>
    <x v="52"/>
    <x v="32"/>
    <x v="27"/>
    <m/>
    <x v="17"/>
    <x v="39"/>
    <n v="96"/>
    <m/>
    <n v="25.33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0"/>
    <x v="0"/>
    <x v="0"/>
    <m/>
    <m/>
    <m/>
    <m/>
    <m/>
    <x v="0"/>
    <x v="1"/>
    <m/>
    <m/>
    <m/>
    <x v="8"/>
    <d v="2026-08-15T00:00:00"/>
    <x v="0"/>
    <m/>
    <m/>
    <n v="5"/>
    <n v="12"/>
    <n v="14"/>
    <n v="16"/>
    <n v="14"/>
    <n v="12"/>
    <n v="8"/>
    <n v="8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"/>
    <m/>
    <m/>
    <m/>
    <m/>
    <m/>
    <m/>
    <m/>
    <m/>
    <m/>
    <m/>
    <m/>
    <m/>
    <m/>
    <x v="0"/>
  </r>
  <r>
    <x v="102"/>
    <x v="0"/>
    <s v="FALL'26"/>
    <x v="169"/>
    <x v="2"/>
    <s v="US"/>
    <s v="0001"/>
    <x v="52"/>
    <x v="32"/>
    <x v="27"/>
    <m/>
    <x v="17"/>
    <x v="39"/>
    <n v="243"/>
    <m/>
    <n v="26.89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0"/>
    <x v="0"/>
    <x v="0"/>
    <m/>
    <m/>
    <m/>
    <m/>
    <m/>
    <x v="0"/>
    <x v="1"/>
    <m/>
    <m/>
    <m/>
    <x v="8"/>
    <d v="2026-08-15T00:00:00"/>
    <x v="0"/>
    <m/>
    <m/>
    <m/>
    <n v="14"/>
    <n v="51"/>
    <n v="67"/>
    <n v="65"/>
    <n v="30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3"/>
    <m/>
    <m/>
    <m/>
    <m/>
    <m/>
    <m/>
    <m/>
    <m/>
    <m/>
    <m/>
    <m/>
    <m/>
    <m/>
    <x v="0"/>
  </r>
  <r>
    <x v="103"/>
    <x v="0"/>
    <s v="FALL'26"/>
    <x v="170"/>
    <x v="11"/>
    <s v="RL-Mexico"/>
    <s v="TDS"/>
    <x v="58"/>
    <x v="35"/>
    <x v="27"/>
    <m/>
    <x v="20"/>
    <x v="45"/>
    <n v="96"/>
    <m/>
    <n v="31.65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2"/>
    <x v="2"/>
    <x v="2"/>
    <m/>
    <m/>
    <m/>
    <m/>
    <m/>
    <x v="0"/>
    <x v="1"/>
    <m/>
    <m/>
    <m/>
    <x v="8"/>
    <d v="2026-08-15T00:00:00"/>
    <x v="0"/>
    <m/>
    <m/>
    <n v="5"/>
    <n v="12"/>
    <n v="14"/>
    <n v="16"/>
    <n v="14"/>
    <n v="12"/>
    <n v="8"/>
    <n v="8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"/>
    <m/>
    <m/>
    <m/>
    <m/>
    <m/>
    <m/>
    <m/>
    <m/>
    <m/>
    <m/>
    <m/>
    <m/>
    <m/>
    <x v="0"/>
  </r>
  <r>
    <x v="103"/>
    <x v="0"/>
    <s v="FALL'26"/>
    <x v="171"/>
    <x v="2"/>
    <s v="US"/>
    <s v="0001"/>
    <x v="58"/>
    <x v="35"/>
    <x v="27"/>
    <m/>
    <x v="20"/>
    <x v="45"/>
    <n v="227"/>
    <m/>
    <n v="33.21"/>
    <m/>
    <m/>
    <s v="Monti"/>
    <m/>
    <m/>
    <m/>
    <m/>
    <m/>
    <x v="1"/>
    <x v="0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2"/>
    <x v="2"/>
    <x v="2"/>
    <m/>
    <m/>
    <m/>
    <m/>
    <m/>
    <x v="0"/>
    <x v="1"/>
    <m/>
    <m/>
    <m/>
    <x v="8"/>
    <d v="2026-08-15T00:00:00"/>
    <x v="0"/>
    <m/>
    <m/>
    <m/>
    <n v="14"/>
    <n v="47"/>
    <n v="60"/>
    <n v="61"/>
    <n v="29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7"/>
    <m/>
    <m/>
    <m/>
    <m/>
    <m/>
    <m/>
    <m/>
    <m/>
    <m/>
    <m/>
    <m/>
    <m/>
    <m/>
    <x v="0"/>
  </r>
  <r>
    <x v="104"/>
    <x v="0"/>
    <s v="FALL'26"/>
    <x v="172"/>
    <x v="2"/>
    <s v="US"/>
    <s v="0001"/>
    <x v="119"/>
    <x v="66"/>
    <x v="49"/>
    <m/>
    <x v="0"/>
    <x v="4"/>
    <n v="204"/>
    <m/>
    <n v="10.63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29"/>
    <x v="0"/>
    <x v="0"/>
    <x v="0"/>
    <x v="0"/>
    <x v="0"/>
    <m/>
    <m/>
    <m/>
    <m/>
    <m/>
    <x v="0"/>
    <x v="1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"/>
    <n v="38"/>
    <n v="66"/>
    <n v="75"/>
    <n v="204"/>
    <m/>
    <m/>
    <m/>
    <m/>
    <m/>
    <m/>
    <m/>
    <m/>
    <m/>
    <m/>
    <m/>
    <m/>
    <m/>
    <x v="1"/>
  </r>
  <r>
    <x v="104"/>
    <x v="0"/>
    <s v="FALL'26"/>
    <x v="173"/>
    <x v="6"/>
    <s v="CANADA"/>
    <s v="0001"/>
    <x v="119"/>
    <x v="66"/>
    <x v="49"/>
    <m/>
    <x v="0"/>
    <x v="4"/>
    <n v="54"/>
    <m/>
    <n v="10.63"/>
    <m/>
    <m/>
    <s v="WFB"/>
    <m/>
    <m/>
    <m/>
    <m/>
    <m/>
    <x v="2"/>
    <x v="1"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x v="29"/>
    <x v="0"/>
    <x v="0"/>
    <x v="0"/>
    <x v="0"/>
    <x v="0"/>
    <m/>
    <m/>
    <m/>
    <m/>
    <m/>
    <x v="0"/>
    <x v="1"/>
    <m/>
    <m/>
    <m/>
    <x v="0"/>
    <d v="2026-06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12"/>
    <n v="18"/>
    <n v="18"/>
    <n v="54"/>
    <m/>
    <m/>
    <m/>
    <m/>
    <m/>
    <m/>
    <m/>
    <m/>
    <m/>
    <m/>
    <m/>
    <m/>
    <m/>
    <x v="1"/>
  </r>
  <r>
    <x v="105"/>
    <x v="0"/>
    <s v="TJ MAXX"/>
    <x v="174"/>
    <x v="11"/>
    <s v="MARSHALLS"/>
    <s v="DDS"/>
    <x v="122"/>
    <x v="55"/>
    <x v="44"/>
    <m/>
    <x v="0"/>
    <x v="69"/>
    <n v="5100"/>
    <m/>
    <n v="12.51"/>
    <m/>
    <m/>
    <m/>
    <m/>
    <m/>
    <m/>
    <m/>
    <m/>
    <x v="0"/>
    <x v="0"/>
    <m/>
    <m/>
    <m/>
    <m/>
    <m/>
    <m/>
    <m/>
    <m/>
    <m/>
    <m/>
    <s v="S M L XL XXL 1-1-2-1-1"/>
    <m/>
    <n v="6"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850"/>
    <n v="850"/>
    <n v="1700"/>
    <n v="850"/>
    <n v="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00"/>
    <m/>
    <m/>
    <m/>
    <m/>
    <m/>
    <m/>
    <m/>
    <m/>
    <m/>
    <m/>
    <m/>
    <m/>
    <m/>
    <x v="0"/>
  </r>
  <r>
    <x v="105"/>
    <x v="0"/>
    <s v="TJ MAXX"/>
    <x v="175"/>
    <x v="11"/>
    <s v="TJ MAXX"/>
    <s v="DDS"/>
    <x v="122"/>
    <x v="55"/>
    <x v="44"/>
    <m/>
    <x v="0"/>
    <x v="69"/>
    <n v="3900"/>
    <m/>
    <n v="12.51"/>
    <m/>
    <m/>
    <m/>
    <m/>
    <m/>
    <m/>
    <m/>
    <m/>
    <x v="0"/>
    <x v="0"/>
    <m/>
    <m/>
    <m/>
    <m/>
    <m/>
    <m/>
    <m/>
    <m/>
    <m/>
    <m/>
    <s v="S M L XL XXL 1-1-2-1-1"/>
    <m/>
    <n v="6"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650"/>
    <n v="650"/>
    <n v="1300"/>
    <n v="650"/>
    <n v="6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0"/>
    <m/>
    <m/>
    <m/>
    <m/>
    <m/>
    <m/>
    <m/>
    <m/>
    <m/>
    <m/>
    <m/>
    <m/>
    <m/>
    <x v="0"/>
  </r>
  <r>
    <x v="106"/>
    <x v="0"/>
    <s v="FALL'26"/>
    <x v="131"/>
    <x v="12"/>
    <s v="TBC"/>
    <m/>
    <x v="123"/>
    <x v="68"/>
    <x v="51"/>
    <m/>
    <x v="0"/>
    <x v="47"/>
    <n v="623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5"/>
    <x v="2"/>
    <x v="0"/>
    <x v="2"/>
    <x v="2"/>
    <x v="2"/>
    <m/>
    <m/>
    <m/>
    <m/>
    <m/>
    <x v="0"/>
    <x v="1"/>
    <m/>
    <m/>
    <d v="2026-05-24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07"/>
    <x v="0"/>
    <s v="FALL'26"/>
    <x v="131"/>
    <x v="12"/>
    <s v="TBC"/>
    <m/>
    <x v="124"/>
    <x v="68"/>
    <x v="51"/>
    <m/>
    <x v="0"/>
    <x v="70"/>
    <n v="361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5"/>
    <x v="2"/>
    <x v="2"/>
    <x v="2"/>
    <x v="2"/>
    <x v="2"/>
    <m/>
    <m/>
    <m/>
    <m/>
    <m/>
    <x v="0"/>
    <x v="1"/>
    <m/>
    <m/>
    <d v="2026-05-24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08"/>
    <x v="0"/>
    <s v="FALL'26"/>
    <x v="176"/>
    <x v="1"/>
    <s v="US"/>
    <s v="0001"/>
    <x v="125"/>
    <x v="56"/>
    <x v="45"/>
    <m/>
    <x v="26"/>
    <x v="71"/>
    <n v="1400"/>
    <m/>
    <n v="15.62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2"/>
    <x v="2"/>
    <x v="2"/>
    <m/>
    <m/>
    <m/>
    <m/>
    <m/>
    <x v="0"/>
    <x v="1"/>
    <m/>
    <m/>
    <m/>
    <x v="14"/>
    <d v="2026-08-15T00:00:00"/>
    <x v="0"/>
    <m/>
    <m/>
    <m/>
    <m/>
    <m/>
    <m/>
    <m/>
    <m/>
    <m/>
    <m/>
    <m/>
    <m/>
    <m/>
    <m/>
    <n v="28"/>
    <n v="140"/>
    <n v="378"/>
    <n v="420"/>
    <n v="280"/>
    <n v="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0"/>
    <m/>
    <m/>
    <m/>
    <m/>
    <m/>
    <m/>
    <m/>
    <m/>
    <m/>
    <m/>
    <m/>
    <m/>
    <m/>
    <x v="0"/>
  </r>
  <r>
    <x v="108"/>
    <x v="0"/>
    <s v="FALL'26"/>
    <x v="177"/>
    <x v="2"/>
    <s v="US"/>
    <s v="0001"/>
    <x v="125"/>
    <x v="56"/>
    <x v="45"/>
    <m/>
    <x v="26"/>
    <x v="71"/>
    <n v="6086"/>
    <m/>
    <n v="15.62"/>
    <m/>
    <m/>
    <s v="Earthsea"/>
    <m/>
    <m/>
    <m/>
    <m/>
    <m/>
    <x v="1"/>
    <x v="1"/>
    <m/>
    <m/>
    <m/>
    <m/>
    <m/>
    <m/>
    <m/>
    <m/>
    <m/>
    <m/>
    <m/>
    <m/>
    <m/>
    <m/>
    <m/>
    <m/>
    <m/>
    <m/>
    <x v="2"/>
    <m/>
    <m/>
    <x v="0"/>
    <m/>
    <m/>
    <m/>
    <m/>
    <m/>
    <m/>
    <m/>
    <x v="32"/>
    <x v="2"/>
    <x v="0"/>
    <x v="2"/>
    <x v="2"/>
    <x v="2"/>
    <m/>
    <m/>
    <m/>
    <m/>
    <m/>
    <x v="0"/>
    <x v="1"/>
    <m/>
    <m/>
    <m/>
    <x v="14"/>
    <d v="2026-08-15T00:00:00"/>
    <x v="0"/>
    <m/>
    <m/>
    <m/>
    <m/>
    <m/>
    <m/>
    <m/>
    <m/>
    <m/>
    <m/>
    <m/>
    <m/>
    <m/>
    <m/>
    <n v="22"/>
    <n v="643"/>
    <n v="1382"/>
    <n v="1921"/>
    <n v="1352"/>
    <n v="7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86"/>
    <m/>
    <m/>
    <m/>
    <m/>
    <m/>
    <m/>
    <m/>
    <m/>
    <m/>
    <m/>
    <m/>
    <m/>
    <m/>
    <x v="0"/>
  </r>
  <r>
    <x v="108"/>
    <x v="0"/>
    <s v="FALL'26"/>
    <x v="178"/>
    <x v="6"/>
    <s v="CANADA"/>
    <s v="0001"/>
    <x v="125"/>
    <x v="56"/>
    <x v="45"/>
    <m/>
    <x v="26"/>
    <x v="71"/>
    <n v="316"/>
    <m/>
    <n v="15.6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2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8"/>
    <n v="31"/>
    <n v="101"/>
    <n v="111"/>
    <n v="51"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"/>
    <m/>
    <m/>
    <m/>
    <m/>
    <m/>
    <m/>
    <m/>
    <m/>
    <m/>
    <m/>
    <m/>
    <m/>
    <m/>
    <x v="0"/>
  </r>
  <r>
    <x v="109"/>
    <x v="0"/>
    <s v="FALL'26"/>
    <x v="179"/>
    <x v="6"/>
    <s v="CANADA"/>
    <s v="0001"/>
    <x v="126"/>
    <x v="63"/>
    <x v="47"/>
    <m/>
    <x v="0"/>
    <x v="55"/>
    <n v="140"/>
    <m/>
    <n v="11.4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6"/>
    <n v="15"/>
    <n v="41"/>
    <n v="43"/>
    <n v="27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x v="0"/>
  </r>
  <r>
    <x v="110"/>
    <x v="0"/>
    <s v="FALL'26"/>
    <x v="180"/>
    <x v="6"/>
    <s v="CANADA"/>
    <s v="0001"/>
    <x v="127"/>
    <x v="63"/>
    <x v="47"/>
    <m/>
    <x v="0"/>
    <x v="8"/>
    <n v="140"/>
    <m/>
    <n v="10.7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6"/>
    <n v="15"/>
    <n v="41"/>
    <n v="43"/>
    <n v="27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x v="1"/>
  </r>
  <r>
    <x v="111"/>
    <x v="0"/>
    <s v="FALL'26"/>
    <x v="181"/>
    <x v="11"/>
    <s v="RL-Mexico"/>
    <s v="TDS"/>
    <x v="128"/>
    <x v="0"/>
    <x v="47"/>
    <m/>
    <x v="0"/>
    <x v="47"/>
    <n v="210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37"/>
    <n v="66"/>
    <n v="57"/>
    <n v="33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0"/>
    <m/>
    <m/>
    <m/>
    <m/>
    <m/>
    <m/>
    <m/>
    <m/>
    <m/>
    <m/>
    <m/>
    <m/>
    <m/>
    <x v="1"/>
  </r>
  <r>
    <x v="111"/>
    <x v="0"/>
    <s v="FALL'26"/>
    <x v="182"/>
    <x v="11"/>
    <s v="RL-Mexico"/>
    <s v="TDS"/>
    <x v="128"/>
    <x v="0"/>
    <x v="47"/>
    <m/>
    <x v="0"/>
    <x v="47"/>
    <n v="394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63"/>
    <n v="126"/>
    <n v="114"/>
    <n v="59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"/>
    <m/>
    <m/>
    <m/>
    <m/>
    <m/>
    <m/>
    <m/>
    <m/>
    <m/>
    <m/>
    <m/>
    <m/>
    <m/>
    <x v="1"/>
  </r>
  <r>
    <x v="111"/>
    <x v="0"/>
    <s v="FALL'26"/>
    <x v="183"/>
    <x v="2"/>
    <s v="US"/>
    <s v="0001"/>
    <x v="128"/>
    <x v="0"/>
    <x v="47"/>
    <m/>
    <x v="0"/>
    <x v="47"/>
    <n v="4288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18"/>
    <n v="483"/>
    <n v="955"/>
    <n v="1314"/>
    <n v="974"/>
    <n v="5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88"/>
    <m/>
    <m/>
    <m/>
    <m/>
    <m/>
    <m/>
    <m/>
    <m/>
    <m/>
    <m/>
    <m/>
    <m/>
    <m/>
    <x v="1"/>
  </r>
  <r>
    <x v="111"/>
    <x v="0"/>
    <s v="FALL'26"/>
    <x v="184"/>
    <x v="6"/>
    <s v="CANADA"/>
    <s v="0001"/>
    <x v="128"/>
    <x v="0"/>
    <x v="47"/>
    <m/>
    <x v="0"/>
    <x v="47"/>
    <n v="36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1"/>
    <n v="4"/>
    <n v="10"/>
    <n v="12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m/>
    <m/>
    <m/>
    <m/>
    <m/>
    <m/>
    <m/>
    <m/>
    <m/>
    <m/>
    <m/>
    <m/>
    <m/>
    <x v="1"/>
  </r>
  <r>
    <x v="112"/>
    <x v="0"/>
    <s v="FALL'26"/>
    <x v="181"/>
    <x v="11"/>
    <s v="RL-Mexico"/>
    <s v="TDS"/>
    <x v="129"/>
    <x v="0"/>
    <x v="47"/>
    <m/>
    <x v="0"/>
    <x v="70"/>
    <n v="162"/>
    <m/>
    <n v="12.6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29"/>
    <n v="51"/>
    <n v="44"/>
    <n v="25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2"/>
    <m/>
    <m/>
    <m/>
    <m/>
    <m/>
    <m/>
    <m/>
    <m/>
    <m/>
    <m/>
    <m/>
    <m/>
    <m/>
    <x v="1"/>
  </r>
  <r>
    <x v="112"/>
    <x v="0"/>
    <s v="FALL'26"/>
    <x v="182"/>
    <x v="11"/>
    <s v="RL-Mexico"/>
    <s v="TDS"/>
    <x v="129"/>
    <x v="0"/>
    <x v="47"/>
    <m/>
    <x v="0"/>
    <x v="70"/>
    <n v="362"/>
    <m/>
    <n v="12.6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m/>
    <n v="58"/>
    <n v="116"/>
    <n v="105"/>
    <n v="54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2"/>
    <m/>
    <m/>
    <m/>
    <m/>
    <m/>
    <m/>
    <m/>
    <m/>
    <m/>
    <m/>
    <m/>
    <m/>
    <m/>
    <x v="1"/>
  </r>
  <r>
    <x v="112"/>
    <x v="0"/>
    <s v="FALL'26"/>
    <x v="183"/>
    <x v="2"/>
    <s v="US"/>
    <s v="0001"/>
    <x v="129"/>
    <x v="0"/>
    <x v="47"/>
    <m/>
    <x v="0"/>
    <x v="70"/>
    <n v="3430"/>
    <m/>
    <n v="12.6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4"/>
    <x v="2"/>
    <x v="0"/>
    <x v="2"/>
    <x v="2"/>
    <x v="2"/>
    <m/>
    <m/>
    <m/>
    <m/>
    <m/>
    <x v="0"/>
    <x v="1"/>
    <m/>
    <m/>
    <m/>
    <x v="13"/>
    <d v="2026-08-15T00:00:00"/>
    <x v="0"/>
    <m/>
    <m/>
    <m/>
    <m/>
    <m/>
    <m/>
    <m/>
    <m/>
    <m/>
    <m/>
    <m/>
    <m/>
    <m/>
    <m/>
    <n v="14"/>
    <n v="390"/>
    <n v="779"/>
    <n v="1040"/>
    <n v="781"/>
    <n v="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30"/>
    <m/>
    <m/>
    <m/>
    <m/>
    <m/>
    <m/>
    <m/>
    <m/>
    <m/>
    <m/>
    <m/>
    <m/>
    <m/>
    <x v="1"/>
  </r>
  <r>
    <x v="109"/>
    <x v="0"/>
    <s v="FALL'26"/>
    <x v="185"/>
    <x v="11"/>
    <s v="TDS"/>
    <s v="0001"/>
    <x v="126"/>
    <x v="63"/>
    <x v="47"/>
    <m/>
    <x v="0"/>
    <x v="55"/>
    <n v="492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87"/>
    <n v="157"/>
    <n v="133"/>
    <n v="76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2"/>
    <m/>
    <m/>
    <m/>
    <m/>
    <m/>
    <m/>
    <m/>
    <m/>
    <m/>
    <m/>
    <m/>
    <m/>
    <m/>
    <x v="0"/>
  </r>
  <r>
    <x v="109"/>
    <x v="0"/>
    <s v="FALL'26"/>
    <x v="186"/>
    <x v="11"/>
    <s v="TDS"/>
    <s v="0001"/>
    <x v="126"/>
    <x v="63"/>
    <x v="47"/>
    <m/>
    <x v="0"/>
    <x v="55"/>
    <n v="594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95"/>
    <n v="190"/>
    <n v="172"/>
    <n v="89"/>
    <n v="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4"/>
    <m/>
    <m/>
    <m/>
    <m/>
    <m/>
    <m/>
    <m/>
    <m/>
    <m/>
    <m/>
    <m/>
    <m/>
    <m/>
    <x v="0"/>
  </r>
  <r>
    <x v="109"/>
    <x v="0"/>
    <s v="FALL'26"/>
    <x v="187"/>
    <x v="2"/>
    <s v="0001"/>
    <s v="0001"/>
    <x v="126"/>
    <x v="63"/>
    <x v="47"/>
    <m/>
    <x v="0"/>
    <x v="55"/>
    <n v="3066"/>
    <m/>
    <n v="11.42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n v="28"/>
    <n v="327"/>
    <n v="725"/>
    <n v="978"/>
    <n v="659"/>
    <n v="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66"/>
    <m/>
    <m/>
    <m/>
    <m/>
    <m/>
    <m/>
    <m/>
    <m/>
    <m/>
    <m/>
    <m/>
    <m/>
    <m/>
    <x v="0"/>
  </r>
  <r>
    <x v="110"/>
    <x v="0"/>
    <s v="FALL'26"/>
    <x v="188"/>
    <x v="11"/>
    <s v="RL-Mexico"/>
    <s v="TDS"/>
    <x v="127"/>
    <x v="63"/>
    <x v="47"/>
    <m/>
    <x v="0"/>
    <x v="8"/>
    <n v="492"/>
    <m/>
    <n v="10.76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87"/>
    <n v="157"/>
    <n v="133"/>
    <n v="76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2"/>
    <m/>
    <m/>
    <m/>
    <m/>
    <m/>
    <m/>
    <m/>
    <m/>
    <m/>
    <m/>
    <m/>
    <m/>
    <m/>
    <x v="1"/>
  </r>
  <r>
    <x v="110"/>
    <x v="0"/>
    <s v="FALL'26"/>
    <x v="189"/>
    <x v="11"/>
    <s v="RL-Mexico"/>
    <s v="TDS"/>
    <x v="127"/>
    <x v="63"/>
    <x v="47"/>
    <m/>
    <x v="0"/>
    <x v="8"/>
    <n v="610"/>
    <m/>
    <n v="10.76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98"/>
    <n v="194"/>
    <n v="177"/>
    <n v="92"/>
    <n v="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0"/>
    <m/>
    <m/>
    <m/>
    <m/>
    <m/>
    <m/>
    <m/>
    <m/>
    <m/>
    <m/>
    <m/>
    <m/>
    <m/>
    <x v="1"/>
  </r>
  <r>
    <x v="110"/>
    <x v="0"/>
    <s v="FALL'26"/>
    <x v="190"/>
    <x v="2"/>
    <s v="US"/>
    <s v="0001"/>
    <x v="127"/>
    <x v="63"/>
    <x v="47"/>
    <m/>
    <x v="0"/>
    <x v="8"/>
    <n v="3272"/>
    <m/>
    <n v="10.76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n v="33"/>
    <n v="353"/>
    <n v="778"/>
    <n v="1040"/>
    <n v="702"/>
    <n v="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72"/>
    <m/>
    <m/>
    <m/>
    <m/>
    <m/>
    <m/>
    <m/>
    <m/>
    <m/>
    <m/>
    <m/>
    <m/>
    <m/>
    <x v="1"/>
  </r>
  <r>
    <x v="113"/>
    <x v="0"/>
    <s v="FALL'26"/>
    <x v="181"/>
    <x v="11"/>
    <s v="RL-Mexico"/>
    <s v="TDS"/>
    <x v="130"/>
    <x v="0"/>
    <x v="47"/>
    <m/>
    <x v="0"/>
    <x v="48"/>
    <n v="470"/>
    <m/>
    <n v="12.57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19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83"/>
    <n v="149"/>
    <n v="127"/>
    <n v="73"/>
    <n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0"/>
    <m/>
    <m/>
    <m/>
    <m/>
    <m/>
    <m/>
    <m/>
    <m/>
    <m/>
    <m/>
    <m/>
    <m/>
    <m/>
    <x v="1"/>
  </r>
  <r>
    <x v="113"/>
    <x v="0"/>
    <s v="FALL'26"/>
    <x v="182"/>
    <x v="11"/>
    <s v="RL-Mexico"/>
    <s v="TDS"/>
    <x v="130"/>
    <x v="0"/>
    <x v="47"/>
    <m/>
    <x v="0"/>
    <x v="48"/>
    <n v="480"/>
    <m/>
    <n v="12.57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19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n v="77"/>
    <n v="154"/>
    <n v="139"/>
    <n v="72"/>
    <n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"/>
    <m/>
    <m/>
    <m/>
    <m/>
    <m/>
    <m/>
    <m/>
    <m/>
    <m/>
    <m/>
    <m/>
    <m/>
    <m/>
    <x v="1"/>
  </r>
  <r>
    <x v="113"/>
    <x v="0"/>
    <s v="FALL'26"/>
    <x v="183"/>
    <x v="2"/>
    <s v="US"/>
    <s v="0001"/>
    <x v="130"/>
    <x v="0"/>
    <x v="47"/>
    <m/>
    <x v="0"/>
    <x v="48"/>
    <n v="3912"/>
    <m/>
    <n v="12.57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19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n v="18"/>
    <n v="438"/>
    <n v="880"/>
    <n v="1204"/>
    <n v="886"/>
    <n v="4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2"/>
    <m/>
    <m/>
    <m/>
    <m/>
    <m/>
    <m/>
    <m/>
    <m/>
    <m/>
    <m/>
    <m/>
    <m/>
    <m/>
    <x v="1"/>
  </r>
  <r>
    <x v="114"/>
    <x v="0"/>
    <s v="FALL'26"/>
    <x v="191"/>
    <x v="11"/>
    <s v="RL-Mexico"/>
    <s v="TDS"/>
    <x v="131"/>
    <x v="69"/>
    <x v="51"/>
    <m/>
    <x v="0"/>
    <x v="55"/>
    <n v="108"/>
    <m/>
    <n v="16.95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"/>
    <n v="41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"/>
    <m/>
    <m/>
    <m/>
    <m/>
    <m/>
    <m/>
    <m/>
    <m/>
    <m/>
    <m/>
    <m/>
    <m/>
    <m/>
    <x v="0"/>
  </r>
  <r>
    <x v="114"/>
    <x v="0"/>
    <s v="FALL'26"/>
    <x v="192"/>
    <x v="2"/>
    <s v="US"/>
    <s v="0001"/>
    <x v="131"/>
    <x v="69"/>
    <x v="51"/>
    <m/>
    <x v="0"/>
    <x v="55"/>
    <n v="498"/>
    <m/>
    <n v="16.95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6"/>
    <x v="2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n v="12"/>
    <n v="91"/>
    <n v="98"/>
    <n v="60"/>
    <n v="17"/>
    <m/>
    <m/>
    <n v="101"/>
    <n v="100"/>
    <n v="1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"/>
    <m/>
    <m/>
    <m/>
    <m/>
    <m/>
    <m/>
    <m/>
    <m/>
    <m/>
    <m/>
    <m/>
    <m/>
    <m/>
    <x v="0"/>
  </r>
  <r>
    <x v="115"/>
    <x v="0"/>
    <s v="FALL'26"/>
    <x v="193"/>
    <x v="11"/>
    <s v="RL-Mexico"/>
    <s v="TDS"/>
    <x v="132"/>
    <x v="69"/>
    <x v="51"/>
    <m/>
    <x v="0"/>
    <x v="8"/>
    <n v="90"/>
    <m/>
    <n v="16.95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34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m/>
    <m/>
    <m/>
    <m/>
    <m/>
    <m/>
    <m/>
    <m/>
    <m/>
    <m/>
    <m/>
    <m/>
    <x v="1"/>
  </r>
  <r>
    <x v="115"/>
    <x v="0"/>
    <s v="FALL'26"/>
    <x v="194"/>
    <x v="2"/>
    <s v="US"/>
    <s v="0001"/>
    <x v="132"/>
    <x v="69"/>
    <x v="51"/>
    <m/>
    <x v="0"/>
    <x v="8"/>
    <n v="550"/>
    <m/>
    <n v="16.95"/>
    <m/>
    <m/>
    <s v="Vardhaman"/>
    <m/>
    <m/>
    <m/>
    <m/>
    <m/>
    <x v="0"/>
    <x v="0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27"/>
    <x v="1"/>
    <x v="0"/>
    <x v="2"/>
    <x v="2"/>
    <x v="2"/>
    <m/>
    <m/>
    <m/>
    <m/>
    <m/>
    <x v="0"/>
    <x v="1"/>
    <m/>
    <m/>
    <m/>
    <x v="8"/>
    <d v="2026-08-15T00:00:00"/>
    <x v="0"/>
    <m/>
    <m/>
    <m/>
    <m/>
    <m/>
    <m/>
    <m/>
    <m/>
    <m/>
    <m/>
    <m/>
    <m/>
    <m/>
    <m/>
    <m/>
    <m/>
    <m/>
    <m/>
    <m/>
    <m/>
    <m/>
    <m/>
    <m/>
    <n v="13"/>
    <n v="99"/>
    <n v="107"/>
    <n v="65"/>
    <n v="19"/>
    <m/>
    <m/>
    <n v="113"/>
    <n v="111"/>
    <n v="2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"/>
    <m/>
    <m/>
    <m/>
    <m/>
    <m/>
    <m/>
    <m/>
    <m/>
    <m/>
    <m/>
    <m/>
    <m/>
    <m/>
    <x v="1"/>
  </r>
  <r>
    <x v="116"/>
    <x v="0"/>
    <s v="FALL'26"/>
    <x v="181"/>
    <x v="11"/>
    <s v="RL-Mexico"/>
    <s v="TDS"/>
    <x v="133"/>
    <x v="0"/>
    <x v="47"/>
    <m/>
    <x v="0"/>
    <x v="49"/>
    <n v="102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n v="18"/>
    <n v="32"/>
    <n v="28"/>
    <n v="16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"/>
    <m/>
    <m/>
    <m/>
    <m/>
    <m/>
    <m/>
    <m/>
    <m/>
    <m/>
    <m/>
    <m/>
    <m/>
    <m/>
    <x v="1"/>
  </r>
  <r>
    <x v="116"/>
    <x v="0"/>
    <s v="FALL'26"/>
    <x v="183"/>
    <x v="2"/>
    <s v="US"/>
    <s v="0001"/>
    <x v="133"/>
    <x v="0"/>
    <x v="47"/>
    <m/>
    <x v="0"/>
    <x v="49"/>
    <n v="1224"/>
    <m/>
    <n v="12.5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n v="137"/>
    <n v="265"/>
    <n v="356"/>
    <n v="303"/>
    <n v="1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24"/>
    <m/>
    <m/>
    <m/>
    <m/>
    <m/>
    <m/>
    <m/>
    <m/>
    <m/>
    <m/>
    <m/>
    <m/>
    <m/>
    <x v="1"/>
  </r>
  <r>
    <x v="117"/>
    <x v="0"/>
    <s v="FALL'26"/>
    <x v="183"/>
    <x v="2"/>
    <s v="US"/>
    <s v="0001"/>
    <x v="134"/>
    <x v="0"/>
    <x v="47"/>
    <m/>
    <x v="0"/>
    <x v="72"/>
    <n v="1124"/>
    <m/>
    <n v="12.6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n v="129"/>
    <n v="247"/>
    <n v="324"/>
    <n v="277"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4"/>
    <m/>
    <m/>
    <m/>
    <m/>
    <m/>
    <m/>
    <m/>
    <m/>
    <m/>
    <m/>
    <m/>
    <m/>
    <m/>
    <x v="1"/>
  </r>
  <r>
    <x v="106"/>
    <x v="0"/>
    <s v="FALL'26"/>
    <x v="195"/>
    <x v="11"/>
    <s v="RL-Mexico"/>
    <s v="TDS"/>
    <x v="123"/>
    <x v="68"/>
    <x v="51"/>
    <m/>
    <x v="0"/>
    <x v="47"/>
    <n v="48"/>
    <m/>
    <n v="15.2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"/>
    <n v="18"/>
    <n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m/>
    <m/>
    <m/>
    <m/>
    <m/>
    <m/>
    <m/>
    <m/>
    <m/>
    <m/>
    <m/>
    <m/>
    <m/>
    <x v="1"/>
  </r>
  <r>
    <x v="106"/>
    <x v="0"/>
    <s v="FALL'26"/>
    <x v="196"/>
    <x v="2"/>
    <s v="US"/>
    <s v="0001"/>
    <x v="123"/>
    <x v="68"/>
    <x v="51"/>
    <m/>
    <x v="0"/>
    <x v="47"/>
    <n v="252"/>
    <m/>
    <n v="15.2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m/>
    <m/>
    <m/>
    <m/>
    <m/>
    <m/>
    <m/>
    <n v="9"/>
    <n v="44"/>
    <n v="47"/>
    <n v="28"/>
    <n v="10"/>
    <m/>
    <m/>
    <n v="50"/>
    <n v="51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2"/>
    <m/>
    <m/>
    <m/>
    <m/>
    <m/>
    <m/>
    <m/>
    <m/>
    <m/>
    <m/>
    <m/>
    <m/>
    <m/>
    <x v="1"/>
  </r>
  <r>
    <x v="118"/>
    <x v="0"/>
    <s v="FALL'26"/>
    <x v="195"/>
    <x v="11"/>
    <s v="RL-Mexico"/>
    <s v="TDS"/>
    <x v="135"/>
    <x v="68"/>
    <x v="51"/>
    <m/>
    <x v="0"/>
    <x v="48"/>
    <n v="62"/>
    <m/>
    <n v="15.2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"/>
    <n v="24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"/>
    <m/>
    <m/>
    <m/>
    <m/>
    <m/>
    <m/>
    <m/>
    <m/>
    <m/>
    <m/>
    <m/>
    <m/>
    <m/>
    <x v="1"/>
  </r>
  <r>
    <x v="118"/>
    <x v="0"/>
    <s v="FALL'26"/>
    <x v="196"/>
    <x v="2"/>
    <s v="US"/>
    <s v="0001"/>
    <x v="135"/>
    <x v="68"/>
    <x v="51"/>
    <m/>
    <x v="0"/>
    <x v="48"/>
    <n v="1168"/>
    <m/>
    <n v="15.2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9"/>
    <x v="1"/>
    <x v="0"/>
    <x v="2"/>
    <x v="2"/>
    <x v="2"/>
    <m/>
    <m/>
    <m/>
    <m/>
    <m/>
    <x v="0"/>
    <x v="1"/>
    <m/>
    <m/>
    <m/>
    <x v="16"/>
    <d v="2026-08-15T00:00:00"/>
    <x v="0"/>
    <m/>
    <m/>
    <m/>
    <m/>
    <m/>
    <m/>
    <m/>
    <m/>
    <m/>
    <m/>
    <m/>
    <m/>
    <m/>
    <m/>
    <m/>
    <m/>
    <m/>
    <m/>
    <m/>
    <m/>
    <m/>
    <m/>
    <m/>
    <n v="81"/>
    <n v="170"/>
    <n v="241"/>
    <n v="151"/>
    <n v="76"/>
    <m/>
    <m/>
    <n v="227"/>
    <n v="18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8"/>
    <m/>
    <m/>
    <m/>
    <m/>
    <m/>
    <m/>
    <m/>
    <m/>
    <m/>
    <m/>
    <m/>
    <m/>
    <m/>
    <x v="1"/>
  </r>
  <r>
    <x v="119"/>
    <x v="0"/>
    <s v="FALL'26"/>
    <x v="131"/>
    <x v="12"/>
    <s v="TBC"/>
    <m/>
    <x v="136"/>
    <x v="70"/>
    <x v="52"/>
    <m/>
    <x v="29"/>
    <x v="4"/>
    <n v="274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7"/>
    <x v="1"/>
    <x v="1"/>
    <x v="1"/>
    <x v="1"/>
    <x v="1"/>
    <m/>
    <m/>
    <m/>
    <m/>
    <m/>
    <x v="0"/>
    <x v="1"/>
    <m/>
    <m/>
    <d v="2026-07-12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0"/>
    <x v="0"/>
    <s v="FALL'26"/>
    <x v="131"/>
    <x v="12"/>
    <s v="TBC"/>
    <m/>
    <x v="37"/>
    <x v="71"/>
    <x v="53"/>
    <m/>
    <x v="9"/>
    <x v="29"/>
    <n v="765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8"/>
    <x v="1"/>
    <x v="1"/>
    <x v="1"/>
    <x v="1"/>
    <x v="1"/>
    <m/>
    <m/>
    <m/>
    <m/>
    <m/>
    <x v="0"/>
    <x v="1"/>
    <m/>
    <m/>
    <d v="2026-06-28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1"/>
    <x v="0"/>
    <s v="FALL'26"/>
    <x v="197"/>
    <x v="2"/>
    <s v="US"/>
    <s v="0001"/>
    <x v="68"/>
    <x v="72"/>
    <x v="31"/>
    <m/>
    <x v="30"/>
    <x v="50"/>
    <n v="529"/>
    <m/>
    <n v="21.3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9"/>
    <x v="1"/>
    <x v="1"/>
    <x v="1"/>
    <x v="1"/>
    <x v="1"/>
    <m/>
    <m/>
    <m/>
    <m/>
    <m/>
    <x v="0"/>
    <x v="1"/>
    <m/>
    <m/>
    <d v="2026-07-05T00:00:00"/>
    <x v="9"/>
    <d v="2026-09-15T00:00:00"/>
    <x v="0"/>
    <m/>
    <m/>
    <m/>
    <m/>
    <m/>
    <m/>
    <m/>
    <m/>
    <m/>
    <m/>
    <m/>
    <m/>
    <m/>
    <m/>
    <n v="5"/>
    <n v="50"/>
    <n v="137"/>
    <n v="154"/>
    <n v="111"/>
    <n v="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"/>
    <m/>
    <m/>
    <m/>
    <m/>
    <m/>
    <m/>
    <m/>
    <m/>
    <m/>
    <m/>
    <m/>
    <m/>
    <m/>
    <x v="0"/>
  </r>
  <r>
    <x v="121"/>
    <x v="0"/>
    <s v="FALL'26"/>
    <x v="198"/>
    <x v="6"/>
    <s v="CANADA"/>
    <s v="0001"/>
    <x v="68"/>
    <x v="72"/>
    <x v="31"/>
    <m/>
    <x v="30"/>
    <x v="50"/>
    <n v="107"/>
    <m/>
    <n v="21.3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39"/>
    <x v="1"/>
    <x v="1"/>
    <x v="1"/>
    <x v="1"/>
    <x v="1"/>
    <m/>
    <m/>
    <m/>
    <m/>
    <m/>
    <x v="0"/>
    <x v="1"/>
    <m/>
    <m/>
    <d v="2026-07-05T00:00:00"/>
    <x v="9"/>
    <d v="2026-09-15T00:00:00"/>
    <x v="0"/>
    <m/>
    <m/>
    <m/>
    <m/>
    <m/>
    <m/>
    <m/>
    <m/>
    <m/>
    <m/>
    <m/>
    <m/>
    <m/>
    <m/>
    <n v="2"/>
    <n v="12"/>
    <n v="33"/>
    <n v="34"/>
    <n v="20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"/>
    <m/>
    <m/>
    <m/>
    <m/>
    <m/>
    <m/>
    <m/>
    <m/>
    <m/>
    <m/>
    <m/>
    <m/>
    <m/>
    <x v="0"/>
  </r>
  <r>
    <x v="122"/>
    <x v="0"/>
    <s v="HOL'26"/>
    <x v="131"/>
    <x v="12"/>
    <s v="TBC"/>
    <m/>
    <x v="30"/>
    <x v="73"/>
    <x v="54"/>
    <m/>
    <x v="31"/>
    <x v="25"/>
    <n v="966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0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3"/>
    <x v="0"/>
    <s v="HOL'26"/>
    <x v="131"/>
    <x v="12"/>
    <s v="TBC"/>
    <m/>
    <x v="32"/>
    <x v="74"/>
    <x v="54"/>
    <m/>
    <x v="31"/>
    <x v="27"/>
    <n v="155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0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4"/>
    <x v="0"/>
    <s v="HOL'26"/>
    <x v="131"/>
    <x v="12"/>
    <s v="TBC"/>
    <m/>
    <x v="24"/>
    <x v="75"/>
    <x v="55"/>
    <m/>
    <x v="31"/>
    <x v="22"/>
    <n v="6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5"/>
    <x v="0"/>
    <s v="HOL'26"/>
    <x v="131"/>
    <x v="12"/>
    <s v="TBC"/>
    <m/>
    <x v="25"/>
    <x v="76"/>
    <x v="55"/>
    <m/>
    <x v="31"/>
    <x v="23"/>
    <n v="502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6"/>
    <x v="0"/>
    <s v="HOL'26"/>
    <x v="131"/>
    <x v="12"/>
    <s v="TBC"/>
    <m/>
    <x v="26"/>
    <x v="77"/>
    <x v="55"/>
    <m/>
    <x v="31"/>
    <x v="24"/>
    <n v="3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7"/>
    <x v="0"/>
    <s v="HOL'26"/>
    <x v="131"/>
    <x v="12"/>
    <s v="TBC"/>
    <m/>
    <x v="33"/>
    <x v="78"/>
    <x v="54"/>
    <m/>
    <x v="31"/>
    <x v="25"/>
    <n v="57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0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8"/>
    <x v="0"/>
    <s v="HOL'26"/>
    <x v="131"/>
    <x v="12"/>
    <s v="TBC"/>
    <m/>
    <x v="34"/>
    <x v="79"/>
    <x v="54"/>
    <m/>
    <x v="31"/>
    <x v="27"/>
    <n v="23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0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29"/>
    <x v="0"/>
    <s v="HOL'26"/>
    <x v="131"/>
    <x v="12"/>
    <s v="TBC"/>
    <m/>
    <x v="27"/>
    <x v="80"/>
    <x v="55"/>
    <m/>
    <x v="31"/>
    <x v="22"/>
    <n v="85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0"/>
    <x v="0"/>
    <s v="HOL'26"/>
    <x v="131"/>
    <x v="12"/>
    <s v="TBC"/>
    <m/>
    <x v="28"/>
    <x v="81"/>
    <x v="55"/>
    <m/>
    <x v="31"/>
    <x v="24"/>
    <n v="301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1"/>
    <x v="0"/>
    <s v="HOL'26"/>
    <x v="131"/>
    <x v="12"/>
    <s v="TBC"/>
    <m/>
    <x v="29"/>
    <x v="82"/>
    <x v="55"/>
    <m/>
    <x v="31"/>
    <x v="23"/>
    <n v="502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1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2"/>
    <x v="0"/>
    <s v="HOL'26"/>
    <x v="131"/>
    <x v="12"/>
    <s v="TBC"/>
    <m/>
    <x v="110"/>
    <x v="83"/>
    <x v="56"/>
    <m/>
    <x v="31"/>
    <x v="30"/>
    <n v="5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2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3"/>
    <x v="0"/>
    <s v="HOL'26"/>
    <x v="131"/>
    <x v="12"/>
    <s v="TBC"/>
    <m/>
    <x v="111"/>
    <x v="84"/>
    <x v="56"/>
    <m/>
    <x v="31"/>
    <x v="4"/>
    <n v="5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2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4"/>
    <x v="0"/>
    <s v="HOL'26"/>
    <x v="131"/>
    <x v="12"/>
    <s v="TBC"/>
    <m/>
    <x v="112"/>
    <x v="85"/>
    <x v="56"/>
    <m/>
    <x v="31"/>
    <x v="30"/>
    <n v="12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2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5"/>
    <x v="0"/>
    <s v="HOL'26"/>
    <x v="131"/>
    <x v="12"/>
    <s v="TBC"/>
    <m/>
    <x v="113"/>
    <x v="86"/>
    <x v="56"/>
    <m/>
    <x v="31"/>
    <x v="4"/>
    <n v="120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2"/>
    <x v="1"/>
    <x v="1"/>
    <x v="1"/>
    <x v="1"/>
    <x v="1"/>
    <m/>
    <m/>
    <m/>
    <m/>
    <m/>
    <x v="0"/>
    <x v="1"/>
    <m/>
    <m/>
    <d v="2026-07-05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6"/>
    <x v="0"/>
    <s v="CR'26"/>
    <x v="131"/>
    <x v="12"/>
    <s v="TBC"/>
    <m/>
    <x v="137"/>
    <x v="87"/>
    <x v="57"/>
    <m/>
    <x v="32"/>
    <x v="73"/>
    <n v="734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3"/>
    <x v="1"/>
    <x v="1"/>
    <x v="1"/>
    <x v="1"/>
    <x v="1"/>
    <m/>
    <m/>
    <m/>
    <m/>
    <m/>
    <x v="0"/>
    <x v="1"/>
    <m/>
    <m/>
    <d v="2026-07-26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7"/>
    <x v="0"/>
    <s v="CR'26"/>
    <x v="131"/>
    <x v="12"/>
    <s v="TBC"/>
    <m/>
    <x v="138"/>
    <x v="88"/>
    <x v="57"/>
    <m/>
    <x v="32"/>
    <x v="74"/>
    <n v="530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3"/>
    <x v="1"/>
    <x v="1"/>
    <x v="1"/>
    <x v="1"/>
    <x v="1"/>
    <m/>
    <m/>
    <m/>
    <m/>
    <m/>
    <x v="0"/>
    <x v="1"/>
    <m/>
    <m/>
    <d v="2026-07-26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8"/>
    <x v="0"/>
    <s v="CR'26"/>
    <x v="131"/>
    <x v="12"/>
    <s v="TBC"/>
    <m/>
    <x v="139"/>
    <x v="89"/>
    <x v="57"/>
    <m/>
    <x v="33"/>
    <x v="74"/>
    <n v="624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3"/>
    <x v="1"/>
    <x v="1"/>
    <x v="1"/>
    <x v="1"/>
    <x v="1"/>
    <m/>
    <m/>
    <m/>
    <m/>
    <m/>
    <x v="0"/>
    <x v="1"/>
    <m/>
    <m/>
    <d v="2026-07-26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39"/>
    <x v="0"/>
    <s v="CR'26"/>
    <x v="131"/>
    <x v="12"/>
    <s v="TBC"/>
    <m/>
    <x v="140"/>
    <x v="90"/>
    <x v="57"/>
    <m/>
    <x v="33"/>
    <x v="73"/>
    <n v="624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3"/>
    <x v="1"/>
    <x v="1"/>
    <x v="1"/>
    <x v="1"/>
    <x v="1"/>
    <m/>
    <m/>
    <m/>
    <m/>
    <m/>
    <x v="0"/>
    <x v="1"/>
    <m/>
    <m/>
    <d v="2026-07-26T00:00:00"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40"/>
    <x v="1"/>
    <s v="BSR-SC31-34"/>
    <x v="199"/>
    <x v="3"/>
    <s v="HK"/>
    <s v="FPWS"/>
    <x v="97"/>
    <x v="3"/>
    <x v="4"/>
    <m/>
    <x v="15"/>
    <x v="8"/>
    <n v="82"/>
    <m/>
    <n v="8.2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1"/>
    <n v="24"/>
    <n v="35"/>
    <n v="17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"/>
    <m/>
    <m/>
    <m/>
    <m/>
    <m/>
    <m/>
    <m/>
    <m/>
    <m/>
    <m/>
    <m/>
    <m/>
    <m/>
    <x v="1"/>
  </r>
  <r>
    <x v="140"/>
    <x v="1"/>
    <s v="BSR-SC31-34"/>
    <x v="200"/>
    <x v="5"/>
    <s v="ITALY"/>
    <s v="0001"/>
    <x v="97"/>
    <x v="3"/>
    <x v="4"/>
    <m/>
    <x v="15"/>
    <x v="8"/>
    <n v="1140"/>
    <m/>
    <n v="8.2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196"/>
    <n v="261"/>
    <n v="383"/>
    <n v="259"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0"/>
    <m/>
    <m/>
    <m/>
    <m/>
    <m/>
    <m/>
    <m/>
    <m/>
    <m/>
    <m/>
    <m/>
    <m/>
    <m/>
    <x v="1"/>
  </r>
  <r>
    <x v="140"/>
    <x v="1"/>
    <s v="TBC"/>
    <x v="131"/>
    <x v="12"/>
    <s v="TBC"/>
    <s v="TBC"/>
    <x v="97"/>
    <x v="3"/>
    <x v="4"/>
    <m/>
    <x v="15"/>
    <x v="8"/>
    <n v="1651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n v="48"/>
    <n v="52"/>
    <n v="720"/>
    <n v="615"/>
    <n v="175"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1"/>
    <m/>
    <m/>
    <m/>
    <m/>
    <m/>
    <m/>
    <m/>
    <m/>
    <m/>
    <m/>
    <m/>
    <m/>
    <m/>
    <x v="3"/>
  </r>
  <r>
    <x v="141"/>
    <x v="1"/>
    <s v="BSR-SC31-34"/>
    <x v="199"/>
    <x v="3"/>
    <s v="HK"/>
    <s v="FPWS"/>
    <x v="6"/>
    <x v="3"/>
    <x v="4"/>
    <m/>
    <x v="15"/>
    <x v="5"/>
    <n v="32"/>
    <m/>
    <n v="8.2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10"/>
    <n v="14"/>
    <n v="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x v="1"/>
  </r>
  <r>
    <x v="141"/>
    <x v="1"/>
    <s v="BSR-SC31-34"/>
    <x v="200"/>
    <x v="5"/>
    <s v="ITALY"/>
    <s v="0001"/>
    <x v="6"/>
    <x v="3"/>
    <x v="4"/>
    <m/>
    <x v="15"/>
    <x v="5"/>
    <n v="387"/>
    <m/>
    <n v="8.2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5"/>
    <n v="76"/>
    <n v="125"/>
    <n v="129"/>
    <n v="44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7"/>
    <m/>
    <m/>
    <m/>
    <m/>
    <m/>
    <m/>
    <m/>
    <m/>
    <m/>
    <m/>
    <m/>
    <m/>
    <m/>
    <x v="1"/>
  </r>
  <r>
    <x v="142"/>
    <x v="1"/>
    <s v="BSR-SC31-34"/>
    <x v="200"/>
    <x v="5"/>
    <s v="ITALY"/>
    <s v="0001"/>
    <x v="6"/>
    <x v="3"/>
    <x v="4"/>
    <m/>
    <x v="15"/>
    <x v="5"/>
    <n v="340"/>
    <m/>
    <n v="8.2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1"/>
    <n v="15"/>
    <n v="138"/>
    <n v="128"/>
    <n v="40"/>
    <s v="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2"/>
    <m/>
    <m/>
    <m/>
    <m/>
    <m/>
    <m/>
    <m/>
    <m/>
    <m/>
    <m/>
    <m/>
    <m/>
    <m/>
    <x v="1"/>
  </r>
  <r>
    <x v="143"/>
    <x v="1"/>
    <s v="BSR-SC31-34"/>
    <x v="199"/>
    <x v="3"/>
    <s v="HK"/>
    <s v="FPWS"/>
    <x v="99"/>
    <x v="3"/>
    <x v="4"/>
    <m/>
    <x v="15"/>
    <x v="75"/>
    <n v="70"/>
    <m/>
    <n v="8.6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19"/>
    <n v="28"/>
    <n v="18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"/>
    <m/>
    <m/>
    <m/>
    <m/>
    <m/>
    <m/>
    <m/>
    <m/>
    <m/>
    <m/>
    <m/>
    <m/>
    <m/>
    <x v="1"/>
  </r>
  <r>
    <x v="143"/>
    <x v="1"/>
    <s v="BSR-SC31-34"/>
    <x v="200"/>
    <x v="5"/>
    <s v="ITALY"/>
    <s v="0001"/>
    <x v="99"/>
    <x v="3"/>
    <x v="4"/>
    <m/>
    <x v="15"/>
    <x v="75"/>
    <n v="1441"/>
    <m/>
    <n v="8.6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22"/>
    <n v="198"/>
    <n v="506"/>
    <n v="493"/>
    <n v="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"/>
    <m/>
    <m/>
    <m/>
    <m/>
    <m/>
    <m/>
    <m/>
    <m/>
    <m/>
    <m/>
    <m/>
    <m/>
    <m/>
    <x v="1"/>
  </r>
  <r>
    <x v="144"/>
    <x v="1"/>
    <s v="BSR-SC31-34"/>
    <x v="200"/>
    <x v="5"/>
    <s v="ITALY"/>
    <s v="0001"/>
    <x v="99"/>
    <x v="3"/>
    <x v="4"/>
    <m/>
    <x v="15"/>
    <x v="75"/>
    <n v="155"/>
    <m/>
    <n v="8.65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11"/>
    <m/>
    <m/>
    <m/>
    <n v="69"/>
    <n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"/>
    <m/>
    <m/>
    <m/>
    <m/>
    <m/>
    <m/>
    <m/>
    <m/>
    <m/>
    <m/>
    <m/>
    <m/>
    <m/>
    <x v="1"/>
  </r>
  <r>
    <x v="7"/>
    <x v="1"/>
    <s v="TBC"/>
    <x v="131"/>
    <x v="12"/>
    <s v="TBC"/>
    <s v="TBC"/>
    <x v="99"/>
    <x v="3"/>
    <x v="4"/>
    <m/>
    <x v="15"/>
    <x v="75"/>
    <n v="332"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n v="0"/>
    <n v="61"/>
    <n v="175"/>
    <n v="96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2"/>
    <m/>
    <m/>
    <m/>
    <m/>
    <m/>
    <m/>
    <m/>
    <m/>
    <m/>
    <m/>
    <m/>
    <m/>
    <m/>
    <x v="3"/>
  </r>
  <r>
    <x v="145"/>
    <x v="1"/>
    <s v="BSR-SC31-34"/>
    <x v="200"/>
    <x v="5"/>
    <s v="ITALY"/>
    <s v="0001"/>
    <x v="100"/>
    <x v="3"/>
    <x v="4"/>
    <m/>
    <x v="15"/>
    <x v="76"/>
    <n v="443"/>
    <m/>
    <n v="8.77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50"/>
    <n v="138"/>
    <n v="144"/>
    <n v="81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3"/>
    <m/>
    <m/>
    <m/>
    <m/>
    <m/>
    <m/>
    <m/>
    <m/>
    <m/>
    <m/>
    <m/>
    <m/>
    <m/>
    <x v="1"/>
  </r>
  <r>
    <x v="146"/>
    <x v="1"/>
    <s v="BSR-SC31-34"/>
    <x v="201"/>
    <x v="3"/>
    <s v="HK"/>
    <s v="FPWS"/>
    <x v="141"/>
    <x v="91"/>
    <x v="58"/>
    <m/>
    <x v="9"/>
    <x v="4"/>
    <n v="361"/>
    <m/>
    <n v="7.82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31"/>
    <n v="95"/>
    <n v="125"/>
    <n v="10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"/>
    <m/>
    <m/>
    <m/>
    <m/>
    <m/>
    <m/>
    <m/>
    <m/>
    <m/>
    <m/>
    <m/>
    <m/>
    <m/>
    <x v="1"/>
  </r>
  <r>
    <x v="147"/>
    <x v="1"/>
    <s v="BSR-SC31-34"/>
    <x v="201"/>
    <x v="3"/>
    <s v="HK"/>
    <s v="FPWS"/>
    <x v="141"/>
    <x v="91"/>
    <x v="58"/>
    <m/>
    <x v="9"/>
    <x v="4"/>
    <n v="18"/>
    <m/>
    <n v="7.82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3"/>
    <m/>
    <m/>
    <m/>
    <m/>
    <m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  <m/>
    <m/>
    <m/>
    <m/>
    <m/>
    <m/>
    <m/>
    <m/>
    <x v="1"/>
  </r>
  <r>
    <x v="146"/>
    <x v="1"/>
    <s v="BSR-SC31-34"/>
    <x v="202"/>
    <x v="5"/>
    <s v="ITALY"/>
    <s v="0001"/>
    <x v="141"/>
    <x v="91"/>
    <x v="58"/>
    <m/>
    <x v="9"/>
    <x v="4"/>
    <n v="3162"/>
    <m/>
    <n v="7.82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426"/>
    <n v="1044"/>
    <n v="1084"/>
    <n v="466"/>
    <n v="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2"/>
    <m/>
    <m/>
    <m/>
    <m/>
    <m/>
    <m/>
    <m/>
    <m/>
    <m/>
    <m/>
    <m/>
    <m/>
    <m/>
    <x v="1"/>
  </r>
  <r>
    <x v="147"/>
    <x v="1"/>
    <s v="BSR-SC31-34"/>
    <x v="202"/>
    <x v="5"/>
    <s v="ITALY"/>
    <s v="0001"/>
    <x v="141"/>
    <x v="91"/>
    <x v="58"/>
    <m/>
    <x v="9"/>
    <x v="4"/>
    <n v="52"/>
    <m/>
    <n v="7.82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0"/>
    <n v="0"/>
    <n v="0"/>
    <n v="0"/>
    <n v="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"/>
    <m/>
    <m/>
    <m/>
    <m/>
    <m/>
    <m/>
    <m/>
    <m/>
    <m/>
    <m/>
    <m/>
    <m/>
    <m/>
    <x v="1"/>
  </r>
  <r>
    <x v="148"/>
    <x v="1"/>
    <s v="BSR-SC31-34"/>
    <x v="201"/>
    <x v="3"/>
    <s v="HK"/>
    <s v="FPWS"/>
    <x v="142"/>
    <x v="91"/>
    <x v="58"/>
    <m/>
    <x v="9"/>
    <x v="77"/>
    <n v="143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14"/>
    <n v="88"/>
    <n v="15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"/>
    <m/>
    <m/>
    <m/>
    <m/>
    <m/>
    <m/>
    <m/>
    <m/>
    <m/>
    <m/>
    <m/>
    <m/>
    <m/>
    <x v="1"/>
  </r>
  <r>
    <x v="149"/>
    <x v="1"/>
    <s v="BSR-SC31-34"/>
    <x v="201"/>
    <x v="3"/>
    <s v="HK"/>
    <s v="FPWS"/>
    <x v="142"/>
    <x v="91"/>
    <x v="58"/>
    <m/>
    <x v="9"/>
    <x v="77"/>
    <n v="97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0"/>
    <n v="0"/>
    <n v="0"/>
    <n v="16"/>
    <n v="66"/>
    <n v="0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"/>
    <m/>
    <m/>
    <m/>
    <m/>
    <m/>
    <m/>
    <m/>
    <m/>
    <m/>
    <m/>
    <m/>
    <m/>
    <m/>
    <x v="1"/>
  </r>
  <r>
    <x v="148"/>
    <x v="1"/>
    <s v="BSR-SC31-34"/>
    <x v="202"/>
    <x v="5"/>
    <s v="ITALY"/>
    <s v="0001"/>
    <x v="142"/>
    <x v="91"/>
    <x v="58"/>
    <m/>
    <x v="9"/>
    <x v="77"/>
    <n v="2630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332"/>
    <n v="877"/>
    <n v="807"/>
    <n v="447"/>
    <n v="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0"/>
    <m/>
    <m/>
    <m/>
    <m/>
    <m/>
    <m/>
    <m/>
    <m/>
    <m/>
    <m/>
    <m/>
    <m/>
    <m/>
    <x v="1"/>
  </r>
  <r>
    <x v="148"/>
    <x v="1"/>
    <s v="TBC"/>
    <x v="131"/>
    <x v="12"/>
    <s v="TBC"/>
    <s v="TBC"/>
    <x v="142"/>
    <x v="91"/>
    <x v="58"/>
    <m/>
    <x v="9"/>
    <x v="77"/>
    <n v="150"/>
    <m/>
    <n v="8.2799999999999994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d v="2026-06-21T00:00:00"/>
    <x v="0"/>
    <m/>
    <m/>
    <m/>
    <m/>
    <m/>
    <m/>
    <m/>
    <m/>
    <m/>
    <m/>
    <m/>
    <m/>
    <m/>
    <m/>
    <n v="0"/>
    <n v="97"/>
    <n v="27"/>
    <n v="0"/>
    <n v="0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"/>
    <m/>
    <m/>
    <m/>
    <m/>
    <m/>
    <m/>
    <m/>
    <m/>
    <m/>
    <m/>
    <m/>
    <m/>
    <m/>
    <x v="3"/>
  </r>
  <r>
    <x v="150"/>
    <x v="1"/>
    <s v="BSR-SC31-34"/>
    <x v="201"/>
    <x v="3"/>
    <s v="HK"/>
    <s v="FPWS"/>
    <x v="143"/>
    <x v="91"/>
    <x v="58"/>
    <m/>
    <x v="9"/>
    <x v="78"/>
    <n v="31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5"/>
    <n v="10"/>
    <n v="10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"/>
    <m/>
    <m/>
    <m/>
    <m/>
    <m/>
    <m/>
    <m/>
    <m/>
    <m/>
    <m/>
    <m/>
    <m/>
    <m/>
    <x v="1"/>
  </r>
  <r>
    <x v="150"/>
    <x v="1"/>
    <s v="BSR-SC31-34"/>
    <x v="202"/>
    <x v="5"/>
    <s v="ITALY"/>
    <s v="0001"/>
    <x v="143"/>
    <x v="91"/>
    <x v="58"/>
    <m/>
    <x v="9"/>
    <x v="78"/>
    <n v="387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104"/>
    <n v="150"/>
    <n v="91"/>
    <n v="38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7"/>
    <m/>
    <m/>
    <m/>
    <m/>
    <m/>
    <m/>
    <m/>
    <m/>
    <m/>
    <m/>
    <m/>
    <m/>
    <m/>
    <x v="1"/>
  </r>
  <r>
    <x v="151"/>
    <x v="1"/>
    <s v="BSR-SC31-34"/>
    <x v="202"/>
    <x v="5"/>
    <s v="ITALY"/>
    <s v="0001"/>
    <x v="143"/>
    <x v="91"/>
    <x v="58"/>
    <m/>
    <x v="9"/>
    <x v="78"/>
    <n v="316"/>
    <m/>
    <n v="8.2799999999999994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0"/>
    <n v="27"/>
    <n v="59"/>
    <n v="147"/>
    <n v="47"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"/>
    <m/>
    <m/>
    <m/>
    <m/>
    <m/>
    <m/>
    <m/>
    <m/>
    <m/>
    <m/>
    <m/>
    <m/>
    <m/>
    <x v="1"/>
  </r>
  <r>
    <x v="152"/>
    <x v="1"/>
    <s v="BSR-SC31-34"/>
    <x v="201"/>
    <x v="3"/>
    <s v="HK"/>
    <s v="FPWS"/>
    <x v="144"/>
    <x v="91"/>
    <x v="58"/>
    <m/>
    <x v="9"/>
    <x v="79"/>
    <n v="474"/>
    <m/>
    <n v="8.68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57"/>
    <n v="154"/>
    <n v="198"/>
    <n v="48"/>
    <n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4"/>
    <m/>
    <m/>
    <m/>
    <m/>
    <m/>
    <m/>
    <m/>
    <m/>
    <m/>
    <m/>
    <m/>
    <m/>
    <m/>
    <x v="1"/>
  </r>
  <r>
    <x v="153"/>
    <x v="1"/>
    <s v="BSR-SC31-34"/>
    <x v="201"/>
    <x v="3"/>
    <s v="HK"/>
    <s v="FPWS"/>
    <x v="144"/>
    <x v="91"/>
    <x v="58"/>
    <m/>
    <x v="9"/>
    <x v="79"/>
    <n v="4"/>
    <m/>
    <n v="8.68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m/>
    <m/>
    <m/>
    <m/>
    <m/>
    <m/>
    <m/>
    <m/>
    <x v="1"/>
  </r>
  <r>
    <x v="152"/>
    <x v="1"/>
    <s v="BSR-SC31-34"/>
    <x v="202"/>
    <x v="5"/>
    <s v="ITALY"/>
    <s v="0001"/>
    <x v="144"/>
    <x v="91"/>
    <x v="58"/>
    <m/>
    <x v="9"/>
    <x v="79"/>
    <n v="1648"/>
    <m/>
    <n v="8.68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3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n v="233"/>
    <n v="696"/>
    <n v="279"/>
    <n v="290"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48"/>
    <m/>
    <m/>
    <m/>
    <m/>
    <m/>
    <m/>
    <m/>
    <m/>
    <m/>
    <m/>
    <m/>
    <m/>
    <m/>
    <x v="1"/>
  </r>
  <r>
    <x v="153"/>
    <x v="1"/>
    <s v="BSR-SC31-34"/>
    <x v="202"/>
    <x v="5"/>
    <s v="ITALY"/>
    <s v="0001"/>
    <x v="144"/>
    <x v="91"/>
    <x v="58"/>
    <m/>
    <x v="9"/>
    <x v="79"/>
    <n v="378"/>
    <m/>
    <n v="8.68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n v="10"/>
    <m/>
    <m/>
    <n v="3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"/>
    <m/>
    <m/>
    <m/>
    <m/>
    <m/>
    <m/>
    <m/>
    <m/>
    <m/>
    <m/>
    <m/>
    <m/>
    <m/>
    <x v="1"/>
  </r>
  <r>
    <x v="154"/>
    <x v="1"/>
    <s v="BSR-SC31-34"/>
    <x v="203"/>
    <x v="5"/>
    <s v="ITALY"/>
    <s v="0001"/>
    <x v="10"/>
    <x v="6"/>
    <x v="7"/>
    <m/>
    <x v="34"/>
    <x v="4"/>
    <n v="366"/>
    <m/>
    <n v="10.86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m/>
    <m/>
    <m/>
    <m/>
    <m/>
    <m/>
    <m/>
    <m/>
    <n v="23"/>
    <n v="41"/>
    <n v="32"/>
    <n v="11"/>
    <m/>
    <m/>
    <n v="68"/>
    <n v="100"/>
    <n v="83"/>
    <m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"/>
    <m/>
    <m/>
    <m/>
    <m/>
    <m/>
    <m/>
    <m/>
    <m/>
    <m/>
    <m/>
    <m/>
    <m/>
    <m/>
    <x v="1"/>
  </r>
  <r>
    <x v="154"/>
    <x v="1"/>
    <s v="BSR-SC31-34"/>
    <x v="204"/>
    <x v="3"/>
    <s v="HK"/>
    <s v="FPWS"/>
    <x v="10"/>
    <x v="6"/>
    <x v="7"/>
    <m/>
    <x v="34"/>
    <x v="4"/>
    <n v="60"/>
    <m/>
    <n v="10.86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22"/>
    <n v="18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m/>
    <m/>
    <m/>
    <m/>
    <m/>
    <m/>
    <x v="1"/>
  </r>
  <r>
    <x v="155"/>
    <x v="1"/>
    <s v="BSR-SC31-34"/>
    <x v="203"/>
    <x v="5"/>
    <s v="ITALY"/>
    <s v="0001"/>
    <x v="94"/>
    <x v="6"/>
    <x v="7"/>
    <m/>
    <x v="34"/>
    <x v="77"/>
    <n v="323"/>
    <m/>
    <n v="10.86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m/>
    <m/>
    <m/>
    <m/>
    <m/>
    <m/>
    <m/>
    <m/>
    <m/>
    <n v="40"/>
    <n v="32"/>
    <n v="14"/>
    <n v="2"/>
    <m/>
    <n v="41"/>
    <n v="82"/>
    <n v="103"/>
    <m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3"/>
    <m/>
    <m/>
    <m/>
    <m/>
    <m/>
    <m/>
    <m/>
    <m/>
    <m/>
    <m/>
    <m/>
    <m/>
    <m/>
    <x v="1"/>
  </r>
  <r>
    <x v="155"/>
    <x v="1"/>
    <s v="BSR-SC31-34"/>
    <x v="204"/>
    <x v="3"/>
    <s v="HK"/>
    <s v="FPWS"/>
    <x v="94"/>
    <x v="6"/>
    <x v="7"/>
    <m/>
    <x v="34"/>
    <x v="77"/>
    <n v="30"/>
    <m/>
    <n v="10.86"/>
    <m/>
    <m/>
    <s v="Runetex"/>
    <m/>
    <m/>
    <m/>
    <m/>
    <m/>
    <x v="1"/>
    <x v="1"/>
    <m/>
    <m/>
    <m/>
    <m/>
    <m/>
    <m/>
    <m/>
    <m/>
    <m/>
    <m/>
    <m/>
    <m/>
    <m/>
    <m/>
    <m/>
    <m/>
    <m/>
    <m/>
    <x v="10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6-21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11"/>
    <n v="9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x v="1"/>
  </r>
  <r>
    <x v="7"/>
    <x v="0"/>
    <s v="FALL'26"/>
    <x v="205"/>
    <x v="9"/>
    <s v="ITALY"/>
    <s v="0001"/>
    <x v="37"/>
    <x v="23"/>
    <x v="21"/>
    <m/>
    <x v="9"/>
    <x v="29"/>
    <n v="765"/>
    <m/>
    <n v="18.920000000000002"/>
    <m/>
    <m/>
    <s v="Earthsea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n v="40"/>
    <n v="58"/>
    <n v="199"/>
    <n v="257"/>
    <n v="136"/>
    <n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5"/>
    <m/>
    <m/>
    <m/>
    <m/>
    <m/>
    <m/>
    <m/>
    <m/>
    <m/>
    <m/>
    <m/>
    <m/>
    <m/>
    <x v="0"/>
  </r>
  <r>
    <x v="156"/>
    <x v="2"/>
    <s v="RSM-01"/>
    <x v="206"/>
    <x v="9"/>
    <s v="ITALY"/>
    <s v="0001"/>
    <x v="145"/>
    <x v="92"/>
    <x v="59"/>
    <m/>
    <x v="0"/>
    <x v="8"/>
    <n v="384"/>
    <m/>
    <n v="7.85"/>
    <m/>
    <m/>
    <s v="Runetex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4-21T00:00:00"/>
    <x v="0"/>
    <m/>
    <m/>
    <m/>
    <m/>
    <m/>
    <m/>
    <m/>
    <m/>
    <m/>
    <m/>
    <m/>
    <m/>
    <m/>
    <m/>
    <m/>
    <m/>
    <n v="52"/>
    <n v="303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4"/>
    <m/>
    <m/>
    <m/>
    <m/>
    <m/>
    <m/>
    <m/>
    <m/>
    <m/>
    <m/>
    <m/>
    <m/>
    <m/>
    <x v="0"/>
  </r>
  <r>
    <x v="157"/>
    <x v="2"/>
    <s v="RSM-01"/>
    <x v="206"/>
    <x v="9"/>
    <s v="ITALY"/>
    <s v="0001"/>
    <x v="146"/>
    <x v="92"/>
    <x v="59"/>
    <m/>
    <x v="0"/>
    <x v="55"/>
    <n v="301"/>
    <m/>
    <n v="8.3000000000000007"/>
    <m/>
    <m/>
    <s v="Runetex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4-21T00:00:00"/>
    <x v="0"/>
    <m/>
    <m/>
    <m/>
    <m/>
    <m/>
    <m/>
    <m/>
    <m/>
    <m/>
    <m/>
    <m/>
    <m/>
    <m/>
    <m/>
    <m/>
    <m/>
    <n v="156"/>
    <m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1"/>
    <m/>
    <m/>
    <m/>
    <m/>
    <m/>
    <m/>
    <m/>
    <m/>
    <m/>
    <m/>
    <m/>
    <m/>
    <m/>
    <x v="0"/>
  </r>
  <r>
    <x v="158"/>
    <x v="2"/>
    <s v="RSM-01"/>
    <x v="207"/>
    <x v="9"/>
    <s v="ITALY"/>
    <s v="0001"/>
    <x v="147"/>
    <x v="93"/>
    <x v="59"/>
    <m/>
    <x v="15"/>
    <x v="8"/>
    <n v="916"/>
    <m/>
    <n v="8.25"/>
    <m/>
    <m/>
    <s v="Runetex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4-21T00:00:00"/>
    <x v="0"/>
    <m/>
    <m/>
    <m/>
    <m/>
    <m/>
    <m/>
    <m/>
    <m/>
    <m/>
    <m/>
    <m/>
    <m/>
    <m/>
    <m/>
    <m/>
    <m/>
    <n v="313"/>
    <n v="418"/>
    <n v="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6"/>
    <m/>
    <m/>
    <m/>
    <m/>
    <m/>
    <m/>
    <m/>
    <m/>
    <m/>
    <m/>
    <m/>
    <m/>
    <m/>
    <x v="0"/>
  </r>
  <r>
    <x v="159"/>
    <x v="2"/>
    <s v="RSM-01"/>
    <x v="207"/>
    <x v="9"/>
    <s v="ITALY"/>
    <s v="0001"/>
    <x v="148"/>
    <x v="93"/>
    <x v="59"/>
    <m/>
    <x v="15"/>
    <x v="55"/>
    <n v="647"/>
    <m/>
    <n v="8.25"/>
    <m/>
    <m/>
    <s v="Runetex"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7"/>
    <d v="2026-04-21T00:00:00"/>
    <x v="0"/>
    <m/>
    <m/>
    <m/>
    <m/>
    <m/>
    <m/>
    <m/>
    <m/>
    <m/>
    <m/>
    <m/>
    <m/>
    <m/>
    <m/>
    <m/>
    <n v="46"/>
    <n v="272"/>
    <n v="263"/>
    <n v="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7"/>
    <m/>
    <m/>
    <m/>
    <m/>
    <m/>
    <m/>
    <m/>
    <m/>
    <m/>
    <m/>
    <m/>
    <m/>
    <m/>
    <x v="0"/>
  </r>
  <r>
    <x v="7"/>
    <x v="0"/>
    <s v="FALL'26"/>
    <x v="208"/>
    <x v="9"/>
    <s v="ITALY"/>
    <s v="0001"/>
    <x v="30"/>
    <x v="20"/>
    <x v="54"/>
    <m/>
    <x v="35"/>
    <x v="25"/>
    <n v="966"/>
    <m/>
    <n v="6.4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"/>
    <n v="175"/>
    <n v="165"/>
    <n v="170"/>
    <n v="162"/>
    <n v="142"/>
    <m/>
    <m/>
    <m/>
    <m/>
    <n v="966"/>
    <m/>
    <m/>
    <m/>
    <m/>
    <m/>
    <m/>
    <m/>
    <m/>
    <m/>
    <m/>
    <m/>
    <m/>
    <m/>
    <x v="1"/>
  </r>
  <r>
    <x v="7"/>
    <x v="0"/>
    <s v="FALL'26"/>
    <x v="208"/>
    <x v="9"/>
    <s v="ITALY"/>
    <s v="0001"/>
    <x v="32"/>
    <x v="20"/>
    <x v="54"/>
    <m/>
    <x v="35"/>
    <x v="27"/>
    <n v="1550"/>
    <m/>
    <n v="6.4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7"/>
    <n v="282"/>
    <n v="261"/>
    <n v="269"/>
    <n v="259"/>
    <n v="232"/>
    <m/>
    <m/>
    <m/>
    <m/>
    <n v="1550"/>
    <m/>
    <m/>
    <m/>
    <m/>
    <m/>
    <m/>
    <m/>
    <m/>
    <m/>
    <m/>
    <m/>
    <m/>
    <m/>
    <x v="1"/>
  </r>
  <r>
    <x v="7"/>
    <x v="0"/>
    <s v="FALL'26"/>
    <x v="209"/>
    <x v="9"/>
    <s v="ITALY"/>
    <s v="0001"/>
    <x v="33"/>
    <x v="21"/>
    <x v="54"/>
    <m/>
    <x v="35"/>
    <x v="25"/>
    <n v="570"/>
    <m/>
    <n v="7.6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"/>
    <n v="116"/>
    <n v="179"/>
    <n v="198"/>
    <n v="570"/>
    <m/>
    <m/>
    <m/>
    <m/>
    <m/>
    <m/>
    <m/>
    <m/>
    <m/>
    <m/>
    <m/>
    <m/>
    <m/>
    <x v="1"/>
  </r>
  <r>
    <x v="7"/>
    <x v="0"/>
    <s v="FALL'26"/>
    <x v="209"/>
    <x v="9"/>
    <s v="ITALY"/>
    <s v="0001"/>
    <x v="34"/>
    <x v="21"/>
    <x v="54"/>
    <m/>
    <x v="35"/>
    <x v="27"/>
    <n v="2300"/>
    <m/>
    <n v="7.6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5"/>
    <n v="461"/>
    <n v="722"/>
    <n v="812"/>
    <n v="2300"/>
    <m/>
    <m/>
    <m/>
    <m/>
    <m/>
    <m/>
    <m/>
    <m/>
    <m/>
    <m/>
    <m/>
    <m/>
    <m/>
    <x v="1"/>
  </r>
  <r>
    <x v="7"/>
    <x v="0"/>
    <s v="FALL'26"/>
    <x v="210"/>
    <x v="10"/>
    <s v="US"/>
    <s v="0001"/>
    <x v="110"/>
    <x v="60"/>
    <x v="56"/>
    <m/>
    <x v="35"/>
    <x v="30"/>
    <n v="500"/>
    <m/>
    <n v="8.470000000000000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"/>
    <n v="90"/>
    <n v="90"/>
    <n v="90"/>
    <n v="85"/>
    <n v="90"/>
    <m/>
    <m/>
    <m/>
    <m/>
    <n v="500"/>
    <m/>
    <m/>
    <m/>
    <m/>
    <m/>
    <m/>
    <m/>
    <m/>
    <m/>
    <m/>
    <m/>
    <m/>
    <m/>
    <x v="1"/>
  </r>
  <r>
    <x v="7"/>
    <x v="0"/>
    <s v="FALL'26"/>
    <x v="210"/>
    <x v="10"/>
    <s v="US"/>
    <s v="0001"/>
    <x v="111"/>
    <x v="60"/>
    <x v="56"/>
    <m/>
    <x v="35"/>
    <x v="4"/>
    <n v="500"/>
    <m/>
    <n v="8.470000000000000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"/>
    <n v="90"/>
    <n v="90"/>
    <n v="90"/>
    <n v="85"/>
    <n v="90"/>
    <m/>
    <m/>
    <m/>
    <m/>
    <n v="500"/>
    <m/>
    <m/>
    <m/>
    <m/>
    <m/>
    <m/>
    <m/>
    <m/>
    <m/>
    <m/>
    <m/>
    <m/>
    <m/>
    <x v="1"/>
  </r>
  <r>
    <x v="7"/>
    <x v="0"/>
    <s v="FALL'26"/>
    <x v="211"/>
    <x v="8"/>
    <s v="CANADA"/>
    <s v="0001"/>
    <x v="24"/>
    <x v="18"/>
    <x v="55"/>
    <m/>
    <x v="36"/>
    <x v="22"/>
    <n v="61"/>
    <m/>
    <n v="8.4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11"/>
    <n v="11"/>
    <n v="11"/>
    <n v="10"/>
    <n v="11"/>
    <m/>
    <m/>
    <m/>
    <m/>
    <n v="61"/>
    <m/>
    <m/>
    <m/>
    <m/>
    <m/>
    <m/>
    <m/>
    <m/>
    <m/>
    <m/>
    <m/>
    <m/>
    <m/>
    <x v="1"/>
  </r>
  <r>
    <x v="7"/>
    <x v="0"/>
    <s v="FALL'26"/>
    <x v="211"/>
    <x v="8"/>
    <s v="CANADA"/>
    <s v="0001"/>
    <x v="25"/>
    <x v="18"/>
    <x v="55"/>
    <m/>
    <x v="36"/>
    <x v="23"/>
    <n v="51"/>
    <m/>
    <n v="8.4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9"/>
    <n v="9"/>
    <n v="9"/>
    <n v="9"/>
    <n v="9"/>
    <m/>
    <m/>
    <m/>
    <m/>
    <n v="51"/>
    <m/>
    <m/>
    <m/>
    <m/>
    <m/>
    <m/>
    <m/>
    <m/>
    <m/>
    <m/>
    <m/>
    <m/>
    <m/>
    <x v="1"/>
  </r>
  <r>
    <x v="7"/>
    <x v="0"/>
    <s v="FALL'26"/>
    <x v="211"/>
    <x v="8"/>
    <s v="CANADA"/>
    <s v="0001"/>
    <x v="26"/>
    <x v="18"/>
    <x v="55"/>
    <m/>
    <x v="36"/>
    <x v="24"/>
    <n v="28"/>
    <m/>
    <n v="9.630000000000000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5"/>
    <n v="5"/>
    <n v="5"/>
    <n v="5"/>
    <n v="5"/>
    <m/>
    <m/>
    <m/>
    <m/>
    <n v="28"/>
    <m/>
    <m/>
    <m/>
    <m/>
    <m/>
    <m/>
    <m/>
    <m/>
    <m/>
    <m/>
    <m/>
    <m/>
    <m/>
    <x v="1"/>
  </r>
  <r>
    <x v="7"/>
    <x v="0"/>
    <s v="FALL'26"/>
    <x v="212"/>
    <x v="10"/>
    <s v="US"/>
    <s v="0001"/>
    <x v="112"/>
    <x v="61"/>
    <x v="56"/>
    <m/>
    <x v="35"/>
    <x v="30"/>
    <n v="1200"/>
    <m/>
    <n v="11.4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6"/>
    <n v="276"/>
    <n v="396"/>
    <n v="342"/>
    <n v="1200"/>
    <m/>
    <m/>
    <m/>
    <m/>
    <m/>
    <m/>
    <m/>
    <m/>
    <m/>
    <m/>
    <m/>
    <m/>
    <m/>
    <x v="1"/>
  </r>
  <r>
    <x v="7"/>
    <x v="0"/>
    <s v="FALL'26"/>
    <x v="212"/>
    <x v="10"/>
    <s v="US"/>
    <s v="0001"/>
    <x v="113"/>
    <x v="61"/>
    <x v="56"/>
    <m/>
    <x v="35"/>
    <x v="4"/>
    <n v="1200"/>
    <m/>
    <n v="11.47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6"/>
    <n v="276"/>
    <n v="396"/>
    <n v="342"/>
    <n v="1200"/>
    <m/>
    <m/>
    <m/>
    <m/>
    <m/>
    <m/>
    <m/>
    <m/>
    <m/>
    <m/>
    <m/>
    <m/>
    <m/>
    <x v="1"/>
  </r>
  <r>
    <x v="7"/>
    <x v="0"/>
    <s v="FALL'26"/>
    <x v="213"/>
    <x v="8"/>
    <s v="CANADA"/>
    <s v="0001"/>
    <x v="27"/>
    <x v="19"/>
    <x v="55"/>
    <m/>
    <x v="36"/>
    <x v="22"/>
    <n v="85"/>
    <m/>
    <n v="9.4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"/>
    <n v="20"/>
    <n v="28"/>
    <n v="24"/>
    <n v="85"/>
    <m/>
    <m/>
    <m/>
    <m/>
    <m/>
    <m/>
    <m/>
    <m/>
    <m/>
    <m/>
    <m/>
    <m/>
    <m/>
    <x v="1"/>
  </r>
  <r>
    <x v="7"/>
    <x v="0"/>
    <s v="FALL'26"/>
    <x v="213"/>
    <x v="8"/>
    <s v="CANADA"/>
    <s v="0001"/>
    <x v="28"/>
    <x v="19"/>
    <x v="55"/>
    <m/>
    <x v="36"/>
    <x v="24"/>
    <n v="31"/>
    <m/>
    <n v="11.21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7"/>
    <n v="10"/>
    <n v="9"/>
    <n v="31"/>
    <m/>
    <m/>
    <m/>
    <m/>
    <m/>
    <m/>
    <m/>
    <m/>
    <m/>
    <m/>
    <m/>
    <m/>
    <m/>
    <x v="1"/>
  </r>
  <r>
    <x v="7"/>
    <x v="0"/>
    <s v="FALL'26"/>
    <x v="213"/>
    <x v="8"/>
    <s v="CANADA"/>
    <s v="0001"/>
    <x v="29"/>
    <x v="19"/>
    <x v="55"/>
    <m/>
    <x v="36"/>
    <x v="23"/>
    <n v="51"/>
    <m/>
    <n v="9.4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12"/>
    <n v="17"/>
    <n v="14"/>
    <n v="51"/>
    <m/>
    <m/>
    <m/>
    <m/>
    <m/>
    <m/>
    <m/>
    <m/>
    <m/>
    <m/>
    <m/>
    <m/>
    <m/>
    <x v="1"/>
  </r>
  <r>
    <x v="7"/>
    <x v="0"/>
    <s v="FALL'26"/>
    <x v="214"/>
    <x v="10"/>
    <s v="US"/>
    <s v="0001"/>
    <x v="24"/>
    <x v="18"/>
    <x v="55"/>
    <m/>
    <x v="36"/>
    <x v="22"/>
    <n v="539"/>
    <m/>
    <n v="8.4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"/>
    <n v="97"/>
    <n v="97"/>
    <n v="97"/>
    <n v="92"/>
    <n v="97"/>
    <m/>
    <m/>
    <m/>
    <m/>
    <n v="539"/>
    <m/>
    <m/>
    <m/>
    <m/>
    <m/>
    <m/>
    <m/>
    <m/>
    <m/>
    <m/>
    <m/>
    <m/>
    <m/>
    <x v="1"/>
  </r>
  <r>
    <x v="7"/>
    <x v="0"/>
    <s v="FALL'26"/>
    <x v="214"/>
    <x v="10"/>
    <s v="US"/>
    <s v="0001"/>
    <x v="25"/>
    <x v="18"/>
    <x v="55"/>
    <m/>
    <x v="36"/>
    <x v="23"/>
    <n v="451"/>
    <m/>
    <n v="8.43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81"/>
    <n v="81"/>
    <n v="81"/>
    <n v="77"/>
    <n v="81"/>
    <m/>
    <m/>
    <m/>
    <m/>
    <n v="451"/>
    <m/>
    <m/>
    <m/>
    <m/>
    <m/>
    <m/>
    <m/>
    <m/>
    <m/>
    <m/>
    <m/>
    <m/>
    <m/>
    <x v="1"/>
  </r>
  <r>
    <x v="7"/>
    <x v="0"/>
    <s v="FALL'26"/>
    <x v="214"/>
    <x v="10"/>
    <s v="US"/>
    <s v="0001"/>
    <x v="26"/>
    <x v="18"/>
    <x v="55"/>
    <m/>
    <x v="36"/>
    <x v="24"/>
    <n v="272"/>
    <m/>
    <n v="9.630000000000000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n v="49"/>
    <n v="49"/>
    <n v="49"/>
    <n v="46"/>
    <n v="49"/>
    <m/>
    <m/>
    <m/>
    <m/>
    <n v="272"/>
    <m/>
    <m/>
    <m/>
    <m/>
    <m/>
    <m/>
    <m/>
    <m/>
    <m/>
    <m/>
    <m/>
    <m/>
    <m/>
    <x v="1"/>
  </r>
  <r>
    <x v="7"/>
    <x v="0"/>
    <s v="FALL'26"/>
    <x v="215"/>
    <x v="10"/>
    <s v="US"/>
    <s v="0001"/>
    <x v="27"/>
    <x v="19"/>
    <x v="55"/>
    <m/>
    <x v="36"/>
    <x v="22"/>
    <n v="765"/>
    <m/>
    <n v="9.4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"/>
    <n v="176"/>
    <n v="252"/>
    <n v="218"/>
    <n v="765"/>
    <m/>
    <m/>
    <m/>
    <m/>
    <m/>
    <m/>
    <m/>
    <m/>
    <m/>
    <m/>
    <m/>
    <m/>
    <m/>
    <x v="1"/>
  </r>
  <r>
    <x v="7"/>
    <x v="0"/>
    <s v="FALL'26"/>
    <x v="215"/>
    <x v="10"/>
    <s v="US"/>
    <s v="0001"/>
    <x v="28"/>
    <x v="19"/>
    <x v="55"/>
    <m/>
    <x v="36"/>
    <x v="24"/>
    <n v="270"/>
    <m/>
    <n v="11.21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"/>
    <n v="62"/>
    <n v="89"/>
    <n v="77"/>
    <n v="270"/>
    <m/>
    <m/>
    <m/>
    <m/>
    <m/>
    <m/>
    <m/>
    <m/>
    <m/>
    <m/>
    <m/>
    <m/>
    <m/>
    <x v="1"/>
  </r>
  <r>
    <x v="7"/>
    <x v="0"/>
    <s v="FALL'26"/>
    <x v="215"/>
    <x v="10"/>
    <s v="US"/>
    <s v="0001"/>
    <x v="29"/>
    <x v="19"/>
    <x v="55"/>
    <m/>
    <x v="36"/>
    <x v="23"/>
    <n v="451"/>
    <m/>
    <n v="9.42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7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"/>
    <n v="104"/>
    <n v="149"/>
    <n v="128"/>
    <n v="451"/>
    <m/>
    <m/>
    <m/>
    <m/>
    <m/>
    <m/>
    <m/>
    <m/>
    <m/>
    <m/>
    <m/>
    <m/>
    <m/>
    <x v="1"/>
  </r>
  <r>
    <x v="7"/>
    <x v="0"/>
    <s v="CR'26"/>
    <x v="216"/>
    <x v="1"/>
    <s v="US"/>
    <s v="0001"/>
    <x v="137"/>
    <x v="94"/>
    <x v="57"/>
    <m/>
    <x v="32"/>
    <x v="73"/>
    <n v="450"/>
    <m/>
    <n v="25.5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n v="7"/>
    <n v="49"/>
    <n v="128"/>
    <n v="138"/>
    <n v="85"/>
    <n v="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"/>
    <m/>
    <m/>
    <m/>
    <m/>
    <m/>
    <m/>
    <m/>
    <m/>
    <m/>
    <m/>
    <m/>
    <m/>
    <m/>
    <x v="0"/>
  </r>
  <r>
    <x v="7"/>
    <x v="0"/>
    <s v="CR'26"/>
    <x v="217"/>
    <x v="2"/>
    <s v="US"/>
    <s v="0001"/>
    <x v="137"/>
    <x v="94"/>
    <x v="57"/>
    <m/>
    <x v="32"/>
    <x v="73"/>
    <n v="284"/>
    <m/>
    <n v="25.59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n v="1"/>
    <n v="25"/>
    <n v="70"/>
    <n v="89"/>
    <n v="68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4"/>
    <m/>
    <m/>
    <m/>
    <m/>
    <m/>
    <m/>
    <m/>
    <m/>
    <m/>
    <m/>
    <m/>
    <m/>
    <m/>
    <x v="0"/>
  </r>
  <r>
    <x v="7"/>
    <x v="0"/>
    <s v="CR'26"/>
    <x v="216"/>
    <x v="1"/>
    <s v="US"/>
    <s v="0001"/>
    <x v="138"/>
    <x v="94"/>
    <x v="57"/>
    <m/>
    <x v="32"/>
    <x v="74"/>
    <n v="300"/>
    <m/>
    <n v="27.11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n v="4"/>
    <n v="34"/>
    <n v="88"/>
    <n v="92"/>
    <n v="55"/>
    <n v="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"/>
    <m/>
    <m/>
    <m/>
    <m/>
    <m/>
    <m/>
    <m/>
    <m/>
    <m/>
    <m/>
    <m/>
    <m/>
    <m/>
    <x v="0"/>
  </r>
  <r>
    <x v="7"/>
    <x v="0"/>
    <s v="CR'26"/>
    <x v="217"/>
    <x v="2"/>
    <s v="US"/>
    <s v="0001"/>
    <x v="138"/>
    <x v="94"/>
    <x v="57"/>
    <m/>
    <x v="32"/>
    <x v="74"/>
    <n v="230"/>
    <m/>
    <n v="27.11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m/>
    <n v="29"/>
    <n v="60"/>
    <n v="67"/>
    <n v="5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"/>
    <m/>
    <m/>
    <m/>
    <m/>
    <m/>
    <m/>
    <m/>
    <m/>
    <m/>
    <m/>
    <m/>
    <m/>
    <m/>
    <x v="0"/>
  </r>
  <r>
    <x v="7"/>
    <x v="0"/>
    <s v="CR'26"/>
    <x v="218"/>
    <x v="2"/>
    <s v="US"/>
    <s v="0001"/>
    <x v="139"/>
    <x v="95"/>
    <x v="57"/>
    <m/>
    <x v="33"/>
    <x v="74"/>
    <n v="24"/>
    <m/>
    <n v="27.0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m/>
    <n v="2"/>
    <n v="7"/>
    <n v="9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7"/>
    <x v="0"/>
    <s v="CR'26"/>
    <x v="218"/>
    <x v="2"/>
    <s v="US"/>
    <s v="0001"/>
    <x v="140"/>
    <x v="95"/>
    <x v="57"/>
    <m/>
    <x v="33"/>
    <x v="73"/>
    <n v="24"/>
    <m/>
    <n v="25.54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3"/>
    <d v="2026-11-15T00:00:00"/>
    <x v="0"/>
    <m/>
    <m/>
    <m/>
    <m/>
    <m/>
    <m/>
    <m/>
    <m/>
    <m/>
    <m/>
    <m/>
    <m/>
    <m/>
    <m/>
    <m/>
    <n v="2"/>
    <n v="7"/>
    <n v="9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x v="0"/>
  </r>
  <r>
    <x v="7"/>
    <x v="0"/>
    <s v="CR'26"/>
    <x v="219"/>
    <x v="5"/>
    <s v="ITALY"/>
    <s v="0001"/>
    <x v="139"/>
    <x v="95"/>
    <x v="57"/>
    <m/>
    <x v="33"/>
    <x v="74"/>
    <n v="600"/>
    <m/>
    <n v="27.06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8"/>
    <d v="2026-11-15T00:00:00"/>
    <x v="0"/>
    <m/>
    <m/>
    <m/>
    <m/>
    <m/>
    <m/>
    <m/>
    <m/>
    <m/>
    <m/>
    <m/>
    <m/>
    <m/>
    <m/>
    <n v="12"/>
    <n v="79"/>
    <n v="173"/>
    <n v="178"/>
    <n v="104"/>
    <n v="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x v="0"/>
  </r>
  <r>
    <x v="7"/>
    <x v="0"/>
    <s v="CR'26"/>
    <x v="219"/>
    <x v="5"/>
    <s v="ITALY"/>
    <s v="0001"/>
    <x v="140"/>
    <x v="95"/>
    <x v="57"/>
    <m/>
    <x v="33"/>
    <x v="73"/>
    <n v="600"/>
    <m/>
    <n v="25.54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8"/>
    <d v="2026-11-15T00:00:00"/>
    <x v="0"/>
    <m/>
    <m/>
    <m/>
    <m/>
    <m/>
    <m/>
    <m/>
    <m/>
    <m/>
    <m/>
    <m/>
    <m/>
    <m/>
    <m/>
    <n v="13"/>
    <n v="82"/>
    <n v="173"/>
    <n v="176"/>
    <n v="103"/>
    <n v="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"/>
    <m/>
    <m/>
    <m/>
    <m/>
    <m/>
    <m/>
    <m/>
    <m/>
    <m/>
    <m/>
    <m/>
    <m/>
    <m/>
    <x v="0"/>
  </r>
  <r>
    <x v="7"/>
    <x v="0"/>
    <s v="FALL'26"/>
    <x v="220"/>
    <x v="7"/>
    <s v="HK"/>
    <s v="WHS"/>
    <x v="136"/>
    <x v="96"/>
    <x v="60"/>
    <m/>
    <x v="29"/>
    <x v="4"/>
    <n v="15"/>
    <m/>
    <n v="44.9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9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7"/>
    <m/>
    <m/>
    <m/>
    <n v="4"/>
    <n v="2"/>
    <m/>
    <m/>
    <m/>
    <m/>
    <m/>
    <m/>
    <m/>
    <m/>
    <m/>
    <m/>
    <m/>
    <m/>
    <m/>
    <m/>
    <m/>
    <m/>
    <m/>
    <m/>
    <m/>
    <m/>
    <m/>
    <m/>
    <m/>
    <m/>
    <m/>
    <m/>
    <m/>
    <m/>
    <n v="15"/>
    <m/>
    <m/>
    <m/>
    <m/>
    <m/>
    <m/>
    <m/>
    <m/>
    <m/>
    <m/>
    <m/>
    <m/>
    <m/>
    <x v="0"/>
  </r>
  <r>
    <x v="7"/>
    <x v="0"/>
    <s v="FALL'26"/>
    <x v="221"/>
    <x v="1"/>
    <s v="US"/>
    <s v="0001"/>
    <x v="136"/>
    <x v="96"/>
    <x v="60"/>
    <m/>
    <x v="29"/>
    <x v="4"/>
    <n v="34"/>
    <m/>
    <n v="44.9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"/>
    <n v="1"/>
    <n v="4"/>
    <n v="3"/>
    <n v="1"/>
    <m/>
    <n v="3"/>
    <n v="3"/>
    <n v="4"/>
    <m/>
    <n v="1"/>
    <n v="3"/>
    <m/>
    <n v="1"/>
    <n v="3"/>
    <n v="1"/>
    <n v="1"/>
    <n v="1"/>
    <m/>
    <m/>
    <m/>
    <m/>
    <m/>
    <m/>
    <m/>
    <m/>
    <m/>
    <m/>
    <m/>
    <m/>
    <m/>
    <m/>
    <m/>
    <m/>
    <n v="34"/>
    <m/>
    <m/>
    <m/>
    <m/>
    <m/>
    <m/>
    <m/>
    <m/>
    <m/>
    <m/>
    <m/>
    <m/>
    <m/>
    <x v="0"/>
  </r>
  <r>
    <x v="7"/>
    <x v="0"/>
    <s v="FALL'26"/>
    <x v="222"/>
    <x v="5"/>
    <s v="ITALY"/>
    <s v="0001"/>
    <x v="136"/>
    <x v="96"/>
    <x v="60"/>
    <m/>
    <x v="29"/>
    <x v="4"/>
    <n v="225"/>
    <m/>
    <n v="44.98"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5"/>
    <d v="2026-09-15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n v="66"/>
    <m/>
    <n v="30"/>
    <m/>
    <m/>
    <n v="48"/>
    <m/>
    <m/>
    <n v="12"/>
    <m/>
    <m/>
    <n v="33"/>
    <m/>
    <n v="6"/>
    <m/>
    <m/>
    <m/>
    <m/>
    <m/>
    <m/>
    <m/>
    <m/>
    <m/>
    <m/>
    <m/>
    <m/>
    <m/>
    <m/>
    <m/>
    <m/>
    <m/>
    <n v="225"/>
    <m/>
    <m/>
    <m/>
    <m/>
    <m/>
    <m/>
    <m/>
    <m/>
    <m/>
    <m/>
    <m/>
    <m/>
    <m/>
    <x v="0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  <r>
    <x v="160"/>
    <x v="3"/>
    <m/>
    <x v="223"/>
    <x v="13"/>
    <m/>
    <m/>
    <x v="149"/>
    <x v="97"/>
    <x v="61"/>
    <m/>
    <x v="11"/>
    <x v="80"/>
    <m/>
    <m/>
    <m/>
    <m/>
    <m/>
    <m/>
    <m/>
    <m/>
    <m/>
    <m/>
    <m/>
    <x v="3"/>
    <x v="2"/>
    <m/>
    <m/>
    <m/>
    <m/>
    <m/>
    <m/>
    <m/>
    <m/>
    <m/>
    <m/>
    <m/>
    <m/>
    <m/>
    <m/>
    <m/>
    <m/>
    <m/>
    <m/>
    <x v="1"/>
    <m/>
    <m/>
    <x v="0"/>
    <m/>
    <m/>
    <m/>
    <m/>
    <m/>
    <m/>
    <m/>
    <x v="4"/>
    <x v="1"/>
    <x v="1"/>
    <x v="1"/>
    <x v="1"/>
    <x v="1"/>
    <m/>
    <m/>
    <m/>
    <m/>
    <m/>
    <x v="0"/>
    <x v="1"/>
    <m/>
    <m/>
    <m/>
    <x v="1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J87" firstHeaderRow="2" firstDataRow="2" firstDataCol="9"/>
  <pivotFields count="165">
    <pivotField axis="axisRow" compact="0" outline="0" showAll="0" defaultSubtotal="0">
      <items count="1187">
        <item x="68"/>
        <item x="4"/>
        <item m="1" x="1096"/>
        <item m="1" x="1097"/>
        <item m="1" x="362"/>
        <item m="1" x="204"/>
        <item m="1" x="266"/>
        <item m="1" x="1106"/>
        <item m="1" x="954"/>
        <item m="1" x="1011"/>
        <item m="1" x="554"/>
        <item m="1" x="637"/>
        <item m="1" x="715"/>
        <item m="1" x="958"/>
        <item m="1" x="331"/>
        <item m="1" x="399"/>
        <item m="1" x="638"/>
        <item m="1" x="473"/>
        <item m="1" x="561"/>
        <item m="1" x="647"/>
        <item m="1" x="721"/>
        <item m="1" x="797"/>
        <item m="1" x="853"/>
        <item m="1" x="906"/>
        <item m="1" x="961"/>
        <item m="1" x="1016"/>
        <item m="1" x="566"/>
        <item m="1" x="725"/>
        <item m="1" x="800"/>
        <item m="1" x="857"/>
        <item m="1" x="910"/>
        <item m="1" x="967"/>
        <item m="1" x="1020"/>
        <item m="1" x="1067"/>
        <item m="1" x="1114"/>
        <item m="1" x="730"/>
        <item m="1" x="802"/>
        <item m="1" x="861"/>
        <item m="1" x="1071"/>
        <item m="1" x="1117"/>
        <item m="1" x="1166"/>
        <item m="1" x="862"/>
        <item m="1" x="915"/>
        <item m="1" x="415"/>
        <item m="1" x="489"/>
        <item m="1" x="575"/>
        <item m="1" x="656"/>
        <item m="1" x="863"/>
        <item m="1" x="662"/>
        <item m="1" x="736"/>
        <item m="1" x="809"/>
        <item m="1" x="867"/>
        <item m="1" x="1077"/>
        <item m="1" x="742"/>
        <item m="1" x="813"/>
        <item m="1" x="870"/>
        <item m="1" x="1033"/>
        <item m="1" x="1081"/>
        <item m="1" x="1127"/>
        <item m="1" x="1180"/>
        <item m="1" x="349"/>
        <item m="1" x="417"/>
        <item m="1" x="229"/>
        <item m="1" x="291"/>
        <item m="1" x="354"/>
        <item m="1" x="428"/>
        <item m="1" x="505"/>
        <item m="1" x="587"/>
        <item m="1" x="1147"/>
        <item m="1" x="178"/>
        <item m="1" x="240"/>
        <item m="1" x="303"/>
        <item m="1" x="368"/>
        <item m="1" x="435"/>
        <item m="1" x="599"/>
        <item m="1" x="758"/>
        <item m="1" x="1042"/>
        <item m="1" x="163"/>
        <item m="1" x="221"/>
        <item m="1" x="283"/>
        <item m="1" x="815"/>
        <item m="1" x="872"/>
        <item m="1" x="360"/>
        <item m="1" x="430"/>
        <item m="1" x="507"/>
        <item m="1" x="591"/>
        <item m="1" x="676"/>
        <item m="1" x="753"/>
        <item m="1" x="822"/>
        <item m="1" x="876"/>
        <item m="1" x="929"/>
        <item m="1" x="985"/>
        <item m="1" x="514"/>
        <item m="1" x="601"/>
        <item m="1" x="681"/>
        <item m="1" x="761"/>
        <item m="1" x="827"/>
        <item m="1" x="879"/>
        <item m="1" x="933"/>
        <item m="1" x="989"/>
        <item m="1" x="1041"/>
        <item m="1" x="1089"/>
        <item m="1" x="687"/>
        <item m="1" x="766"/>
        <item m="1" x="830"/>
        <item m="1" x="883"/>
        <item m="1" x="936"/>
        <item m="1" x="993"/>
        <item m="1" x="1044"/>
        <item m="1" x="1092"/>
        <item m="1" x="1136"/>
        <item m="1" x="419"/>
        <item m="1" x="494"/>
        <item m="1" x="1142"/>
        <item m="1" x="231"/>
        <item m="1" x="293"/>
        <item m="1" x="424"/>
        <item m="1" x="500"/>
        <item m="1" x="744"/>
        <item m="1" x="236"/>
        <item m="1" x="299"/>
        <item m="1" x="828"/>
        <item m="1" x="880"/>
        <item m="1" x="934"/>
        <item m="1" x="990"/>
        <item m="1" x="523"/>
        <item m="1" x="605"/>
        <item m="1" x="688"/>
        <item m="1" x="767"/>
        <item m="1" x="994"/>
        <item m="1" x="528"/>
        <item m="1" x="888"/>
        <item m="1" x="698"/>
        <item m="1" x="775"/>
        <item m="1" x="836"/>
        <item m="1" x="892"/>
        <item m="1" x="941"/>
        <item m="1" x="1001"/>
        <item m="1" x="1048"/>
        <item m="1" x="1098"/>
        <item m="1" x="1144"/>
        <item m="1" x="175"/>
        <item m="1" x="839"/>
        <item m="1" x="894"/>
        <item m="1" x="946"/>
        <item m="1" x="1004"/>
        <item m="1" x="1051"/>
        <item m="1" x="1101"/>
        <item m="1" x="1148"/>
        <item m="1" x="179"/>
        <item m="1" x="241"/>
        <item m="1" x="304"/>
        <item m="1" x="948"/>
        <item m="1" x="1007"/>
        <item m="1" x="1054"/>
        <item m="1" x="1103"/>
        <item m="1" x="1152"/>
        <item m="1" x="182"/>
        <item m="1" x="245"/>
        <item m="1" x="309"/>
        <item m="1" x="374"/>
        <item m="1" x="442"/>
        <item m="1" x="1057"/>
        <item m="1" x="1099"/>
        <item m="1" x="361"/>
        <item m="1" x="508"/>
        <item m="1" x="592"/>
        <item m="1" x="1150"/>
        <item m="1" x="242"/>
        <item m="1" x="305"/>
        <item m="1" x="369"/>
        <item m="1" x="436"/>
        <item m="1" x="515"/>
        <item m="1" x="682"/>
        <item m="1" x="762"/>
        <item m="1" x="246"/>
        <item m="1" x="310"/>
        <item m="1" x="375"/>
        <item m="1" x="443"/>
        <item m="1" x="689"/>
        <item m="1" x="831"/>
        <item m="1" x="380"/>
        <item m="1" x="529"/>
        <item m="1" x="611"/>
        <item m="1" x="889"/>
        <item m="1" x="937"/>
        <item m="1" x="996"/>
        <item m="1" x="534"/>
        <item m="1" x="776"/>
        <item m="1" x="840"/>
        <item m="1" x="895"/>
        <item m="1" x="947"/>
        <item m="1" x="1005"/>
        <item m="1" x="1149"/>
        <item m="1" x="180"/>
        <item m="1" x="843"/>
        <item m="1" x="897"/>
        <item m="1" x="949"/>
        <item m="1" x="253"/>
        <item m="1" x="317"/>
        <item m="1" x="606"/>
        <item m="1" x="844"/>
        <item m="1" x="950"/>
        <item m="1" x="1008"/>
        <item m="1" x="1153"/>
        <item m="1" x="183"/>
        <item m="1" x="847"/>
        <item m="1" x="901"/>
        <item m="1" x="952"/>
        <item m="1" x="1058"/>
        <item m="1" x="312"/>
        <item m="1" x="956"/>
        <item m="1" x="1014"/>
        <item m="1" x="190"/>
        <item m="1" x="250"/>
        <item m="1" x="314"/>
        <item m="1" x="452"/>
        <item m="1" x="1062"/>
        <item m="1" x="1108"/>
        <item m="1" x="1159"/>
        <item m="1" x="191"/>
        <item m="1" x="254"/>
        <item m="1" x="538"/>
        <item m="1" x="704"/>
        <item m="1" x="781"/>
        <item m="1" x="444"/>
        <item m="1" x="524"/>
        <item m="1" x="607"/>
        <item m="1" x="1155"/>
        <item m="1" x="188"/>
        <item m="1" x="786"/>
        <item m="1" x="187"/>
        <item m="1" x="315"/>
        <item m="1" x="959"/>
        <item m="1" x="1059"/>
        <item m="1" x="249"/>
        <item m="1" x="448"/>
        <item m="1" x="530"/>
        <item m="1" x="612"/>
        <item m="1" x="1158"/>
        <item m="1" x="316"/>
        <item m="1" x="383"/>
        <item m="1" x="318"/>
        <item m="1" x="966"/>
        <item m="1" x="1066"/>
        <item m="1" x="194"/>
        <item m="1" x="321"/>
        <item m="1" x="385"/>
        <item m="1" x="459"/>
        <item m="1" x="544"/>
        <item m="1" x="626"/>
        <item m="1" x="1169"/>
        <item m="1" x="203"/>
        <item m="1" x="398"/>
        <item m="1" x="466"/>
        <item m="1" x="550"/>
        <item m="1" x="633"/>
        <item m="1" x="713"/>
        <item m="1" x="791"/>
        <item m="1" x="779"/>
        <item m="1" x="257"/>
        <item m="1" x="322"/>
        <item m="1" x="386"/>
        <item m="1" x="455"/>
        <item m="1" x="541"/>
        <item m="1" x="621"/>
        <item m="1" x="705"/>
        <item m="1" x="782"/>
        <item m="1" x="845"/>
        <item m="1" x="898"/>
        <item m="1" x="391"/>
        <item m="1" x="460"/>
        <item m="1" x="545"/>
        <item m="1" x="627"/>
        <item m="1" x="708"/>
        <item m="1" x="787"/>
        <item m="1" x="848"/>
        <item m="1" x="902"/>
        <item m="1" x="953"/>
        <item m="1" x="1010"/>
        <item m="1" x="552"/>
        <item m="1" x="635"/>
        <item m="1" x="792"/>
        <item m="1" x="851"/>
        <item m="1" x="904"/>
        <item m="1" x="957"/>
        <item m="1" x="1015"/>
        <item m="1" x="1061"/>
        <item m="1" x="795"/>
        <item m="1" x="265"/>
        <item m="1" x="551"/>
        <item m="1" x="634"/>
        <item m="1" x="1175"/>
        <item m="1" x="210"/>
        <item m="1" x="270"/>
        <item m="1" x="336"/>
        <item m="1" x="405"/>
        <item m="1" x="472"/>
        <item m="1" x="559"/>
        <item m="1" x="645"/>
        <item m="1" x="719"/>
        <item m="1" x="794"/>
        <item m="1" x="1063"/>
        <item m="1" x="1110"/>
        <item m="1" x="1160"/>
        <item m="1" x="192"/>
        <item m="1" x="319"/>
        <item m="1" x="384"/>
        <item m="1" x="453"/>
        <item m="1" x="539"/>
        <item m="1" x="1163"/>
        <item m="1" x="195"/>
        <item m="1" x="258"/>
        <item m="1" x="323"/>
        <item m="1" x="387"/>
        <item m="1" x="456"/>
        <item m="1" x="622"/>
        <item m="1" x="706"/>
        <item m="1" x="783"/>
        <item m="1" x="261"/>
        <item m="1" x="327"/>
        <item m="1" x="392"/>
        <item m="1" x="461"/>
        <item m="1" x="546"/>
        <item m="1" x="628"/>
        <item m="1" x="709"/>
        <item m="1" x="788"/>
        <item m="1" x="849"/>
        <item m="1" x="903"/>
        <item m="1" x="400"/>
        <item m="1" x="467"/>
        <item m="1" x="553"/>
        <item m="1" x="636"/>
        <item m="1" x="714"/>
        <item m="1" x="560"/>
        <item m="1" x="646"/>
        <item m="1" x="720"/>
        <item m="1" x="796"/>
        <item m="1" x="852"/>
        <item m="1" x="905"/>
        <item m="1" x="960"/>
        <item m="1" x="1109"/>
        <item m="1" x="724"/>
        <item m="1" x="799"/>
        <item m="1" x="803"/>
        <item m="1" x="916"/>
        <item m="1" x="972"/>
        <item m="1" x="1024"/>
        <item m="1" x="658"/>
        <item m="1" x="1034"/>
        <item m="1" x="1181"/>
        <item m="1" x="214"/>
        <item m="1" x="275"/>
        <item m="1" x="1185"/>
        <item m="1" x="216"/>
        <item m="1" x="490"/>
        <item m="1" x="576"/>
        <item m="1" x="657"/>
        <item m="1" x="732"/>
        <item m="1" x="1027"/>
        <item m="1" x="1074"/>
        <item m="1" x="1120"/>
        <item m="1" x="1170"/>
        <item m="1" x="205"/>
        <item m="1" x="267"/>
        <item m="1" x="332"/>
        <item m="1" x="401"/>
        <item m="1" x="468"/>
        <item m="1" x="555"/>
        <item m="1" x="1123"/>
        <item m="1" x="1176"/>
        <item m="1" x="211"/>
        <item m="1" x="271"/>
        <item m="1" x="337"/>
        <item m="1" x="406"/>
        <item m="1" x="474"/>
        <item m="1" x="562"/>
        <item m="1" x="648"/>
        <item m="1" x="1073"/>
        <item m="1" x="663"/>
        <item m="1" x="737"/>
        <item m="1" x="923"/>
        <item m="1" x="1182"/>
        <item m="1" x="346"/>
        <item m="1" x="412"/>
        <item m="1" x="1088"/>
        <item m="1" x="276"/>
        <item m="1" x="342"/>
        <item m="1" x="409"/>
        <item m="1" x="479"/>
        <item m="1" x="567"/>
        <item m="1" x="651"/>
        <item m="1" x="726"/>
        <item m="1" x="217"/>
        <item m="1" x="279"/>
        <item m="1" x="347"/>
        <item m="1" x="413"/>
        <item m="1" x="486"/>
        <item m="1" x="571"/>
        <item m="1" x="654"/>
        <item m="1" x="1140"/>
        <item m="1" x="169"/>
        <item m="1" x="228"/>
        <item m="1" x="289"/>
        <item m="1" x="353"/>
        <item m="1" x="422"/>
        <item m="1" x="498"/>
        <item m="1" x="174"/>
        <item m="1" x="673"/>
        <item m="1" x="749"/>
        <item m="1" x="1039"/>
        <item m="1" x="1132"/>
        <item m="1" x="1186"/>
        <item m="1" x="218"/>
        <item m="1" x="280"/>
        <item m="1" x="487"/>
        <item m="1" x="572"/>
        <item m="1" x="416"/>
        <item m="1" x="577"/>
        <item m="1" x="659"/>
        <item m="1" x="284"/>
        <item m="1" x="492"/>
        <item m="1" x="579"/>
        <item m="1" x="664"/>
        <item m="1" x="588"/>
        <item m="1" x="750"/>
        <item m="1" x="820"/>
        <item m="1" x="927"/>
        <item m="1" x="983"/>
        <item m="1" x="1038"/>
        <item m="1" x="1085"/>
        <item m="1" x="679"/>
        <item m="1" x="759"/>
        <item m="1" x="826"/>
        <item m="1" x="814"/>
        <item m="1" x="871"/>
        <item m="1" x="589"/>
        <item m="1" x="674"/>
        <item m="1" x="751"/>
        <item m="1" x="821"/>
        <item m="1" x="875"/>
        <item m="1" x="928"/>
        <item m="1" x="984"/>
        <item m="1" x="600"/>
        <item m="1" x="680"/>
        <item m="1" x="760"/>
        <item m="1" x="290"/>
        <item m="1" x="1000"/>
        <item m="1" x="234"/>
        <item m="1" x="686"/>
        <item m="1" x="765"/>
        <item m="1" x="1045"/>
        <item m="1" x="1093"/>
        <item m="1" x="1137"/>
        <item m="1" x="167"/>
        <item m="1" x="224"/>
        <item m="1" x="350"/>
        <item m="1" x="418"/>
        <item m="1" x="493"/>
        <item m="1" x="580"/>
        <item m="1" x="1141"/>
        <item m="1" x="171"/>
        <item m="1" x="230"/>
        <item m="1" x="292"/>
        <item m="1" x="355"/>
        <item m="1" x="423"/>
        <item m="1" x="499"/>
        <item m="1" x="584"/>
        <item m="1" x="669"/>
        <item m="1" x="743"/>
        <item m="1" x="235"/>
        <item m="1" x="298"/>
        <item m="1" x="359"/>
        <item m="1" x="429"/>
        <item m="1" x="506"/>
        <item m="1" x="590"/>
        <item m="1" x="675"/>
        <item m="1" x="752"/>
        <item m="1" x="170"/>
        <item m="1" x="945"/>
        <item m="1" x="1013"/>
        <item m="1" x="558"/>
        <item m="1" x="642"/>
        <item m="1" x="717"/>
        <item m="1" x="722"/>
        <item m="1" x="963"/>
        <item m="1" x="1017"/>
        <item m="1" x="1064"/>
        <item m="1" x="1112"/>
        <item m="1" x="1162"/>
        <item m="1" x="193"/>
        <item m="1" x="912"/>
        <item m="1" x="969"/>
        <item m="1" x="454"/>
        <item m="1" x="620"/>
        <item m="1" x="1164"/>
        <item m="1" x="196"/>
        <item m="1" x="259"/>
        <item m="1" x="325"/>
        <item m="1" x="630"/>
        <item m="1" x="711"/>
        <item m="1" x="854"/>
        <item m="1" x="907"/>
        <item m="1" x="964"/>
        <item m="1" x="1018"/>
        <item m="1" x="1065"/>
        <item m="1" x="1113"/>
        <item m="1" x="729"/>
        <item m="1" x="801"/>
        <item m="1" x="859"/>
        <item m="1" x="913"/>
        <item m="1" x="1121"/>
        <item m="1" x="273"/>
        <item m="1" x="340"/>
        <item m="1" x="564"/>
        <item m="1" x="649"/>
        <item m="1" x="480"/>
        <item m="1" x="568"/>
        <item m="1" x="652"/>
        <item m="1" x="727"/>
        <item m="1" x="1070"/>
        <item m="1" x="1116"/>
        <item m="1" x="1165"/>
        <item m="1" x="197"/>
        <item m="1" x="260"/>
        <item m="1" x="326"/>
        <item m="1" x="390"/>
        <item m="1" x="458"/>
        <item m="1" x="543"/>
        <item m="1" x="625"/>
        <item m="1" x="1168"/>
        <item m="1" x="201"/>
        <item m="1" x="263"/>
        <item m="1" x="330"/>
        <item m="1" x="396"/>
        <item m="1" x="464"/>
        <item m="1" x="548"/>
        <item m="1" x="631"/>
        <item m="1" x="712"/>
        <item m="1" x="790"/>
        <item m="1" x="268"/>
        <item m="1" x="335"/>
        <item m="1" x="404"/>
        <item m="1" x="471"/>
        <item m="1" x="643"/>
        <item m="1" x="718"/>
        <item x="69"/>
        <item m="1" x="478"/>
        <item m="1" x="565"/>
        <item m="1" x="650"/>
        <item m="1" x="723"/>
        <item m="1" x="798"/>
        <item m="1" x="855"/>
        <item m="1" x="908"/>
        <item m="1" x="965"/>
        <item m="1" x="1019"/>
        <item m="1" x="569"/>
        <item m="1" x="653"/>
        <item m="1" x="860"/>
        <item m="1" x="914"/>
        <item m="1" x="970"/>
        <item m="1" x="1022"/>
        <item m="1" x="1069"/>
        <item m="1" x="1115"/>
        <item m="1" x="731"/>
        <item m="1" x="805"/>
        <item m="1" x="917"/>
        <item m="1" x="1026"/>
        <item m="1" x="1119"/>
        <item m="1" x="199"/>
        <item m="1" x="865"/>
        <item m="1" x="208"/>
        <item x="70"/>
        <item m="1" x="334"/>
        <item m="1" x="977"/>
        <item m="1" x="1031"/>
        <item m="1" x="1125"/>
        <item m="1" x="1179"/>
        <item m="1" x="213"/>
        <item m="1" x="341"/>
        <item m="1" x="476"/>
        <item m="1" x="1082"/>
        <item m="1" x="1129"/>
        <item m="1" x="277"/>
        <item m="1" x="343"/>
        <item m="1" x="481"/>
        <item m="1" x="414"/>
        <item m="1" x="488"/>
        <item m="1" x="573"/>
        <item m="1" x="202"/>
        <item m="1" x="264"/>
        <item m="1" x="397"/>
        <item m="1" x="465"/>
        <item m="1" x="549"/>
        <item m="1" x="632"/>
        <item m="1" x="1174"/>
        <item m="1" x="209"/>
        <item m="1" x="269"/>
        <item m="1" x="644"/>
        <item m="1" x="856"/>
        <item m="1" x="909"/>
        <item m="1" x="1122"/>
        <item m="1" x="482"/>
        <item m="1" x="1086"/>
        <item m="1" x="1133"/>
        <item m="1" x="161"/>
        <item m="1" x="219"/>
        <item m="1" x="282"/>
        <item m="1" x="348"/>
        <item m="1" x="491"/>
        <item m="1" x="578"/>
        <item m="1" x="660"/>
        <item m="1" x="733"/>
        <item m="1" x="738"/>
        <item m="1" x="810"/>
        <item m="1" x="868"/>
        <item m="1" x="921"/>
        <item m="1" x="978"/>
        <item m="1" x="1032"/>
        <item m="1" x="1080"/>
        <item m="1" x="1126"/>
        <item m="1" x="924"/>
        <item m="1" x="980"/>
        <item m="1" x="1036"/>
        <item m="1" x="1083"/>
        <item m="1" x="1130"/>
        <item m="1" x="1184"/>
        <item m="1" x="215"/>
        <item m="1" x="278"/>
        <item m="1" x="344"/>
        <item m="1" x="986"/>
        <item m="1" x="1040"/>
        <item m="1" x="1087"/>
        <item m="1" x="1134"/>
        <item m="1" x="232"/>
        <item m="1" x="294"/>
        <item x="71"/>
        <item x="72"/>
        <item m="1" x="816"/>
        <item x="73"/>
        <item x="74"/>
        <item m="1" x="345"/>
        <item m="1" x="411"/>
        <item m="1" x="484"/>
        <item m="1" x="570"/>
        <item m="1" x="925"/>
        <item m="1" x="981"/>
        <item m="1" x="1037"/>
        <item m="1" x="1084"/>
        <item m="1" x="1131"/>
        <item m="1" x="754"/>
        <item m="1" x="823"/>
        <item m="1" x="930"/>
        <item m="1" x="987"/>
        <item m="1" x="162"/>
        <item m="1" x="220"/>
        <item m="1" x="881"/>
        <item m="1" x="992"/>
        <item m="1" x="1091"/>
        <item x="75"/>
        <item x="76"/>
        <item x="77"/>
        <item x="78"/>
        <item m="1" x="237"/>
        <item m="1" x="300"/>
        <item m="1" x="824"/>
        <item m="1" x="877"/>
        <item m="1" x="165"/>
        <item m="1" x="223"/>
        <item m="1" x="226"/>
        <item m="1" x="286"/>
        <item m="1" x="351"/>
        <item m="1" x="420"/>
        <item m="1" x="495"/>
        <item m="1" x="581"/>
        <item m="1" x="665"/>
        <item m="1" x="739"/>
        <item m="1" x="811"/>
        <item m="1" x="295"/>
        <item m="1" x="356"/>
        <item m="1" x="425"/>
        <item m="1" x="501"/>
        <item m="1" x="585"/>
        <item m="1" x="670"/>
        <item m="1" x="745"/>
        <item m="1" x="817"/>
        <item m="1" x="873"/>
        <item m="1" x="306"/>
        <item m="1" x="370"/>
        <item m="1" x="437"/>
        <item m="1" x="516"/>
        <item m="1" x="666"/>
        <item m="1" x="172"/>
        <item m="1" x="296"/>
        <item m="1" x="502"/>
        <item m="1" x="671"/>
        <item m="1" x="746"/>
        <item m="1" x="593"/>
        <item m="1" x="755"/>
        <item m="1" x="931"/>
        <item m="1" x="439"/>
        <item m="1" x="518"/>
        <item m="1" x="602"/>
        <item m="1" x="683"/>
        <item m="1" x="935"/>
        <item m="1" x="942"/>
        <item m="1" x="1002"/>
        <item m="1" x="1049"/>
        <item m="1" x="1100"/>
        <item m="1" x="1145"/>
        <item m="1" x="176"/>
        <item m="1" x="238"/>
        <item m="1" x="301"/>
        <item m="1" x="363"/>
        <item m="1" x="1006"/>
        <item m="1" x="1052"/>
        <item m="1" x="1102"/>
        <item m="1" x="1151"/>
        <item m="1" x="181"/>
        <item m="1" x="243"/>
        <item m="1" x="307"/>
        <item m="1" x="371"/>
        <item m="1" x="438"/>
        <item m="1" x="517"/>
        <item m="1" x="1104"/>
        <item m="1" x="184"/>
        <item m="1" x="247"/>
        <item m="1" x="311"/>
        <item m="1" x="376"/>
        <item m="1" x="445"/>
        <item m="1" x="525"/>
        <item m="1" x="608"/>
        <item m="1" x="690"/>
        <item m="1" x="833"/>
        <item m="1" x="379"/>
        <item m="1" x="447"/>
        <item m="1" x="527"/>
        <item m="1" x="610"/>
        <item m="1" x="694"/>
        <item m="1" x="771"/>
        <item m="1" x="832"/>
        <item m="1" x="887"/>
        <item m="1" x="382"/>
        <item m="1" x="451"/>
        <item m="1" x="533"/>
        <item m="1" x="614"/>
        <item m="1" x="696"/>
        <item m="1" x="773"/>
        <item m="1" x="835"/>
        <item m="1" x="891"/>
        <item m="1" x="940"/>
        <item m="1" x="999"/>
        <item m="1" x="537"/>
        <item m="1" x="617"/>
        <item m="1" x="700"/>
        <item m="1" x="778"/>
        <item m="1" x="838"/>
        <item m="1" x="893"/>
        <item m="1" x="944"/>
        <item m="1" x="1003"/>
        <item m="1" x="186"/>
        <item m="1" x="955"/>
        <item m="1" x="1012"/>
        <item m="1" x="1060"/>
        <item m="1" x="1105"/>
        <item m="1" x="1156"/>
        <item m="1" x="189"/>
        <item m="1" x="1111"/>
        <item m="1" x="1161"/>
        <item m="1" x="248"/>
        <item m="1" x="615"/>
        <item m="1" x="697"/>
        <item m="1" x="774"/>
        <item m="1" x="251"/>
        <item m="1" x="701"/>
        <item m="1" x="388"/>
        <item m="1" x="1157"/>
        <item m="1" x="198"/>
        <item m="1" x="393"/>
        <item m="1" x="462"/>
        <item m="1" x="1172"/>
        <item m="1" x="333"/>
        <item m="1" x="402"/>
        <item m="1" x="640"/>
        <item m="1" x="716"/>
        <item m="1" x="1107"/>
        <item m="1" x="252"/>
        <item m="1" x="618"/>
        <item m="1" x="256"/>
        <item m="1" x="1068"/>
        <item m="1" x="324"/>
        <item m="1" x="968"/>
        <item m="1" x="1021"/>
        <item m="1" x="469"/>
        <item m="1" x="1078"/>
        <item m="1" x="339"/>
        <item m="1" x="407"/>
        <item m="1" x="475"/>
        <item m="1" x="563"/>
        <item m="1" x="1167"/>
        <item m="1" x="200"/>
        <item m="1" x="262"/>
        <item m="1" x="329"/>
        <item m="1" x="395"/>
        <item m="1" x="403"/>
        <item m="1" x="470"/>
        <item m="1" x="557"/>
        <item m="1" x="641"/>
        <item m="1" x="793"/>
        <item m="1" x="274"/>
        <item m="1" x="408"/>
        <item m="1" x="858"/>
        <item m="1" x="973"/>
        <item m="1" x="1025"/>
        <item m="1" x="1072"/>
        <item m="1" x="1118"/>
        <item m="1" x="734"/>
        <item m="1" x="806"/>
        <item m="1" x="864"/>
        <item m="1" x="918"/>
        <item m="1" x="975"/>
        <item m="1" x="1028"/>
        <item m="1" x="1075"/>
        <item m="1" x="1173"/>
        <item m="1" x="207"/>
        <item m="1" x="920"/>
        <item m="1" x="976"/>
        <item m="1" x="1030"/>
        <item m="1" x="1079"/>
        <item m="1" x="1124"/>
        <item m="1" x="1178"/>
        <item m="1" x="410"/>
        <item m="1" x="483"/>
        <item m="1" x="728"/>
        <item m="1" x="911"/>
        <item m="1" x="574"/>
        <item m="1" x="655"/>
        <item m="1" x="804"/>
        <item m="1" x="661"/>
        <item m="1" x="735"/>
        <item m="1" x="807"/>
        <item m="1" x="919"/>
        <item m="1" x="1035"/>
        <item m="1" x="1128"/>
        <item m="1" x="1183"/>
        <item m="1" x="281"/>
        <item m="1" x="991"/>
        <item m="1" x="1043"/>
        <item m="1" x="1090"/>
        <item m="1" x="1135"/>
        <item m="1" x="164"/>
        <item m="1" x="222"/>
        <item m="1" x="971"/>
        <item m="1" x="997"/>
        <item m="1" x="1023"/>
        <item m="1" x="1047"/>
        <item m="1" x="1094"/>
        <item m="1" x="1138"/>
        <item m="1" x="225"/>
        <item m="1" x="285"/>
        <item m="1" x="668"/>
        <item m="1" x="741"/>
        <item m="1" x="357"/>
        <item m="1" x="426"/>
        <item m="1" x="503"/>
        <item m="1" x="586"/>
        <item m="1" x="672"/>
        <item m="1" x="747"/>
        <item m="1" x="819"/>
        <item m="1" x="874"/>
        <item m="1" x="926"/>
        <item m="1" x="982"/>
        <item m="1" x="510"/>
        <item m="1" x="595"/>
        <item m="1" x="287"/>
        <item m="1" x="938"/>
        <item m="1" x="364"/>
        <item m="1" x="509"/>
        <item m="1" x="594"/>
        <item m="1" x="372"/>
        <item m="1" x="440"/>
        <item m="1" x="519"/>
        <item m="1" x="365"/>
        <item m="1" x="432"/>
        <item m="1" x="511"/>
        <item m="1" x="596"/>
        <item m="1" x="677"/>
        <item m="1" x="756"/>
        <item m="1" x="825"/>
        <item m="1" x="878"/>
        <item m="1" x="932"/>
        <item m="1" x="988"/>
        <item m="1" x="521"/>
        <item m="1" x="603"/>
        <item m="1" x="684"/>
        <item m="1" x="763"/>
        <item m="1" x="829"/>
        <item m="1" x="884"/>
        <item m="1" x="1046"/>
        <item m="1" x="431"/>
        <item m="1" x="1053"/>
        <item m="1" x="520"/>
        <item m="1" x="1154"/>
        <item m="1" x="185"/>
        <item m="1" x="377"/>
        <item m="1" x="691"/>
        <item m="1" x="768"/>
        <item m="1" x="1095"/>
        <item m="1" x="1139"/>
        <item m="1" x="168"/>
        <item m="1" x="227"/>
        <item m="1" x="288"/>
        <item m="1" x="352"/>
        <item m="1" x="497"/>
        <item m="1" x="583"/>
        <item m="1" x="1143"/>
        <item m="1" x="173"/>
        <item m="1" x="233"/>
        <item m="1" x="748"/>
        <item m="1" x="302"/>
        <item m="1" x="366"/>
        <item m="1" x="433"/>
        <item m="1" x="512"/>
        <item m="1" x="597"/>
        <item m="1" x="449"/>
        <item m="1" x="297"/>
        <item m="1" x="358"/>
        <item m="1" x="427"/>
        <item m="1" x="504"/>
        <item m="1" x="1146"/>
        <item m="1" x="177"/>
        <item m="1" x="239"/>
        <item m="1" x="367"/>
        <item m="1" x="434"/>
        <item m="1" x="513"/>
        <item m="1" x="598"/>
        <item m="1" x="678"/>
        <item m="1" x="757"/>
        <item m="1" x="244"/>
        <item m="1" x="308"/>
        <item m="1" x="373"/>
        <item m="1" x="441"/>
        <item m="1" x="522"/>
        <item m="1" x="604"/>
        <item m="1" x="685"/>
        <item m="1" x="764"/>
        <item m="1" x="882"/>
        <item m="1" x="378"/>
        <item m="1" x="446"/>
        <item m="1" x="526"/>
        <item m="1" x="609"/>
        <item m="1" x="692"/>
        <item m="1" x="769"/>
        <item m="1" x="885"/>
        <item m="1" x="995"/>
        <item m="1" x="531"/>
        <item m="1" x="313"/>
        <item m="1" x="693"/>
        <item m="1" x="770"/>
        <item m="1" x="886"/>
        <item m="1" x="381"/>
        <item m="1" x="450"/>
        <item m="1" x="532"/>
        <item m="1" x="613"/>
        <item m="1" x="695"/>
        <item m="1" x="772"/>
        <item m="1" x="834"/>
        <item m="1" x="890"/>
        <item m="1" x="939"/>
        <item m="1" x="998"/>
        <item m="1" x="535"/>
        <item m="1" x="616"/>
        <item m="1" x="699"/>
        <item m="1" x="837"/>
        <item m="1" x="943"/>
        <item m="1" x="1050"/>
        <item m="1" x="542"/>
        <item m="1" x="623"/>
        <item m="1" x="707"/>
        <item m="1" x="784"/>
        <item m="1" x="1056"/>
        <item m="1" x="702"/>
        <item m="1" x="841"/>
        <item m="1" x="846"/>
        <item m="1" x="1055"/>
        <item m="1" x="777"/>
        <item m="1" x="255"/>
        <item m="1" x="320"/>
        <item x="8"/>
        <item x="9"/>
        <item m="1" x="540"/>
        <item m="1" x="619"/>
        <item m="1" x="703"/>
        <item m="1" x="780"/>
        <item m="1" x="842"/>
        <item m="1" x="896"/>
        <item m="1" x="389"/>
        <item m="1" x="457"/>
        <item x="10"/>
        <item m="1" x="624"/>
        <item x="11"/>
        <item m="1" x="785"/>
        <item x="12"/>
        <item m="1" x="899"/>
        <item m="1" x="951"/>
        <item m="1" x="1009"/>
        <item x="13"/>
        <item m="1" x="629"/>
        <item m="1" x="710"/>
        <item m="1" x="789"/>
        <item m="1" x="850"/>
        <item x="5"/>
        <item x="6"/>
        <item m="1" x="536"/>
        <item m="1" x="900"/>
        <item m="1" x="394"/>
        <item m="1" x="463"/>
        <item m="1" x="547"/>
        <item m="1" x="556"/>
        <item m="1" x="639"/>
        <item m="1" x="1177"/>
        <item m="1" x="212"/>
        <item m="1" x="272"/>
        <item m="1" x="338"/>
        <item x="0"/>
        <item x="1"/>
        <item x="2"/>
        <item x="3"/>
        <item m="1" x="485"/>
        <item x="7"/>
        <item x="160"/>
        <item x="33"/>
        <item x="38"/>
        <item x="39"/>
        <item x="40"/>
        <item x="41"/>
        <item x="37"/>
        <item x="35"/>
        <item x="36"/>
        <item x="42"/>
        <item x="43"/>
        <item x="28"/>
        <item x="29"/>
        <item x="31"/>
        <item x="32"/>
        <item m="1" x="808"/>
        <item m="1" x="866"/>
        <item m="1" x="1029"/>
        <item m="1" x="1076"/>
        <item m="1" x="818"/>
        <item x="45"/>
        <item x="46"/>
        <item x="47"/>
        <item x="21"/>
        <item x="22"/>
        <item x="23"/>
        <item x="24"/>
        <item x="25"/>
        <item x="26"/>
        <item x="14"/>
        <item x="15"/>
        <item x="18"/>
        <item x="19"/>
        <item x="17"/>
        <item x="16"/>
        <item x="34"/>
        <item x="27"/>
        <item x="30"/>
        <item x="44"/>
        <item x="20"/>
        <item x="48"/>
        <item x="50"/>
        <item x="51"/>
        <item x="52"/>
        <item x="53"/>
        <item x="54"/>
        <item x="55"/>
        <item x="56"/>
        <item x="49"/>
        <item m="1" x="166"/>
        <item x="57"/>
        <item m="1" x="812"/>
        <item m="1" x="869"/>
        <item m="1" x="922"/>
        <item m="1" x="979"/>
        <item x="58"/>
        <item x="59"/>
        <item x="60"/>
        <item x="61"/>
        <item x="62"/>
        <item x="63"/>
        <item x="64"/>
        <item x="65"/>
        <item x="67"/>
        <item x="66"/>
        <item x="79"/>
        <item x="80"/>
        <item x="81"/>
        <item x="82"/>
        <item x="83"/>
        <item x="84"/>
        <item x="85"/>
        <item x="86"/>
        <item m="1" x="328"/>
        <item m="1" x="1171"/>
        <item m="1" x="974"/>
        <item m="1" x="206"/>
        <item m="1" x="421"/>
        <item m="1" x="496"/>
        <item m="1" x="582"/>
        <item m="1" x="667"/>
        <item m="1" x="740"/>
        <item x="87"/>
        <item x="88"/>
        <item x="89"/>
        <item x="90"/>
        <item x="91"/>
        <item x="92"/>
        <item x="93"/>
        <item x="94"/>
        <item x="95"/>
        <item x="96"/>
        <item m="1" x="962"/>
        <item x="97"/>
        <item x="98"/>
        <item x="100"/>
        <item x="101"/>
        <item x="102"/>
        <item x="103"/>
        <item x="104"/>
        <item x="105"/>
        <item x="110"/>
        <item x="115"/>
        <item x="113"/>
        <item x="109"/>
        <item x="114"/>
        <item x="118"/>
        <item x="106"/>
        <item x="107"/>
        <item x="108"/>
        <item x="111"/>
        <item x="112"/>
        <item x="99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m="1" x="477"/>
        <item x="148"/>
        <item x="150"/>
        <item x="152"/>
        <item x="142"/>
        <item x="144"/>
        <item x="145"/>
        <item x="147"/>
        <item x="149"/>
        <item x="151"/>
        <item x="153"/>
        <item x="154"/>
        <item x="155"/>
        <item x="146"/>
        <item x="156"/>
        <item x="157"/>
        <item x="158"/>
        <item x="1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2">
        <item m="1" x="273"/>
        <item m="1" x="247"/>
        <item m="1" x="248"/>
        <item m="1" x="286"/>
        <item m="1" x="258"/>
        <item m="1" x="234"/>
        <item m="1" x="289"/>
        <item m="1" x="263"/>
        <item m="1" x="238"/>
        <item m="1" x="235"/>
        <item m="1" x="290"/>
        <item m="1" x="264"/>
        <item m="1" x="239"/>
        <item m="1" x="225"/>
        <item m="1" x="279"/>
        <item m="1" x="274"/>
        <item m="1" x="293"/>
        <item m="1" x="271"/>
        <item m="1" x="228"/>
        <item m="1" x="283"/>
        <item m="1" x="256"/>
        <item m="1" x="231"/>
        <item m="1" x="287"/>
        <item m="1" x="259"/>
        <item m="1" x="236"/>
        <item m="1" x="266"/>
        <item m="1" x="241"/>
        <item m="1" x="294"/>
        <item m="1" x="269"/>
        <item m="1" x="244"/>
        <item m="1" x="296"/>
        <item m="1" x="272"/>
        <item m="1" x="246"/>
        <item m="1" x="298"/>
        <item m="1" x="275"/>
        <item m="1" x="249"/>
        <item m="1" x="301"/>
        <item m="1" x="276"/>
        <item m="1" x="251"/>
        <item m="1" x="229"/>
        <item m="1" x="284"/>
        <item m="1" x="257"/>
        <item m="1" x="232"/>
        <item m="1" x="265"/>
        <item m="1" x="240"/>
        <item m="1" x="292"/>
        <item m="1" x="270"/>
        <item m="1" x="245"/>
        <item m="1" x="281"/>
        <item m="1" x="261"/>
        <item m="1" x="243"/>
        <item m="1" x="288"/>
        <item m="1" x="299"/>
        <item m="1" x="260"/>
        <item m="1" x="268"/>
        <item m="1" x="278"/>
        <item m="1" x="255"/>
        <item m="1" x="254"/>
        <item m="1" x="226"/>
        <item m="1" x="252"/>
        <item m="1" x="250"/>
        <item m="1" x="267"/>
        <item m="1" x="242"/>
        <item m="1" x="295"/>
        <item m="1" x="300"/>
        <item m="1" x="227"/>
        <item m="1" x="230"/>
        <item m="1" x="262"/>
        <item m="1" x="237"/>
        <item m="1" x="291"/>
        <item m="1" x="280"/>
        <item m="1" x="285"/>
        <item m="1" x="233"/>
        <item m="1" x="277"/>
        <item m="1" x="253"/>
        <item m="1" x="2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31"/>
        <item x="223"/>
        <item x="86"/>
        <item x="87"/>
        <item x="90"/>
        <item x="91"/>
        <item x="89"/>
        <item x="88"/>
        <item x="94"/>
        <item x="92"/>
        <item x="95"/>
        <item x="93"/>
        <item x="74"/>
        <item x="80"/>
        <item x="76"/>
        <item x="78"/>
        <item x="77"/>
        <item x="84"/>
        <item x="82"/>
        <item x="83"/>
        <item x="79"/>
        <item x="85"/>
        <item x="75"/>
        <item x="81"/>
        <item x="98"/>
        <item x="99"/>
        <item x="96"/>
        <item x="97"/>
        <item x="72"/>
        <item x="73"/>
        <item x="66"/>
        <item x="67"/>
        <item x="70"/>
        <item x="71"/>
        <item x="68"/>
        <item x="69"/>
        <item x="100"/>
        <item x="101"/>
        <item x="103"/>
        <item x="107"/>
        <item x="106"/>
        <item x="108"/>
        <item x="109"/>
        <item x="102"/>
        <item x="105"/>
        <item x="104"/>
        <item x="110"/>
        <item x="115"/>
        <item x="116"/>
        <item x="114"/>
        <item x="113"/>
        <item x="111"/>
        <item x="112"/>
        <item x="118"/>
        <item x="120"/>
        <item x="124"/>
        <item x="122"/>
        <item x="125"/>
        <item x="126"/>
        <item x="128"/>
        <item x="130"/>
        <item x="129"/>
        <item x="132"/>
        <item x="133"/>
        <item x="134"/>
        <item x="135"/>
        <item x="136"/>
        <item x="137"/>
        <item x="139"/>
        <item x="140"/>
        <item x="141"/>
        <item x="142"/>
        <item x="144"/>
        <item x="138"/>
        <item x="145"/>
        <item x="146"/>
        <item x="147"/>
        <item x="148"/>
        <item x="149"/>
        <item x="150"/>
        <item x="151"/>
        <item x="152"/>
        <item x="155"/>
        <item x="156"/>
        <item x="157"/>
        <item x="158"/>
        <item m="1" x="297"/>
        <item m="1" x="282"/>
        <item x="143"/>
        <item x="159"/>
        <item x="160"/>
        <item x="161"/>
        <item x="162"/>
        <item x="163"/>
        <item x="164"/>
        <item x="165"/>
        <item x="167"/>
        <item x="169"/>
        <item x="171"/>
        <item x="172"/>
        <item x="173"/>
        <item x="174"/>
        <item x="175"/>
        <item x="127"/>
        <item x="153"/>
        <item x="154"/>
        <item x="166"/>
        <item x="168"/>
        <item x="170"/>
        <item x="176"/>
        <item x="177"/>
        <item x="178"/>
        <item x="180"/>
        <item x="183"/>
        <item x="184"/>
        <item x="190"/>
        <item x="194"/>
        <item x="196"/>
        <item x="199"/>
        <item x="200"/>
        <item x="201"/>
        <item x="202"/>
        <item x="203"/>
        <item x="204"/>
        <item x="119"/>
        <item x="121"/>
        <item x="123"/>
        <item x="181"/>
        <item x="182"/>
        <item x="188"/>
        <item x="189"/>
        <item x="193"/>
        <item x="195"/>
        <item x="205"/>
        <item x="117"/>
        <item x="179"/>
        <item x="185"/>
        <item x="186"/>
        <item x="187"/>
        <item x="191"/>
        <item x="192"/>
        <item x="197"/>
        <item x="198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6">
        <item x="5"/>
        <item x="9"/>
        <item m="1" x="15"/>
        <item m="1" x="14"/>
        <item x="11"/>
        <item x="1"/>
        <item x="0"/>
        <item x="2"/>
        <item x="10"/>
        <item x="12"/>
        <item x="6"/>
        <item x="8"/>
        <item x="3"/>
        <item x="4"/>
        <item x="7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0">
        <item m="1" x="253"/>
        <item m="1" x="221"/>
        <item m="1" x="192"/>
        <item x="78"/>
        <item x="79"/>
        <item m="1" x="209"/>
        <item m="1" x="450"/>
        <item m="1" x="316"/>
        <item m="1" x="176"/>
        <item m="1" x="387"/>
        <item m="1" x="352"/>
        <item m="1" x="240"/>
        <item m="1" x="200"/>
        <item m="1" x="268"/>
        <item m="1" x="478"/>
        <item x="118"/>
        <item m="1" x="210"/>
        <item m="1" x="417"/>
        <item m="1" x="431"/>
        <item x="110"/>
        <item x="111"/>
        <item m="1" x="368"/>
        <item m="1" x="353"/>
        <item m="1" x="217"/>
        <item m="1" x="423"/>
        <item m="1" x="288"/>
        <item m="1" x="256"/>
        <item m="1" x="289"/>
        <item m="1" x="151"/>
        <item m="1" x="359"/>
        <item m="1" x="265"/>
        <item m="1" x="473"/>
        <item m="1" x="247"/>
        <item m="1" x="459"/>
        <item m="1" x="275"/>
        <item m="1" x="332"/>
        <item m="1" x="193"/>
        <item m="1" x="398"/>
        <item m="1" x="241"/>
        <item m="1" x="201"/>
        <item x="80"/>
        <item x="81"/>
        <item m="1" x="222"/>
        <item m="1" x="460"/>
        <item m="1" x="326"/>
        <item m="1" x="184"/>
        <item m="1" x="392"/>
        <item m="1" x="360"/>
        <item m="1" x="248"/>
        <item m="1" x="218"/>
        <item m="1" x="283"/>
        <item m="1" x="150"/>
        <item x="119"/>
        <item m="1" x="223"/>
        <item m="1" x="224"/>
        <item m="1" x="442"/>
        <item x="112"/>
        <item x="113"/>
        <item m="1" x="379"/>
        <item m="1" x="361"/>
        <item m="1" x="230"/>
        <item m="1" x="436"/>
        <item m="1" x="301"/>
        <item m="1" x="266"/>
        <item m="1" x="302"/>
        <item m="1" x="164"/>
        <item m="1" x="375"/>
        <item m="1" x="276"/>
        <item m="1" x="483"/>
        <item m="1" x="257"/>
        <item m="1" x="464"/>
        <item m="1" x="152"/>
        <item m="1" x="341"/>
        <item m="1" x="202"/>
        <item m="1" x="409"/>
        <item m="1" x="249"/>
        <item x="72"/>
        <item x="74"/>
        <item x="73"/>
        <item x="75"/>
        <item x="77"/>
        <item x="95"/>
        <item x="96"/>
        <item x="97"/>
        <item x="98"/>
        <item x="6"/>
        <item x="99"/>
        <item x="100"/>
        <item x="7"/>
        <item m="1" x="376"/>
        <item x="82"/>
        <item x="83"/>
        <item m="1" x="194"/>
        <item m="1" x="303"/>
        <item x="84"/>
        <item m="1" x="401"/>
        <item x="87"/>
        <item x="89"/>
        <item x="90"/>
        <item m="1" x="321"/>
        <item m="1" x="158"/>
        <item m="1" x="254"/>
        <item m="1" x="462"/>
        <item m="1" x="330"/>
        <item m="1" x="190"/>
        <item x="141"/>
        <item x="142"/>
        <item x="143"/>
        <item x="144"/>
        <item m="1" x="484"/>
        <item x="101"/>
        <item x="102"/>
        <item x="8"/>
        <item m="1" x="399"/>
        <item m="1" x="463"/>
        <item m="1" x="465"/>
        <item m="1" x="178"/>
        <item m="1" x="179"/>
        <item m="1" x="377"/>
        <item m="1" x="393"/>
        <item x="88"/>
        <item x="91"/>
        <item m="1" x="322"/>
        <item m="1" x="180"/>
        <item m="1" x="255"/>
        <item m="1" x="485"/>
        <item m="1" x="153"/>
        <item m="1" x="362"/>
        <item x="85"/>
        <item x="86"/>
        <item m="1" x="159"/>
        <item m="1" x="369"/>
        <item m="1" x="363"/>
        <item m="1" x="231"/>
        <item m="1" x="437"/>
        <item m="1" x="466"/>
        <item m="1" x="304"/>
        <item m="1" x="165"/>
        <item m="1" x="242"/>
        <item m="1" x="451"/>
        <item m="1" x="235"/>
        <item m="1" x="461"/>
        <item m="1" x="203"/>
        <item x="71"/>
        <item m="1" x="410"/>
        <item m="1" x="258"/>
        <item m="1" x="443"/>
        <item x="37"/>
        <item m="1" x="347"/>
        <item m="1" x="382"/>
        <item m="1" x="245"/>
        <item m="1" x="454"/>
        <item m="1" x="211"/>
        <item m="1" x="418"/>
        <item m="1" x="284"/>
        <item x="76"/>
        <item m="1" x="295"/>
        <item m="1" x="342"/>
        <item m="1" x="204"/>
        <item m="1" x="411"/>
        <item m="1" x="269"/>
        <item m="1" x="348"/>
        <item m="1" x="212"/>
        <item m="1" x="285"/>
        <item m="1" x="370"/>
        <item m="1" x="171"/>
        <item m="1" x="267"/>
        <item m="1" x="239"/>
        <item m="1" x="402"/>
        <item m="1" x="327"/>
        <item m="1" x="394"/>
        <item m="1" x="166"/>
        <item m="1" x="312"/>
        <item m="1" x="470"/>
        <item m="1" x="403"/>
        <item m="1" x="154"/>
        <item m="1" x="167"/>
        <item m="1" x="196"/>
        <item m="1" x="364"/>
        <item m="1" x="313"/>
        <item m="1" x="446"/>
        <item m="1" x="314"/>
        <item m="1" x="232"/>
        <item m="1" x="305"/>
        <item m="1" x="177"/>
        <item m="1" x="250"/>
        <item x="49"/>
        <item m="1" x="259"/>
        <item m="1" x="333"/>
        <item x="40"/>
        <item x="38"/>
        <item x="39"/>
        <item m="1" x="334"/>
        <item m="1" x="317"/>
        <item m="1" x="251"/>
        <item m="1" x="336"/>
        <item m="1" x="479"/>
        <item m="1" x="349"/>
        <item m="1" x="213"/>
        <item x="41"/>
        <item m="1" x="356"/>
        <item m="1" x="225"/>
        <item x="42"/>
        <item m="1" x="160"/>
        <item m="1" x="432"/>
        <item x="43"/>
        <item x="44"/>
        <item m="1" x="424"/>
        <item m="1" x="290"/>
        <item m="1" x="161"/>
        <item m="1" x="400"/>
        <item m="1" x="365"/>
        <item m="1" x="277"/>
        <item m="1" x="318"/>
        <item m="1" x="185"/>
        <item m="1" x="343"/>
        <item m="1" x="412"/>
        <item m="1" x="278"/>
        <item m="1" x="486"/>
        <item m="1" x="354"/>
        <item m="1" x="355"/>
        <item m="1" x="219"/>
        <item m="1" x="425"/>
        <item m="1" x="291"/>
        <item m="1" x="366"/>
        <item m="1" x="233"/>
        <item m="1" x="438"/>
        <item m="1" x="306"/>
        <item m="1" x="168"/>
        <item m="1" x="315"/>
        <item m="1" x="383"/>
        <item m="1" x="455"/>
        <item m="1" x="396"/>
        <item m="1" x="262"/>
        <item m="1" x="169"/>
        <item m="1" x="384"/>
        <item m="1" x="474"/>
        <item m="1" x="413"/>
        <item m="1" x="404"/>
        <item m="1" x="270"/>
        <item m="1" x="350"/>
        <item m="1" x="309"/>
        <item m="1" x="174"/>
        <item m="1" x="456"/>
        <item m="1" x="323"/>
        <item m="1" x="405"/>
        <item m="1" x="271"/>
        <item m="1" x="195"/>
        <item m="1" x="186"/>
        <item m="1" x="426"/>
        <item m="1" x="357"/>
        <item m="1" x="388"/>
        <item m="1" x="279"/>
        <item m="1" x="371"/>
        <item m="1" x="260"/>
        <item m="1" x="467"/>
        <item m="1" x="226"/>
        <item m="1" x="433"/>
        <item m="1" x="296"/>
        <item m="1" x="162"/>
        <item m="1" x="372"/>
        <item m="1" x="236"/>
        <item m="1" x="444"/>
        <item m="1" x="310"/>
        <item m="1" x="261"/>
        <item m="1" x="468"/>
        <item m="1" x="335"/>
        <item m="1" x="397"/>
        <item m="1" x="263"/>
        <item m="1" x="471"/>
        <item m="1" x="181"/>
        <item m="1" x="419"/>
        <item m="1" x="439"/>
        <item m="1" x="307"/>
        <item x="11"/>
        <item x="12"/>
        <item m="1" x="445"/>
        <item m="1" x="311"/>
        <item m="1" x="172"/>
        <item m="1" x="220"/>
        <item m="1" x="427"/>
        <item m="1" x="292"/>
        <item m="1" x="328"/>
        <item m="1" x="187"/>
        <item m="1" x="395"/>
        <item x="13"/>
        <item x="14"/>
        <item x="15"/>
        <item m="1" x="351"/>
        <item x="16"/>
        <item m="1" x="191"/>
        <item x="126"/>
        <item x="127"/>
        <item m="1" x="175"/>
        <item m="1" x="480"/>
        <item m="1" x="214"/>
        <item m="1" x="420"/>
        <item m="1" x="286"/>
        <item m="1" x="173"/>
        <item m="1" x="272"/>
        <item x="0"/>
        <item x="1"/>
        <item x="2"/>
        <item x="3"/>
        <item m="1" x="170"/>
        <item m="1" x="358"/>
        <item m="1" x="227"/>
        <item m="1" x="434"/>
        <item m="1" x="297"/>
        <item m="1" x="163"/>
        <item m="1" x="373"/>
        <item m="1" x="252"/>
        <item m="1" x="205"/>
        <item m="1" x="414"/>
        <item m="1" x="280"/>
        <item m="1" x="380"/>
        <item m="1" x="244"/>
        <item m="1" x="452"/>
        <item m="1" x="319"/>
        <item x="9"/>
        <item x="92"/>
        <item x="93"/>
        <item x="10"/>
        <item x="94"/>
        <item m="1" x="298"/>
        <item m="1" x="406"/>
        <item m="1" x="481"/>
        <item m="1" x="215"/>
        <item m="1" x="487"/>
        <item m="1" x="237"/>
        <item m="1" x="287"/>
        <item m="1" x="281"/>
        <item m="1" x="488"/>
        <item m="1" x="381"/>
        <item m="1" x="389"/>
        <item m="1" x="475"/>
        <item m="1" x="344"/>
        <item m="1" x="188"/>
        <item m="1" x="428"/>
        <item m="1" x="293"/>
        <item m="1" x="155"/>
        <item m="1" x="367"/>
        <item m="1" x="407"/>
        <item m="1" x="273"/>
        <item m="1" x="206"/>
        <item m="1" x="415"/>
        <item m="1" x="234"/>
        <item m="1" x="308"/>
        <item m="1" x="197"/>
        <item x="131"/>
        <item x="132"/>
        <item m="1" x="228"/>
        <item m="1" x="435"/>
        <item m="1" x="299"/>
        <item m="1" x="429"/>
        <item m="1" x="294"/>
        <item m="1" x="156"/>
        <item m="1" x="324"/>
        <item m="1" x="182"/>
        <item m="1" x="390"/>
        <item m="1" x="216"/>
        <item m="1" x="421"/>
        <item m="1" x="476"/>
        <item m="1" x="345"/>
        <item m="1" x="378"/>
        <item m="1" x="447"/>
        <item m="1" x="264"/>
        <item m="1" x="422"/>
        <item m="1" x="282"/>
        <item m="1" x="300"/>
        <item x="109"/>
        <item m="1" x="320"/>
        <item m="1" x="198"/>
        <item x="121"/>
        <item x="69"/>
        <item x="52"/>
        <item m="1" x="337"/>
        <item m="1" x="199"/>
        <item m="1" x="408"/>
        <item m="1" x="274"/>
        <item m="1" x="482"/>
        <item m="1" x="329"/>
        <item m="1" x="457"/>
        <item m="1" x="469"/>
        <item m="1" x="477"/>
        <item x="53"/>
        <item m="1" x="385"/>
        <item m="1" x="246"/>
        <item m="1" x="458"/>
        <item m="1" x="325"/>
        <item m="1" x="183"/>
        <item m="1" x="391"/>
        <item m="1" x="189"/>
        <item m="1" x="440"/>
        <item m="1" x="472"/>
        <item m="1" x="338"/>
        <item m="1" x="489"/>
        <item m="1" x="386"/>
        <item m="1" x="448"/>
        <item m="1" x="157"/>
        <item m="1" x="346"/>
        <item m="1" x="430"/>
        <item m="1" x="416"/>
        <item x="5"/>
        <item x="4"/>
        <item m="1" x="207"/>
        <item m="1" x="449"/>
        <item m="1" x="339"/>
        <item m="1" x="238"/>
        <item m="1" x="441"/>
        <item m="1" x="331"/>
        <item m="1" x="374"/>
        <item m="1" x="208"/>
        <item m="1" x="340"/>
        <item m="1" x="229"/>
        <item x="17"/>
        <item x="20"/>
        <item x="19"/>
        <item x="21"/>
        <item x="18"/>
        <item x="22"/>
        <item x="149"/>
        <item x="36"/>
        <item x="45"/>
        <item x="46"/>
        <item x="30"/>
        <item x="31"/>
        <item x="32"/>
        <item x="33"/>
        <item x="34"/>
        <item x="35"/>
        <item m="1" x="243"/>
        <item x="47"/>
        <item x="48"/>
        <item x="24"/>
        <item x="25"/>
        <item x="26"/>
        <item x="27"/>
        <item x="28"/>
        <item x="29"/>
        <item x="23"/>
        <item x="50"/>
        <item x="54"/>
        <item x="55"/>
        <item x="56"/>
        <item x="57"/>
        <item x="58"/>
        <item x="51"/>
        <item x="59"/>
        <item x="60"/>
        <item x="61"/>
        <item x="62"/>
        <item x="63"/>
        <item x="64"/>
        <item x="65"/>
        <item x="66"/>
        <item x="67"/>
        <item x="68"/>
        <item x="70"/>
        <item x="103"/>
        <item x="104"/>
        <item x="105"/>
        <item x="106"/>
        <item x="107"/>
        <item x="108"/>
        <item x="145"/>
        <item x="146"/>
        <item m="1" x="453"/>
        <item x="147"/>
        <item x="148"/>
        <item x="114"/>
        <item x="115"/>
        <item x="116"/>
        <item x="117"/>
        <item x="120"/>
        <item x="122"/>
        <item x="130"/>
        <item x="135"/>
        <item x="123"/>
        <item x="124"/>
        <item x="125"/>
        <item x="128"/>
        <item x="129"/>
        <item x="133"/>
        <item x="134"/>
        <item x="136"/>
        <item x="137"/>
        <item x="138"/>
        <item x="139"/>
        <item x="1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">
        <item m="1" x="207"/>
        <item x="6"/>
        <item m="1" x="179"/>
        <item m="1" x="100"/>
        <item m="1" x="94"/>
        <item m="1" x="131"/>
        <item m="1" x="208"/>
        <item m="1" x="104"/>
        <item x="39"/>
        <item m="1" x="189"/>
        <item m="1" x="95"/>
        <item m="1" x="102"/>
        <item m="1" x="210"/>
        <item m="1" x="159"/>
        <item x="55"/>
        <item x="7"/>
        <item x="60"/>
        <item x="5"/>
        <item x="8"/>
        <item x="56"/>
        <item m="1" x="86"/>
        <item m="1" x="203"/>
        <item m="1" x="165"/>
        <item m="1" x="81"/>
        <item m="1" x="105"/>
        <item x="30"/>
        <item m="1" x="163"/>
        <item x="4"/>
        <item x="80"/>
        <item x="53"/>
        <item m="1" x="87"/>
        <item x="59"/>
        <item m="1" x="83"/>
        <item m="1" x="188"/>
        <item x="31"/>
        <item x="58"/>
        <item x="54"/>
        <item m="1" x="135"/>
        <item x="77"/>
        <item m="1" x="96"/>
        <item x="57"/>
        <item m="1" x="89"/>
        <item m="1" x="173"/>
        <item m="1" x="204"/>
        <item m="1" x="211"/>
        <item m="1" x="192"/>
        <item m="1" x="212"/>
        <item x="32"/>
        <item m="1" x="123"/>
        <item m="1" x="185"/>
        <item m="1" x="138"/>
        <item m="1" x="201"/>
        <item m="1" x="171"/>
        <item m="1" x="148"/>
        <item m="1" x="88"/>
        <item m="1" x="127"/>
        <item m="1" x="143"/>
        <item x="33"/>
        <item m="1" x="169"/>
        <item m="1" x="119"/>
        <item m="1" x="193"/>
        <item x="34"/>
        <item x="35"/>
        <item m="1" x="91"/>
        <item m="1" x="153"/>
        <item m="1" x="205"/>
        <item m="1" x="122"/>
        <item m="1" x="217"/>
        <item m="1" x="154"/>
        <item m="1" x="168"/>
        <item m="1" x="124"/>
        <item m="1" x="112"/>
        <item x="40"/>
        <item m="1" x="167"/>
        <item m="1" x="197"/>
        <item m="1" x="218"/>
        <item m="1" x="202"/>
        <item m="1" x="172"/>
        <item m="1" x="194"/>
        <item m="1" x="121"/>
        <item m="1" x="157"/>
        <item m="1" x="118"/>
        <item m="1" x="164"/>
        <item m="1" x="136"/>
        <item x="25"/>
        <item x="26"/>
        <item x="27"/>
        <item x="29"/>
        <item m="1" x="160"/>
        <item m="1" x="176"/>
        <item x="51"/>
        <item x="36"/>
        <item x="37"/>
        <item x="69"/>
        <item m="1" x="92"/>
        <item m="1" x="108"/>
        <item m="1" x="113"/>
        <item m="1" x="161"/>
        <item m="1" x="99"/>
        <item m="1" x="195"/>
        <item m="1" x="166"/>
        <item m="1" x="134"/>
        <item m="1" x="170"/>
        <item m="1" x="149"/>
        <item m="1" x="147"/>
        <item m="1" x="129"/>
        <item x="28"/>
        <item m="1" x="162"/>
        <item m="1" x="139"/>
        <item m="1" x="182"/>
        <item m="1" x="152"/>
        <item m="1" x="146"/>
        <item m="1" x="145"/>
        <item m="1" x="110"/>
        <item m="1" x="191"/>
        <item m="1" x="106"/>
        <item m="1" x="97"/>
        <item m="1" x="111"/>
        <item m="1" x="140"/>
        <item m="1" x="133"/>
        <item m="1" x="126"/>
        <item m="1" x="174"/>
        <item m="1" x="137"/>
        <item m="1" x="190"/>
        <item m="1" x="115"/>
        <item m="1" x="178"/>
        <item m="1" x="215"/>
        <item m="1" x="150"/>
        <item m="1" x="101"/>
        <item m="1" x="130"/>
        <item m="1" x="141"/>
        <item m="1" x="132"/>
        <item m="1" x="117"/>
        <item m="1" x="183"/>
        <item m="1" x="116"/>
        <item m="1" x="209"/>
        <item m="1" x="151"/>
        <item m="1" x="206"/>
        <item m="1" x="184"/>
        <item m="1" x="93"/>
        <item m="1" x="109"/>
        <item m="1" x="90"/>
        <item m="1" x="181"/>
        <item m="1" x="199"/>
        <item m="1" x="196"/>
        <item m="1" x="200"/>
        <item m="1" x="142"/>
        <item m="1" x="156"/>
        <item m="1" x="125"/>
        <item m="1" x="187"/>
        <item m="1" x="158"/>
        <item m="1" x="85"/>
        <item m="1" x="214"/>
        <item m="1" x="144"/>
        <item m="1" x="175"/>
        <item m="1" x="103"/>
        <item m="1" x="98"/>
        <item m="1" x="155"/>
        <item m="1" x="128"/>
        <item m="1" x="114"/>
        <item m="1" x="216"/>
        <item m="1" x="107"/>
        <item m="1" x="186"/>
        <item x="9"/>
        <item x="10"/>
        <item x="11"/>
        <item x="12"/>
        <item x="13"/>
        <item x="14"/>
        <item m="1" x="82"/>
        <item m="1" x="177"/>
        <item m="1" x="120"/>
        <item m="1" x="213"/>
        <item m="1" x="198"/>
        <item m="1" x="180"/>
        <item x="0"/>
        <item x="1"/>
        <item x="2"/>
        <item x="3"/>
        <item x="15"/>
        <item x="16"/>
        <item x="19"/>
        <item x="20"/>
        <item x="18"/>
        <item x="17"/>
        <item x="38"/>
        <item x="22"/>
        <item x="23"/>
        <item x="24"/>
        <item x="21"/>
        <item m="1" x="84"/>
        <item x="41"/>
        <item x="42"/>
        <item x="43"/>
        <item x="44"/>
        <item x="45"/>
        <item x="46"/>
        <item x="47"/>
        <item x="48"/>
        <item x="49"/>
        <item x="50"/>
        <item x="52"/>
        <item x="61"/>
        <item x="62"/>
        <item x="63"/>
        <item x="64"/>
        <item x="65"/>
        <item x="79"/>
        <item x="66"/>
        <item x="67"/>
        <item x="68"/>
        <item x="70"/>
        <item x="71"/>
        <item x="72"/>
        <item x="73"/>
        <item x="74"/>
        <item x="75"/>
        <item x="76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2"/>
        <item m="1"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1"/>
        <item m="1" x="4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3"/>
        <item x="10"/>
        <item x="8"/>
        <item m="1" x="11"/>
        <item x="2"/>
        <item x="6"/>
        <item x="9"/>
        <item x="5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m="1"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2"/>
        <item x="0"/>
        <item x="1"/>
        <item m="1" x="5"/>
        <item m="1" x="4"/>
        <item m="1" x="3"/>
        <item m="1" x="6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ACTUAL FILE REL ON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9">
        <item x="1"/>
        <item m="1" x="55"/>
        <item m="1" x="43"/>
        <item m="1" x="39"/>
        <item m="1" x="22"/>
        <item m="1" x="40"/>
        <item m="1" x="45"/>
        <item m="1" x="48"/>
        <item m="1" x="37"/>
        <item m="1" x="36"/>
        <item m="1" x="42"/>
        <item m="1" x="19"/>
        <item x="0"/>
        <item m="1" x="13"/>
        <item m="1" x="12"/>
        <item m="1" x="33"/>
        <item m="1" x="18"/>
        <item m="1" x="28"/>
        <item m="1" x="31"/>
        <item m="1" x="20"/>
        <item m="1" x="15"/>
        <item m="1" x="11"/>
        <item m="1" x="52"/>
        <item m="1" x="16"/>
        <item m="1" x="24"/>
        <item m="1" x="17"/>
        <item m="1" x="58"/>
        <item m="1" x="46"/>
        <item m="1" x="56"/>
        <item m="1" x="14"/>
        <item m="1" x="50"/>
        <item m="1" x="21"/>
        <item m="1" x="30"/>
        <item m="1" x="27"/>
        <item m="1" x="35"/>
        <item m="1" x="25"/>
        <item m="1" x="57"/>
        <item m="1" x="47"/>
        <item m="1" x="53"/>
        <item m="1" x="10"/>
        <item m="1" x="51"/>
        <item m="1" x="54"/>
        <item m="1" x="41"/>
        <item m="1" x="38"/>
        <item m="1" x="49"/>
        <item m="1" x="44"/>
        <item m="1" x="34"/>
        <item m="1" x="26"/>
        <item m="1" x="23"/>
        <item m="1" x="32"/>
        <item m="1" x="29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DD DATE"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13"/>
        <item m="1" x="7"/>
        <item x="0"/>
        <item m="1" x="4"/>
        <item m="1" x="8"/>
        <item x="1"/>
        <item m="1" x="6"/>
        <item m="1" x="12"/>
        <item m="1" x="5"/>
        <item m="1" x="10"/>
        <item m="1" x="9"/>
        <item m="1" x="3"/>
        <item m="1" x="2"/>
        <item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x="0"/>
        <item h="1" x="2"/>
        <item h="1" x="3"/>
        <item h="1" m="1" x="4"/>
        <item h="1"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h="1"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164"/>
    <field x="163"/>
    <field x="71"/>
    <field x="0"/>
    <field x="7"/>
    <field x="12"/>
    <field x="25"/>
    <field x="24"/>
    <field x="160"/>
  </rowFields>
  <rowItems count="83">
    <i>
      <x/>
      <x v="4"/>
      <x v="96"/>
      <x v="988"/>
      <x v="274"/>
      <x v="163"/>
      <x v="1"/>
      <x v="1"/>
      <x v="1"/>
    </i>
    <i r="3">
      <x v="989"/>
      <x v="275"/>
      <x v="164"/>
      <x v="1"/>
      <x v="1"/>
      <x v="1"/>
    </i>
    <i r="3">
      <x v="998"/>
      <x v="285"/>
      <x v="165"/>
      <x v="1"/>
      <x v="1"/>
      <x v="1"/>
    </i>
    <i r="3">
      <x v="1000"/>
      <x v="286"/>
      <x v="166"/>
      <x v="1"/>
      <x v="1"/>
      <x v="1"/>
    </i>
    <i r="3">
      <x v="1002"/>
      <x v="287"/>
      <x v="167"/>
      <x v="1"/>
      <x v="1"/>
      <x v="1"/>
    </i>
    <i r="3">
      <x v="1006"/>
      <x v="289"/>
      <x v="168"/>
      <x v="1"/>
      <x v="1"/>
      <x v="1"/>
    </i>
    <i r="3">
      <x v="1011"/>
      <x v="403"/>
      <x v="27"/>
      <x v="4"/>
      <x v="3"/>
      <x v="1"/>
    </i>
    <i r="3">
      <x v="1012"/>
      <x v="404"/>
      <x v="27"/>
      <x v="4"/>
      <x/>
      <x v="1"/>
    </i>
    <i r="3">
      <x v="1024"/>
      <x v="300"/>
      <x v="175"/>
      <x v="4"/>
      <x v="3"/>
      <x v="1"/>
    </i>
    <i r="3">
      <x v="1025"/>
      <x v="301"/>
      <x v="176"/>
      <x v="4"/>
      <x v="3"/>
      <x v="1"/>
    </i>
    <i r="3">
      <x v="1026"/>
      <x v="302"/>
      <x v="177"/>
      <x v="4"/>
      <x v="3"/>
      <x v="1"/>
    </i>
    <i r="3">
      <x v="1027"/>
      <x v="303"/>
      <x v="178"/>
      <x v="4"/>
      <x v="3"/>
      <x v="1"/>
    </i>
    <i r="3">
      <x v="1036"/>
      <x v="189"/>
      <x v="27"/>
      <x v="1"/>
      <x v="1"/>
      <x v="1"/>
    </i>
    <i r="3">
      <x v="1037"/>
      <x v="190"/>
      <x v="25"/>
      <x v="1"/>
      <x v="1"/>
      <x v="1"/>
    </i>
    <i r="3">
      <x v="1038"/>
      <x v="191"/>
      <x v="34"/>
      <x v="1"/>
      <x v="1"/>
      <x v="1"/>
    </i>
    <i r="3">
      <x v="1039"/>
      <x v="423"/>
      <x v="91"/>
      <x v="4"/>
      <x v="3"/>
      <x v="1"/>
    </i>
    <i r="3">
      <x v="1040"/>
      <x v="424"/>
      <x v="92"/>
      <x v="4"/>
      <x v="3"/>
      <x v="1"/>
    </i>
    <i r="3">
      <x v="1050"/>
      <x v="432"/>
      <x v="25"/>
      <x v="1"/>
      <x v="1"/>
      <x v="1"/>
    </i>
    <i r="3">
      <x v="1051"/>
      <x v="433"/>
      <x v="185"/>
      <x v="1"/>
      <x v="1"/>
      <x v="1"/>
    </i>
    <i r="3">
      <x v="1052"/>
      <x v="186"/>
      <x v="34"/>
      <x v="1"/>
      <x v="1"/>
      <x v="1"/>
    </i>
    <i r="3">
      <x v="1078"/>
      <x v="447"/>
      <x v="84"/>
      <x/>
      <x/>
      <x v="1"/>
    </i>
    <i t="default" r="2">
      <x v="96"/>
    </i>
    <i r="2">
      <x v="103"/>
      <x v="1031"/>
      <x v="422"/>
      <x v="106"/>
      <x v="1"/>
      <x/>
      <x v="1"/>
    </i>
    <i r="3">
      <x v="1032"/>
      <x v="199"/>
      <x v="47"/>
      <x v="1"/>
      <x v="1"/>
      <x v="1"/>
    </i>
    <i r="3">
      <x v="1033"/>
      <x v="202"/>
      <x v="57"/>
      <x v="1"/>
      <x v="1"/>
      <x v="1"/>
    </i>
    <i r="3">
      <x v="1034"/>
      <x v="205"/>
      <x v="61"/>
      <x v="1"/>
      <x v="1"/>
      <x v="1"/>
    </i>
    <i r="3">
      <x v="1035"/>
      <x v="206"/>
      <x v="62"/>
      <x v="1"/>
      <x v="1"/>
      <x v="1"/>
    </i>
    <i r="3">
      <x v="1065"/>
      <x v="147"/>
      <x v="87"/>
      <x v="1"/>
      <x/>
      <x v="1"/>
    </i>
    <i r="3">
      <x v="1068"/>
      <x v="202"/>
      <x v="57"/>
      <x v="1"/>
      <x v="1"/>
      <x v="1"/>
    </i>
    <i r="3">
      <x v="1070"/>
      <x v="441"/>
      <x v="84"/>
      <x/>
      <x/>
      <x v="1"/>
    </i>
    <i r="3">
      <x v="1071"/>
      <x v="375"/>
      <x v="8"/>
      <x v="4"/>
      <x/>
      <x v="1"/>
    </i>
    <i r="3">
      <x v="1072"/>
      <x v="385"/>
      <x v="72"/>
      <x v="4"/>
      <x/>
      <x v="1"/>
    </i>
    <i r="3">
      <x v="1073"/>
      <x v="442"/>
      <x v="191"/>
      <x v="4"/>
      <x/>
      <x v="1"/>
    </i>
    <i r="3">
      <x v="1074"/>
      <x v="443"/>
      <x v="192"/>
      <x v="4"/>
      <x/>
      <x v="1"/>
    </i>
    <i r="3">
      <x v="1075"/>
      <x v="444"/>
      <x v="193"/>
      <x v="4"/>
      <x/>
      <x v="1"/>
    </i>
    <i r="3">
      <x v="1076"/>
      <x v="445"/>
      <x v="194"/>
      <x v="4"/>
      <x/>
      <x v="1"/>
    </i>
    <i r="3">
      <x v="1077"/>
      <x v="446"/>
      <x v="195"/>
      <x v="4"/>
      <x/>
      <x v="1"/>
    </i>
    <i r="3">
      <x v="1099"/>
      <x v="463"/>
      <x v="206"/>
      <x v="1"/>
      <x/>
      <x v="1"/>
    </i>
    <i t="default" r="2">
      <x v="103"/>
    </i>
    <i r="2">
      <x v="110"/>
      <x v="1100"/>
      <x v="464"/>
      <x v="205"/>
      <x v="1"/>
      <x/>
      <x v="1"/>
    </i>
    <i r="3">
      <x v="1119"/>
      <x v="473"/>
      <x v="205"/>
      <x v="1"/>
      <x/>
      <x v="1"/>
    </i>
    <i t="default" r="2">
      <x v="110"/>
    </i>
    <i r="2">
      <x v="117"/>
      <x v="1071"/>
      <x v="375"/>
      <x v="8"/>
      <x v="4"/>
      <x/>
      <x v="1"/>
    </i>
    <i r="3">
      <x v="1098"/>
      <x v="462"/>
      <x v="205"/>
      <x v="1"/>
      <x/>
      <x v="1"/>
    </i>
    <i r="3">
      <x v="1116"/>
      <x v="470"/>
      <x v="208"/>
      <x v="4"/>
      <x v="3"/>
      <x v="1"/>
    </i>
    <i r="3">
      <x v="1117"/>
      <x v="471"/>
      <x v="209"/>
      <x v="4"/>
      <x v="3"/>
      <x v="1"/>
    </i>
    <i r="3">
      <x v="1183"/>
      <x v="465"/>
      <x v="18"/>
      <x v="3"/>
      <x v="4"/>
      <x v="1"/>
    </i>
    <i r="3">
      <x v="1184"/>
      <x v="466"/>
      <x v="14"/>
      <x v="3"/>
      <x v="4"/>
      <x v="1"/>
    </i>
    <i r="3">
      <x v="1185"/>
      <x v="468"/>
      <x v="18"/>
      <x v="3"/>
      <x v="4"/>
      <x v="1"/>
    </i>
    <i r="3">
      <x v="1186"/>
      <x v="469"/>
      <x v="14"/>
      <x v="3"/>
      <x v="4"/>
      <x v="1"/>
    </i>
    <i t="default" r="2">
      <x v="117"/>
    </i>
    <i r="1">
      <x v="5"/>
      <x v="124"/>
      <x v="1071"/>
      <x v="375"/>
      <x v="8"/>
      <x v="4"/>
      <x/>
      <x v="1"/>
    </i>
    <i r="3">
      <x v="1097"/>
      <x v="461"/>
      <x v="204"/>
      <x v="4"/>
      <x v="3"/>
      <x v="1"/>
    </i>
    <i r="3">
      <x v="1118"/>
      <x v="472"/>
      <x v="210"/>
      <x v="4"/>
      <x v="3"/>
      <x v="1"/>
    </i>
    <i t="default" r="2">
      <x v="124"/>
    </i>
    <i r="2">
      <x v="131"/>
      <x v="1092"/>
      <x v="457"/>
      <x v="200"/>
      <x v="4"/>
      <x/>
      <x v="1"/>
    </i>
    <i r="3">
      <x v="1093"/>
      <x v="458"/>
      <x v="201"/>
      <x v="4"/>
      <x/>
      <x v="1"/>
    </i>
    <i r="3">
      <x v="1094"/>
      <x v="374"/>
      <x v="90"/>
      <x v="4"/>
      <x/>
      <x v="1"/>
    </i>
    <i r="3">
      <x v="1101"/>
      <x v="370"/>
      <x v="27"/>
      <x v="4"/>
      <x/>
      <x v="1"/>
    </i>
    <i r="3">
      <x v="1102"/>
      <x v="464"/>
      <x v="205"/>
      <x v="1"/>
      <x/>
      <x v="1"/>
    </i>
    <i r="3">
      <x v="1116"/>
      <x v="470"/>
      <x v="208"/>
      <x v="4"/>
      <x v="3"/>
      <x v="1"/>
    </i>
    <i r="3">
      <x v="1117"/>
      <x v="471"/>
      <x v="209"/>
      <x v="4"/>
      <x v="3"/>
      <x v="1"/>
    </i>
    <i t="default" r="2">
      <x v="131"/>
    </i>
    <i r="2">
      <x v="138"/>
      <x v="1059"/>
      <x v="415"/>
      <x v="179"/>
      <x v="4"/>
      <x/>
      <x v="1"/>
    </i>
    <i r="3">
      <x v="1060"/>
      <x v="419"/>
      <x v="180"/>
      <x v="4"/>
      <x/>
      <x v="1"/>
    </i>
    <i r="3">
      <x v="1061"/>
      <x v="418"/>
      <x v="181"/>
      <x v="4"/>
      <x/>
      <x v="1"/>
    </i>
    <i r="3">
      <x v="1062"/>
      <x v="420"/>
      <x v="182"/>
      <x v="4"/>
      <x/>
      <x v="1"/>
    </i>
    <i r="3">
      <x v="1063"/>
      <x v="416"/>
      <x v="183"/>
      <x v="4"/>
      <x/>
      <x v="1"/>
    </i>
    <i r="3">
      <x v="1064"/>
      <x v="417"/>
      <x v="184"/>
      <x v="4"/>
      <x/>
      <x v="1"/>
    </i>
    <i t="default" r="2">
      <x v="138"/>
    </i>
    <i r="2">
      <x v="145"/>
      <x v="1080"/>
      <x v="448"/>
      <x v="34"/>
      <x v="4"/>
      <x/>
      <x v="1"/>
    </i>
    <i r="3">
      <x v="1095"/>
      <x v="459"/>
      <x v="202"/>
      <x/>
      <x/>
      <x v="1"/>
    </i>
    <i r="3">
      <x v="1096"/>
      <x v="460"/>
      <x v="203"/>
      <x/>
      <x/>
      <x v="1"/>
    </i>
    <i r="3">
      <x v="1127"/>
      <x v="375"/>
      <x v="8"/>
      <x v="4"/>
      <x/>
      <x v="1"/>
    </i>
    <i r="3">
      <x v="1128"/>
      <x v="446"/>
      <x v="195"/>
      <x v="4"/>
      <x/>
      <x v="1"/>
    </i>
    <i r="3">
      <x v="1134"/>
      <x v="291"/>
      <x v="14"/>
      <x v="4"/>
      <x v="3"/>
      <x v="1"/>
    </i>
    <i r="3">
      <x v="1135"/>
      <x v="349"/>
      <x v="14"/>
      <x v="4"/>
      <x v="3"/>
      <x v="1"/>
    </i>
    <i t="default" r="2">
      <x v="145"/>
    </i>
    <i r="2">
      <x v="152"/>
      <x v="1095"/>
      <x v="459"/>
      <x v="202"/>
      <x/>
      <x/>
      <x v="1"/>
    </i>
    <i r="3">
      <x v="1096"/>
      <x v="460"/>
      <x v="203"/>
      <x/>
      <x/>
      <x v="1"/>
    </i>
    <i r="3">
      <x v="1139"/>
      <x v="480"/>
      <x v="212"/>
      <x v="1"/>
      <x/>
      <x v="1"/>
    </i>
    <i t="default" r="2">
      <x v="152"/>
    </i>
    <i t="grand">
      <x/>
    </i>
  </rowItems>
  <colItems count="1">
    <i/>
  </colItems>
  <dataFields count="1">
    <dataField name="Sum of QTY" fld="13" baseField="21" baseItem="1"/>
  </dataFields>
  <formats count="421">
    <format dxfId="681">
      <pivotArea dataOnly="0" outline="0" fieldPosition="0">
        <references count="1">
          <reference field="71" count="0" defaultSubtotal="1"/>
        </references>
      </pivotArea>
    </format>
    <format dxfId="680">
      <pivotArea outline="0" collapsedLevelsAreSubtotals="1" fieldPosition="0"/>
    </format>
    <format dxfId="679">
      <pivotArea field="71" type="button" dataOnly="0" labelOnly="1" outline="0" axis="axisRow" fieldPosition="2"/>
    </format>
    <format dxfId="678">
      <pivotArea field="12" type="button" dataOnly="0" labelOnly="1" outline="0" axis="axisRow" fieldPosition="5"/>
    </format>
    <format dxfId="677">
      <pivotArea field="25" type="button" dataOnly="0" labelOnly="1" outline="0" axis="axisRow" fieldPosition="6"/>
    </format>
    <format dxfId="676">
      <pivotArea field="47" type="button" dataOnly="0" labelOnly="1" outline="0"/>
    </format>
    <format dxfId="675">
      <pivotArea dataOnly="0" labelOnly="1" grandRow="1" outline="0" fieldPosition="0"/>
    </format>
    <format dxfId="674">
      <pivotArea outline="0" collapsedLevelsAreSubtotals="1" fieldPosition="0"/>
    </format>
    <format dxfId="673">
      <pivotArea field="71" type="button" dataOnly="0" labelOnly="1" outline="0" axis="axisRow" fieldPosition="2"/>
    </format>
    <format dxfId="672">
      <pivotArea field="12" type="button" dataOnly="0" labelOnly="1" outline="0" axis="axisRow" fieldPosition="5"/>
    </format>
    <format dxfId="671">
      <pivotArea field="25" type="button" dataOnly="0" labelOnly="1" outline="0" axis="axisRow" fieldPosition="6"/>
    </format>
    <format dxfId="670">
      <pivotArea field="47" type="button" dataOnly="0" labelOnly="1" outline="0"/>
    </format>
    <format dxfId="669">
      <pivotArea dataOnly="0" labelOnly="1" grandRow="1" outline="0" fieldPosition="0"/>
    </format>
    <format dxfId="668">
      <pivotArea outline="0" collapsedLevelsAreSubtotals="1" fieldPosition="0"/>
    </format>
    <format dxfId="667">
      <pivotArea field="71" type="button" dataOnly="0" labelOnly="1" outline="0" axis="axisRow" fieldPosition="2"/>
    </format>
    <format dxfId="666">
      <pivotArea field="12" type="button" dataOnly="0" labelOnly="1" outline="0" axis="axisRow" fieldPosition="5"/>
    </format>
    <format dxfId="665">
      <pivotArea field="25" type="button" dataOnly="0" labelOnly="1" outline="0" axis="axisRow" fieldPosition="6"/>
    </format>
    <format dxfId="664">
      <pivotArea field="56" type="button" dataOnly="0" labelOnly="1" outline="0"/>
    </format>
    <format dxfId="663">
      <pivotArea field="47" type="button" dataOnly="0" labelOnly="1" outline="0"/>
    </format>
    <format dxfId="662">
      <pivotArea dataOnly="0" labelOnly="1" grandRow="1" outline="0" fieldPosition="0"/>
    </format>
    <format dxfId="661">
      <pivotArea field="71" type="button" dataOnly="0" labelOnly="1" outline="0" axis="axisRow" fieldPosition="2"/>
    </format>
    <format dxfId="660">
      <pivotArea field="12" type="button" dataOnly="0" labelOnly="1" outline="0" axis="axisRow" fieldPosition="5"/>
    </format>
    <format dxfId="659">
      <pivotArea field="25" type="button" dataOnly="0" labelOnly="1" outline="0" axis="axisRow" fieldPosition="6"/>
    </format>
    <format dxfId="658">
      <pivotArea field="56" type="button" dataOnly="0" labelOnly="1" outline="0"/>
    </format>
    <format dxfId="657">
      <pivotArea field="47" type="button" dataOnly="0" labelOnly="1" outline="0"/>
    </format>
    <format dxfId="656">
      <pivotArea field="71" type="button" dataOnly="0" labelOnly="1" outline="0" axis="axisRow" fieldPosition="2"/>
    </format>
    <format dxfId="655">
      <pivotArea field="12" type="button" dataOnly="0" labelOnly="1" outline="0" axis="axisRow" fieldPosition="5"/>
    </format>
    <format dxfId="654">
      <pivotArea field="25" type="button" dataOnly="0" labelOnly="1" outline="0" axis="axisRow" fieldPosition="6"/>
    </format>
    <format dxfId="653">
      <pivotArea field="56" type="button" dataOnly="0" labelOnly="1" outline="0"/>
    </format>
    <format dxfId="652">
      <pivotArea field="47" type="button" dataOnly="0" labelOnly="1" outline="0"/>
    </format>
    <format dxfId="651">
      <pivotArea field="71" type="button" dataOnly="0" labelOnly="1" outline="0" axis="axisRow" fieldPosition="2"/>
    </format>
    <format dxfId="650">
      <pivotArea field="12" type="button" dataOnly="0" labelOnly="1" outline="0" axis="axisRow" fieldPosition="5"/>
    </format>
    <format dxfId="649">
      <pivotArea field="25" type="button" dataOnly="0" labelOnly="1" outline="0" axis="axisRow" fieldPosition="6"/>
    </format>
    <format dxfId="648">
      <pivotArea field="56" type="button" dataOnly="0" labelOnly="1" outline="0"/>
    </format>
    <format dxfId="647">
      <pivotArea field="47" type="button" dataOnly="0" labelOnly="1" outline="0"/>
    </format>
    <format dxfId="646">
      <pivotArea type="all" dataOnly="0" outline="0" fieldPosition="0"/>
    </format>
    <format dxfId="645">
      <pivotArea outline="0" collapsedLevelsAreSubtotals="1" fieldPosition="0"/>
    </format>
    <format dxfId="644">
      <pivotArea type="origin" dataOnly="0" labelOnly="1" outline="0" fieldPosition="0"/>
    </format>
    <format dxfId="643">
      <pivotArea type="topRight" dataOnly="0" labelOnly="1" outline="0" fieldPosition="0"/>
    </format>
    <format dxfId="642">
      <pivotArea field="71" type="button" dataOnly="0" labelOnly="1" outline="0" axis="axisRow" fieldPosition="2"/>
    </format>
    <format dxfId="641">
      <pivotArea field="66" type="button" dataOnly="0" labelOnly="1" outline="0"/>
    </format>
    <format dxfId="640">
      <pivotArea field="12" type="button" dataOnly="0" labelOnly="1" outline="0" axis="axisRow" fieldPosition="5"/>
    </format>
    <format dxfId="639">
      <pivotArea field="25" type="button" dataOnly="0" labelOnly="1" outline="0" axis="axisRow" fieldPosition="6"/>
    </format>
    <format dxfId="638">
      <pivotArea field="56" type="button" dataOnly="0" labelOnly="1" outline="0"/>
    </format>
    <format dxfId="637">
      <pivotArea field="47" type="button" dataOnly="0" labelOnly="1" outline="0"/>
    </format>
    <format dxfId="636">
      <pivotArea field="44" type="button" dataOnly="0" labelOnly="1" outline="0"/>
    </format>
    <format dxfId="635">
      <pivotArea field="73" type="button" dataOnly="0" labelOnly="1" outline="0"/>
    </format>
    <format dxfId="634">
      <pivotArea field="67" type="button" dataOnly="0" labelOnly="1" outline="0"/>
    </format>
    <format dxfId="633">
      <pivotArea dataOnly="0" labelOnly="1" grandRow="1" outline="0" fieldPosition="0"/>
    </format>
    <format dxfId="632">
      <pivotArea type="topRight" dataOnly="0" labelOnly="1" outline="0" fieldPosition="0"/>
    </format>
    <format dxfId="631">
      <pivotArea type="all" dataOnly="0" outline="0" fieldPosition="0"/>
    </format>
    <format dxfId="630">
      <pivotArea outline="0" collapsedLevelsAreSubtotals="1" fieldPosition="0"/>
    </format>
    <format dxfId="629">
      <pivotArea type="origin" dataOnly="0" labelOnly="1" outline="0" fieldPosition="0"/>
    </format>
    <format dxfId="628">
      <pivotArea type="topRight" dataOnly="0" labelOnly="1" outline="0" fieldPosition="0"/>
    </format>
    <format dxfId="627">
      <pivotArea field="71" type="button" dataOnly="0" labelOnly="1" outline="0" axis="axisRow" fieldPosition="2"/>
    </format>
    <format dxfId="626">
      <pivotArea field="66" type="button" dataOnly="0" labelOnly="1" outline="0"/>
    </format>
    <format dxfId="625">
      <pivotArea field="12" type="button" dataOnly="0" labelOnly="1" outline="0" axis="axisRow" fieldPosition="5"/>
    </format>
    <format dxfId="624">
      <pivotArea field="25" type="button" dataOnly="0" labelOnly="1" outline="0" axis="axisRow" fieldPosition="6"/>
    </format>
    <format dxfId="623">
      <pivotArea field="56" type="button" dataOnly="0" labelOnly="1" outline="0"/>
    </format>
    <format dxfId="622">
      <pivotArea field="47" type="button" dataOnly="0" labelOnly="1" outline="0"/>
    </format>
    <format dxfId="621">
      <pivotArea field="44" type="button" dataOnly="0" labelOnly="1" outline="0"/>
    </format>
    <format dxfId="620">
      <pivotArea field="73" type="button" dataOnly="0" labelOnly="1" outline="0"/>
    </format>
    <format dxfId="619">
      <pivotArea field="67" type="button" dataOnly="0" labelOnly="1" outline="0"/>
    </format>
    <format dxfId="618">
      <pivotArea dataOnly="0" labelOnly="1" grandRow="1" outline="0" fieldPosition="0"/>
    </format>
    <format dxfId="617">
      <pivotArea type="topRight" dataOnly="0" labelOnly="1" outline="0" fieldPosition="0"/>
    </format>
    <format dxfId="616">
      <pivotArea type="all" dataOnly="0" outline="0" fieldPosition="0"/>
    </format>
    <format dxfId="615">
      <pivotArea outline="0" collapsedLevelsAreSubtotals="1" fieldPosition="0"/>
    </format>
    <format dxfId="614">
      <pivotArea type="origin" dataOnly="0" labelOnly="1" outline="0" fieldPosition="0"/>
    </format>
    <format dxfId="613">
      <pivotArea type="topRight" dataOnly="0" labelOnly="1" outline="0" fieldPosition="0"/>
    </format>
    <format dxfId="612">
      <pivotArea field="71" type="button" dataOnly="0" labelOnly="1" outline="0" axis="axisRow" fieldPosition="2"/>
    </format>
    <format dxfId="611">
      <pivotArea field="66" type="button" dataOnly="0" labelOnly="1" outline="0"/>
    </format>
    <format dxfId="610">
      <pivotArea field="12" type="button" dataOnly="0" labelOnly="1" outline="0" axis="axisRow" fieldPosition="5"/>
    </format>
    <format dxfId="609">
      <pivotArea field="25" type="button" dataOnly="0" labelOnly="1" outline="0" axis="axisRow" fieldPosition="6"/>
    </format>
    <format dxfId="608">
      <pivotArea field="56" type="button" dataOnly="0" labelOnly="1" outline="0"/>
    </format>
    <format dxfId="607">
      <pivotArea field="47" type="button" dataOnly="0" labelOnly="1" outline="0"/>
    </format>
    <format dxfId="606">
      <pivotArea field="44" type="button" dataOnly="0" labelOnly="1" outline="0"/>
    </format>
    <format dxfId="605">
      <pivotArea field="73" type="button" dataOnly="0" labelOnly="1" outline="0"/>
    </format>
    <format dxfId="604">
      <pivotArea field="67" type="button" dataOnly="0" labelOnly="1" outline="0"/>
    </format>
    <format dxfId="603">
      <pivotArea dataOnly="0" labelOnly="1" grandRow="1" outline="0" fieldPosition="0"/>
    </format>
    <format dxfId="602">
      <pivotArea type="topRight" dataOnly="0" labelOnly="1" outline="0" fieldPosition="0"/>
    </format>
    <format dxfId="601">
      <pivotArea field="71" type="button" dataOnly="0" labelOnly="1" outline="0" axis="axisRow" fieldPosition="2"/>
    </format>
    <format dxfId="600">
      <pivotArea field="66" type="button" dataOnly="0" labelOnly="1" outline="0"/>
    </format>
    <format dxfId="599">
      <pivotArea field="12" type="button" dataOnly="0" labelOnly="1" outline="0" axis="axisRow" fieldPosition="5"/>
    </format>
    <format dxfId="598">
      <pivotArea field="25" type="button" dataOnly="0" labelOnly="1" outline="0" axis="axisRow" fieldPosition="6"/>
    </format>
    <format dxfId="597">
      <pivotArea field="56" type="button" dataOnly="0" labelOnly="1" outline="0"/>
    </format>
    <format dxfId="596">
      <pivotArea field="47" type="button" dataOnly="0" labelOnly="1" outline="0"/>
    </format>
    <format dxfId="595">
      <pivotArea field="44" type="button" dataOnly="0" labelOnly="1" outline="0"/>
    </format>
    <format dxfId="594">
      <pivotArea field="73" type="button" dataOnly="0" labelOnly="1" outline="0"/>
    </format>
    <format dxfId="593">
      <pivotArea field="67" type="button" dataOnly="0" labelOnly="1" outline="0"/>
    </format>
    <format dxfId="592">
      <pivotArea field="160" type="button" dataOnly="0" labelOnly="1" outline="0" axis="axisRow" fieldPosition="8"/>
    </format>
    <format dxfId="591">
      <pivotArea field="71" type="button" dataOnly="0" labelOnly="1" outline="0" axis="axisRow" fieldPosition="2"/>
    </format>
    <format dxfId="590">
      <pivotArea field="66" type="button" dataOnly="0" labelOnly="1" outline="0"/>
    </format>
    <format dxfId="589">
      <pivotArea field="12" type="button" dataOnly="0" labelOnly="1" outline="0" axis="axisRow" fieldPosition="5"/>
    </format>
    <format dxfId="588">
      <pivotArea field="25" type="button" dataOnly="0" labelOnly="1" outline="0" axis="axisRow" fieldPosition="6"/>
    </format>
    <format dxfId="587">
      <pivotArea field="56" type="button" dataOnly="0" labelOnly="1" outline="0"/>
    </format>
    <format dxfId="586">
      <pivotArea field="47" type="button" dataOnly="0" labelOnly="1" outline="0"/>
    </format>
    <format dxfId="585">
      <pivotArea field="44" type="button" dataOnly="0" labelOnly="1" outline="0"/>
    </format>
    <format dxfId="584">
      <pivotArea field="73" type="button" dataOnly="0" labelOnly="1" outline="0"/>
    </format>
    <format dxfId="583">
      <pivotArea field="67" type="button" dataOnly="0" labelOnly="1" outline="0"/>
    </format>
    <format dxfId="582">
      <pivotArea field="160" type="button" dataOnly="0" labelOnly="1" outline="0" axis="axisRow" fieldPosition="8"/>
    </format>
    <format dxfId="581">
      <pivotArea field="71" type="button" dataOnly="0" labelOnly="1" outline="0" axis="axisRow" fieldPosition="2"/>
    </format>
    <format dxfId="580">
      <pivotArea field="66" type="button" dataOnly="0" labelOnly="1" outline="0"/>
    </format>
    <format dxfId="579">
      <pivotArea field="12" type="button" dataOnly="0" labelOnly="1" outline="0" axis="axisRow" fieldPosition="5"/>
    </format>
    <format dxfId="578">
      <pivotArea field="25" type="button" dataOnly="0" labelOnly="1" outline="0" axis="axisRow" fieldPosition="6"/>
    </format>
    <format dxfId="577">
      <pivotArea field="56" type="button" dataOnly="0" labelOnly="1" outline="0"/>
    </format>
    <format dxfId="576">
      <pivotArea field="47" type="button" dataOnly="0" labelOnly="1" outline="0"/>
    </format>
    <format dxfId="575">
      <pivotArea field="44" type="button" dataOnly="0" labelOnly="1" outline="0"/>
    </format>
    <format dxfId="574">
      <pivotArea field="73" type="button" dataOnly="0" labelOnly="1" outline="0"/>
    </format>
    <format dxfId="573">
      <pivotArea field="67" type="button" dataOnly="0" labelOnly="1" outline="0"/>
    </format>
    <format dxfId="572">
      <pivotArea field="160" type="button" dataOnly="0" labelOnly="1" outline="0" axis="axisRow" fieldPosition="8"/>
    </format>
    <format dxfId="571">
      <pivotArea dataOnly="0" outline="0" fieldPosition="0">
        <references count="1">
          <reference field="71" count="0" defaultSubtotal="1"/>
        </references>
      </pivotArea>
    </format>
    <format dxfId="570">
      <pivotArea outline="0" collapsedLevelsAreSubtotals="1" fieldPosition="0"/>
    </format>
    <format dxfId="569">
      <pivotArea field="71" type="button" dataOnly="0" labelOnly="1" outline="0" axis="axisRow" fieldPosition="2"/>
    </format>
    <format dxfId="568">
      <pivotArea field="0" type="button" dataOnly="0" labelOnly="1" outline="0" axis="axisRow" fieldPosition="3"/>
    </format>
    <format dxfId="567">
      <pivotArea field="7" type="button" dataOnly="0" labelOnly="1" outline="0" axis="axisRow" fieldPosition="4"/>
    </format>
    <format dxfId="566">
      <pivotArea field="12" type="button" dataOnly="0" labelOnly="1" outline="0" axis="axisRow" fieldPosition="5"/>
    </format>
    <format dxfId="565">
      <pivotArea field="3" type="button" dataOnly="0" labelOnly="1" outline="0"/>
    </format>
    <format dxfId="564">
      <pivotArea field="4" type="button" dataOnly="0" labelOnly="1" outline="0"/>
    </format>
    <format dxfId="563">
      <pivotArea field="24" type="button" dataOnly="0" labelOnly="1" outline="0" axis="axisRow" fieldPosition="7"/>
    </format>
    <format dxfId="562">
      <pivotArea field="160" type="button" dataOnly="0" labelOnly="1" outline="0" axis="axisRow" fieldPosition="8"/>
    </format>
    <format dxfId="561">
      <pivotArea dataOnly="0" labelOnly="1" grandRow="1" outline="0" fieldPosition="0"/>
    </format>
    <format dxfId="560">
      <pivotArea outline="0" collapsedLevelsAreSubtotals="1" fieldPosition="0"/>
    </format>
    <format dxfId="559">
      <pivotArea field="71" type="button" dataOnly="0" labelOnly="1" outline="0" axis="axisRow" fieldPosition="2"/>
    </format>
    <format dxfId="558">
      <pivotArea field="0" type="button" dataOnly="0" labelOnly="1" outline="0" axis="axisRow" fieldPosition="3"/>
    </format>
    <format dxfId="557">
      <pivotArea field="7" type="button" dataOnly="0" labelOnly="1" outline="0" axis="axisRow" fieldPosition="4"/>
    </format>
    <format dxfId="556">
      <pivotArea field="12" type="button" dataOnly="0" labelOnly="1" outline="0" axis="axisRow" fieldPosition="5"/>
    </format>
    <format dxfId="555">
      <pivotArea field="3" type="button" dataOnly="0" labelOnly="1" outline="0"/>
    </format>
    <format dxfId="554">
      <pivotArea field="4" type="button" dataOnly="0" labelOnly="1" outline="0"/>
    </format>
    <format dxfId="553">
      <pivotArea field="24" type="button" dataOnly="0" labelOnly="1" outline="0" axis="axisRow" fieldPosition="7"/>
    </format>
    <format dxfId="552">
      <pivotArea field="160" type="button" dataOnly="0" labelOnly="1" outline="0" axis="axisRow" fieldPosition="8"/>
    </format>
    <format dxfId="551">
      <pivotArea dataOnly="0" labelOnly="1" grandRow="1" outline="0" fieldPosition="0"/>
    </format>
    <format dxfId="550">
      <pivotArea outline="0" collapsedLevelsAreSubtotals="1" fieldPosition="0"/>
    </format>
    <format dxfId="549">
      <pivotArea field="164" type="button" dataOnly="0" labelOnly="1" outline="0" axis="axisRow" fieldPosition="0"/>
    </format>
    <format dxfId="548">
      <pivotArea field="163" type="button" dataOnly="0" labelOnly="1" outline="0" axis="axisRow" fieldPosition="1"/>
    </format>
    <format dxfId="547">
      <pivotArea field="71" type="button" dataOnly="0" labelOnly="1" outline="0" axis="axisRow" fieldPosition="2"/>
    </format>
    <format dxfId="546">
      <pivotArea field="0" type="button" dataOnly="0" labelOnly="1" outline="0" axis="axisRow" fieldPosition="3"/>
    </format>
    <format dxfId="545">
      <pivotArea field="7" type="button" dataOnly="0" labelOnly="1" outline="0" axis="axisRow" fieldPosition="4"/>
    </format>
    <format dxfId="544">
      <pivotArea field="12" type="button" dataOnly="0" labelOnly="1" outline="0" axis="axisRow" fieldPosition="5"/>
    </format>
    <format dxfId="543">
      <pivotArea field="25" type="button" dataOnly="0" labelOnly="1" outline="0" axis="axisRow" fieldPosition="6"/>
    </format>
    <format dxfId="542">
      <pivotArea field="24" type="button" dataOnly="0" labelOnly="1" outline="0" axis="axisRow" fieldPosition="7"/>
    </format>
    <format dxfId="541">
      <pivotArea field="160" type="button" dataOnly="0" labelOnly="1" outline="0" axis="axisRow" fieldPosition="8"/>
    </format>
    <format dxfId="540">
      <pivotArea dataOnly="0" labelOnly="1" outline="0" fieldPosition="0">
        <references count="1">
          <reference field="164" count="0"/>
        </references>
      </pivotArea>
    </format>
    <format dxfId="539">
      <pivotArea dataOnly="0" labelOnly="1" grandRow="1" outline="0" fieldPosition="0"/>
    </format>
    <format dxfId="538">
      <pivotArea dataOnly="0" labelOnly="1" outline="0" fieldPosition="0">
        <references count="2">
          <reference field="163" count="0"/>
          <reference field="164" count="0" selected="0"/>
        </references>
      </pivotArea>
    </format>
    <format dxfId="537">
      <pivotArea dataOnly="0" labelOnly="1" outline="0" fieldPosition="0">
        <references count="3">
          <reference field="71" count="4">
            <x v="96"/>
            <x v="103"/>
            <x v="110"/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536">
      <pivotArea dataOnly="0" labelOnly="1" outline="0" fieldPosition="0">
        <references count="3">
          <reference field="71" count="4" defaultSubtotal="1">
            <x v="96"/>
            <x v="103"/>
            <x v="110"/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535">
      <pivotArea dataOnly="0" labelOnly="1" outline="0" fieldPosition="0">
        <references count="3">
          <reference field="71" count="5">
            <x v="124"/>
            <x v="131"/>
            <x v="138"/>
            <x v="145"/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534">
      <pivotArea dataOnly="0" labelOnly="1" outline="0" fieldPosition="0">
        <references count="3">
          <reference field="71" count="5" defaultSubtotal="1">
            <x v="124"/>
            <x v="131"/>
            <x v="138"/>
            <x v="145"/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533">
      <pivotArea dataOnly="0" labelOnly="1" outline="0" fieldPosition="0">
        <references count="4">
          <reference field="0" count="21">
            <x v="988"/>
            <x v="989"/>
            <x v="998"/>
            <x v="1000"/>
            <x v="1002"/>
            <x v="1006"/>
            <x v="1011"/>
            <x v="1012"/>
            <x v="1024"/>
            <x v="1025"/>
            <x v="1026"/>
            <x v="1027"/>
            <x v="1036"/>
            <x v="1037"/>
            <x v="1038"/>
            <x v="1039"/>
            <x v="1040"/>
            <x v="1050"/>
            <x v="1051"/>
            <x v="1052"/>
            <x v="1078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32">
      <pivotArea dataOnly="0" labelOnly="1" outline="0" fieldPosition="0">
        <references count="4">
          <reference field="0" count="16">
            <x v="1031"/>
            <x v="1032"/>
            <x v="1033"/>
            <x v="1034"/>
            <x v="1035"/>
            <x v="1065"/>
            <x v="1068"/>
            <x v="1070"/>
            <x v="1071"/>
            <x v="1072"/>
            <x v="1073"/>
            <x v="1074"/>
            <x v="1075"/>
            <x v="1076"/>
            <x v="1077"/>
            <x v="1099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531">
      <pivotArea dataOnly="0" labelOnly="1" outline="0" fieldPosition="0">
        <references count="4">
          <reference field="0" count="2">
            <x v="1100"/>
            <x v="1119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530">
      <pivotArea dataOnly="0" labelOnly="1" outline="0" fieldPosition="0">
        <references count="4">
          <reference field="0" count="4">
            <x v="1071"/>
            <x v="1098"/>
            <x v="1116"/>
            <x v="1117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529">
      <pivotArea dataOnly="0" labelOnly="1" outline="0" fieldPosition="0">
        <references count="4">
          <reference field="0" count="3">
            <x v="1071"/>
            <x v="1097"/>
            <x v="1118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528">
      <pivotArea dataOnly="0" labelOnly="1" outline="0" fieldPosition="0">
        <references count="4">
          <reference field="0" count="7">
            <x v="1092"/>
            <x v="1093"/>
            <x v="1094"/>
            <x v="1101"/>
            <x v="1102"/>
            <x v="1116"/>
            <x v="1117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527">
      <pivotArea dataOnly="0" labelOnly="1" outline="0" fieldPosition="0">
        <references count="4">
          <reference field="0" count="6">
            <x v="1059"/>
            <x v="1060"/>
            <x v="1061"/>
            <x v="1062"/>
            <x v="1063"/>
            <x v="1064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526">
      <pivotArea dataOnly="0" labelOnly="1" outline="0" fieldPosition="0">
        <references count="4">
          <reference field="0" count="5">
            <x v="1080"/>
            <x v="1095"/>
            <x v="1096"/>
            <x v="1127"/>
            <x v="1128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525">
      <pivotArea dataOnly="0" labelOnly="1" outline="0" fieldPosition="0">
        <references count="4">
          <reference field="0" count="3">
            <x v="1095"/>
            <x v="1096"/>
            <x v="1139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524">
      <pivotArea dataOnly="0" labelOnly="1" outline="0" fieldPosition="0">
        <references count="5">
          <reference field="0" count="1" selected="0">
            <x v="988"/>
          </reference>
          <reference field="7" count="1">
            <x v="27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23">
      <pivotArea dataOnly="0" labelOnly="1" outline="0" fieldPosition="0">
        <references count="5">
          <reference field="0" count="1" selected="0">
            <x v="989"/>
          </reference>
          <reference field="7" count="1">
            <x v="27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22">
      <pivotArea dataOnly="0" labelOnly="1" outline="0" fieldPosition="0">
        <references count="5">
          <reference field="0" count="1" selected="0">
            <x v="998"/>
          </reference>
          <reference field="7" count="1">
            <x v="28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21">
      <pivotArea dataOnly="0" labelOnly="1" outline="0" fieldPosition="0">
        <references count="5">
          <reference field="0" count="1" selected="0">
            <x v="1000"/>
          </reference>
          <reference field="7" count="1">
            <x v="286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20">
      <pivotArea dataOnly="0" labelOnly="1" outline="0" fieldPosition="0">
        <references count="5">
          <reference field="0" count="1" selected="0">
            <x v="1002"/>
          </reference>
          <reference field="7" count="1">
            <x v="28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9">
      <pivotArea dataOnly="0" labelOnly="1" outline="0" fieldPosition="0">
        <references count="5">
          <reference field="0" count="1" selected="0">
            <x v="1006"/>
          </reference>
          <reference field="7" count="1">
            <x v="289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8">
      <pivotArea dataOnly="0" labelOnly="1" outline="0" fieldPosition="0">
        <references count="5">
          <reference field="0" count="1" selected="0">
            <x v="1011"/>
          </reference>
          <reference field="7" count="1">
            <x v="403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7">
      <pivotArea dataOnly="0" labelOnly="1" outline="0" fieldPosition="0">
        <references count="5">
          <reference field="0" count="1" selected="0">
            <x v="1012"/>
          </reference>
          <reference field="7" count="1">
            <x v="40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6">
      <pivotArea dataOnly="0" labelOnly="1" outline="0" fieldPosition="0">
        <references count="5">
          <reference field="0" count="1" selected="0">
            <x v="1024"/>
          </reference>
          <reference field="7" count="1">
            <x v="300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5">
      <pivotArea dataOnly="0" labelOnly="1" outline="0" fieldPosition="0">
        <references count="5">
          <reference field="0" count="1" selected="0">
            <x v="1025"/>
          </reference>
          <reference field="7" count="1">
            <x v="30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4">
      <pivotArea dataOnly="0" labelOnly="1" outline="0" fieldPosition="0">
        <references count="5">
          <reference field="0" count="1" selected="0">
            <x v="1026"/>
          </reference>
          <reference field="7" count="1">
            <x v="302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3">
      <pivotArea dataOnly="0" labelOnly="1" outline="0" fieldPosition="0">
        <references count="5">
          <reference field="0" count="1" selected="0">
            <x v="1027"/>
          </reference>
          <reference field="7" count="1">
            <x v="303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2">
      <pivotArea dataOnly="0" labelOnly="1" outline="0" fieldPosition="0">
        <references count="5">
          <reference field="0" count="1" selected="0">
            <x v="1036"/>
          </reference>
          <reference field="7" count="1">
            <x v="189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1">
      <pivotArea dataOnly="0" labelOnly="1" outline="0" fieldPosition="0">
        <references count="5">
          <reference field="0" count="1" selected="0">
            <x v="1037"/>
          </reference>
          <reference field="7" count="1">
            <x v="190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10">
      <pivotArea dataOnly="0" labelOnly="1" outline="0" fieldPosition="0">
        <references count="5">
          <reference field="0" count="1" selected="0">
            <x v="1038"/>
          </reference>
          <reference field="7" count="1">
            <x v="19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9">
      <pivotArea dataOnly="0" labelOnly="1" outline="0" fieldPosition="0">
        <references count="5">
          <reference field="0" count="1" selected="0">
            <x v="1039"/>
          </reference>
          <reference field="7" count="1">
            <x v="423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8">
      <pivotArea dataOnly="0" labelOnly="1" outline="0" fieldPosition="0">
        <references count="5">
          <reference field="0" count="1" selected="0">
            <x v="1040"/>
          </reference>
          <reference field="7" count="1">
            <x v="42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7">
      <pivotArea dataOnly="0" labelOnly="1" outline="0" fieldPosition="0">
        <references count="5">
          <reference field="0" count="1" selected="0">
            <x v="1050"/>
          </reference>
          <reference field="7" count="1">
            <x v="432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6">
      <pivotArea dataOnly="0" labelOnly="1" outline="0" fieldPosition="0">
        <references count="5">
          <reference field="0" count="1" selected="0">
            <x v="1051"/>
          </reference>
          <reference field="7" count="1">
            <x v="433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5">
      <pivotArea dataOnly="0" labelOnly="1" outline="0" fieldPosition="0">
        <references count="5">
          <reference field="0" count="1" selected="0">
            <x v="1052"/>
          </reference>
          <reference field="7" count="1">
            <x v="186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4">
      <pivotArea dataOnly="0" labelOnly="1" outline="0" fieldPosition="0">
        <references count="5">
          <reference field="0" count="1" selected="0">
            <x v="1078"/>
          </reference>
          <reference field="7" count="1">
            <x v="44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503">
      <pivotArea dataOnly="0" labelOnly="1" outline="0" fieldPosition="0">
        <references count="5">
          <reference field="0" count="1" selected="0">
            <x v="1031"/>
          </reference>
          <reference field="7" count="1">
            <x v="42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502">
      <pivotArea dataOnly="0" labelOnly="1" outline="0" fieldPosition="0">
        <references count="5">
          <reference field="0" count="1" selected="0">
            <x v="1032"/>
          </reference>
          <reference field="7" count="1">
            <x v="199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501">
      <pivotArea dataOnly="0" labelOnly="1" outline="0" fieldPosition="0">
        <references count="5">
          <reference field="0" count="1" selected="0">
            <x v="1033"/>
          </reference>
          <reference field="7" count="1">
            <x v="20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500">
      <pivotArea dataOnly="0" labelOnly="1" outline="0" fieldPosition="0">
        <references count="5">
          <reference field="0" count="1" selected="0">
            <x v="1034"/>
          </reference>
          <reference field="7" count="1">
            <x v="205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9">
      <pivotArea dataOnly="0" labelOnly="1" outline="0" fieldPosition="0">
        <references count="5">
          <reference field="0" count="1" selected="0">
            <x v="1035"/>
          </reference>
          <reference field="7" count="1">
            <x v="206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8">
      <pivotArea dataOnly="0" labelOnly="1" outline="0" fieldPosition="0">
        <references count="5">
          <reference field="0" count="1" selected="0">
            <x v="1065"/>
          </reference>
          <reference field="7" count="1">
            <x v="147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7">
      <pivotArea dataOnly="0" labelOnly="1" outline="0" fieldPosition="0">
        <references count="5">
          <reference field="0" count="1" selected="0">
            <x v="1068"/>
          </reference>
          <reference field="7" count="1">
            <x v="20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6">
      <pivotArea dataOnly="0" labelOnly="1" outline="0" fieldPosition="0">
        <references count="5">
          <reference field="0" count="1" selected="0">
            <x v="1070"/>
          </reference>
          <reference field="7" count="1">
            <x v="44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5">
      <pivotArea dataOnly="0" labelOnly="1" outline="0" fieldPosition="0">
        <references count="5">
          <reference field="0" count="1" selected="0">
            <x v="1071"/>
          </reference>
          <reference field="7" count="1">
            <x v="375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4">
      <pivotArea dataOnly="0" labelOnly="1" outline="0" fieldPosition="0">
        <references count="5">
          <reference field="0" count="1" selected="0">
            <x v="1072"/>
          </reference>
          <reference field="7" count="1">
            <x v="385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3">
      <pivotArea dataOnly="0" labelOnly="1" outline="0" fieldPosition="0">
        <references count="5">
          <reference field="0" count="1" selected="0">
            <x v="1073"/>
          </reference>
          <reference field="7" count="1">
            <x v="44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2">
      <pivotArea dataOnly="0" labelOnly="1" outline="0" fieldPosition="0">
        <references count="5">
          <reference field="0" count="1" selected="0">
            <x v="1074"/>
          </reference>
          <reference field="7" count="1">
            <x v="443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1">
      <pivotArea dataOnly="0" labelOnly="1" outline="0" fieldPosition="0">
        <references count="5">
          <reference field="0" count="1" selected="0">
            <x v="1075"/>
          </reference>
          <reference field="7" count="1">
            <x v="444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90">
      <pivotArea dataOnly="0" labelOnly="1" outline="0" fieldPosition="0">
        <references count="5">
          <reference field="0" count="1" selected="0">
            <x v="1076"/>
          </reference>
          <reference field="7" count="1">
            <x v="445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89">
      <pivotArea dataOnly="0" labelOnly="1" outline="0" fieldPosition="0">
        <references count="5">
          <reference field="0" count="1" selected="0">
            <x v="1077"/>
          </reference>
          <reference field="7" count="1">
            <x v="446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88">
      <pivotArea dataOnly="0" labelOnly="1" outline="0" fieldPosition="0">
        <references count="5">
          <reference field="0" count="1" selected="0">
            <x v="1099"/>
          </reference>
          <reference field="7" count="1">
            <x v="463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87">
      <pivotArea dataOnly="0" labelOnly="1" outline="0" fieldPosition="0">
        <references count="5">
          <reference field="0" count="1" selected="0">
            <x v="1100"/>
          </reference>
          <reference field="7" count="1">
            <x v="464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486">
      <pivotArea dataOnly="0" labelOnly="1" outline="0" fieldPosition="0">
        <references count="5">
          <reference field="0" count="1" selected="0">
            <x v="1119"/>
          </reference>
          <reference field="7" count="1">
            <x v="473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485">
      <pivotArea dataOnly="0" labelOnly="1" outline="0" fieldPosition="0">
        <references count="5">
          <reference field="0" count="1" selected="0">
            <x v="1071"/>
          </reference>
          <reference field="7" count="1">
            <x v="375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84">
      <pivotArea dataOnly="0" labelOnly="1" outline="0" fieldPosition="0">
        <references count="5">
          <reference field="0" count="1" selected="0">
            <x v="1098"/>
          </reference>
          <reference field="7" count="1">
            <x v="462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83">
      <pivotArea dataOnly="0" labelOnly="1" outline="0" fieldPosition="0">
        <references count="5">
          <reference field="0" count="1" selected="0">
            <x v="1116"/>
          </reference>
          <reference field="7" count="1">
            <x v="470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82">
      <pivotArea dataOnly="0" labelOnly="1" outline="0" fieldPosition="0">
        <references count="5">
          <reference field="0" count="1" selected="0">
            <x v="1117"/>
          </reference>
          <reference field="7" count="1">
            <x v="471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81">
      <pivotArea dataOnly="0" labelOnly="1" outline="0" fieldPosition="0">
        <references count="5">
          <reference field="0" count="1" selected="0">
            <x v="1071"/>
          </reference>
          <reference field="7" count="1">
            <x v="375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80">
      <pivotArea dataOnly="0" labelOnly="1" outline="0" fieldPosition="0">
        <references count="5">
          <reference field="0" count="1" selected="0">
            <x v="1097"/>
          </reference>
          <reference field="7" count="1">
            <x v="461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79">
      <pivotArea dataOnly="0" labelOnly="1" outline="0" fieldPosition="0">
        <references count="5">
          <reference field="0" count="1" selected="0">
            <x v="1118"/>
          </reference>
          <reference field="7" count="1">
            <x v="472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78">
      <pivotArea dataOnly="0" labelOnly="1" outline="0" fieldPosition="0">
        <references count="5">
          <reference field="0" count="1" selected="0">
            <x v="1092"/>
          </reference>
          <reference field="7" count="1">
            <x v="457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7">
      <pivotArea dataOnly="0" labelOnly="1" outline="0" fieldPosition="0">
        <references count="5">
          <reference field="0" count="1" selected="0">
            <x v="1093"/>
          </reference>
          <reference field="7" count="1">
            <x v="458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6">
      <pivotArea dataOnly="0" labelOnly="1" outline="0" fieldPosition="0">
        <references count="5">
          <reference field="0" count="1" selected="0">
            <x v="1094"/>
          </reference>
          <reference field="7" count="1">
            <x v="37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5">
      <pivotArea dataOnly="0" labelOnly="1" outline="0" fieldPosition="0">
        <references count="5">
          <reference field="0" count="1" selected="0">
            <x v="1101"/>
          </reference>
          <reference field="7" count="1">
            <x v="370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4">
      <pivotArea dataOnly="0" labelOnly="1" outline="0" fieldPosition="0">
        <references count="5">
          <reference field="0" count="1" selected="0">
            <x v="1102"/>
          </reference>
          <reference field="7" count="1">
            <x v="46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3">
      <pivotArea dataOnly="0" labelOnly="1" outline="0" fieldPosition="0">
        <references count="5">
          <reference field="0" count="1" selected="0">
            <x v="1116"/>
          </reference>
          <reference field="7" count="1">
            <x v="470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2">
      <pivotArea dataOnly="0" labelOnly="1" outline="0" fieldPosition="0">
        <references count="5">
          <reference field="0" count="1" selected="0">
            <x v="1117"/>
          </reference>
          <reference field="7" count="1">
            <x v="471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71">
      <pivotArea dataOnly="0" labelOnly="1" outline="0" fieldPosition="0">
        <references count="5">
          <reference field="0" count="1" selected="0">
            <x v="1059"/>
          </reference>
          <reference field="7" count="1">
            <x v="415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70">
      <pivotArea dataOnly="0" labelOnly="1" outline="0" fieldPosition="0">
        <references count="5">
          <reference field="0" count="1" selected="0">
            <x v="1060"/>
          </reference>
          <reference field="7" count="1">
            <x v="419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69">
      <pivotArea dataOnly="0" labelOnly="1" outline="0" fieldPosition="0">
        <references count="5">
          <reference field="0" count="1" selected="0">
            <x v="1061"/>
          </reference>
          <reference field="7" count="1">
            <x v="418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68">
      <pivotArea dataOnly="0" labelOnly="1" outline="0" fieldPosition="0">
        <references count="5">
          <reference field="0" count="1" selected="0">
            <x v="1062"/>
          </reference>
          <reference field="7" count="1">
            <x v="420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67">
      <pivotArea dataOnly="0" labelOnly="1" outline="0" fieldPosition="0">
        <references count="5">
          <reference field="0" count="1" selected="0">
            <x v="1063"/>
          </reference>
          <reference field="7" count="1">
            <x v="416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66">
      <pivotArea dataOnly="0" labelOnly="1" outline="0" fieldPosition="0">
        <references count="5">
          <reference field="0" count="1" selected="0">
            <x v="1064"/>
          </reference>
          <reference field="7" count="1">
            <x v="417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65">
      <pivotArea dataOnly="0" labelOnly="1" outline="0" fieldPosition="0">
        <references count="5">
          <reference field="0" count="1" selected="0">
            <x v="1080"/>
          </reference>
          <reference field="7" count="1">
            <x v="448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464">
      <pivotArea dataOnly="0" labelOnly="1" outline="0" fieldPosition="0">
        <references count="5">
          <reference field="0" count="1" selected="0">
            <x v="1095"/>
          </reference>
          <reference field="7" count="1">
            <x v="459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463">
      <pivotArea dataOnly="0" labelOnly="1" outline="0" fieldPosition="0">
        <references count="5">
          <reference field="0" count="1" selected="0">
            <x v="1096"/>
          </reference>
          <reference field="7" count="1">
            <x v="460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462">
      <pivotArea dataOnly="0" labelOnly="1" outline="0" fieldPosition="0">
        <references count="5">
          <reference field="0" count="1" selected="0">
            <x v="1127"/>
          </reference>
          <reference field="7" count="1">
            <x v="375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461">
      <pivotArea dataOnly="0" labelOnly="1" outline="0" fieldPosition="0">
        <references count="5">
          <reference field="0" count="1" selected="0">
            <x v="1128"/>
          </reference>
          <reference field="7" count="1">
            <x v="446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460">
      <pivotArea dataOnly="0" labelOnly="1" outline="0" fieldPosition="0">
        <references count="5">
          <reference field="0" count="1" selected="0">
            <x v="1095"/>
          </reference>
          <reference field="7" count="1">
            <x v="459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459">
      <pivotArea dataOnly="0" labelOnly="1" outline="0" fieldPosition="0">
        <references count="5">
          <reference field="0" count="1" selected="0">
            <x v="1096"/>
          </reference>
          <reference field="7" count="1">
            <x v="460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458">
      <pivotArea dataOnly="0" labelOnly="1" outline="0" fieldPosition="0">
        <references count="5">
          <reference field="0" count="1" selected="0">
            <x v="1139"/>
          </reference>
          <reference field="7" count="1">
            <x v="480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457">
      <pivotArea dataOnly="0" labelOnly="1" outline="0" fieldPosition="0">
        <references count="6">
          <reference field="0" count="1" selected="0">
            <x v="988"/>
          </reference>
          <reference field="7" count="1" selected="0">
            <x v="274"/>
          </reference>
          <reference field="12" count="1">
            <x v="163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6">
      <pivotArea dataOnly="0" labelOnly="1" outline="0" fieldPosition="0">
        <references count="6">
          <reference field="0" count="1" selected="0">
            <x v="989"/>
          </reference>
          <reference field="7" count="1" selected="0">
            <x v="275"/>
          </reference>
          <reference field="12" count="1">
            <x v="16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5">
      <pivotArea dataOnly="0" labelOnly="1" outline="0" fieldPosition="0">
        <references count="6">
          <reference field="0" count="1" selected="0">
            <x v="998"/>
          </reference>
          <reference field="7" count="1" selected="0">
            <x v="285"/>
          </reference>
          <reference field="12" count="1">
            <x v="16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4">
      <pivotArea dataOnly="0" labelOnly="1" outline="0" fieldPosition="0">
        <references count="6">
          <reference field="0" count="1" selected="0">
            <x v="1000"/>
          </reference>
          <reference field="7" count="1" selected="0">
            <x v="286"/>
          </reference>
          <reference field="12" count="1">
            <x v="166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3">
      <pivotArea dataOnly="0" labelOnly="1" outline="0" fieldPosition="0">
        <references count="6">
          <reference field="0" count="1" selected="0">
            <x v="1002"/>
          </reference>
          <reference field="7" count="1" selected="0">
            <x v="287"/>
          </reference>
          <reference field="12" count="1">
            <x v="16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2">
      <pivotArea dataOnly="0" labelOnly="1" outline="0" fieldPosition="0">
        <references count="6">
          <reference field="0" count="1" selected="0">
            <x v="1006"/>
          </reference>
          <reference field="7" count="1" selected="0">
            <x v="289"/>
          </reference>
          <reference field="12" count="1">
            <x v="168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1">
      <pivotArea dataOnly="0" labelOnly="1" outline="0" fieldPosition="0">
        <references count="6">
          <reference field="0" count="1" selected="0">
            <x v="1011"/>
          </reference>
          <reference field="7" count="1" selected="0">
            <x v="403"/>
          </reference>
          <reference field="12" count="1">
            <x v="2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50">
      <pivotArea dataOnly="0" labelOnly="1" outline="0" fieldPosition="0">
        <references count="6">
          <reference field="0" count="1" selected="0">
            <x v="1024"/>
          </reference>
          <reference field="7" count="1" selected="0">
            <x v="300"/>
          </reference>
          <reference field="12" count="1">
            <x v="17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9">
      <pivotArea dataOnly="0" labelOnly="1" outline="0" fieldPosition="0">
        <references count="6">
          <reference field="0" count="1" selected="0">
            <x v="1025"/>
          </reference>
          <reference field="7" count="1" selected="0">
            <x v="301"/>
          </reference>
          <reference field="12" count="1">
            <x v="176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8">
      <pivotArea dataOnly="0" labelOnly="1" outline="0" fieldPosition="0">
        <references count="6">
          <reference field="0" count="1" selected="0">
            <x v="1026"/>
          </reference>
          <reference field="7" count="1" selected="0">
            <x v="302"/>
          </reference>
          <reference field="12" count="1">
            <x v="17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7">
      <pivotArea dataOnly="0" labelOnly="1" outline="0" fieldPosition="0">
        <references count="6">
          <reference field="0" count="1" selected="0">
            <x v="1027"/>
          </reference>
          <reference field="7" count="1" selected="0">
            <x v="303"/>
          </reference>
          <reference field="12" count="1">
            <x v="178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6">
      <pivotArea dataOnly="0" labelOnly="1" outline="0" fieldPosition="0">
        <references count="6">
          <reference field="0" count="1" selected="0">
            <x v="1036"/>
          </reference>
          <reference field="7" count="1" selected="0">
            <x v="189"/>
          </reference>
          <reference field="12" count="1">
            <x v="27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5">
      <pivotArea dataOnly="0" labelOnly="1" outline="0" fieldPosition="0">
        <references count="6">
          <reference field="0" count="1" selected="0">
            <x v="1037"/>
          </reference>
          <reference field="7" count="1" selected="0">
            <x v="190"/>
          </reference>
          <reference field="12" count="1">
            <x v="2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4">
      <pivotArea dataOnly="0" labelOnly="1" outline="0" fieldPosition="0">
        <references count="6">
          <reference field="0" count="1" selected="0">
            <x v="1038"/>
          </reference>
          <reference field="7" count="1" selected="0">
            <x v="191"/>
          </reference>
          <reference field="12" count="1">
            <x v="3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3">
      <pivotArea dataOnly="0" labelOnly="1" outline="0" fieldPosition="0">
        <references count="6">
          <reference field="0" count="1" selected="0">
            <x v="1039"/>
          </reference>
          <reference field="7" count="1" selected="0">
            <x v="423"/>
          </reference>
          <reference field="12" count="1">
            <x v="9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2">
      <pivotArea dataOnly="0" labelOnly="1" outline="0" fieldPosition="0">
        <references count="6">
          <reference field="0" count="1" selected="0">
            <x v="1040"/>
          </reference>
          <reference field="7" count="1" selected="0">
            <x v="424"/>
          </reference>
          <reference field="12" count="1">
            <x v="92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1">
      <pivotArea dataOnly="0" labelOnly="1" outline="0" fieldPosition="0">
        <references count="6">
          <reference field="0" count="1" selected="0">
            <x v="1050"/>
          </reference>
          <reference field="7" count="1" selected="0">
            <x v="432"/>
          </reference>
          <reference field="12" count="1">
            <x v="2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40">
      <pivotArea dataOnly="0" labelOnly="1" outline="0" fieldPosition="0">
        <references count="6">
          <reference field="0" count="1" selected="0">
            <x v="1051"/>
          </reference>
          <reference field="7" count="1" selected="0">
            <x v="433"/>
          </reference>
          <reference field="12" count="1">
            <x v="185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39">
      <pivotArea dataOnly="0" labelOnly="1" outline="0" fieldPosition="0">
        <references count="6">
          <reference field="0" count="1" selected="0">
            <x v="1052"/>
          </reference>
          <reference field="7" count="1" selected="0">
            <x v="186"/>
          </reference>
          <reference field="12" count="1">
            <x v="3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38">
      <pivotArea dataOnly="0" labelOnly="1" outline="0" fieldPosition="0">
        <references count="6">
          <reference field="0" count="1" selected="0">
            <x v="1078"/>
          </reference>
          <reference field="7" count="1" selected="0">
            <x v="447"/>
          </reference>
          <reference field="12" count="1">
            <x v="8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437">
      <pivotArea dataOnly="0" labelOnly="1" outline="0" fieldPosition="0">
        <references count="6">
          <reference field="0" count="1" selected="0">
            <x v="1031"/>
          </reference>
          <reference field="7" count="1" selected="0">
            <x v="422"/>
          </reference>
          <reference field="12" count="1">
            <x v="106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6">
      <pivotArea dataOnly="0" labelOnly="1" outline="0" fieldPosition="0">
        <references count="6">
          <reference field="0" count="1" selected="0">
            <x v="1032"/>
          </reference>
          <reference field="7" count="1" selected="0">
            <x v="199"/>
          </reference>
          <reference field="12" count="1">
            <x v="47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5">
      <pivotArea dataOnly="0" labelOnly="1" outline="0" fieldPosition="0">
        <references count="6">
          <reference field="0" count="1" selected="0">
            <x v="1033"/>
          </reference>
          <reference field="7" count="1" selected="0">
            <x v="202"/>
          </reference>
          <reference field="12" count="1">
            <x v="57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4">
      <pivotArea dataOnly="0" labelOnly="1" outline="0" fieldPosition="0">
        <references count="6">
          <reference field="0" count="1" selected="0">
            <x v="1034"/>
          </reference>
          <reference field="7" count="1" selected="0">
            <x v="205"/>
          </reference>
          <reference field="12" count="1">
            <x v="6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3">
      <pivotArea dataOnly="0" labelOnly="1" outline="0" fieldPosition="0">
        <references count="6">
          <reference field="0" count="1" selected="0">
            <x v="1035"/>
          </reference>
          <reference field="7" count="1" selected="0">
            <x v="206"/>
          </reference>
          <reference field="12" count="1">
            <x v="6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2">
      <pivotArea dataOnly="0" labelOnly="1" outline="0" fieldPosition="0">
        <references count="6">
          <reference field="0" count="1" selected="0">
            <x v="1065"/>
          </reference>
          <reference field="7" count="1" selected="0">
            <x v="147"/>
          </reference>
          <reference field="12" count="1">
            <x v="87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1">
      <pivotArea dataOnly="0" labelOnly="1" outline="0" fieldPosition="0">
        <references count="6">
          <reference field="0" count="1" selected="0">
            <x v="1068"/>
          </reference>
          <reference field="7" count="1" selected="0">
            <x v="202"/>
          </reference>
          <reference field="12" count="1">
            <x v="57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30">
      <pivotArea dataOnly="0" labelOnly="1" outline="0" fieldPosition="0">
        <references count="6">
          <reference field="0" count="1" selected="0">
            <x v="1070"/>
          </reference>
          <reference field="7" count="1" selected="0">
            <x v="441"/>
          </reference>
          <reference field="12" count="1">
            <x v="84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9">
      <pivotArea dataOnly="0" labelOnly="1" outline="0" fieldPosition="0">
        <references count="6">
          <reference field="0" count="1" selected="0">
            <x v="1071"/>
          </reference>
          <reference field="7" count="1" selected="0">
            <x v="375"/>
          </reference>
          <reference field="12" count="1">
            <x v="8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8">
      <pivotArea dataOnly="0" labelOnly="1" outline="0" fieldPosition="0">
        <references count="6">
          <reference field="0" count="1" selected="0">
            <x v="1072"/>
          </reference>
          <reference field="7" count="1" selected="0">
            <x v="385"/>
          </reference>
          <reference field="12" count="1">
            <x v="7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7">
      <pivotArea dataOnly="0" labelOnly="1" outline="0" fieldPosition="0">
        <references count="6">
          <reference field="0" count="1" selected="0">
            <x v="1073"/>
          </reference>
          <reference field="7" count="1" selected="0">
            <x v="442"/>
          </reference>
          <reference field="12" count="1">
            <x v="19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6">
      <pivotArea dataOnly="0" labelOnly="1" outline="0" fieldPosition="0">
        <references count="6">
          <reference field="0" count="1" selected="0">
            <x v="1074"/>
          </reference>
          <reference field="7" count="1" selected="0">
            <x v="443"/>
          </reference>
          <reference field="12" count="1">
            <x v="192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5">
      <pivotArea dataOnly="0" labelOnly="1" outline="0" fieldPosition="0">
        <references count="6">
          <reference field="0" count="1" selected="0">
            <x v="1075"/>
          </reference>
          <reference field="7" count="1" selected="0">
            <x v="444"/>
          </reference>
          <reference field="12" count="1">
            <x v="193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4">
      <pivotArea dataOnly="0" labelOnly="1" outline="0" fieldPosition="0">
        <references count="6">
          <reference field="0" count="1" selected="0">
            <x v="1076"/>
          </reference>
          <reference field="7" count="1" selected="0">
            <x v="445"/>
          </reference>
          <reference field="12" count="1">
            <x v="194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3">
      <pivotArea dataOnly="0" labelOnly="1" outline="0" fieldPosition="0">
        <references count="6">
          <reference field="0" count="1" selected="0">
            <x v="1077"/>
          </reference>
          <reference field="7" count="1" selected="0">
            <x v="446"/>
          </reference>
          <reference field="12" count="1">
            <x v="195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2">
      <pivotArea dataOnly="0" labelOnly="1" outline="0" fieldPosition="0">
        <references count="6">
          <reference field="0" count="1" selected="0">
            <x v="1099"/>
          </reference>
          <reference field="7" count="1" selected="0">
            <x v="463"/>
          </reference>
          <reference field="12" count="1">
            <x v="206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421">
      <pivotArea dataOnly="0" labelOnly="1" outline="0" fieldPosition="0">
        <references count="6">
          <reference field="0" count="1" selected="0">
            <x v="1100"/>
          </reference>
          <reference field="7" count="1" selected="0">
            <x v="464"/>
          </reference>
          <reference field="12" count="1">
            <x v="205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420">
      <pivotArea dataOnly="0" labelOnly="1" outline="0" fieldPosition="0">
        <references count="6">
          <reference field="0" count="1" selected="0">
            <x v="1071"/>
          </reference>
          <reference field="7" count="1" selected="0">
            <x v="375"/>
          </reference>
          <reference field="12" count="1">
            <x v="8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19">
      <pivotArea dataOnly="0" labelOnly="1" outline="0" fieldPosition="0">
        <references count="6">
          <reference field="0" count="1" selected="0">
            <x v="1098"/>
          </reference>
          <reference field="7" count="1" selected="0">
            <x v="462"/>
          </reference>
          <reference field="12" count="1">
            <x v="205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18">
      <pivotArea dataOnly="0" labelOnly="1" outline="0" fieldPosition="0">
        <references count="6">
          <reference field="0" count="1" selected="0">
            <x v="1116"/>
          </reference>
          <reference field="7" count="1" selected="0">
            <x v="470"/>
          </reference>
          <reference field="12" count="1">
            <x v="208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17">
      <pivotArea dataOnly="0" labelOnly="1" outline="0" fieldPosition="0">
        <references count="6">
          <reference field="0" count="1" selected="0">
            <x v="1117"/>
          </reference>
          <reference field="7" count="1" selected="0">
            <x v="471"/>
          </reference>
          <reference field="12" count="1">
            <x v="209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416">
      <pivotArea dataOnly="0" labelOnly="1" outline="0" fieldPosition="0">
        <references count="6">
          <reference field="0" count="1" selected="0">
            <x v="1071"/>
          </reference>
          <reference field="7" count="1" selected="0">
            <x v="375"/>
          </reference>
          <reference field="12" count="1">
            <x v="8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15">
      <pivotArea dataOnly="0" labelOnly="1" outline="0" fieldPosition="0">
        <references count="6">
          <reference field="0" count="1" selected="0">
            <x v="1097"/>
          </reference>
          <reference field="7" count="1" selected="0">
            <x v="461"/>
          </reference>
          <reference field="12" count="1">
            <x v="204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14">
      <pivotArea dataOnly="0" labelOnly="1" outline="0" fieldPosition="0">
        <references count="6">
          <reference field="0" count="1" selected="0">
            <x v="1118"/>
          </reference>
          <reference field="7" count="1" selected="0">
            <x v="472"/>
          </reference>
          <reference field="12" count="1">
            <x v="210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413">
      <pivotArea dataOnly="0" labelOnly="1" outline="0" fieldPosition="0">
        <references count="6">
          <reference field="0" count="1" selected="0">
            <x v="1092"/>
          </reference>
          <reference field="7" count="1" selected="0">
            <x v="457"/>
          </reference>
          <reference field="12" count="1">
            <x v="200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12">
      <pivotArea dataOnly="0" labelOnly="1" outline="0" fieldPosition="0">
        <references count="6">
          <reference field="0" count="1" selected="0">
            <x v="1093"/>
          </reference>
          <reference field="7" count="1" selected="0">
            <x v="458"/>
          </reference>
          <reference field="12" count="1">
            <x v="201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11">
      <pivotArea dataOnly="0" labelOnly="1" outline="0" fieldPosition="0">
        <references count="6">
          <reference field="0" count="1" selected="0">
            <x v="1094"/>
          </reference>
          <reference field="7" count="1" selected="0">
            <x v="374"/>
          </reference>
          <reference field="12" count="1">
            <x v="90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10">
      <pivotArea dataOnly="0" labelOnly="1" outline="0" fieldPosition="0">
        <references count="6">
          <reference field="0" count="1" selected="0">
            <x v="1101"/>
          </reference>
          <reference field="7" count="1" selected="0">
            <x v="370"/>
          </reference>
          <reference field="12" count="1">
            <x v="27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09">
      <pivotArea dataOnly="0" labelOnly="1" outline="0" fieldPosition="0">
        <references count="6">
          <reference field="0" count="1" selected="0">
            <x v="1102"/>
          </reference>
          <reference field="7" count="1" selected="0">
            <x v="464"/>
          </reference>
          <reference field="12" count="1">
            <x v="205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08">
      <pivotArea dataOnly="0" labelOnly="1" outline="0" fieldPosition="0">
        <references count="6">
          <reference field="0" count="1" selected="0">
            <x v="1116"/>
          </reference>
          <reference field="7" count="1" selected="0">
            <x v="470"/>
          </reference>
          <reference field="12" count="1">
            <x v="208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07">
      <pivotArea dataOnly="0" labelOnly="1" outline="0" fieldPosition="0">
        <references count="6">
          <reference field="0" count="1" selected="0">
            <x v="1117"/>
          </reference>
          <reference field="7" count="1" selected="0">
            <x v="471"/>
          </reference>
          <reference field="12" count="1">
            <x v="209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406">
      <pivotArea dataOnly="0" labelOnly="1" outline="0" fieldPosition="0">
        <references count="6">
          <reference field="0" count="1" selected="0">
            <x v="1059"/>
          </reference>
          <reference field="7" count="1" selected="0">
            <x v="415"/>
          </reference>
          <reference field="12" count="1">
            <x v="179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5">
      <pivotArea dataOnly="0" labelOnly="1" outline="0" fieldPosition="0">
        <references count="6">
          <reference field="0" count="1" selected="0">
            <x v="1060"/>
          </reference>
          <reference field="7" count="1" selected="0">
            <x v="419"/>
          </reference>
          <reference field="12" count="1">
            <x v="180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4">
      <pivotArea dataOnly="0" labelOnly="1" outline="0" fieldPosition="0">
        <references count="6">
          <reference field="0" count="1" selected="0">
            <x v="1061"/>
          </reference>
          <reference field="7" count="1" selected="0">
            <x v="418"/>
          </reference>
          <reference field="12" count="1">
            <x v="181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3">
      <pivotArea dataOnly="0" labelOnly="1" outline="0" fieldPosition="0">
        <references count="6">
          <reference field="0" count="1" selected="0">
            <x v="1062"/>
          </reference>
          <reference field="7" count="1" selected="0">
            <x v="420"/>
          </reference>
          <reference field="12" count="1">
            <x v="182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2">
      <pivotArea dataOnly="0" labelOnly="1" outline="0" fieldPosition="0">
        <references count="6">
          <reference field="0" count="1" selected="0">
            <x v="1063"/>
          </reference>
          <reference field="7" count="1" selected="0">
            <x v="416"/>
          </reference>
          <reference field="12" count="1">
            <x v="183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1">
      <pivotArea dataOnly="0" labelOnly="1" outline="0" fieldPosition="0">
        <references count="6">
          <reference field="0" count="1" selected="0">
            <x v="1064"/>
          </reference>
          <reference field="7" count="1" selected="0">
            <x v="417"/>
          </reference>
          <reference field="12" count="1">
            <x v="184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400">
      <pivotArea dataOnly="0" labelOnly="1" outline="0" fieldPosition="0">
        <references count="6">
          <reference field="0" count="1" selected="0">
            <x v="1080"/>
          </reference>
          <reference field="7" count="1" selected="0">
            <x v="448"/>
          </reference>
          <reference field="12" count="1">
            <x v="34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99">
      <pivotArea dataOnly="0" labelOnly="1" outline="0" fieldPosition="0">
        <references count="6">
          <reference field="0" count="1" selected="0">
            <x v="1095"/>
          </reference>
          <reference field="7" count="1" selected="0">
            <x v="459"/>
          </reference>
          <reference field="12" count="1">
            <x v="202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98">
      <pivotArea dataOnly="0" labelOnly="1" outline="0" fieldPosition="0">
        <references count="6">
          <reference field="0" count="1" selected="0">
            <x v="1096"/>
          </reference>
          <reference field="7" count="1" selected="0">
            <x v="460"/>
          </reference>
          <reference field="12" count="1">
            <x v="203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97">
      <pivotArea dataOnly="0" labelOnly="1" outline="0" fieldPosition="0">
        <references count="6">
          <reference field="0" count="1" selected="0">
            <x v="1127"/>
          </reference>
          <reference field="7" count="1" selected="0">
            <x v="375"/>
          </reference>
          <reference field="12" count="1">
            <x v="8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96">
      <pivotArea dataOnly="0" labelOnly="1" outline="0" fieldPosition="0">
        <references count="6">
          <reference field="0" count="1" selected="0">
            <x v="1128"/>
          </reference>
          <reference field="7" count="1" selected="0">
            <x v="446"/>
          </reference>
          <reference field="12" count="1">
            <x v="195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95">
      <pivotArea dataOnly="0" labelOnly="1" outline="0" fieldPosition="0">
        <references count="6">
          <reference field="0" count="1" selected="0">
            <x v="1095"/>
          </reference>
          <reference field="7" count="1" selected="0">
            <x v="459"/>
          </reference>
          <reference field="12" count="1">
            <x v="202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94">
      <pivotArea dataOnly="0" labelOnly="1" outline="0" fieldPosition="0">
        <references count="6">
          <reference field="0" count="1" selected="0">
            <x v="1096"/>
          </reference>
          <reference field="7" count="1" selected="0">
            <x v="460"/>
          </reference>
          <reference field="12" count="1">
            <x v="203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93">
      <pivotArea dataOnly="0" labelOnly="1" outline="0" fieldPosition="0">
        <references count="6">
          <reference field="0" count="1" selected="0">
            <x v="1139"/>
          </reference>
          <reference field="7" count="1" selected="0">
            <x v="480"/>
          </reference>
          <reference field="12" count="1">
            <x v="212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92">
      <pivotArea dataOnly="0" labelOnly="1" outline="0" fieldPosition="0">
        <references count="7">
          <reference field="0" count="1" selected="0">
            <x v="988"/>
          </reference>
          <reference field="7" count="1" selected="0">
            <x v="274"/>
          </reference>
          <reference field="12" count="1" selected="0">
            <x v="163"/>
          </reference>
          <reference field="25" count="1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91">
      <pivotArea dataOnly="0" labelOnly="1" outline="0" fieldPosition="0">
        <references count="7">
          <reference field="0" count="1" selected="0">
            <x v="1011"/>
          </reference>
          <reference field="7" count="1" selected="0">
            <x v="403"/>
          </reference>
          <reference field="12" count="1" selected="0">
            <x v="27"/>
          </reference>
          <reference field="25" count="1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90">
      <pivotArea dataOnly="0" labelOnly="1" outline="0" fieldPosition="0">
        <references count="7">
          <reference field="0" count="1" selected="0">
            <x v="1036"/>
          </reference>
          <reference field="7" count="1" selected="0">
            <x v="189"/>
          </reference>
          <reference field="12" count="1" selected="0">
            <x v="27"/>
          </reference>
          <reference field="25" count="1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89">
      <pivotArea dataOnly="0" labelOnly="1" outline="0" fieldPosition="0">
        <references count="7">
          <reference field="0" count="1" selected="0">
            <x v="1039"/>
          </reference>
          <reference field="7" count="1" selected="0">
            <x v="423"/>
          </reference>
          <reference field="12" count="1" selected="0">
            <x v="91"/>
          </reference>
          <reference field="25" count="1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88">
      <pivotArea dataOnly="0" labelOnly="1" outline="0" fieldPosition="0">
        <references count="7">
          <reference field="0" count="1" selected="0">
            <x v="1050"/>
          </reference>
          <reference field="7" count="1" selected="0">
            <x v="432"/>
          </reference>
          <reference field="12" count="1" selected="0">
            <x v="25"/>
          </reference>
          <reference field="25" count="1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87">
      <pivotArea dataOnly="0" labelOnly="1" outline="0" fieldPosition="0">
        <references count="7">
          <reference field="0" count="1" selected="0">
            <x v="1078"/>
          </reference>
          <reference field="7" count="1" selected="0">
            <x v="447"/>
          </reference>
          <reference field="12" count="1" selected="0">
            <x v="84"/>
          </reference>
          <reference field="25" count="1">
            <x v="0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86">
      <pivotArea dataOnly="0" labelOnly="1" outline="0" fieldPosition="0">
        <references count="7">
          <reference field="0" count="1" selected="0">
            <x v="1031"/>
          </reference>
          <reference field="7" count="1" selected="0">
            <x v="422"/>
          </reference>
          <reference field="12" count="1" selected="0">
            <x v="106"/>
          </reference>
          <reference field="25" count="1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85">
      <pivotArea dataOnly="0" labelOnly="1" outline="0" fieldPosition="0">
        <references count="7">
          <reference field="0" count="1" selected="0">
            <x v="1070"/>
          </reference>
          <reference field="7" count="1" selected="0">
            <x v="441"/>
          </reference>
          <reference field="12" count="1" selected="0">
            <x v="84"/>
          </reference>
          <reference field="25" count="1">
            <x v="0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84">
      <pivotArea dataOnly="0" labelOnly="1" outline="0" fieldPosition="0">
        <references count="7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5" count="1">
            <x v="4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83">
      <pivotArea dataOnly="0" labelOnly="1" outline="0" fieldPosition="0">
        <references count="7">
          <reference field="0" count="1" selected="0">
            <x v="1099"/>
          </reference>
          <reference field="7" count="1" selected="0">
            <x v="463"/>
          </reference>
          <reference field="12" count="1" selected="0">
            <x v="206"/>
          </reference>
          <reference field="25" count="1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82">
      <pivotArea dataOnly="0" labelOnly="1" outline="0" fieldPosition="0">
        <references count="7">
          <reference field="0" count="1" selected="0">
            <x v="1100"/>
          </reference>
          <reference field="7" count="1" selected="0">
            <x v="464"/>
          </reference>
          <reference field="12" count="1" selected="0">
            <x v="205"/>
          </reference>
          <reference field="25" count="1">
            <x v="1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381">
      <pivotArea dataOnly="0" labelOnly="1" outline="0" fieldPosition="0">
        <references count="7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5" count="1">
            <x v="4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380">
      <pivotArea dataOnly="0" labelOnly="1" outline="0" fieldPosition="0">
        <references count="7">
          <reference field="0" count="1" selected="0">
            <x v="1098"/>
          </reference>
          <reference field="7" count="1" selected="0">
            <x v="462"/>
          </reference>
          <reference field="12" count="1" selected="0">
            <x v="205"/>
          </reference>
          <reference field="25" count="1">
            <x v="1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379">
      <pivotArea dataOnly="0" labelOnly="1" outline="0" fieldPosition="0">
        <references count="7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5" count="1">
            <x v="4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378">
      <pivotArea dataOnly="0" labelOnly="1" outline="0" fieldPosition="0">
        <references count="7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5" count="1">
            <x v="4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377">
      <pivotArea dataOnly="0" labelOnly="1" outline="0" fieldPosition="0">
        <references count="7">
          <reference field="0" count="1" selected="0">
            <x v="1092"/>
          </reference>
          <reference field="7" count="1" selected="0">
            <x v="457"/>
          </reference>
          <reference field="12" count="1" selected="0">
            <x v="200"/>
          </reference>
          <reference field="25" count="1">
            <x v="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376">
      <pivotArea dataOnly="0" labelOnly="1" outline="0" fieldPosition="0">
        <references count="7">
          <reference field="0" count="1" selected="0">
            <x v="1102"/>
          </reference>
          <reference field="7" count="1" selected="0">
            <x v="464"/>
          </reference>
          <reference field="12" count="1" selected="0">
            <x v="205"/>
          </reference>
          <reference field="25" count="1">
            <x v="1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375">
      <pivotArea dataOnly="0" labelOnly="1" outline="0" fieldPosition="0">
        <references count="7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5" count="1">
            <x v="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374">
      <pivotArea dataOnly="0" labelOnly="1" outline="0" fieldPosition="0">
        <references count="7">
          <reference field="0" count="1" selected="0">
            <x v="1059"/>
          </reference>
          <reference field="7" count="1" selected="0">
            <x v="415"/>
          </reference>
          <reference field="12" count="1" selected="0">
            <x v="179"/>
          </reference>
          <reference field="25" count="1">
            <x v="4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373">
      <pivotArea dataOnly="0" labelOnly="1" outline="0" fieldPosition="0">
        <references count="7">
          <reference field="0" count="1" selected="0">
            <x v="1080"/>
          </reference>
          <reference field="7" count="1" selected="0">
            <x v="448"/>
          </reference>
          <reference field="12" count="1" selected="0">
            <x v="34"/>
          </reference>
          <reference field="25" count="1">
            <x v="4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72">
      <pivotArea dataOnly="0" labelOnly="1" outline="0" fieldPosition="0">
        <references count="7">
          <reference field="0" count="1" selected="0">
            <x v="1095"/>
          </reference>
          <reference field="7" count="1" selected="0">
            <x v="459"/>
          </reference>
          <reference field="12" count="1" selected="0">
            <x v="202"/>
          </reference>
          <reference field="25" count="1">
            <x v="0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71">
      <pivotArea dataOnly="0" labelOnly="1" outline="0" fieldPosition="0">
        <references count="7">
          <reference field="0" count="1" selected="0">
            <x v="1127"/>
          </reference>
          <reference field="7" count="1" selected="0">
            <x v="375"/>
          </reference>
          <reference field="12" count="1" selected="0">
            <x v="8"/>
          </reference>
          <reference field="25" count="1">
            <x v="4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70">
      <pivotArea dataOnly="0" labelOnly="1" outline="0" fieldPosition="0">
        <references count="7">
          <reference field="0" count="1" selected="0">
            <x v="1095"/>
          </reference>
          <reference field="7" count="1" selected="0">
            <x v="459"/>
          </reference>
          <reference field="12" count="1" selected="0">
            <x v="202"/>
          </reference>
          <reference field="25" count="1">
            <x v="0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69">
      <pivotArea dataOnly="0" labelOnly="1" outline="0" fieldPosition="0">
        <references count="7">
          <reference field="0" count="1" selected="0">
            <x v="1139"/>
          </reference>
          <reference field="7" count="1" selected="0">
            <x v="480"/>
          </reference>
          <reference field="12" count="1" selected="0">
            <x v="212"/>
          </reference>
          <reference field="25" count="1">
            <x v="1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68">
      <pivotArea dataOnly="0" labelOnly="1" outline="0" fieldPosition="0">
        <references count="8">
          <reference field="0" count="1" selected="0">
            <x v="988"/>
          </reference>
          <reference field="7" count="1" selected="0">
            <x v="274"/>
          </reference>
          <reference field="12" count="1" selected="0">
            <x v="163"/>
          </reference>
          <reference field="24" count="1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7">
      <pivotArea dataOnly="0" labelOnly="1" outline="0" fieldPosition="0">
        <references count="8">
          <reference field="0" count="1" selected="0">
            <x v="1011"/>
          </reference>
          <reference field="7" count="1" selected="0">
            <x v="403"/>
          </reference>
          <reference field="12" count="1" selected="0">
            <x v="27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6">
      <pivotArea dataOnly="0" labelOnly="1" outline="0" fieldPosition="0">
        <references count="8">
          <reference field="0" count="1" selected="0">
            <x v="1012"/>
          </reference>
          <reference field="7" count="1" selected="0">
            <x v="404"/>
          </reference>
          <reference field="12" count="1" selected="0">
            <x v="27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5">
      <pivotArea dataOnly="0" labelOnly="1" outline="0" fieldPosition="0">
        <references count="8">
          <reference field="0" count="1" selected="0">
            <x v="1024"/>
          </reference>
          <reference field="7" count="1" selected="0">
            <x v="300"/>
          </reference>
          <reference field="12" count="1" selected="0">
            <x v="175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4">
      <pivotArea dataOnly="0" labelOnly="1" outline="0" fieldPosition="0">
        <references count="8">
          <reference field="0" count="1" selected="0">
            <x v="1036"/>
          </reference>
          <reference field="7" count="1" selected="0">
            <x v="189"/>
          </reference>
          <reference field="12" count="1" selected="0">
            <x v="27"/>
          </reference>
          <reference field="24" count="1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3">
      <pivotArea dataOnly="0" labelOnly="1" outline="0" fieldPosition="0">
        <references count="8">
          <reference field="0" count="1" selected="0">
            <x v="1039"/>
          </reference>
          <reference field="7" count="1" selected="0">
            <x v="423"/>
          </reference>
          <reference field="12" count="1" selected="0">
            <x v="91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2">
      <pivotArea dataOnly="0" labelOnly="1" outline="0" fieldPosition="0">
        <references count="8">
          <reference field="0" count="1" selected="0">
            <x v="1050"/>
          </reference>
          <reference field="7" count="1" selected="0">
            <x v="432"/>
          </reference>
          <reference field="12" count="1" selected="0">
            <x v="25"/>
          </reference>
          <reference field="24" count="1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1">
      <pivotArea dataOnly="0" labelOnly="1" outline="0" fieldPosition="0">
        <references count="8">
          <reference field="0" count="1" selected="0">
            <x v="1078"/>
          </reference>
          <reference field="7" count="1" selected="0">
            <x v="447"/>
          </reference>
          <reference field="12" count="1" selected="0">
            <x v="84"/>
          </reference>
          <reference field="24" count="1">
            <x v="0"/>
          </reference>
          <reference field="25" count="1" selected="0">
            <x v="0"/>
          </reference>
          <reference field="71" count="1" selected="0">
            <x v="96"/>
          </reference>
          <reference field="163" count="1" selected="0">
            <x v="4"/>
          </reference>
          <reference field="164" count="0" selected="0"/>
        </references>
      </pivotArea>
    </format>
    <format dxfId="360">
      <pivotArea dataOnly="0" labelOnly="1" outline="0" fieldPosition="0">
        <references count="8">
          <reference field="0" count="1" selected="0">
            <x v="1031"/>
          </reference>
          <reference field="7" count="1" selected="0">
            <x v="422"/>
          </reference>
          <reference field="12" count="1" selected="0">
            <x v="106"/>
          </reference>
          <reference field="24" count="1">
            <x v="0"/>
          </reference>
          <reference field="25" count="1" selected="0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59">
      <pivotArea dataOnly="0" labelOnly="1" outline="0" fieldPosition="0">
        <references count="8">
          <reference field="0" count="1" selected="0">
            <x v="1032"/>
          </reference>
          <reference field="7" count="1" selected="0">
            <x v="199"/>
          </reference>
          <reference field="12" count="1" selected="0">
            <x v="47"/>
          </reference>
          <reference field="24" count="1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58">
      <pivotArea dataOnly="0" labelOnly="1" outline="0" fieldPosition="0">
        <references count="8">
          <reference field="0" count="1" selected="0">
            <x v="1065"/>
          </reference>
          <reference field="7" count="1" selected="0">
            <x v="147"/>
          </reference>
          <reference field="12" count="1" selected="0">
            <x v="87"/>
          </reference>
          <reference field="24" count="1">
            <x v="0"/>
          </reference>
          <reference field="25" count="1" selected="0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57">
      <pivotArea dataOnly="0" labelOnly="1" outline="0" fieldPosition="0">
        <references count="8">
          <reference field="0" count="1" selected="0">
            <x v="1068"/>
          </reference>
          <reference field="7" count="1" selected="0">
            <x v="202"/>
          </reference>
          <reference field="12" count="1" selected="0">
            <x v="57"/>
          </reference>
          <reference field="24" count="1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56">
      <pivotArea dataOnly="0" labelOnly="1" outline="0" fieldPosition="0">
        <references count="8">
          <reference field="0" count="1" selected="0">
            <x v="1070"/>
          </reference>
          <reference field="7" count="1" selected="0">
            <x v="441"/>
          </reference>
          <reference field="12" count="1" selected="0">
            <x v="84"/>
          </reference>
          <reference field="24" count="1">
            <x v="0"/>
          </reference>
          <reference field="25" count="1" selected="0">
            <x v="0"/>
          </reference>
          <reference field="71" count="1" selected="0">
            <x v="103"/>
          </reference>
          <reference field="163" count="1" selected="0">
            <x v="4"/>
          </reference>
          <reference field="164" count="0" selected="0"/>
        </references>
      </pivotArea>
    </format>
    <format dxfId="355">
      <pivotArea dataOnly="0" labelOnly="1" outline="0" fieldPosition="0">
        <references count="8">
          <reference field="0" count="1" selected="0">
            <x v="1100"/>
          </reference>
          <reference field="7" count="1" selected="0">
            <x v="464"/>
          </reference>
          <reference field="12" count="1" selected="0">
            <x v="205"/>
          </reference>
          <reference field="24" count="1">
            <x v="0"/>
          </reference>
          <reference field="25" count="1" selected="0">
            <x v="1"/>
          </reference>
          <reference field="71" count="1" selected="0">
            <x v="110"/>
          </reference>
          <reference field="163" count="1" selected="0">
            <x v="4"/>
          </reference>
          <reference field="164" count="0" selected="0"/>
        </references>
      </pivotArea>
    </format>
    <format dxfId="354">
      <pivotArea dataOnly="0" labelOnly="1" outline="0" fieldPosition="0">
        <references count="8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353">
      <pivotArea dataOnly="0" labelOnly="1" outline="0" fieldPosition="0">
        <references count="8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117"/>
          </reference>
          <reference field="163" count="1" selected="0">
            <x v="4"/>
          </reference>
          <reference field="164" count="0" selected="0"/>
        </references>
      </pivotArea>
    </format>
    <format dxfId="352">
      <pivotArea dataOnly="0" labelOnly="1" outline="0" fieldPosition="0">
        <references count="8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351">
      <pivotArea dataOnly="0" labelOnly="1" outline="0" fieldPosition="0">
        <references count="8">
          <reference field="0" count="1" selected="0">
            <x v="1097"/>
          </reference>
          <reference field="7" count="1" selected="0">
            <x v="461"/>
          </reference>
          <reference field="12" count="1" selected="0">
            <x v="204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124"/>
          </reference>
          <reference field="163" count="1" selected="0">
            <x v="5"/>
          </reference>
          <reference field="164" count="0" selected="0"/>
        </references>
      </pivotArea>
    </format>
    <format dxfId="350">
      <pivotArea dataOnly="0" labelOnly="1" outline="0" fieldPosition="0">
        <references count="8">
          <reference field="0" count="1" selected="0">
            <x v="1092"/>
          </reference>
          <reference field="7" count="1" selected="0">
            <x v="457"/>
          </reference>
          <reference field="12" count="1" selected="0">
            <x v="200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349">
      <pivotArea dataOnly="0" labelOnly="1" outline="0" fieldPosition="0">
        <references count="8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4" count="1">
            <x v="3"/>
          </reference>
          <reference field="25" count="1" selected="0">
            <x v="4"/>
          </reference>
          <reference field="71" count="1" selected="0">
            <x v="131"/>
          </reference>
          <reference field="163" count="1" selected="0">
            <x v="5"/>
          </reference>
          <reference field="164" count="0" selected="0"/>
        </references>
      </pivotArea>
    </format>
    <format dxfId="348">
      <pivotArea dataOnly="0" labelOnly="1" outline="0" fieldPosition="0">
        <references count="8">
          <reference field="0" count="1" selected="0">
            <x v="1059"/>
          </reference>
          <reference field="7" count="1" selected="0">
            <x v="415"/>
          </reference>
          <reference field="12" count="1" selected="0">
            <x v="179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3" count="1" selected="0">
            <x v="5"/>
          </reference>
          <reference field="164" count="0" selected="0"/>
        </references>
      </pivotArea>
    </format>
    <format dxfId="347">
      <pivotArea dataOnly="0" labelOnly="1" outline="0" fieldPosition="0">
        <references count="8">
          <reference field="0" count="1" selected="0">
            <x v="1080"/>
          </reference>
          <reference field="7" count="1" selected="0">
            <x v="448"/>
          </reference>
          <reference field="12" count="1" selected="0">
            <x v="34"/>
          </reference>
          <reference field="24" count="1">
            <x v="0"/>
          </reference>
          <reference field="25" count="1" selected="0">
            <x v="4"/>
          </reference>
          <reference field="71" count="1" selected="0">
            <x v="145"/>
          </reference>
          <reference field="163" count="1" selected="0">
            <x v="5"/>
          </reference>
          <reference field="164" count="0" selected="0"/>
        </references>
      </pivotArea>
    </format>
    <format dxfId="346">
      <pivotArea dataOnly="0" labelOnly="1" outline="0" fieldPosition="0">
        <references count="8">
          <reference field="0" count="1" selected="0">
            <x v="1095"/>
          </reference>
          <reference field="7" count="1" selected="0">
            <x v="459"/>
          </reference>
          <reference field="12" count="1" selected="0">
            <x v="202"/>
          </reference>
          <reference field="24" count="1">
            <x v="0"/>
          </reference>
          <reference field="25" count="1" selected="0">
            <x v="0"/>
          </reference>
          <reference field="71" count="1" selected="0">
            <x v="152"/>
          </reference>
          <reference field="163" count="1" selected="0">
            <x v="5"/>
          </reference>
          <reference field="164" count="0" selected="0"/>
        </references>
      </pivotArea>
    </format>
    <format dxfId="345">
      <pivotArea dataOnly="0" labelOnly="1" outline="0" fieldPosition="0">
        <references count="9">
          <reference field="0" count="1" selected="0">
            <x v="988"/>
          </reference>
          <reference field="7" count="1" selected="0">
            <x v="274"/>
          </reference>
          <reference field="12" count="1" selected="0">
            <x v="163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44">
      <pivotArea dataOnly="0" labelOnly="1" outline="0" fieldPosition="0">
        <references count="9">
          <reference field="0" count="1" selected="0">
            <x v="989"/>
          </reference>
          <reference field="7" count="1" selected="0">
            <x v="275"/>
          </reference>
          <reference field="12" count="1" selected="0">
            <x v="164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43">
      <pivotArea dataOnly="0" labelOnly="1" outline="0" fieldPosition="0">
        <references count="9">
          <reference field="0" count="1" selected="0">
            <x v="998"/>
          </reference>
          <reference field="7" count="1" selected="0">
            <x v="285"/>
          </reference>
          <reference field="12" count="1" selected="0">
            <x v="165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42">
      <pivotArea dataOnly="0" labelOnly="1" outline="0" fieldPosition="0">
        <references count="9">
          <reference field="0" count="1" selected="0">
            <x v="1000"/>
          </reference>
          <reference field="7" count="1" selected="0">
            <x v="286"/>
          </reference>
          <reference field="12" count="1" selected="0">
            <x v="166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41">
      <pivotArea dataOnly="0" labelOnly="1" outline="0" fieldPosition="0">
        <references count="9">
          <reference field="0" count="1" selected="0">
            <x v="1002"/>
          </reference>
          <reference field="7" count="1" selected="0">
            <x v="287"/>
          </reference>
          <reference field="12" count="1" selected="0">
            <x v="167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40">
      <pivotArea dataOnly="0" labelOnly="1" outline="0" fieldPosition="0">
        <references count="9">
          <reference field="0" count="1" selected="0">
            <x v="1006"/>
          </reference>
          <reference field="7" count="1" selected="0">
            <x v="289"/>
          </reference>
          <reference field="12" count="1" selected="0">
            <x v="168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9">
      <pivotArea dataOnly="0" labelOnly="1" outline="0" fieldPosition="0">
        <references count="9">
          <reference field="0" count="1" selected="0">
            <x v="1011"/>
          </reference>
          <reference field="7" count="1" selected="0">
            <x v="403"/>
          </reference>
          <reference field="12" count="1" selected="0">
            <x v="27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8">
      <pivotArea dataOnly="0" labelOnly="1" outline="0" fieldPosition="0">
        <references count="9">
          <reference field="0" count="1" selected="0">
            <x v="1012"/>
          </reference>
          <reference field="7" count="1" selected="0">
            <x v="404"/>
          </reference>
          <reference field="12" count="1" selected="0">
            <x v="27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7">
      <pivotArea dataOnly="0" labelOnly="1" outline="0" fieldPosition="0">
        <references count="9">
          <reference field="0" count="1" selected="0">
            <x v="1024"/>
          </reference>
          <reference field="7" count="1" selected="0">
            <x v="300"/>
          </reference>
          <reference field="12" count="1" selected="0">
            <x v="175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6">
      <pivotArea dataOnly="0" labelOnly="1" outline="0" fieldPosition="0">
        <references count="9">
          <reference field="0" count="1" selected="0">
            <x v="1025"/>
          </reference>
          <reference field="7" count="1" selected="0">
            <x v="301"/>
          </reference>
          <reference field="12" count="1" selected="0">
            <x v="176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5">
      <pivotArea dataOnly="0" labelOnly="1" outline="0" fieldPosition="0">
        <references count="9">
          <reference field="0" count="1" selected="0">
            <x v="1026"/>
          </reference>
          <reference field="7" count="1" selected="0">
            <x v="302"/>
          </reference>
          <reference field="12" count="1" selected="0">
            <x v="177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4">
      <pivotArea dataOnly="0" labelOnly="1" outline="0" fieldPosition="0">
        <references count="9">
          <reference field="0" count="1" selected="0">
            <x v="1027"/>
          </reference>
          <reference field="7" count="1" selected="0">
            <x v="303"/>
          </reference>
          <reference field="12" count="1" selected="0">
            <x v="178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3">
      <pivotArea dataOnly="0" labelOnly="1" outline="0" fieldPosition="0">
        <references count="9">
          <reference field="0" count="1" selected="0">
            <x v="1036"/>
          </reference>
          <reference field="7" count="1" selected="0">
            <x v="189"/>
          </reference>
          <reference field="12" count="1" selected="0">
            <x v="27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2">
      <pivotArea dataOnly="0" labelOnly="1" outline="0" fieldPosition="0">
        <references count="9">
          <reference field="0" count="1" selected="0">
            <x v="1037"/>
          </reference>
          <reference field="7" count="1" selected="0">
            <x v="190"/>
          </reference>
          <reference field="12" count="1" selected="0">
            <x v="25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1">
      <pivotArea dataOnly="0" labelOnly="1" outline="0" fieldPosition="0">
        <references count="9">
          <reference field="0" count="1" selected="0">
            <x v="1038"/>
          </reference>
          <reference field="7" count="1" selected="0">
            <x v="191"/>
          </reference>
          <reference field="12" count="1" selected="0">
            <x v="34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30">
      <pivotArea dataOnly="0" labelOnly="1" outline="0" fieldPosition="0">
        <references count="9">
          <reference field="0" count="1" selected="0">
            <x v="1039"/>
          </reference>
          <reference field="7" count="1" selected="0">
            <x v="423"/>
          </reference>
          <reference field="12" count="1" selected="0">
            <x v="91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9">
      <pivotArea dataOnly="0" labelOnly="1" outline="0" fieldPosition="0">
        <references count="9">
          <reference field="0" count="1" selected="0">
            <x v="1040"/>
          </reference>
          <reference field="7" count="1" selected="0">
            <x v="424"/>
          </reference>
          <reference field="12" count="1" selected="0">
            <x v="92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8">
      <pivotArea dataOnly="0" labelOnly="1" outline="0" fieldPosition="0">
        <references count="9">
          <reference field="0" count="1" selected="0">
            <x v="1050"/>
          </reference>
          <reference field="7" count="1" selected="0">
            <x v="432"/>
          </reference>
          <reference field="12" count="1" selected="0">
            <x v="25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7">
      <pivotArea dataOnly="0" labelOnly="1" outline="0" fieldPosition="0">
        <references count="9">
          <reference field="0" count="1" selected="0">
            <x v="1051"/>
          </reference>
          <reference field="7" count="1" selected="0">
            <x v="433"/>
          </reference>
          <reference field="12" count="1" selected="0">
            <x v="185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6">
      <pivotArea dataOnly="0" labelOnly="1" outline="0" fieldPosition="0">
        <references count="9">
          <reference field="0" count="1" selected="0">
            <x v="1052"/>
          </reference>
          <reference field="7" count="1" selected="0">
            <x v="186"/>
          </reference>
          <reference field="12" count="1" selected="0">
            <x v="34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5">
      <pivotArea dataOnly="0" labelOnly="1" outline="0" fieldPosition="0">
        <references count="9">
          <reference field="0" count="1" selected="0">
            <x v="1078"/>
          </reference>
          <reference field="7" count="1" selected="0">
            <x v="447"/>
          </reference>
          <reference field="12" count="1" selected="0">
            <x v="84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96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4">
      <pivotArea dataOnly="0" labelOnly="1" outline="0" fieldPosition="0">
        <references count="9">
          <reference field="0" count="1" selected="0">
            <x v="1031"/>
          </reference>
          <reference field="7" count="1" selected="0">
            <x v="422"/>
          </reference>
          <reference field="12" count="1" selected="0">
            <x v="106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3">
      <pivotArea dataOnly="0" labelOnly="1" outline="0" fieldPosition="0">
        <references count="9">
          <reference field="0" count="1" selected="0">
            <x v="1032"/>
          </reference>
          <reference field="7" count="1" selected="0">
            <x v="199"/>
          </reference>
          <reference field="12" count="1" selected="0">
            <x v="47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2">
      <pivotArea dataOnly="0" labelOnly="1" outline="0" fieldPosition="0">
        <references count="9">
          <reference field="0" count="1" selected="0">
            <x v="1033"/>
          </reference>
          <reference field="7" count="1" selected="0">
            <x v="202"/>
          </reference>
          <reference field="12" count="1" selected="0">
            <x v="57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1">
      <pivotArea dataOnly="0" labelOnly="1" outline="0" fieldPosition="0">
        <references count="9">
          <reference field="0" count="1" selected="0">
            <x v="1034"/>
          </reference>
          <reference field="7" count="1" selected="0">
            <x v="205"/>
          </reference>
          <reference field="12" count="1" selected="0">
            <x v="61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20">
      <pivotArea dataOnly="0" labelOnly="1" outline="0" fieldPosition="0">
        <references count="9">
          <reference field="0" count="1" selected="0">
            <x v="1035"/>
          </reference>
          <reference field="7" count="1" selected="0">
            <x v="206"/>
          </reference>
          <reference field="12" count="1" selected="0">
            <x v="62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9">
      <pivotArea dataOnly="0" labelOnly="1" outline="0" fieldPosition="0">
        <references count="9">
          <reference field="0" count="1" selected="0">
            <x v="1065"/>
          </reference>
          <reference field="7" count="1" selected="0">
            <x v="147"/>
          </reference>
          <reference field="12" count="1" selected="0">
            <x v="87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8">
      <pivotArea dataOnly="0" labelOnly="1" outline="0" fieldPosition="0">
        <references count="9">
          <reference field="0" count="1" selected="0">
            <x v="1068"/>
          </reference>
          <reference field="7" count="1" selected="0">
            <x v="202"/>
          </reference>
          <reference field="12" count="1" selected="0">
            <x v="57"/>
          </reference>
          <reference field="24" count="1" selected="0">
            <x v="1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7">
      <pivotArea dataOnly="0" labelOnly="1" outline="0" fieldPosition="0">
        <references count="9">
          <reference field="0" count="1" selected="0">
            <x v="1070"/>
          </reference>
          <reference field="7" count="1" selected="0">
            <x v="441"/>
          </reference>
          <reference field="12" count="1" selected="0">
            <x v="84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6">
      <pivotArea dataOnly="0" labelOnly="1" outline="0" fieldPosition="0">
        <references count="9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5">
      <pivotArea dataOnly="0" labelOnly="1" outline="0" fieldPosition="0">
        <references count="9">
          <reference field="0" count="1" selected="0">
            <x v="1072"/>
          </reference>
          <reference field="7" count="1" selected="0">
            <x v="385"/>
          </reference>
          <reference field="12" count="1" selected="0">
            <x v="72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4">
      <pivotArea dataOnly="0" labelOnly="1" outline="0" fieldPosition="0">
        <references count="9">
          <reference field="0" count="1" selected="0">
            <x v="1073"/>
          </reference>
          <reference field="7" count="1" selected="0">
            <x v="442"/>
          </reference>
          <reference field="12" count="1" selected="0">
            <x v="191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3">
      <pivotArea dataOnly="0" labelOnly="1" outline="0" fieldPosition="0">
        <references count="9">
          <reference field="0" count="1" selected="0">
            <x v="1074"/>
          </reference>
          <reference field="7" count="1" selected="0">
            <x v="443"/>
          </reference>
          <reference field="12" count="1" selected="0">
            <x v="192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2">
      <pivotArea dataOnly="0" labelOnly="1" outline="0" fieldPosition="0">
        <references count="9">
          <reference field="0" count="1" selected="0">
            <x v="1075"/>
          </reference>
          <reference field="7" count="1" selected="0">
            <x v="444"/>
          </reference>
          <reference field="12" count="1" selected="0">
            <x v="193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1">
      <pivotArea dataOnly="0" labelOnly="1" outline="0" fieldPosition="0">
        <references count="9">
          <reference field="0" count="1" selected="0">
            <x v="1076"/>
          </reference>
          <reference field="7" count="1" selected="0">
            <x v="445"/>
          </reference>
          <reference field="12" count="1" selected="0">
            <x v="194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10">
      <pivotArea dataOnly="0" labelOnly="1" outline="0" fieldPosition="0">
        <references count="9">
          <reference field="0" count="1" selected="0">
            <x v="1077"/>
          </reference>
          <reference field="7" count="1" selected="0">
            <x v="446"/>
          </reference>
          <reference field="12" count="1" selected="0">
            <x v="195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9">
      <pivotArea dataOnly="0" labelOnly="1" outline="0" fieldPosition="0">
        <references count="9">
          <reference field="0" count="1" selected="0">
            <x v="1099"/>
          </reference>
          <reference field="7" count="1" selected="0">
            <x v="463"/>
          </reference>
          <reference field="12" count="1" selected="0">
            <x v="206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03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8">
      <pivotArea dataOnly="0" labelOnly="1" outline="0" fieldPosition="0">
        <references count="9">
          <reference field="0" count="1" selected="0">
            <x v="1100"/>
          </reference>
          <reference field="7" count="1" selected="0">
            <x v="464"/>
          </reference>
          <reference field="12" count="1" selected="0">
            <x v="205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10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7">
      <pivotArea dataOnly="0" labelOnly="1" outline="0" fieldPosition="0">
        <references count="9">
          <reference field="0" count="1" selected="0">
            <x v="1119"/>
          </reference>
          <reference field="7" count="1" selected="0">
            <x v="473"/>
          </reference>
          <reference field="12" count="1" selected="0">
            <x v="205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10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6">
      <pivotArea dataOnly="0" labelOnly="1" outline="0" fieldPosition="0">
        <references count="9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17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5">
      <pivotArea dataOnly="0" labelOnly="1" outline="0" fieldPosition="0">
        <references count="9">
          <reference field="0" count="1" selected="0">
            <x v="1098"/>
          </reference>
          <reference field="7" count="1" selected="0">
            <x v="462"/>
          </reference>
          <reference field="12" count="1" selected="0">
            <x v="205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17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4">
      <pivotArea dataOnly="0" labelOnly="1" outline="0" fieldPosition="0">
        <references count="9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17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3">
      <pivotArea dataOnly="0" labelOnly="1" outline="0" fieldPosition="0">
        <references count="9">
          <reference field="0" count="1" selected="0">
            <x v="1117"/>
          </reference>
          <reference field="7" count="1" selected="0">
            <x v="471"/>
          </reference>
          <reference field="12" count="1" selected="0">
            <x v="209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17"/>
          </reference>
          <reference field="160" count="0"/>
          <reference field="163" count="1" selected="0">
            <x v="4"/>
          </reference>
          <reference field="164" count="0" selected="0"/>
        </references>
      </pivotArea>
    </format>
    <format dxfId="302">
      <pivotArea dataOnly="0" labelOnly="1" outline="0" fieldPosition="0">
        <references count="9">
          <reference field="0" count="1" selected="0">
            <x v="1071"/>
          </reference>
          <reference field="7" count="1" selected="0">
            <x v="375"/>
          </reference>
          <reference field="12" count="1" selected="0">
            <x v="8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24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301">
      <pivotArea dataOnly="0" labelOnly="1" outline="0" fieldPosition="0">
        <references count="9">
          <reference field="0" count="1" selected="0">
            <x v="1097"/>
          </reference>
          <reference field="7" count="1" selected="0">
            <x v="461"/>
          </reference>
          <reference field="12" count="1" selected="0">
            <x v="204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24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300">
      <pivotArea dataOnly="0" labelOnly="1" outline="0" fieldPosition="0">
        <references count="9">
          <reference field="0" count="1" selected="0">
            <x v="1118"/>
          </reference>
          <reference field="7" count="1" selected="0">
            <x v="472"/>
          </reference>
          <reference field="12" count="1" selected="0">
            <x v="210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24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9">
      <pivotArea dataOnly="0" labelOnly="1" outline="0" fieldPosition="0">
        <references count="9">
          <reference field="0" count="1" selected="0">
            <x v="1092"/>
          </reference>
          <reference field="7" count="1" selected="0">
            <x v="457"/>
          </reference>
          <reference field="12" count="1" selected="0">
            <x v="200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8">
      <pivotArea dataOnly="0" labelOnly="1" outline="0" fieldPosition="0">
        <references count="9">
          <reference field="0" count="1" selected="0">
            <x v="1093"/>
          </reference>
          <reference field="7" count="1" selected="0">
            <x v="458"/>
          </reference>
          <reference field="12" count="1" selected="0">
            <x v="201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7">
      <pivotArea dataOnly="0" labelOnly="1" outline="0" fieldPosition="0">
        <references count="9">
          <reference field="0" count="1" selected="0">
            <x v="1094"/>
          </reference>
          <reference field="7" count="1" selected="0">
            <x v="374"/>
          </reference>
          <reference field="12" count="1" selected="0">
            <x v="90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6">
      <pivotArea dataOnly="0" labelOnly="1" outline="0" fieldPosition="0">
        <references count="9">
          <reference field="0" count="1" selected="0">
            <x v="1101"/>
          </reference>
          <reference field="7" count="1" selected="0">
            <x v="370"/>
          </reference>
          <reference field="12" count="1" selected="0">
            <x v="27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5">
      <pivotArea dataOnly="0" labelOnly="1" outline="0" fieldPosition="0">
        <references count="9">
          <reference field="0" count="1" selected="0">
            <x v="1102"/>
          </reference>
          <reference field="7" count="1" selected="0">
            <x v="464"/>
          </reference>
          <reference field="12" count="1" selected="0">
            <x v="205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4">
      <pivotArea dataOnly="0" labelOnly="1" outline="0" fieldPosition="0">
        <references count="9">
          <reference field="0" count="1" selected="0">
            <x v="1116"/>
          </reference>
          <reference field="7" count="1" selected="0">
            <x v="470"/>
          </reference>
          <reference field="12" count="1" selected="0">
            <x v="208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3">
      <pivotArea dataOnly="0" labelOnly="1" outline="0" fieldPosition="0">
        <references count="9">
          <reference field="0" count="1" selected="0">
            <x v="1117"/>
          </reference>
          <reference field="7" count="1" selected="0">
            <x v="471"/>
          </reference>
          <reference field="12" count="1" selected="0">
            <x v="209"/>
          </reference>
          <reference field="24" count="1" selected="0">
            <x v="3"/>
          </reference>
          <reference field="25" count="1" selected="0">
            <x v="4"/>
          </reference>
          <reference field="71" count="1" selected="0">
            <x v="131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2">
      <pivotArea dataOnly="0" labelOnly="1" outline="0" fieldPosition="0">
        <references count="9">
          <reference field="0" count="1" selected="0">
            <x v="1059"/>
          </reference>
          <reference field="7" count="1" selected="0">
            <x v="415"/>
          </reference>
          <reference field="12" count="1" selected="0">
            <x v="179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1">
      <pivotArea dataOnly="0" labelOnly="1" outline="0" fieldPosition="0">
        <references count="9">
          <reference field="0" count="1" selected="0">
            <x v="1060"/>
          </reference>
          <reference field="7" count="1" selected="0">
            <x v="419"/>
          </reference>
          <reference field="12" count="1" selected="0">
            <x v="180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90">
      <pivotArea dataOnly="0" labelOnly="1" outline="0" fieldPosition="0">
        <references count="9">
          <reference field="0" count="1" selected="0">
            <x v="1061"/>
          </reference>
          <reference field="7" count="1" selected="0">
            <x v="418"/>
          </reference>
          <reference field="12" count="1" selected="0">
            <x v="181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9">
      <pivotArea dataOnly="0" labelOnly="1" outline="0" fieldPosition="0">
        <references count="9">
          <reference field="0" count="1" selected="0">
            <x v="1062"/>
          </reference>
          <reference field="7" count="1" selected="0">
            <x v="420"/>
          </reference>
          <reference field="12" count="1" selected="0">
            <x v="182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8">
      <pivotArea dataOnly="0" labelOnly="1" outline="0" fieldPosition="0">
        <references count="9">
          <reference field="0" count="1" selected="0">
            <x v="1063"/>
          </reference>
          <reference field="7" count="1" selected="0">
            <x v="416"/>
          </reference>
          <reference field="12" count="1" selected="0">
            <x v="183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7">
      <pivotArea dataOnly="0" labelOnly="1" outline="0" fieldPosition="0">
        <references count="9">
          <reference field="0" count="1" selected="0">
            <x v="1064"/>
          </reference>
          <reference field="7" count="1" selected="0">
            <x v="417"/>
          </reference>
          <reference field="12" count="1" selected="0">
            <x v="184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38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6">
      <pivotArea dataOnly="0" labelOnly="1" outline="0" fieldPosition="0">
        <references count="9">
          <reference field="0" count="1" selected="0">
            <x v="1080"/>
          </reference>
          <reference field="7" count="1" selected="0">
            <x v="448"/>
          </reference>
          <reference field="12" count="1" selected="0">
            <x v="34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45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5">
      <pivotArea dataOnly="0" labelOnly="1" outline="0" fieldPosition="0">
        <references count="9">
          <reference field="0" count="1" selected="0">
            <x v="1095"/>
          </reference>
          <reference field="7" count="1" selected="0">
            <x v="459"/>
          </reference>
          <reference field="12" count="1" selected="0">
            <x v="202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145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4">
      <pivotArea dataOnly="0" labelOnly="1" outline="0" fieldPosition="0">
        <references count="9">
          <reference field="0" count="1" selected="0">
            <x v="1096"/>
          </reference>
          <reference field="7" count="1" selected="0">
            <x v="460"/>
          </reference>
          <reference field="12" count="1" selected="0">
            <x v="203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145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3">
      <pivotArea dataOnly="0" labelOnly="1" outline="0" fieldPosition="0">
        <references count="9">
          <reference field="0" count="1" selected="0">
            <x v="1127"/>
          </reference>
          <reference field="7" count="1" selected="0">
            <x v="375"/>
          </reference>
          <reference field="12" count="1" selected="0">
            <x v="8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45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2">
      <pivotArea dataOnly="0" labelOnly="1" outline="0" fieldPosition="0">
        <references count="9">
          <reference field="0" count="1" selected="0">
            <x v="1128"/>
          </reference>
          <reference field="7" count="1" selected="0">
            <x v="446"/>
          </reference>
          <reference field="12" count="1" selected="0">
            <x v="195"/>
          </reference>
          <reference field="24" count="1" selected="0">
            <x v="0"/>
          </reference>
          <reference field="25" count="1" selected="0">
            <x v="4"/>
          </reference>
          <reference field="71" count="1" selected="0">
            <x v="145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1">
      <pivotArea dataOnly="0" labelOnly="1" outline="0" fieldPosition="0">
        <references count="9">
          <reference field="0" count="1" selected="0">
            <x v="1095"/>
          </reference>
          <reference field="7" count="1" selected="0">
            <x v="459"/>
          </reference>
          <reference field="12" count="1" selected="0">
            <x v="202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152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80">
      <pivotArea dataOnly="0" labelOnly="1" outline="0" fieldPosition="0">
        <references count="9">
          <reference field="0" count="1" selected="0">
            <x v="1096"/>
          </reference>
          <reference field="7" count="1" selected="0">
            <x v="460"/>
          </reference>
          <reference field="12" count="1" selected="0">
            <x v="203"/>
          </reference>
          <reference field="24" count="1" selected="0">
            <x v="0"/>
          </reference>
          <reference field="25" count="1" selected="0">
            <x v="0"/>
          </reference>
          <reference field="71" count="1" selected="0">
            <x v="152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79">
      <pivotArea dataOnly="0" labelOnly="1" outline="0" fieldPosition="0">
        <references count="9">
          <reference field="0" count="1" selected="0">
            <x v="1139"/>
          </reference>
          <reference field="7" count="1" selected="0">
            <x v="480"/>
          </reference>
          <reference field="12" count="1" selected="0">
            <x v="212"/>
          </reference>
          <reference field="24" count="1" selected="0">
            <x v="0"/>
          </reference>
          <reference field="25" count="1" selected="0">
            <x v="1"/>
          </reference>
          <reference field="71" count="1" selected="0">
            <x v="152"/>
          </reference>
          <reference field="160" count="0"/>
          <reference field="163" count="1" selected="0">
            <x v="5"/>
          </reference>
          <reference field="164" count="0" selected="0"/>
        </references>
      </pivotArea>
    </format>
    <format dxfId="278">
      <pivotArea field="164" type="button" dataOnly="0" labelOnly="1" outline="0" axis="axisRow" fieldPosition="0"/>
    </format>
    <format dxfId="277">
      <pivotArea field="163" type="button" dataOnly="0" labelOnly="1" outline="0" axis="axisRow" fieldPosition="1"/>
    </format>
    <format dxfId="276">
      <pivotArea field="71" type="button" dataOnly="0" labelOnly="1" outline="0" axis="axisRow" fieldPosition="2"/>
    </format>
    <format dxfId="275">
      <pivotArea field="0" type="button" dataOnly="0" labelOnly="1" outline="0" axis="axisRow" fieldPosition="3"/>
    </format>
    <format dxfId="274">
      <pivotArea field="7" type="button" dataOnly="0" labelOnly="1" outline="0" axis="axisRow" fieldPosition="4"/>
    </format>
    <format dxfId="273">
      <pivotArea field="12" type="button" dataOnly="0" labelOnly="1" outline="0" axis="axisRow" fieldPosition="5"/>
    </format>
    <format dxfId="272">
      <pivotArea field="25" type="button" dataOnly="0" labelOnly="1" outline="0" axis="axisRow" fieldPosition="6"/>
    </format>
    <format dxfId="271">
      <pivotArea field="24" type="button" dataOnly="0" labelOnly="1" outline="0" axis="axisRow" fieldPosition="7"/>
    </format>
    <format dxfId="270">
      <pivotArea field="160" type="button" dataOnly="0" labelOnly="1" outline="0" axis="axisRow" fieldPosition="8"/>
    </format>
    <format dxfId="269">
      <pivotArea field="164" type="button" dataOnly="0" labelOnly="1" outline="0" axis="axisRow" fieldPosition="0"/>
    </format>
    <format dxfId="268">
      <pivotArea field="163" type="button" dataOnly="0" labelOnly="1" outline="0" axis="axisRow" fieldPosition="1"/>
    </format>
    <format dxfId="267">
      <pivotArea field="71" type="button" dataOnly="0" labelOnly="1" outline="0" axis="axisRow" fieldPosition="2"/>
    </format>
    <format dxfId="266">
      <pivotArea field="0" type="button" dataOnly="0" labelOnly="1" outline="0" axis="axisRow" fieldPosition="3"/>
    </format>
    <format dxfId="265">
      <pivotArea field="7" type="button" dataOnly="0" labelOnly="1" outline="0" axis="axisRow" fieldPosition="4"/>
    </format>
    <format dxfId="264">
      <pivotArea field="12" type="button" dataOnly="0" labelOnly="1" outline="0" axis="axisRow" fieldPosition="5"/>
    </format>
    <format dxfId="263">
      <pivotArea field="25" type="button" dataOnly="0" labelOnly="1" outline="0" axis="axisRow" fieldPosition="6"/>
    </format>
    <format dxfId="262">
      <pivotArea field="24" type="button" dataOnly="0" labelOnly="1" outline="0" axis="axisRow" fieldPosition="7"/>
    </format>
    <format dxfId="261">
      <pivotArea field="160" type="button" dataOnly="0" labelOnly="1" outline="0" axis="axisRow" fieldPosition="8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N65" firstHeaderRow="2" firstDataRow="2" firstDataCol="13"/>
  <pivotFields count="165">
    <pivotField axis="axisRow" compact="0" outline="0" showAll="0" defaultSubtotal="0">
      <items count="1187">
        <item x="68"/>
        <item x="4"/>
        <item m="1" x="1096"/>
        <item m="1" x="1097"/>
        <item m="1" x="362"/>
        <item m="1" x="204"/>
        <item m="1" x="266"/>
        <item m="1" x="1106"/>
        <item m="1" x="954"/>
        <item m="1" x="1011"/>
        <item m="1" x="554"/>
        <item m="1" x="637"/>
        <item m="1" x="715"/>
        <item m="1" x="958"/>
        <item m="1" x="331"/>
        <item m="1" x="399"/>
        <item m="1" x="638"/>
        <item m="1" x="473"/>
        <item m="1" x="561"/>
        <item m="1" x="647"/>
        <item m="1" x="721"/>
        <item m="1" x="797"/>
        <item m="1" x="853"/>
        <item m="1" x="906"/>
        <item m="1" x="961"/>
        <item m="1" x="1016"/>
        <item m="1" x="566"/>
        <item m="1" x="725"/>
        <item m="1" x="800"/>
        <item m="1" x="857"/>
        <item m="1" x="910"/>
        <item m="1" x="967"/>
        <item m="1" x="1020"/>
        <item m="1" x="1067"/>
        <item m="1" x="1114"/>
        <item m="1" x="730"/>
        <item m="1" x="802"/>
        <item m="1" x="861"/>
        <item m="1" x="1071"/>
        <item m="1" x="1117"/>
        <item m="1" x="1166"/>
        <item m="1" x="862"/>
        <item m="1" x="915"/>
        <item m="1" x="415"/>
        <item m="1" x="489"/>
        <item m="1" x="575"/>
        <item m="1" x="656"/>
        <item m="1" x="863"/>
        <item m="1" x="662"/>
        <item m="1" x="736"/>
        <item m="1" x="809"/>
        <item m="1" x="867"/>
        <item m="1" x="1077"/>
        <item m="1" x="742"/>
        <item m="1" x="813"/>
        <item m="1" x="870"/>
        <item m="1" x="1033"/>
        <item m="1" x="1081"/>
        <item m="1" x="1127"/>
        <item m="1" x="1180"/>
        <item m="1" x="349"/>
        <item m="1" x="417"/>
        <item m="1" x="229"/>
        <item m="1" x="291"/>
        <item m="1" x="354"/>
        <item m="1" x="428"/>
        <item m="1" x="505"/>
        <item m="1" x="587"/>
        <item m="1" x="1147"/>
        <item m="1" x="178"/>
        <item m="1" x="240"/>
        <item m="1" x="303"/>
        <item m="1" x="368"/>
        <item m="1" x="435"/>
        <item m="1" x="599"/>
        <item m="1" x="758"/>
        <item m="1" x="1042"/>
        <item m="1" x="163"/>
        <item m="1" x="221"/>
        <item m="1" x="283"/>
        <item m="1" x="815"/>
        <item m="1" x="872"/>
        <item m="1" x="360"/>
        <item m="1" x="430"/>
        <item m="1" x="507"/>
        <item m="1" x="591"/>
        <item m="1" x="676"/>
        <item m="1" x="753"/>
        <item m="1" x="822"/>
        <item m="1" x="876"/>
        <item m="1" x="929"/>
        <item m="1" x="985"/>
        <item m="1" x="514"/>
        <item m="1" x="601"/>
        <item m="1" x="681"/>
        <item m="1" x="761"/>
        <item m="1" x="827"/>
        <item m="1" x="879"/>
        <item m="1" x="933"/>
        <item m="1" x="989"/>
        <item m="1" x="1041"/>
        <item m="1" x="1089"/>
        <item m="1" x="687"/>
        <item m="1" x="766"/>
        <item m="1" x="830"/>
        <item m="1" x="883"/>
        <item m="1" x="936"/>
        <item m="1" x="993"/>
        <item m="1" x="1044"/>
        <item m="1" x="1092"/>
        <item m="1" x="1136"/>
        <item m="1" x="419"/>
        <item m="1" x="494"/>
        <item m="1" x="1142"/>
        <item m="1" x="231"/>
        <item m="1" x="293"/>
        <item m="1" x="424"/>
        <item m="1" x="500"/>
        <item m="1" x="744"/>
        <item m="1" x="236"/>
        <item m="1" x="299"/>
        <item m="1" x="828"/>
        <item m="1" x="880"/>
        <item m="1" x="934"/>
        <item m="1" x="990"/>
        <item m="1" x="523"/>
        <item m="1" x="605"/>
        <item m="1" x="688"/>
        <item m="1" x="767"/>
        <item m="1" x="994"/>
        <item m="1" x="528"/>
        <item m="1" x="888"/>
        <item m="1" x="698"/>
        <item m="1" x="775"/>
        <item m="1" x="836"/>
        <item m="1" x="892"/>
        <item m="1" x="941"/>
        <item m="1" x="1001"/>
        <item m="1" x="1048"/>
        <item m="1" x="1098"/>
        <item m="1" x="1144"/>
        <item m="1" x="175"/>
        <item m="1" x="839"/>
        <item m="1" x="894"/>
        <item m="1" x="946"/>
        <item m="1" x="1004"/>
        <item m="1" x="1051"/>
        <item m="1" x="1101"/>
        <item m="1" x="1148"/>
        <item m="1" x="179"/>
        <item m="1" x="241"/>
        <item m="1" x="304"/>
        <item m="1" x="948"/>
        <item m="1" x="1007"/>
        <item m="1" x="1054"/>
        <item m="1" x="1103"/>
        <item m="1" x="1152"/>
        <item m="1" x="182"/>
        <item m="1" x="245"/>
        <item m="1" x="309"/>
        <item m="1" x="374"/>
        <item m="1" x="442"/>
        <item m="1" x="1057"/>
        <item m="1" x="1099"/>
        <item m="1" x="361"/>
        <item m="1" x="508"/>
        <item m="1" x="592"/>
        <item m="1" x="1150"/>
        <item m="1" x="242"/>
        <item m="1" x="305"/>
        <item m="1" x="369"/>
        <item m="1" x="436"/>
        <item m="1" x="515"/>
        <item m="1" x="682"/>
        <item m="1" x="762"/>
        <item m="1" x="246"/>
        <item m="1" x="310"/>
        <item m="1" x="375"/>
        <item m="1" x="443"/>
        <item m="1" x="689"/>
        <item m="1" x="831"/>
        <item m="1" x="380"/>
        <item m="1" x="529"/>
        <item m="1" x="611"/>
        <item m="1" x="889"/>
        <item m="1" x="937"/>
        <item m="1" x="996"/>
        <item m="1" x="534"/>
        <item m="1" x="776"/>
        <item m="1" x="840"/>
        <item m="1" x="895"/>
        <item m="1" x="947"/>
        <item m="1" x="1005"/>
        <item m="1" x="1149"/>
        <item m="1" x="180"/>
        <item m="1" x="843"/>
        <item m="1" x="897"/>
        <item m="1" x="949"/>
        <item m="1" x="253"/>
        <item m="1" x="317"/>
        <item m="1" x="606"/>
        <item m="1" x="844"/>
        <item m="1" x="950"/>
        <item m="1" x="1008"/>
        <item m="1" x="1153"/>
        <item m="1" x="183"/>
        <item m="1" x="847"/>
        <item m="1" x="901"/>
        <item m="1" x="952"/>
        <item m="1" x="1058"/>
        <item m="1" x="312"/>
        <item m="1" x="956"/>
        <item m="1" x="1014"/>
        <item m="1" x="190"/>
        <item m="1" x="250"/>
        <item m="1" x="314"/>
        <item m="1" x="452"/>
        <item m="1" x="1062"/>
        <item m="1" x="1108"/>
        <item m="1" x="1159"/>
        <item m="1" x="191"/>
        <item m="1" x="254"/>
        <item m="1" x="538"/>
        <item m="1" x="704"/>
        <item m="1" x="781"/>
        <item m="1" x="444"/>
        <item m="1" x="524"/>
        <item m="1" x="607"/>
        <item m="1" x="1155"/>
        <item m="1" x="188"/>
        <item m="1" x="786"/>
        <item m="1" x="187"/>
        <item m="1" x="315"/>
        <item m="1" x="959"/>
        <item m="1" x="1059"/>
        <item m="1" x="249"/>
        <item m="1" x="448"/>
        <item m="1" x="530"/>
        <item m="1" x="612"/>
        <item m="1" x="1158"/>
        <item m="1" x="316"/>
        <item m="1" x="383"/>
        <item m="1" x="318"/>
        <item m="1" x="966"/>
        <item m="1" x="1066"/>
        <item m="1" x="194"/>
        <item m="1" x="321"/>
        <item m="1" x="385"/>
        <item m="1" x="459"/>
        <item m="1" x="544"/>
        <item m="1" x="626"/>
        <item m="1" x="1169"/>
        <item m="1" x="203"/>
        <item m="1" x="398"/>
        <item m="1" x="466"/>
        <item m="1" x="550"/>
        <item m="1" x="633"/>
        <item m="1" x="713"/>
        <item m="1" x="791"/>
        <item m="1" x="779"/>
        <item m="1" x="257"/>
        <item m="1" x="322"/>
        <item m="1" x="386"/>
        <item m="1" x="455"/>
        <item m="1" x="541"/>
        <item m="1" x="621"/>
        <item m="1" x="705"/>
        <item m="1" x="782"/>
        <item m="1" x="845"/>
        <item m="1" x="898"/>
        <item m="1" x="391"/>
        <item m="1" x="460"/>
        <item m="1" x="545"/>
        <item m="1" x="627"/>
        <item m="1" x="708"/>
        <item m="1" x="787"/>
        <item m="1" x="848"/>
        <item m="1" x="902"/>
        <item m="1" x="953"/>
        <item m="1" x="1010"/>
        <item m="1" x="552"/>
        <item m="1" x="635"/>
        <item m="1" x="792"/>
        <item m="1" x="851"/>
        <item m="1" x="904"/>
        <item m="1" x="957"/>
        <item m="1" x="1015"/>
        <item m="1" x="1061"/>
        <item m="1" x="795"/>
        <item m="1" x="265"/>
        <item m="1" x="551"/>
        <item m="1" x="634"/>
        <item m="1" x="1175"/>
        <item m="1" x="210"/>
        <item m="1" x="270"/>
        <item m="1" x="336"/>
        <item m="1" x="405"/>
        <item m="1" x="472"/>
        <item m="1" x="559"/>
        <item m="1" x="645"/>
        <item m="1" x="719"/>
        <item m="1" x="794"/>
        <item m="1" x="1063"/>
        <item m="1" x="1110"/>
        <item m="1" x="1160"/>
        <item m="1" x="192"/>
        <item m="1" x="319"/>
        <item m="1" x="384"/>
        <item m="1" x="453"/>
        <item m="1" x="539"/>
        <item m="1" x="1163"/>
        <item m="1" x="195"/>
        <item m="1" x="258"/>
        <item m="1" x="323"/>
        <item m="1" x="387"/>
        <item m="1" x="456"/>
        <item m="1" x="622"/>
        <item m="1" x="706"/>
        <item m="1" x="783"/>
        <item m="1" x="261"/>
        <item m="1" x="327"/>
        <item m="1" x="392"/>
        <item m="1" x="461"/>
        <item m="1" x="546"/>
        <item m="1" x="628"/>
        <item m="1" x="709"/>
        <item m="1" x="788"/>
        <item m="1" x="849"/>
        <item m="1" x="903"/>
        <item m="1" x="400"/>
        <item m="1" x="467"/>
        <item m="1" x="553"/>
        <item m="1" x="636"/>
        <item m="1" x="714"/>
        <item m="1" x="560"/>
        <item m="1" x="646"/>
        <item m="1" x="720"/>
        <item m="1" x="796"/>
        <item m="1" x="852"/>
        <item m="1" x="905"/>
        <item m="1" x="960"/>
        <item m="1" x="1109"/>
        <item m="1" x="724"/>
        <item m="1" x="799"/>
        <item m="1" x="803"/>
        <item m="1" x="916"/>
        <item m="1" x="972"/>
        <item m="1" x="1024"/>
        <item m="1" x="658"/>
        <item m="1" x="1034"/>
        <item m="1" x="1181"/>
        <item m="1" x="214"/>
        <item m="1" x="275"/>
        <item m="1" x="1185"/>
        <item m="1" x="216"/>
        <item m="1" x="490"/>
        <item m="1" x="576"/>
        <item m="1" x="657"/>
        <item m="1" x="732"/>
        <item m="1" x="1027"/>
        <item m="1" x="1074"/>
        <item m="1" x="1120"/>
        <item m="1" x="1170"/>
        <item m="1" x="205"/>
        <item m="1" x="267"/>
        <item m="1" x="332"/>
        <item m="1" x="401"/>
        <item m="1" x="468"/>
        <item m="1" x="555"/>
        <item m="1" x="1123"/>
        <item m="1" x="1176"/>
        <item m="1" x="211"/>
        <item m="1" x="271"/>
        <item m="1" x="337"/>
        <item m="1" x="406"/>
        <item m="1" x="474"/>
        <item m="1" x="562"/>
        <item m="1" x="648"/>
        <item m="1" x="1073"/>
        <item m="1" x="663"/>
        <item m="1" x="737"/>
        <item m="1" x="923"/>
        <item m="1" x="1182"/>
        <item m="1" x="346"/>
        <item m="1" x="412"/>
        <item m="1" x="1088"/>
        <item m="1" x="276"/>
        <item m="1" x="342"/>
        <item m="1" x="409"/>
        <item m="1" x="479"/>
        <item m="1" x="567"/>
        <item m="1" x="651"/>
        <item m="1" x="726"/>
        <item m="1" x="217"/>
        <item m="1" x="279"/>
        <item m="1" x="347"/>
        <item m="1" x="413"/>
        <item m="1" x="486"/>
        <item m="1" x="571"/>
        <item m="1" x="654"/>
        <item m="1" x="1140"/>
        <item m="1" x="169"/>
        <item m="1" x="228"/>
        <item m="1" x="289"/>
        <item m="1" x="353"/>
        <item m="1" x="422"/>
        <item m="1" x="498"/>
        <item m="1" x="174"/>
        <item m="1" x="673"/>
        <item m="1" x="749"/>
        <item m="1" x="1039"/>
        <item m="1" x="1132"/>
        <item m="1" x="1186"/>
        <item m="1" x="218"/>
        <item m="1" x="280"/>
        <item m="1" x="487"/>
        <item m="1" x="572"/>
        <item m="1" x="416"/>
        <item m="1" x="577"/>
        <item m="1" x="659"/>
        <item m="1" x="284"/>
        <item m="1" x="492"/>
        <item m="1" x="579"/>
        <item m="1" x="664"/>
        <item m="1" x="588"/>
        <item m="1" x="750"/>
        <item m="1" x="820"/>
        <item m="1" x="927"/>
        <item m="1" x="983"/>
        <item m="1" x="1038"/>
        <item m="1" x="1085"/>
        <item m="1" x="679"/>
        <item m="1" x="759"/>
        <item m="1" x="826"/>
        <item m="1" x="814"/>
        <item m="1" x="871"/>
        <item m="1" x="589"/>
        <item m="1" x="674"/>
        <item m="1" x="751"/>
        <item m="1" x="821"/>
        <item m="1" x="875"/>
        <item m="1" x="928"/>
        <item m="1" x="984"/>
        <item m="1" x="600"/>
        <item m="1" x="680"/>
        <item m="1" x="760"/>
        <item m="1" x="290"/>
        <item m="1" x="1000"/>
        <item m="1" x="234"/>
        <item m="1" x="686"/>
        <item m="1" x="765"/>
        <item m="1" x="1045"/>
        <item m="1" x="1093"/>
        <item m="1" x="1137"/>
        <item m="1" x="167"/>
        <item m="1" x="224"/>
        <item m="1" x="350"/>
        <item m="1" x="418"/>
        <item m="1" x="493"/>
        <item m="1" x="580"/>
        <item m="1" x="1141"/>
        <item m="1" x="171"/>
        <item m="1" x="230"/>
        <item m="1" x="292"/>
        <item m="1" x="355"/>
        <item m="1" x="423"/>
        <item m="1" x="499"/>
        <item m="1" x="584"/>
        <item m="1" x="669"/>
        <item m="1" x="743"/>
        <item m="1" x="235"/>
        <item m="1" x="298"/>
        <item m="1" x="359"/>
        <item m="1" x="429"/>
        <item m="1" x="506"/>
        <item m="1" x="590"/>
        <item m="1" x="675"/>
        <item m="1" x="752"/>
        <item m="1" x="170"/>
        <item m="1" x="945"/>
        <item m="1" x="1013"/>
        <item m="1" x="558"/>
        <item m="1" x="642"/>
        <item m="1" x="717"/>
        <item m="1" x="722"/>
        <item m="1" x="963"/>
        <item m="1" x="1017"/>
        <item m="1" x="1064"/>
        <item m="1" x="1112"/>
        <item m="1" x="1162"/>
        <item m="1" x="193"/>
        <item m="1" x="912"/>
        <item m="1" x="969"/>
        <item m="1" x="454"/>
        <item m="1" x="620"/>
        <item m="1" x="1164"/>
        <item m="1" x="196"/>
        <item m="1" x="259"/>
        <item m="1" x="325"/>
        <item m="1" x="630"/>
        <item m="1" x="711"/>
        <item m="1" x="854"/>
        <item m="1" x="907"/>
        <item m="1" x="964"/>
        <item m="1" x="1018"/>
        <item m="1" x="1065"/>
        <item m="1" x="1113"/>
        <item m="1" x="729"/>
        <item m="1" x="801"/>
        <item m="1" x="859"/>
        <item m="1" x="913"/>
        <item m="1" x="1121"/>
        <item m="1" x="273"/>
        <item m="1" x="340"/>
        <item m="1" x="564"/>
        <item m="1" x="649"/>
        <item m="1" x="480"/>
        <item m="1" x="568"/>
        <item m="1" x="652"/>
        <item m="1" x="727"/>
        <item m="1" x="1070"/>
        <item m="1" x="1116"/>
        <item m="1" x="1165"/>
        <item m="1" x="197"/>
        <item m="1" x="260"/>
        <item m="1" x="326"/>
        <item m="1" x="390"/>
        <item m="1" x="458"/>
        <item m="1" x="543"/>
        <item m="1" x="625"/>
        <item m="1" x="1168"/>
        <item m="1" x="201"/>
        <item m="1" x="263"/>
        <item m="1" x="330"/>
        <item m="1" x="396"/>
        <item m="1" x="464"/>
        <item m="1" x="548"/>
        <item m="1" x="631"/>
        <item m="1" x="712"/>
        <item m="1" x="790"/>
        <item m="1" x="268"/>
        <item m="1" x="335"/>
        <item m="1" x="404"/>
        <item m="1" x="471"/>
        <item m="1" x="643"/>
        <item m="1" x="718"/>
        <item x="69"/>
        <item m="1" x="478"/>
        <item m="1" x="565"/>
        <item m="1" x="650"/>
        <item m="1" x="723"/>
        <item m="1" x="798"/>
        <item m="1" x="855"/>
        <item m="1" x="908"/>
        <item m="1" x="965"/>
        <item m="1" x="1019"/>
        <item m="1" x="569"/>
        <item m="1" x="653"/>
        <item m="1" x="860"/>
        <item m="1" x="914"/>
        <item m="1" x="970"/>
        <item m="1" x="1022"/>
        <item m="1" x="1069"/>
        <item m="1" x="1115"/>
        <item m="1" x="731"/>
        <item m="1" x="805"/>
        <item m="1" x="917"/>
        <item m="1" x="1026"/>
        <item m="1" x="1119"/>
        <item m="1" x="199"/>
        <item m="1" x="865"/>
        <item m="1" x="208"/>
        <item x="70"/>
        <item m="1" x="334"/>
        <item m="1" x="977"/>
        <item m="1" x="1031"/>
        <item m="1" x="1125"/>
        <item m="1" x="1179"/>
        <item m="1" x="213"/>
        <item m="1" x="341"/>
        <item m="1" x="476"/>
        <item m="1" x="1082"/>
        <item m="1" x="1129"/>
        <item m="1" x="277"/>
        <item m="1" x="343"/>
        <item m="1" x="481"/>
        <item m="1" x="414"/>
        <item m="1" x="488"/>
        <item m="1" x="573"/>
        <item m="1" x="202"/>
        <item m="1" x="264"/>
        <item m="1" x="397"/>
        <item m="1" x="465"/>
        <item m="1" x="549"/>
        <item m="1" x="632"/>
        <item m="1" x="1174"/>
        <item m="1" x="209"/>
        <item m="1" x="269"/>
        <item m="1" x="644"/>
        <item m="1" x="856"/>
        <item m="1" x="909"/>
        <item m="1" x="1122"/>
        <item m="1" x="482"/>
        <item m="1" x="1086"/>
        <item m="1" x="1133"/>
        <item m="1" x="161"/>
        <item m="1" x="219"/>
        <item m="1" x="282"/>
        <item m="1" x="348"/>
        <item m="1" x="491"/>
        <item m="1" x="578"/>
        <item m="1" x="660"/>
        <item m="1" x="733"/>
        <item m="1" x="738"/>
        <item m="1" x="810"/>
        <item m="1" x="868"/>
        <item m="1" x="921"/>
        <item m="1" x="978"/>
        <item m="1" x="1032"/>
        <item m="1" x="1080"/>
        <item m="1" x="1126"/>
        <item m="1" x="924"/>
        <item m="1" x="980"/>
        <item m="1" x="1036"/>
        <item m="1" x="1083"/>
        <item m="1" x="1130"/>
        <item m="1" x="1184"/>
        <item m="1" x="215"/>
        <item m="1" x="278"/>
        <item m="1" x="344"/>
        <item m="1" x="986"/>
        <item m="1" x="1040"/>
        <item m="1" x="1087"/>
        <item m="1" x="1134"/>
        <item m="1" x="232"/>
        <item m="1" x="294"/>
        <item x="71"/>
        <item x="72"/>
        <item m="1" x="816"/>
        <item x="73"/>
        <item x="74"/>
        <item m="1" x="345"/>
        <item m="1" x="411"/>
        <item m="1" x="484"/>
        <item m="1" x="570"/>
        <item m="1" x="925"/>
        <item m="1" x="981"/>
        <item m="1" x="1037"/>
        <item m="1" x="1084"/>
        <item m="1" x="1131"/>
        <item m="1" x="754"/>
        <item m="1" x="823"/>
        <item m="1" x="930"/>
        <item m="1" x="987"/>
        <item m="1" x="162"/>
        <item m="1" x="220"/>
        <item m="1" x="881"/>
        <item m="1" x="992"/>
        <item m="1" x="1091"/>
        <item x="75"/>
        <item x="76"/>
        <item x="77"/>
        <item x="78"/>
        <item m="1" x="237"/>
        <item m="1" x="300"/>
        <item m="1" x="824"/>
        <item m="1" x="877"/>
        <item m="1" x="165"/>
        <item m="1" x="223"/>
        <item m="1" x="226"/>
        <item m="1" x="286"/>
        <item m="1" x="351"/>
        <item m="1" x="420"/>
        <item m="1" x="495"/>
        <item m="1" x="581"/>
        <item m="1" x="665"/>
        <item m="1" x="739"/>
        <item m="1" x="811"/>
        <item m="1" x="295"/>
        <item m="1" x="356"/>
        <item m="1" x="425"/>
        <item m="1" x="501"/>
        <item m="1" x="585"/>
        <item m="1" x="670"/>
        <item m="1" x="745"/>
        <item m="1" x="817"/>
        <item m="1" x="873"/>
        <item m="1" x="306"/>
        <item m="1" x="370"/>
        <item m="1" x="437"/>
        <item m="1" x="516"/>
        <item m="1" x="666"/>
        <item m="1" x="172"/>
        <item m="1" x="296"/>
        <item m="1" x="502"/>
        <item m="1" x="671"/>
        <item m="1" x="746"/>
        <item m="1" x="593"/>
        <item m="1" x="755"/>
        <item m="1" x="931"/>
        <item m="1" x="439"/>
        <item m="1" x="518"/>
        <item m="1" x="602"/>
        <item m="1" x="683"/>
        <item m="1" x="935"/>
        <item m="1" x="942"/>
        <item m="1" x="1002"/>
        <item m="1" x="1049"/>
        <item m="1" x="1100"/>
        <item m="1" x="1145"/>
        <item m="1" x="176"/>
        <item m="1" x="238"/>
        <item m="1" x="301"/>
        <item m="1" x="363"/>
        <item m="1" x="1006"/>
        <item m="1" x="1052"/>
        <item m="1" x="1102"/>
        <item m="1" x="1151"/>
        <item m="1" x="181"/>
        <item m="1" x="243"/>
        <item m="1" x="307"/>
        <item m="1" x="371"/>
        <item m="1" x="438"/>
        <item m="1" x="517"/>
        <item m="1" x="1104"/>
        <item m="1" x="184"/>
        <item m="1" x="247"/>
        <item m="1" x="311"/>
        <item m="1" x="376"/>
        <item m="1" x="445"/>
        <item m="1" x="525"/>
        <item m="1" x="608"/>
        <item m="1" x="690"/>
        <item m="1" x="833"/>
        <item m="1" x="379"/>
        <item m="1" x="447"/>
        <item m="1" x="527"/>
        <item m="1" x="610"/>
        <item m="1" x="694"/>
        <item m="1" x="771"/>
        <item m="1" x="832"/>
        <item m="1" x="887"/>
        <item m="1" x="382"/>
        <item m="1" x="451"/>
        <item m="1" x="533"/>
        <item m="1" x="614"/>
        <item m="1" x="696"/>
        <item m="1" x="773"/>
        <item m="1" x="835"/>
        <item m="1" x="891"/>
        <item m="1" x="940"/>
        <item m="1" x="999"/>
        <item m="1" x="537"/>
        <item m="1" x="617"/>
        <item m="1" x="700"/>
        <item m="1" x="778"/>
        <item m="1" x="838"/>
        <item m="1" x="893"/>
        <item m="1" x="944"/>
        <item m="1" x="1003"/>
        <item m="1" x="186"/>
        <item m="1" x="955"/>
        <item m="1" x="1012"/>
        <item m="1" x="1060"/>
        <item m="1" x="1105"/>
        <item m="1" x="1156"/>
        <item m="1" x="189"/>
        <item m="1" x="1111"/>
        <item m="1" x="1161"/>
        <item m="1" x="248"/>
        <item m="1" x="615"/>
        <item m="1" x="697"/>
        <item m="1" x="774"/>
        <item m="1" x="251"/>
        <item m="1" x="701"/>
        <item m="1" x="388"/>
        <item m="1" x="1157"/>
        <item m="1" x="198"/>
        <item m="1" x="393"/>
        <item m="1" x="462"/>
        <item m="1" x="1172"/>
        <item m="1" x="333"/>
        <item m="1" x="402"/>
        <item m="1" x="640"/>
        <item m="1" x="716"/>
        <item m="1" x="1107"/>
        <item m="1" x="252"/>
        <item m="1" x="618"/>
        <item m="1" x="256"/>
        <item m="1" x="1068"/>
        <item m="1" x="324"/>
        <item m="1" x="968"/>
        <item m="1" x="1021"/>
        <item m="1" x="469"/>
        <item m="1" x="1078"/>
        <item m="1" x="339"/>
        <item m="1" x="407"/>
        <item m="1" x="475"/>
        <item m="1" x="563"/>
        <item m="1" x="1167"/>
        <item m="1" x="200"/>
        <item m="1" x="262"/>
        <item m="1" x="329"/>
        <item m="1" x="395"/>
        <item m="1" x="403"/>
        <item m="1" x="470"/>
        <item m="1" x="557"/>
        <item m="1" x="641"/>
        <item m="1" x="793"/>
        <item m="1" x="274"/>
        <item m="1" x="408"/>
        <item m="1" x="858"/>
        <item m="1" x="973"/>
        <item m="1" x="1025"/>
        <item m="1" x="1072"/>
        <item m="1" x="1118"/>
        <item m="1" x="734"/>
        <item m="1" x="806"/>
        <item m="1" x="864"/>
        <item m="1" x="918"/>
        <item m="1" x="975"/>
        <item m="1" x="1028"/>
        <item m="1" x="1075"/>
        <item m="1" x="1173"/>
        <item m="1" x="207"/>
        <item m="1" x="920"/>
        <item m="1" x="976"/>
        <item m="1" x="1030"/>
        <item m="1" x="1079"/>
        <item m="1" x="1124"/>
        <item m="1" x="1178"/>
        <item m="1" x="410"/>
        <item m="1" x="483"/>
        <item m="1" x="728"/>
        <item m="1" x="911"/>
        <item m="1" x="574"/>
        <item m="1" x="655"/>
        <item m="1" x="804"/>
        <item m="1" x="661"/>
        <item m="1" x="735"/>
        <item m="1" x="807"/>
        <item m="1" x="919"/>
        <item m="1" x="1035"/>
        <item m="1" x="1128"/>
        <item m="1" x="1183"/>
        <item m="1" x="281"/>
        <item m="1" x="991"/>
        <item m="1" x="1043"/>
        <item m="1" x="1090"/>
        <item m="1" x="1135"/>
        <item m="1" x="164"/>
        <item m="1" x="222"/>
        <item m="1" x="971"/>
        <item m="1" x="997"/>
        <item m="1" x="1023"/>
        <item m="1" x="1047"/>
        <item m="1" x="1094"/>
        <item m="1" x="1138"/>
        <item m="1" x="225"/>
        <item m="1" x="285"/>
        <item m="1" x="668"/>
        <item m="1" x="741"/>
        <item m="1" x="357"/>
        <item m="1" x="426"/>
        <item m="1" x="503"/>
        <item m="1" x="586"/>
        <item m="1" x="672"/>
        <item m="1" x="747"/>
        <item m="1" x="819"/>
        <item m="1" x="874"/>
        <item m="1" x="926"/>
        <item m="1" x="982"/>
        <item m="1" x="510"/>
        <item m="1" x="595"/>
        <item m="1" x="287"/>
        <item m="1" x="938"/>
        <item m="1" x="364"/>
        <item m="1" x="509"/>
        <item m="1" x="594"/>
        <item m="1" x="372"/>
        <item m="1" x="440"/>
        <item m="1" x="519"/>
        <item m="1" x="365"/>
        <item m="1" x="432"/>
        <item m="1" x="511"/>
        <item m="1" x="596"/>
        <item m="1" x="677"/>
        <item m="1" x="756"/>
        <item m="1" x="825"/>
        <item m="1" x="878"/>
        <item m="1" x="932"/>
        <item m="1" x="988"/>
        <item m="1" x="521"/>
        <item m="1" x="603"/>
        <item m="1" x="684"/>
        <item m="1" x="763"/>
        <item m="1" x="829"/>
        <item m="1" x="884"/>
        <item m="1" x="1046"/>
        <item m="1" x="431"/>
        <item m="1" x="1053"/>
        <item m="1" x="520"/>
        <item m="1" x="1154"/>
        <item m="1" x="185"/>
        <item m="1" x="377"/>
        <item m="1" x="691"/>
        <item m="1" x="768"/>
        <item m="1" x="1095"/>
        <item m="1" x="1139"/>
        <item m="1" x="168"/>
        <item m="1" x="227"/>
        <item m="1" x="288"/>
        <item m="1" x="352"/>
        <item m="1" x="497"/>
        <item m="1" x="583"/>
        <item m="1" x="1143"/>
        <item m="1" x="173"/>
        <item m="1" x="233"/>
        <item m="1" x="748"/>
        <item m="1" x="302"/>
        <item m="1" x="366"/>
        <item m="1" x="433"/>
        <item m="1" x="512"/>
        <item m="1" x="597"/>
        <item m="1" x="449"/>
        <item m="1" x="297"/>
        <item m="1" x="358"/>
        <item m="1" x="427"/>
        <item m="1" x="504"/>
        <item m="1" x="1146"/>
        <item m="1" x="177"/>
        <item m="1" x="239"/>
        <item m="1" x="367"/>
        <item m="1" x="434"/>
        <item m="1" x="513"/>
        <item m="1" x="598"/>
        <item m="1" x="678"/>
        <item m="1" x="757"/>
        <item m="1" x="244"/>
        <item m="1" x="308"/>
        <item m="1" x="373"/>
        <item m="1" x="441"/>
        <item m="1" x="522"/>
        <item m="1" x="604"/>
        <item m="1" x="685"/>
        <item m="1" x="764"/>
        <item m="1" x="882"/>
        <item m="1" x="378"/>
        <item m="1" x="446"/>
        <item m="1" x="526"/>
        <item m="1" x="609"/>
        <item m="1" x="692"/>
        <item m="1" x="769"/>
        <item m="1" x="885"/>
        <item m="1" x="995"/>
        <item m="1" x="531"/>
        <item m="1" x="313"/>
        <item m="1" x="693"/>
        <item m="1" x="770"/>
        <item m="1" x="886"/>
        <item m="1" x="381"/>
        <item m="1" x="450"/>
        <item m="1" x="532"/>
        <item m="1" x="613"/>
        <item m="1" x="695"/>
        <item m="1" x="772"/>
        <item m="1" x="834"/>
        <item m="1" x="890"/>
        <item m="1" x="939"/>
        <item m="1" x="998"/>
        <item m="1" x="535"/>
        <item m="1" x="616"/>
        <item m="1" x="699"/>
        <item m="1" x="837"/>
        <item m="1" x="943"/>
        <item m="1" x="1050"/>
        <item m="1" x="542"/>
        <item m="1" x="623"/>
        <item m="1" x="707"/>
        <item m="1" x="784"/>
        <item m="1" x="1056"/>
        <item m="1" x="702"/>
        <item m="1" x="841"/>
        <item m="1" x="846"/>
        <item m="1" x="1055"/>
        <item m="1" x="777"/>
        <item m="1" x="255"/>
        <item m="1" x="320"/>
        <item x="8"/>
        <item x="9"/>
        <item m="1" x="540"/>
        <item m="1" x="619"/>
        <item m="1" x="703"/>
        <item m="1" x="780"/>
        <item m="1" x="842"/>
        <item m="1" x="896"/>
        <item m="1" x="389"/>
        <item m="1" x="457"/>
        <item x="10"/>
        <item m="1" x="624"/>
        <item x="11"/>
        <item m="1" x="785"/>
        <item x="12"/>
        <item m="1" x="899"/>
        <item m="1" x="951"/>
        <item m="1" x="1009"/>
        <item x="13"/>
        <item m="1" x="629"/>
        <item m="1" x="710"/>
        <item m="1" x="789"/>
        <item m="1" x="850"/>
        <item m="1" x="962"/>
        <item x="5"/>
        <item x="6"/>
        <item m="1" x="536"/>
        <item m="1" x="900"/>
        <item m="1" x="394"/>
        <item m="1" x="463"/>
        <item m="1" x="547"/>
        <item m="1" x="556"/>
        <item m="1" x="639"/>
        <item m="1" x="1177"/>
        <item m="1" x="212"/>
        <item m="1" x="272"/>
        <item m="1" x="338"/>
        <item x="0"/>
        <item x="1"/>
        <item x="2"/>
        <item x="3"/>
        <item m="1" x="328"/>
        <item m="1" x="974"/>
        <item m="1" x="1171"/>
        <item m="1" x="206"/>
        <item m="1" x="485"/>
        <item x="31"/>
        <item x="28"/>
        <item x="29"/>
        <item x="32"/>
        <item x="95"/>
        <item m="1" x="808"/>
        <item m="1" x="866"/>
        <item x="33"/>
        <item x="96"/>
        <item m="1" x="1029"/>
        <item m="1" x="1076"/>
        <item x="21"/>
        <item x="22"/>
        <item x="23"/>
        <item x="24"/>
        <item x="25"/>
        <item x="26"/>
        <item x="43"/>
        <item x="48"/>
        <item x="49"/>
        <item m="1" x="818"/>
        <item x="45"/>
        <item x="46"/>
        <item x="47"/>
        <item x="37"/>
        <item x="42"/>
        <item x="35"/>
        <item x="36"/>
        <item x="38"/>
        <item x="39"/>
        <item x="40"/>
        <item x="41"/>
        <item m="1" x="166"/>
        <item x="34"/>
        <item x="82"/>
        <item x="94"/>
        <item x="85"/>
        <item x="50"/>
        <item x="51"/>
        <item x="52"/>
        <item x="83"/>
        <item x="84"/>
        <item x="53"/>
        <item x="54"/>
        <item x="55"/>
        <item x="56"/>
        <item x="57"/>
        <item x="14"/>
        <item x="17"/>
        <item x="16"/>
        <item x="18"/>
        <item x="15"/>
        <item x="19"/>
        <item x="20"/>
        <item x="27"/>
        <item x="30"/>
        <item x="44"/>
        <item m="1" x="421"/>
        <item m="1" x="496"/>
        <item m="1" x="582"/>
        <item m="1" x="667"/>
        <item m="1" x="740"/>
        <item m="1" x="812"/>
        <item m="1" x="869"/>
        <item m="1" x="922"/>
        <item m="1" x="979"/>
        <item x="59"/>
        <item x="60"/>
        <item x="61"/>
        <item x="62"/>
        <item x="63"/>
        <item x="64"/>
        <item x="91"/>
        <item x="92"/>
        <item x="79"/>
        <item x="80"/>
        <item x="66"/>
        <item x="67"/>
        <item x="58"/>
        <item x="65"/>
        <item x="86"/>
        <item x="81"/>
        <item x="93"/>
        <item x="87"/>
        <item x="88"/>
        <item x="89"/>
        <item x="90"/>
        <item x="7"/>
        <item x="160"/>
        <item x="97"/>
        <item x="98"/>
        <item x="100"/>
        <item x="101"/>
        <item x="102"/>
        <item x="103"/>
        <item x="104"/>
        <item x="105"/>
        <item x="110"/>
        <item x="115"/>
        <item x="113"/>
        <item x="109"/>
        <item x="114"/>
        <item x="118"/>
        <item x="106"/>
        <item x="107"/>
        <item x="108"/>
        <item x="111"/>
        <item x="112"/>
        <item x="99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m="1" x="477"/>
        <item x="148"/>
        <item x="150"/>
        <item x="152"/>
        <item x="142"/>
        <item x="144"/>
        <item x="145"/>
        <item x="147"/>
        <item x="149"/>
        <item x="151"/>
        <item x="153"/>
        <item x="154"/>
        <item x="155"/>
        <item x="146"/>
        <item x="156"/>
        <item x="157"/>
        <item x="158"/>
        <item x="1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0">
        <item m="1" x="253"/>
        <item m="1" x="221"/>
        <item m="1" x="192"/>
        <item x="78"/>
        <item x="79"/>
        <item m="1" x="209"/>
        <item m="1" x="450"/>
        <item m="1" x="316"/>
        <item m="1" x="176"/>
        <item m="1" x="387"/>
        <item x="30"/>
        <item x="31"/>
        <item x="32"/>
        <item m="1" x="352"/>
        <item m="1" x="240"/>
        <item m="1" x="200"/>
        <item m="1" x="268"/>
        <item m="1" x="478"/>
        <item x="118"/>
        <item m="1" x="210"/>
        <item m="1" x="417"/>
        <item m="1" x="431"/>
        <item x="110"/>
        <item x="111"/>
        <item m="1" x="368"/>
        <item m="1" x="353"/>
        <item m="1" x="217"/>
        <item m="1" x="423"/>
        <item m="1" x="288"/>
        <item m="1" x="256"/>
        <item m="1" x="289"/>
        <item m="1" x="151"/>
        <item m="1" x="359"/>
        <item m="1" x="265"/>
        <item m="1" x="473"/>
        <item m="1" x="247"/>
        <item m="1" x="459"/>
        <item m="1" x="275"/>
        <item m="1" x="332"/>
        <item m="1" x="193"/>
        <item m="1" x="398"/>
        <item x="62"/>
        <item x="63"/>
        <item x="64"/>
        <item x="24"/>
        <item x="25"/>
        <item x="26"/>
        <item m="1" x="241"/>
        <item m="1" x="201"/>
        <item x="80"/>
        <item x="81"/>
        <item m="1" x="222"/>
        <item m="1" x="460"/>
        <item m="1" x="326"/>
        <item m="1" x="184"/>
        <item m="1" x="392"/>
        <item x="33"/>
        <item x="34"/>
        <item x="35"/>
        <item m="1" x="360"/>
        <item m="1" x="248"/>
        <item m="1" x="218"/>
        <item m="1" x="283"/>
        <item m="1" x="150"/>
        <item x="119"/>
        <item m="1" x="223"/>
        <item m="1" x="224"/>
        <item m="1" x="442"/>
        <item x="112"/>
        <item x="113"/>
        <item m="1" x="379"/>
        <item m="1" x="361"/>
        <item m="1" x="230"/>
        <item m="1" x="436"/>
        <item m="1" x="301"/>
        <item m="1" x="266"/>
        <item m="1" x="302"/>
        <item m="1" x="164"/>
        <item m="1" x="375"/>
        <item m="1" x="276"/>
        <item m="1" x="483"/>
        <item m="1" x="257"/>
        <item m="1" x="464"/>
        <item m="1" x="152"/>
        <item m="1" x="341"/>
        <item m="1" x="202"/>
        <item m="1" x="409"/>
        <item x="65"/>
        <item x="66"/>
        <item x="67"/>
        <item x="27"/>
        <item x="28"/>
        <item x="29"/>
        <item m="1" x="249"/>
        <item x="72"/>
        <item x="74"/>
        <item x="73"/>
        <item x="75"/>
        <item x="77"/>
        <item x="95"/>
        <item x="96"/>
        <item x="97"/>
        <item x="98"/>
        <item x="6"/>
        <item x="99"/>
        <item x="100"/>
        <item x="145"/>
        <item x="146"/>
        <item m="1" x="453"/>
        <item x="7"/>
        <item m="1" x="376"/>
        <item x="82"/>
        <item x="83"/>
        <item m="1" x="194"/>
        <item m="1" x="303"/>
        <item x="84"/>
        <item m="1" x="401"/>
        <item x="87"/>
        <item x="89"/>
        <item x="90"/>
        <item m="1" x="321"/>
        <item x="147"/>
        <item x="148"/>
        <item m="1" x="158"/>
        <item m="1" x="254"/>
        <item m="1" x="462"/>
        <item m="1" x="330"/>
        <item m="1" x="190"/>
        <item x="141"/>
        <item x="142"/>
        <item x="143"/>
        <item x="144"/>
        <item m="1" x="484"/>
        <item x="101"/>
        <item x="102"/>
        <item x="8"/>
        <item m="1" x="399"/>
        <item m="1" x="463"/>
        <item x="50"/>
        <item m="1" x="465"/>
        <item x="51"/>
        <item m="1" x="178"/>
        <item m="1" x="179"/>
        <item m="1" x="377"/>
        <item m="1" x="393"/>
        <item x="88"/>
        <item x="91"/>
        <item m="1" x="322"/>
        <item m="1" x="180"/>
        <item m="1" x="255"/>
        <item m="1" x="485"/>
        <item m="1" x="153"/>
        <item m="1" x="362"/>
        <item x="85"/>
        <item x="86"/>
        <item m="1" x="159"/>
        <item m="1" x="369"/>
        <item m="1" x="363"/>
        <item m="1" x="231"/>
        <item m="1" x="437"/>
        <item m="1" x="466"/>
        <item m="1" x="304"/>
        <item m="1" x="165"/>
        <item m="1" x="242"/>
        <item m="1" x="451"/>
        <item x="103"/>
        <item x="104"/>
        <item m="1" x="235"/>
        <item m="1" x="461"/>
        <item x="36"/>
        <item m="1" x="203"/>
        <item x="71"/>
        <item m="1" x="410"/>
        <item m="1" x="258"/>
        <item m="1" x="443"/>
        <item x="37"/>
        <item m="1" x="347"/>
        <item m="1" x="382"/>
        <item m="1" x="245"/>
        <item m="1" x="454"/>
        <item m="1" x="211"/>
        <item m="1" x="418"/>
        <item m="1" x="284"/>
        <item x="76"/>
        <item m="1" x="295"/>
        <item m="1" x="342"/>
        <item m="1" x="204"/>
        <item m="1" x="411"/>
        <item m="1" x="269"/>
        <item m="1" x="348"/>
        <item m="1" x="212"/>
        <item m="1" x="285"/>
        <item m="1" x="370"/>
        <item m="1" x="171"/>
        <item m="1" x="267"/>
        <item m="1" x="239"/>
        <item m="1" x="402"/>
        <item m="1" x="327"/>
        <item m="1" x="394"/>
        <item m="1" x="166"/>
        <item m="1" x="312"/>
        <item m="1" x="470"/>
        <item m="1" x="403"/>
        <item m="1" x="154"/>
        <item m="1" x="167"/>
        <item m="1" x="196"/>
        <item m="1" x="364"/>
        <item m="1" x="313"/>
        <item m="1" x="446"/>
        <item m="1" x="314"/>
        <item m="1" x="232"/>
        <item m="1" x="305"/>
        <item x="106"/>
        <item m="1" x="243"/>
        <item x="47"/>
        <item m="1" x="177"/>
        <item x="48"/>
        <item m="1" x="250"/>
        <item x="49"/>
        <item m="1" x="259"/>
        <item m="1" x="333"/>
        <item x="40"/>
        <item x="38"/>
        <item x="39"/>
        <item m="1" x="334"/>
        <item m="1" x="317"/>
        <item m="1" x="251"/>
        <item m="1" x="336"/>
        <item m="1" x="479"/>
        <item m="1" x="349"/>
        <item m="1" x="213"/>
        <item x="41"/>
        <item m="1" x="356"/>
        <item m="1" x="225"/>
        <item x="42"/>
        <item m="1" x="160"/>
        <item m="1" x="432"/>
        <item x="43"/>
        <item x="44"/>
        <item m="1" x="424"/>
        <item m="1" x="290"/>
        <item m="1" x="161"/>
        <item m="1" x="400"/>
        <item m="1" x="365"/>
        <item m="1" x="277"/>
        <item m="1" x="318"/>
        <item m="1" x="185"/>
        <item m="1" x="343"/>
        <item m="1" x="412"/>
        <item m="1" x="278"/>
        <item m="1" x="486"/>
        <item m="1" x="354"/>
        <item m="1" x="355"/>
        <item m="1" x="219"/>
        <item m="1" x="425"/>
        <item m="1" x="291"/>
        <item m="1" x="366"/>
        <item m="1" x="233"/>
        <item m="1" x="438"/>
        <item m="1" x="306"/>
        <item m="1" x="168"/>
        <item m="1" x="315"/>
        <item m="1" x="383"/>
        <item m="1" x="455"/>
        <item m="1" x="396"/>
        <item m="1" x="262"/>
        <item m="1" x="169"/>
        <item m="1" x="384"/>
        <item m="1" x="474"/>
        <item m="1" x="413"/>
        <item m="1" x="404"/>
        <item m="1" x="270"/>
        <item m="1" x="350"/>
        <item m="1" x="309"/>
        <item m="1" x="174"/>
        <item m="1" x="456"/>
        <item m="1" x="323"/>
        <item m="1" x="405"/>
        <item m="1" x="271"/>
        <item m="1" x="195"/>
        <item m="1" x="186"/>
        <item m="1" x="426"/>
        <item m="1" x="357"/>
        <item m="1" x="388"/>
        <item m="1" x="279"/>
        <item m="1" x="371"/>
        <item m="1" x="260"/>
        <item m="1" x="467"/>
        <item m="1" x="226"/>
        <item m="1" x="433"/>
        <item m="1" x="296"/>
        <item m="1" x="162"/>
        <item m="1" x="372"/>
        <item m="1" x="236"/>
        <item m="1" x="444"/>
        <item m="1" x="310"/>
        <item m="1" x="261"/>
        <item m="1" x="468"/>
        <item m="1" x="335"/>
        <item m="1" x="397"/>
        <item m="1" x="263"/>
        <item m="1" x="471"/>
        <item m="1" x="181"/>
        <item m="1" x="419"/>
        <item m="1" x="439"/>
        <item m="1" x="307"/>
        <item x="11"/>
        <item x="12"/>
        <item m="1" x="445"/>
        <item m="1" x="311"/>
        <item m="1" x="172"/>
        <item m="1" x="220"/>
        <item m="1" x="427"/>
        <item m="1" x="292"/>
        <item m="1" x="328"/>
        <item m="1" x="187"/>
        <item m="1" x="395"/>
        <item x="13"/>
        <item x="14"/>
        <item x="15"/>
        <item m="1" x="351"/>
        <item x="16"/>
        <item m="1" x="191"/>
        <item x="68"/>
        <item x="107"/>
        <item x="45"/>
        <item x="114"/>
        <item x="115"/>
        <item x="46"/>
        <item x="105"/>
        <item x="108"/>
        <item x="126"/>
        <item x="127"/>
        <item m="1" x="175"/>
        <item x="116"/>
        <item m="1" x="480"/>
        <item m="1" x="214"/>
        <item m="1" x="420"/>
        <item m="1" x="286"/>
        <item m="1" x="173"/>
        <item m="1" x="272"/>
        <item x="0"/>
        <item x="1"/>
        <item x="2"/>
        <item x="3"/>
        <item m="1" x="170"/>
        <item m="1" x="358"/>
        <item m="1" x="227"/>
        <item m="1" x="434"/>
        <item m="1" x="297"/>
        <item m="1" x="163"/>
        <item m="1" x="373"/>
        <item m="1" x="252"/>
        <item m="1" x="205"/>
        <item m="1" x="414"/>
        <item m="1" x="280"/>
        <item m="1" x="380"/>
        <item m="1" x="244"/>
        <item m="1" x="452"/>
        <item m="1" x="319"/>
        <item x="9"/>
        <item x="92"/>
        <item x="93"/>
        <item x="10"/>
        <item x="94"/>
        <item m="1" x="298"/>
        <item m="1" x="406"/>
        <item m="1" x="481"/>
        <item m="1" x="215"/>
        <item m="1" x="487"/>
        <item m="1" x="237"/>
        <item m="1" x="287"/>
        <item m="1" x="281"/>
        <item m="1" x="488"/>
        <item m="1" x="381"/>
        <item m="1" x="389"/>
        <item m="1" x="475"/>
        <item m="1" x="344"/>
        <item x="117"/>
        <item m="1" x="188"/>
        <item m="1" x="428"/>
        <item m="1" x="293"/>
        <item m="1" x="155"/>
        <item m="1" x="367"/>
        <item m="1" x="407"/>
        <item m="1" x="273"/>
        <item m="1" x="206"/>
        <item m="1" x="415"/>
        <item m="1" x="234"/>
        <item m="1" x="308"/>
        <item m="1" x="197"/>
        <item x="131"/>
        <item x="132"/>
        <item m="1" x="228"/>
        <item m="1" x="435"/>
        <item m="1" x="299"/>
        <item m="1" x="429"/>
        <item m="1" x="294"/>
        <item m="1" x="156"/>
        <item m="1" x="324"/>
        <item m="1" x="182"/>
        <item m="1" x="390"/>
        <item m="1" x="216"/>
        <item m="1" x="421"/>
        <item m="1" x="476"/>
        <item m="1" x="345"/>
        <item m="1" x="378"/>
        <item m="1" x="447"/>
        <item m="1" x="264"/>
        <item m="1" x="422"/>
        <item m="1" x="282"/>
        <item m="1" x="300"/>
        <item x="109"/>
        <item m="1" x="320"/>
        <item m="1" x="198"/>
        <item x="121"/>
        <item x="69"/>
        <item x="52"/>
        <item m="1" x="337"/>
        <item m="1" x="199"/>
        <item m="1" x="408"/>
        <item m="1" x="274"/>
        <item m="1" x="482"/>
        <item x="70"/>
        <item x="61"/>
        <item m="1" x="329"/>
        <item m="1" x="457"/>
        <item m="1" x="469"/>
        <item m="1" x="477"/>
        <item x="53"/>
        <item x="54"/>
        <item m="1" x="385"/>
        <item m="1" x="246"/>
        <item m="1" x="458"/>
        <item m="1" x="325"/>
        <item m="1" x="183"/>
        <item m="1" x="391"/>
        <item m="1" x="189"/>
        <item m="1" x="440"/>
        <item m="1" x="472"/>
        <item m="1" x="338"/>
        <item m="1" x="489"/>
        <item m="1" x="386"/>
        <item m="1" x="448"/>
        <item m="1" x="157"/>
        <item x="55"/>
        <item x="56"/>
        <item x="57"/>
        <item x="58"/>
        <item x="59"/>
        <item m="1" x="346"/>
        <item m="1" x="430"/>
        <item m="1" x="416"/>
        <item x="5"/>
        <item x="4"/>
        <item m="1" x="207"/>
        <item m="1" x="449"/>
        <item m="1" x="339"/>
        <item m="1" x="238"/>
        <item m="1" x="441"/>
        <item m="1" x="331"/>
        <item m="1" x="374"/>
        <item m="1" x="208"/>
        <item m="1" x="340"/>
        <item m="1" x="229"/>
        <item x="17"/>
        <item x="20"/>
        <item x="19"/>
        <item x="21"/>
        <item x="18"/>
        <item x="22"/>
        <item x="60"/>
        <item x="23"/>
        <item x="149"/>
        <item x="120"/>
        <item x="122"/>
        <item x="130"/>
        <item x="135"/>
        <item x="123"/>
        <item x="124"/>
        <item x="125"/>
        <item x="128"/>
        <item x="129"/>
        <item x="133"/>
        <item x="134"/>
        <item x="136"/>
        <item x="137"/>
        <item x="138"/>
        <item x="139"/>
        <item x="1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1">
        <item x="42"/>
        <item x="36"/>
        <item x="37"/>
        <item x="41"/>
        <item x="7"/>
        <item m="1" x="110"/>
        <item x="40"/>
        <item x="39"/>
        <item m="1" x="67"/>
        <item m="1" x="139"/>
        <item x="34"/>
        <item m="1" x="92"/>
        <item m="1" x="102"/>
        <item x="46"/>
        <item x="35"/>
        <item m="1" x="85"/>
        <item m="1" x="100"/>
        <item m="1" x="87"/>
        <item m="1" x="143"/>
        <item x="32"/>
        <item m="1" x="128"/>
        <item m="1" x="83"/>
        <item m="1" x="76"/>
        <item m="1" x="135"/>
        <item m="1" x="68"/>
        <item m="1" x="75"/>
        <item m="1" x="148"/>
        <item x="1"/>
        <item m="1" x="91"/>
        <item m="1" x="114"/>
        <item m="1" x="103"/>
        <item m="1" x="98"/>
        <item m="1" x="138"/>
        <item m="1" x="119"/>
        <item m="1" x="126"/>
        <item m="1" x="149"/>
        <item m="1" x="106"/>
        <item m="1" x="122"/>
        <item m="1" x="89"/>
        <item x="22"/>
        <item m="1" x="90"/>
        <item m="1" x="88"/>
        <item m="1" x="101"/>
        <item m="1" x="108"/>
        <item x="23"/>
        <item x="20"/>
        <item x="43"/>
        <item m="1" x="115"/>
        <item m="1" x="81"/>
        <item m="1" x="71"/>
        <item m="1" x="66"/>
        <item m="1" x="136"/>
        <item m="1" x="127"/>
        <item m="1" x="72"/>
        <item x="18"/>
        <item m="1" x="107"/>
        <item m="1" x="80"/>
        <item m="1" x="130"/>
        <item m="1" x="116"/>
        <item m="1" x="94"/>
        <item m="1" x="73"/>
        <item m="1" x="150"/>
        <item m="1" x="133"/>
        <item m="1" x="97"/>
        <item m="1" x="105"/>
        <item m="1" x="64"/>
        <item m="1" x="70"/>
        <item x="26"/>
        <item x="25"/>
        <item x="44"/>
        <item x="24"/>
        <item x="21"/>
        <item m="1" x="118"/>
        <item m="1" x="69"/>
        <item m="1" x="109"/>
        <item m="1" x="74"/>
        <item m="1" x="77"/>
        <item x="33"/>
        <item m="1" x="140"/>
        <item m="1" x="141"/>
        <item m="1" x="120"/>
        <item m="1" x="147"/>
        <item m="1" x="99"/>
        <item m="1" x="63"/>
        <item m="1" x="111"/>
        <item m="1" x="86"/>
        <item m="1" x="134"/>
        <item m="1" x="117"/>
        <item m="1" x="144"/>
        <item m="1" x="65"/>
        <item m="1" x="125"/>
        <item m="1" x="131"/>
        <item m="1" x="95"/>
        <item m="1" x="123"/>
        <item m="1" x="96"/>
        <item m="1" x="62"/>
        <item m="1" x="145"/>
        <item m="1" x="142"/>
        <item m="1" x="112"/>
        <item m="1" x="146"/>
        <item m="1" x="93"/>
        <item m="1" x="104"/>
        <item m="1" x="129"/>
        <item m="1" x="137"/>
        <item m="1" x="113"/>
        <item x="10"/>
        <item x="0"/>
        <item x="9"/>
        <item x="8"/>
        <item x="48"/>
        <item x="49"/>
        <item x="19"/>
        <item x="30"/>
        <item x="2"/>
        <item x="3"/>
        <item x="11"/>
        <item x="14"/>
        <item x="13"/>
        <item x="15"/>
        <item x="12"/>
        <item x="16"/>
        <item x="27"/>
        <item x="28"/>
        <item x="45"/>
        <item x="47"/>
        <item x="31"/>
        <item x="29"/>
        <item x="17"/>
        <item m="1" x="121"/>
        <item m="1" x="124"/>
        <item m="1" x="132"/>
        <item m="1" x="79"/>
        <item m="1" x="84"/>
        <item x="5"/>
        <item x="4"/>
        <item x="58"/>
        <item x="6"/>
        <item x="59"/>
        <item x="38"/>
        <item m="1" x="78"/>
        <item m="1" x="82"/>
        <item x="61"/>
        <item x="50"/>
        <item x="51"/>
        <item x="52"/>
        <item x="53"/>
        <item x="54"/>
        <item x="55"/>
        <item x="56"/>
        <item x="57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9">
        <item m="1" x="40"/>
        <item m="1" x="65"/>
        <item m="1" x="38"/>
        <item m="1" x="45"/>
        <item x="25"/>
        <item x="36"/>
        <item x="4"/>
        <item m="1" x="81"/>
        <item m="1" x="57"/>
        <item x="7"/>
        <item m="1" x="86"/>
        <item m="1" x="91"/>
        <item m="1" x="55"/>
        <item m="1" x="97"/>
        <item m="1" x="83"/>
        <item x="31"/>
        <item x="16"/>
        <item m="1" x="87"/>
        <item x="13"/>
        <item x="0"/>
        <item m="1" x="92"/>
        <item x="34"/>
        <item x="6"/>
        <item m="1" x="94"/>
        <item x="5"/>
        <item m="1" x="48"/>
        <item x="26"/>
        <item x="23"/>
        <item m="1" x="49"/>
        <item m="1" x="95"/>
        <item m="1" x="74"/>
        <item m="1" x="85"/>
        <item x="24"/>
        <item m="1" x="66"/>
        <item m="1" x="96"/>
        <item x="8"/>
        <item m="1" x="47"/>
        <item m="1" x="41"/>
        <item m="1" x="67"/>
        <item m="1" x="84"/>
        <item m="1" x="39"/>
        <item m="1" x="89"/>
        <item m="1" x="69"/>
        <item m="1" x="62"/>
        <item m="1" x="82"/>
        <item m="1" x="71"/>
        <item m="1" x="60"/>
        <item m="1" x="90"/>
        <item m="1" x="58"/>
        <item x="9"/>
        <item m="1" x="61"/>
        <item m="1" x="68"/>
        <item x="27"/>
        <item x="14"/>
        <item x="28"/>
        <item x="20"/>
        <item m="1" x="63"/>
        <item x="21"/>
        <item m="1" x="79"/>
        <item m="1" x="51"/>
        <item x="10"/>
        <item x="17"/>
        <item x="19"/>
        <item m="1" x="42"/>
        <item m="1" x="44"/>
        <item m="1" x="54"/>
        <item x="18"/>
        <item m="1" x="78"/>
        <item m="1" x="72"/>
        <item x="1"/>
        <item m="1" x="53"/>
        <item m="1" x="80"/>
        <item x="22"/>
        <item m="1" x="50"/>
        <item m="1" x="98"/>
        <item m="1" x="88"/>
        <item x="12"/>
        <item m="1" x="43"/>
        <item m="1" x="93"/>
        <item m="1" x="37"/>
        <item m="1" x="70"/>
        <item m="1" x="64"/>
        <item x="15"/>
        <item x="3"/>
        <item m="1" x="75"/>
        <item m="1" x="56"/>
        <item m="1" x="76"/>
        <item m="1" x="52"/>
        <item m="1" x="46"/>
        <item m="1" x="73"/>
        <item m="1" x="59"/>
        <item m="1" x="77"/>
        <item x="2"/>
        <item x="11"/>
        <item x="29"/>
        <item x="30"/>
        <item x="32"/>
        <item x="3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9">
        <item m="1" x="88"/>
        <item x="22"/>
        <item x="24"/>
        <item x="23"/>
        <item m="1" x="199"/>
        <item m="1" x="200"/>
        <item m="1" x="196"/>
        <item m="1" x="206"/>
        <item m="1" x="178"/>
        <item m="1" x="215"/>
        <item m="1" x="183"/>
        <item m="1" x="186"/>
        <item m="1" x="207"/>
        <item m="1" x="116"/>
        <item m="1" x="151"/>
        <item x="6"/>
        <item m="1" x="179"/>
        <item m="1" x="192"/>
        <item m="1" x="100"/>
        <item m="1" x="94"/>
        <item m="1" x="131"/>
        <item m="1" x="137"/>
        <item m="1" x="172"/>
        <item m="1" x="194"/>
        <item m="1" x="184"/>
        <item x="52"/>
        <item m="1" x="198"/>
        <item m="1" x="120"/>
        <item m="1" x="213"/>
        <item m="1" x="111"/>
        <item m="1" x="208"/>
        <item m="1" x="104"/>
        <item m="1" x="171"/>
        <item m="1" x="185"/>
        <item m="1" x="201"/>
        <item m="1" x="140"/>
        <item m="1" x="107"/>
        <item m="1" x="204"/>
        <item m="1" x="134"/>
        <item m="1" x="148"/>
        <item m="1" x="170"/>
        <item m="1" x="149"/>
        <item m="1" x="103"/>
        <item x="28"/>
        <item m="1" x="87"/>
        <item x="39"/>
        <item m="1" x="189"/>
        <item m="1" x="95"/>
        <item m="1" x="138"/>
        <item m="1" x="102"/>
        <item m="1" x="210"/>
        <item m="1" x="143"/>
        <item m="1" x="113"/>
        <item m="1" x="83"/>
        <item x="32"/>
        <item m="1" x="123"/>
        <item x="14"/>
        <item m="1" x="114"/>
        <item m="1" x="212"/>
        <item m="1" x="216"/>
        <item m="1" x="169"/>
        <item m="1" x="197"/>
        <item x="33"/>
        <item m="1" x="177"/>
        <item m="1" x="82"/>
        <item m="1" x="119"/>
        <item x="12"/>
        <item x="35"/>
        <item x="34"/>
        <item m="1" x="193"/>
        <item m="1" x="117"/>
        <item x="11"/>
        <item x="13"/>
        <item m="1" x="98"/>
        <item m="1" x="155"/>
        <item m="1" x="128"/>
        <item m="1" x="150"/>
        <item x="40"/>
        <item m="1" x="139"/>
        <item x="41"/>
        <item m="1" x="122"/>
        <item m="1" x="127"/>
        <item m="1" x="154"/>
        <item m="1" x="108"/>
        <item m="1" x="112"/>
        <item m="1" x="147"/>
        <item m="1" x="124"/>
        <item m="1" x="168"/>
        <item m="1" x="217"/>
        <item x="64"/>
        <item m="1" x="160"/>
        <item x="67"/>
        <item x="69"/>
        <item x="37"/>
        <item x="36"/>
        <item m="1" x="92"/>
        <item x="29"/>
        <item x="66"/>
        <item x="63"/>
        <item m="1" x="129"/>
        <item m="1" x="176"/>
        <item m="1" x="218"/>
        <item m="1" x="152"/>
        <item m="1" x="162"/>
        <item m="1" x="101"/>
        <item m="1" x="130"/>
        <item m="1" x="93"/>
        <item m="1" x="214"/>
        <item m="1" x="109"/>
        <item m="1" x="90"/>
        <item m="1" x="181"/>
        <item m="1" x="144"/>
        <item m="1" x="158"/>
        <item m="1" x="125"/>
        <item m="1" x="187"/>
        <item m="1" x="133"/>
        <item m="1" x="156"/>
        <item m="1" x="106"/>
        <item m="1" x="97"/>
        <item m="1" x="132"/>
        <item m="1" x="191"/>
        <item m="1" x="141"/>
        <item m="1" x="126"/>
        <item m="1" x="174"/>
        <item m="1" x="142"/>
        <item x="9"/>
        <item x="0"/>
        <item x="3"/>
        <item x="2"/>
        <item x="1"/>
        <item x="10"/>
        <item m="1" x="180"/>
        <item x="48"/>
        <item x="49"/>
        <item x="47"/>
        <item x="65"/>
        <item x="50"/>
        <item x="45"/>
        <item x="44"/>
        <item x="43"/>
        <item x="42"/>
        <item x="51"/>
        <item m="1" x="91"/>
        <item m="1" x="159"/>
        <item m="1" x="167"/>
        <item x="77"/>
        <item m="1" x="146"/>
        <item m="1" x="121"/>
        <item m="1" x="145"/>
        <item x="79"/>
        <item x="54"/>
        <item x="55"/>
        <item x="7"/>
        <item x="60"/>
        <item x="5"/>
        <item x="8"/>
        <item x="56"/>
        <item m="1" x="86"/>
        <item m="1" x="136"/>
        <item m="1" x="161"/>
        <item m="1" x="203"/>
        <item m="1" x="202"/>
        <item m="1" x="165"/>
        <item x="62"/>
        <item m="1" x="182"/>
        <item m="1" x="99"/>
        <item m="1" x="166"/>
        <item m="1" x="153"/>
        <item x="61"/>
        <item m="1" x="175"/>
        <item m="1" x="81"/>
        <item m="1" x="164"/>
        <item m="1" x="105"/>
        <item m="1" x="115"/>
        <item m="1" x="188"/>
        <item x="25"/>
        <item m="1" x="84"/>
        <item m="1" x="96"/>
        <item m="1" x="85"/>
        <item x="30"/>
        <item x="53"/>
        <item m="1" x="195"/>
        <item m="1" x="211"/>
        <item x="26"/>
        <item x="58"/>
        <item x="31"/>
        <item m="1" x="118"/>
        <item m="1" x="205"/>
        <item x="57"/>
        <item m="1" x="135"/>
        <item x="15"/>
        <item x="18"/>
        <item x="17"/>
        <item x="19"/>
        <item x="16"/>
        <item x="20"/>
        <item x="46"/>
        <item x="21"/>
        <item m="1" x="163"/>
        <item m="1" x="209"/>
        <item x="68"/>
        <item m="1" x="190"/>
        <item x="38"/>
        <item x="59"/>
        <item m="1" x="157"/>
        <item x="27"/>
        <item x="4"/>
        <item m="1" x="173"/>
        <item m="1" x="89"/>
        <item m="1" x="110"/>
        <item x="80"/>
        <item x="70"/>
        <item x="71"/>
        <item x="72"/>
        <item x="73"/>
        <item x="74"/>
        <item x="75"/>
        <item x="76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2"/>
        <item m="1" x="5"/>
        <item m="1" x="4"/>
        <item m="1" x="3"/>
        <item m="1" x="6"/>
        <item m="1"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3"/>
        <item x="0"/>
        <item m="1" x="6"/>
        <item x="2"/>
        <item m="1" x="8"/>
        <item m="1" x="5"/>
        <item m="1" x="4"/>
        <item m="1"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4"/>
        <item m="1" x="7"/>
        <item m="1" x="6"/>
        <item m="1" x="9"/>
        <item m="1" x="11"/>
        <item m="1" x="8"/>
        <item m="1" x="12"/>
        <item m="1" x="13"/>
        <item x="2"/>
        <item x="3"/>
        <item m="1" x="5"/>
        <item m="1" x="1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m="1" x="5"/>
        <item m="1" x="3"/>
        <item m="1"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h="1"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162"/>
    <field x="161"/>
    <field x="55"/>
    <field x="0"/>
    <field x="7"/>
    <field x="12"/>
    <field x="9"/>
    <field x="11"/>
    <field x="57"/>
    <field x="58"/>
    <field x="59"/>
    <field x="60"/>
    <field x="71"/>
  </rowFields>
  <rowItems count="63">
    <i>
      <x/>
      <x v="3"/>
      <x v="62"/>
      <x v="1068"/>
      <x v="212"/>
      <x v="89"/>
      <x v="123"/>
      <x v="26"/>
      <x/>
      <x v="1"/>
      <x/>
      <x v="5"/>
      <x v="117"/>
    </i>
    <i r="3">
      <x v="1069"/>
      <x v="378"/>
      <x v="89"/>
      <x v="109"/>
      <x v="26"/>
      <x/>
      <x v="1"/>
      <x/>
      <x v="5"/>
      <x v="110"/>
    </i>
    <i r="3">
      <x v="1071"/>
      <x v="417"/>
      <x v="45"/>
      <x v="121"/>
      <x v="61"/>
      <x/>
      <x v="1"/>
      <x/>
      <x v="5"/>
      <x v="103"/>
    </i>
    <i r="12">
      <x v="117"/>
    </i>
    <i r="12">
      <x v="124"/>
    </i>
    <i r="3">
      <x v="1072"/>
      <x v="429"/>
      <x v="77"/>
      <x v="121"/>
      <x v="66"/>
      <x/>
      <x v="1"/>
      <x/>
      <x v="5"/>
      <x v="103"/>
    </i>
    <i r="3">
      <x v="1073"/>
      <x v="430"/>
      <x v="79"/>
      <x v="121"/>
      <x v="66"/>
      <x/>
      <x v="1"/>
      <x/>
      <x v="5"/>
      <x v="103"/>
    </i>
    <i r="3">
      <x v="1075"/>
      <x v="330"/>
      <x v="89"/>
      <x v="123"/>
      <x v="52"/>
      <x/>
      <x v="1"/>
      <x/>
      <x v="5"/>
      <x v="110"/>
    </i>
    <i r="3">
      <x v="1076"/>
      <x v="445"/>
      <x v="140"/>
      <x v="121"/>
      <x v="62"/>
      <x/>
      <x v="1"/>
      <x/>
      <x v="5"/>
      <x v="103"/>
    </i>
    <i r="3">
      <x v="1077"/>
      <x v="446"/>
      <x v="139"/>
      <x v="121"/>
      <x v="62"/>
      <x/>
      <x v="1"/>
      <x/>
      <x v="5"/>
      <x v="103"/>
    </i>
    <i r="3">
      <x v="1078"/>
      <x v="447"/>
      <x v="138"/>
      <x v="121"/>
      <x v="55"/>
      <x/>
      <x v="1"/>
      <x/>
      <x v="5"/>
      <x v="103"/>
    </i>
    <i r="3">
      <x v="1079"/>
      <x v="448"/>
      <x v="137"/>
      <x v="121"/>
      <x v="55"/>
      <x/>
      <x v="1"/>
      <x/>
      <x v="5"/>
      <x v="103"/>
    </i>
    <i t="default" r="2">
      <x v="62"/>
    </i>
    <i r="2">
      <x v="69"/>
      <x v="1070"/>
      <x v="412"/>
      <x v="206"/>
      <x v="122"/>
      <x v="54"/>
      <x v="1"/>
      <x v="1"/>
      <x v="9"/>
      <x v="5"/>
      <x v="131"/>
    </i>
    <i r="3">
      <x v="1100"/>
      <x v="41"/>
      <x v="134"/>
      <x v="112"/>
      <x v="19"/>
      <x/>
      <x v="1"/>
      <x v="9"/>
      <x v="5"/>
      <x v="110"/>
    </i>
    <i r="12">
      <x v="124"/>
    </i>
    <i r="3">
      <x v="1101"/>
      <x v="42"/>
      <x v="132"/>
      <x v="112"/>
      <x v="19"/>
      <x/>
      <x v="1"/>
      <x v="9"/>
      <x v="5"/>
      <x v="110"/>
    </i>
    <i r="12">
      <x v="124"/>
    </i>
    <i r="3">
      <x v="1102"/>
      <x v="43"/>
      <x v="133"/>
      <x v="112"/>
      <x v="19"/>
      <x/>
      <x v="1"/>
      <x v="9"/>
      <x v="5"/>
      <x v="110"/>
    </i>
    <i r="3">
      <x v="1103"/>
      <x v="87"/>
      <x v="132"/>
      <x v="112"/>
      <x v="19"/>
      <x/>
      <x v="1"/>
      <x v="9"/>
      <x v="5"/>
      <x v="110"/>
    </i>
    <i r="12">
      <x v="124"/>
    </i>
    <i r="3">
      <x v="1104"/>
      <x v="88"/>
      <x v="133"/>
      <x v="112"/>
      <x v="19"/>
      <x/>
      <x v="1"/>
      <x v="9"/>
      <x v="5"/>
      <x v="110"/>
    </i>
    <i r="3">
      <x v="1105"/>
      <x v="89"/>
      <x v="134"/>
      <x v="112"/>
      <x v="19"/>
      <x/>
      <x v="1"/>
      <x v="9"/>
      <x v="5"/>
      <x v="110"/>
    </i>
    <i r="12">
      <x v="124"/>
    </i>
    <i t="default" r="2">
      <x v="69"/>
    </i>
    <i r="2">
      <x v="71"/>
      <x v="1080"/>
      <x v="449"/>
      <x v="185"/>
      <x v="122"/>
      <x v="57"/>
      <x/>
      <x v="3"/>
      <x v="9"/>
      <x/>
      <x v="145"/>
    </i>
    <i r="3">
      <x v="1081"/>
      <x v="465"/>
      <x v="190"/>
      <x v="115"/>
      <x v="93"/>
      <x/>
      <x v="1"/>
      <x/>
      <x v="5"/>
      <x v="138"/>
    </i>
    <i r="3">
      <x v="1082"/>
      <x v="466"/>
      <x v="191"/>
      <x v="116"/>
      <x v="93"/>
      <x/>
      <x v="1"/>
      <x/>
      <x v="5"/>
      <x v="138"/>
    </i>
    <i r="3">
      <x v="1083"/>
      <x v="467"/>
      <x v="192"/>
      <x v="117"/>
      <x v="93"/>
      <x/>
      <x v="1"/>
      <x/>
      <x v="5"/>
      <x v="138"/>
    </i>
    <i r="3">
      <x v="1084"/>
      <x v="468"/>
      <x v="193"/>
      <x v="118"/>
      <x v="93"/>
      <x/>
      <x v="1"/>
      <x/>
      <x v="5"/>
      <x v="138"/>
    </i>
    <i r="3">
      <x v="1085"/>
      <x v="469"/>
      <x v="194"/>
      <x v="119"/>
      <x v="93"/>
      <x/>
      <x v="1"/>
      <x/>
      <x v="5"/>
      <x v="138"/>
    </i>
    <i r="3">
      <x v="1086"/>
      <x v="470"/>
      <x v="195"/>
      <x v="120"/>
      <x v="93"/>
      <x/>
      <x v="1"/>
      <x/>
      <x v="5"/>
      <x v="138"/>
    </i>
    <i t="default" r="2">
      <x v="71"/>
    </i>
    <i r="2">
      <x v="77"/>
      <x v="1106"/>
      <x v="326"/>
      <x v="97"/>
      <x v="70"/>
      <x v="19"/>
      <x/>
      <x v="3"/>
      <x v="9"/>
      <x/>
      <x v="117"/>
    </i>
    <i r="12">
      <x v="131"/>
    </i>
    <i r="3">
      <x v="1107"/>
      <x v="327"/>
      <x v="91"/>
      <x v="70"/>
      <x v="35"/>
      <x v="1"/>
      <x v="3"/>
      <x v="9"/>
      <x/>
      <x v="117"/>
    </i>
    <i r="12">
      <x v="131"/>
    </i>
    <i t="default" r="2">
      <x v="77"/>
    </i>
    <i r="2">
      <x v="80"/>
      <x v="1112"/>
      <x v="424"/>
      <x v="206"/>
      <x v="122"/>
      <x v="72"/>
      <x v="1"/>
      <x v="3"/>
      <x v="9"/>
      <x/>
      <x v="145"/>
    </i>
    <i t="default" r="2">
      <x v="80"/>
    </i>
    <i r="2">
      <x v="83"/>
      <x v="1113"/>
      <x v="323"/>
      <x v="136"/>
      <x v="125"/>
      <x v="27"/>
      <x v="1"/>
      <x v="3"/>
      <x v="10"/>
      <x/>
      <x v="131"/>
    </i>
    <i r="3">
      <x v="1114"/>
      <x v="330"/>
      <x v="89"/>
      <x v="123"/>
      <x v="52"/>
      <x/>
      <x v="1"/>
      <x/>
      <x/>
      <x v="131"/>
    </i>
    <i r="3">
      <x v="1133"/>
      <x v="476"/>
      <x v="132"/>
      <x v="124"/>
      <x v="19"/>
      <x/>
      <x v="3"/>
      <x v="9"/>
      <x/>
      <x v="145"/>
    </i>
    <i t="default" r="2">
      <x v="83"/>
    </i>
    <i r="2">
      <x v="84"/>
      <x v="1118"/>
      <x v="23"/>
      <x v="206"/>
      <x v="13"/>
      <x v="19"/>
      <x/>
      <x v="1"/>
      <x/>
      <x/>
      <x v="124"/>
    </i>
    <i r="12">
      <x v="131"/>
    </i>
    <i r="3">
      <x v="1120"/>
      <x v="69"/>
      <x v="206"/>
      <x v="13"/>
      <x v="19"/>
      <x/>
      <x v="1"/>
      <x/>
      <x/>
      <x v="124"/>
    </i>
    <i t="default" r="2">
      <x v="84"/>
    </i>
    <i r="2">
      <x v="87"/>
      <x v="1116"/>
      <x v="334"/>
      <x v="200"/>
      <x v="124"/>
      <x v="19"/>
      <x/>
      <x v="3"/>
      <x v="9"/>
      <x/>
      <x v="124"/>
    </i>
    <i r="3">
      <x v="1131"/>
      <x v="332"/>
      <x v="155"/>
      <x v="124"/>
      <x v="19"/>
      <x/>
      <x v="3"/>
      <x v="9"/>
      <x/>
      <x v="145"/>
    </i>
    <i r="12">
      <x v="159"/>
    </i>
    <i r="3">
      <x v="1132"/>
      <x v="392"/>
      <x v="155"/>
      <x v="143"/>
      <x v="19"/>
      <x/>
      <x v="3"/>
      <x v="9"/>
      <x/>
      <x v="145"/>
    </i>
    <i t="default" r="2">
      <x v="87"/>
    </i>
    <i r="2">
      <x v="88"/>
      <x v="1115"/>
      <x v="329"/>
      <x v="98"/>
      <x v="69"/>
      <x v="19"/>
      <x/>
      <x v="3"/>
      <x v="9"/>
      <x/>
      <x v="124"/>
    </i>
    <i t="default" r="2">
      <x v="88"/>
    </i>
    <i r="2">
      <x v="90"/>
      <x v="1117"/>
      <x v="22"/>
      <x v="179"/>
      <x v="13"/>
      <x v="19"/>
      <x/>
      <x v="8"/>
      <x v="13"/>
      <x v="4"/>
      <x v="131"/>
    </i>
    <i r="3">
      <x v="1119"/>
      <x v="68"/>
      <x v="179"/>
      <x v="13"/>
      <x v="19"/>
      <x/>
      <x v="1"/>
      <x/>
      <x/>
      <x v="131"/>
    </i>
    <i r="9">
      <x v="8"/>
      <x v="13"/>
      <x v="4"/>
      <x v="131"/>
    </i>
    <i t="default" r="2">
      <x v="90"/>
    </i>
    <i r="2">
      <x v="91"/>
      <x v="1110"/>
      <x v="416"/>
      <x v="141"/>
      <x v="121"/>
      <x v="61"/>
      <x/>
      <x v="3"/>
      <x v="1"/>
      <x/>
      <x v="131"/>
    </i>
    <i r="3">
      <x v="1111"/>
      <x v="423"/>
      <x v="25"/>
      <x v="121"/>
      <x v="61"/>
      <x/>
      <x v="3"/>
      <x v="1"/>
      <x/>
      <x v="131"/>
    </i>
    <i t="default" r="2">
      <x v="91"/>
    </i>
    <i t="grand">
      <x/>
    </i>
  </rowItems>
  <colItems count="1">
    <i/>
  </colItems>
  <dataFields count="1">
    <dataField name="Sum of Qty" fld="13" baseField="64" baseItem="69"/>
  </dataFields>
  <formats count="136">
    <format dxfId="146">
      <pivotArea dataOnly="0" outline="0" fieldPosition="0">
        <references count="1">
          <reference field="55" count="0" defaultSubtotal="1"/>
        </references>
      </pivotArea>
    </format>
    <format dxfId="145">
      <pivotArea outline="0" collapsedLevelsAreSubtotals="1" fieldPosition="0"/>
    </format>
    <format dxfId="144">
      <pivotArea field="55" type="button" dataOnly="0" labelOnly="1" outline="0" axis="axisRow" fieldPosition="2"/>
    </format>
    <format dxfId="143">
      <pivotArea field="7" type="button" dataOnly="0" labelOnly="1" outline="0" axis="axisRow" fieldPosition="4"/>
    </format>
    <format dxfId="142">
      <pivotArea field="12" type="button" dataOnly="0" labelOnly="1" outline="0" axis="axisRow" fieldPosition="5"/>
    </format>
    <format dxfId="141">
      <pivotArea field="9" type="button" dataOnly="0" labelOnly="1" outline="0" axis="axisRow" fieldPosition="6"/>
    </format>
    <format dxfId="140">
      <pivotArea field="11" type="button" dataOnly="0" labelOnly="1" outline="0" axis="axisRow" fieldPosition="7"/>
    </format>
    <format dxfId="139">
      <pivotArea field="57" type="button" dataOnly="0" labelOnly="1" outline="0" axis="axisRow" fieldPosition="8"/>
    </format>
    <format dxfId="138">
      <pivotArea field="58" type="button" dataOnly="0" labelOnly="1" outline="0" axis="axisRow" fieldPosition="9"/>
    </format>
    <format dxfId="137">
      <pivotArea field="59" type="button" dataOnly="0" labelOnly="1" outline="0" axis="axisRow" fieldPosition="10"/>
    </format>
    <format dxfId="136">
      <pivotArea field="60" type="button" dataOnly="0" labelOnly="1" outline="0" axis="axisRow" fieldPosition="11"/>
    </format>
    <format dxfId="135">
      <pivotArea dataOnly="0" labelOnly="1" grandRow="1" outline="0" fieldPosition="0"/>
    </format>
    <format dxfId="134">
      <pivotArea outline="0" collapsedLevelsAreSubtotals="1" fieldPosition="0"/>
    </format>
    <format dxfId="133">
      <pivotArea field="55" type="button" dataOnly="0" labelOnly="1" outline="0" axis="axisRow" fieldPosition="2"/>
    </format>
    <format dxfId="132">
      <pivotArea field="7" type="button" dataOnly="0" labelOnly="1" outline="0" axis="axisRow" fieldPosition="4"/>
    </format>
    <format dxfId="131">
      <pivotArea field="12" type="button" dataOnly="0" labelOnly="1" outline="0" axis="axisRow" fieldPosition="5"/>
    </format>
    <format dxfId="130">
      <pivotArea field="9" type="button" dataOnly="0" labelOnly="1" outline="0" axis="axisRow" fieldPosition="6"/>
    </format>
    <format dxfId="129">
      <pivotArea field="11" type="button" dataOnly="0" labelOnly="1" outline="0" axis="axisRow" fieldPosition="7"/>
    </format>
    <format dxfId="128">
      <pivotArea field="57" type="button" dataOnly="0" labelOnly="1" outline="0" axis="axisRow" fieldPosition="8"/>
    </format>
    <format dxfId="127">
      <pivotArea field="58" type="button" dataOnly="0" labelOnly="1" outline="0" axis="axisRow" fieldPosition="9"/>
    </format>
    <format dxfId="126">
      <pivotArea field="59" type="button" dataOnly="0" labelOnly="1" outline="0" axis="axisRow" fieldPosition="10"/>
    </format>
    <format dxfId="125">
      <pivotArea field="60" type="button" dataOnly="0" labelOnly="1" outline="0" axis="axisRow" fieldPosition="11"/>
    </format>
    <format dxfId="124">
      <pivotArea dataOnly="0" labelOnly="1" grandRow="1" outline="0" fieldPosition="0"/>
    </format>
    <format dxfId="123">
      <pivotArea outline="0" collapsedLevelsAreSubtotals="1" fieldPosition="0"/>
    </format>
    <format dxfId="122">
      <pivotArea field="55" type="button" dataOnly="0" labelOnly="1" outline="0" axis="axisRow" fieldPosition="2"/>
    </format>
    <format dxfId="121">
      <pivotArea field="0" type="button" dataOnly="0" labelOnly="1" outline="0" axis="axisRow" fieldPosition="3"/>
    </format>
    <format dxfId="120">
      <pivotArea field="7" type="button" dataOnly="0" labelOnly="1" outline="0" axis="axisRow" fieldPosition="4"/>
    </format>
    <format dxfId="119">
      <pivotArea field="12" type="button" dataOnly="0" labelOnly="1" outline="0" axis="axisRow" fieldPosition="5"/>
    </format>
    <format dxfId="118">
      <pivotArea field="9" type="button" dataOnly="0" labelOnly="1" outline="0" axis="axisRow" fieldPosition="6"/>
    </format>
    <format dxfId="117">
      <pivotArea field="11" type="button" dataOnly="0" labelOnly="1" outline="0" axis="axisRow" fieldPosition="7"/>
    </format>
    <format dxfId="116">
      <pivotArea field="57" type="button" dataOnly="0" labelOnly="1" outline="0" axis="axisRow" fieldPosition="8"/>
    </format>
    <format dxfId="115">
      <pivotArea field="58" type="button" dataOnly="0" labelOnly="1" outline="0" axis="axisRow" fieldPosition="9"/>
    </format>
    <format dxfId="114">
      <pivotArea field="59" type="button" dataOnly="0" labelOnly="1" outline="0" axis="axisRow" fieldPosition="10"/>
    </format>
    <format dxfId="113">
      <pivotArea field="60" type="button" dataOnly="0" labelOnly="1" outline="0" axis="axisRow" fieldPosition="11"/>
    </format>
    <format dxfId="112">
      <pivotArea dataOnly="0" labelOnly="1" grandRow="1" outline="0" fieldPosition="0"/>
    </format>
    <format dxfId="111">
      <pivotArea outline="0" collapsedLevelsAreSubtotals="1" fieldPosition="0"/>
    </format>
    <format dxfId="110">
      <pivotArea field="55" type="button" dataOnly="0" labelOnly="1" outline="0" axis="axisRow" fieldPosition="2"/>
    </format>
    <format dxfId="109">
      <pivotArea field="0" type="button" dataOnly="0" labelOnly="1" outline="0" axis="axisRow" fieldPosition="3"/>
    </format>
    <format dxfId="108">
      <pivotArea field="7" type="button" dataOnly="0" labelOnly="1" outline="0" axis="axisRow" fieldPosition="4"/>
    </format>
    <format dxfId="107">
      <pivotArea field="12" type="button" dataOnly="0" labelOnly="1" outline="0" axis="axisRow" fieldPosition="5"/>
    </format>
    <format dxfId="106">
      <pivotArea field="9" type="button" dataOnly="0" labelOnly="1" outline="0" axis="axisRow" fieldPosition="6"/>
    </format>
    <format dxfId="105">
      <pivotArea field="11" type="button" dataOnly="0" labelOnly="1" outline="0" axis="axisRow" fieldPosition="7"/>
    </format>
    <format dxfId="104">
      <pivotArea field="57" type="button" dataOnly="0" labelOnly="1" outline="0" axis="axisRow" fieldPosition="8"/>
    </format>
    <format dxfId="103">
      <pivotArea field="58" type="button" dataOnly="0" labelOnly="1" outline="0" axis="axisRow" fieldPosition="9"/>
    </format>
    <format dxfId="102">
      <pivotArea field="59" type="button" dataOnly="0" labelOnly="1" outline="0" axis="axisRow" fieldPosition="10"/>
    </format>
    <format dxfId="101">
      <pivotArea field="60" type="button" dataOnly="0" labelOnly="1" outline="0" axis="axisRow" fieldPosition="11"/>
    </format>
    <format dxfId="100">
      <pivotArea dataOnly="0" labelOnly="1" grandRow="1" outline="0" fieldPosition="0"/>
    </format>
    <format dxfId="99">
      <pivotArea outline="0" collapsedLevelsAreSubtotals="1" fieldPosition="0"/>
    </format>
    <format dxfId="98">
      <pivotArea field="55" type="button" dataOnly="0" labelOnly="1" outline="0" axis="axisRow" fieldPosition="2"/>
    </format>
    <format dxfId="97">
      <pivotArea field="0" type="button" dataOnly="0" labelOnly="1" outline="0" axis="axisRow" fieldPosition="3"/>
    </format>
    <format dxfId="96">
      <pivotArea field="7" type="button" dataOnly="0" labelOnly="1" outline="0" axis="axisRow" fieldPosition="4"/>
    </format>
    <format dxfId="95">
      <pivotArea field="12" type="button" dataOnly="0" labelOnly="1" outline="0" axis="axisRow" fieldPosition="5"/>
    </format>
    <format dxfId="94">
      <pivotArea field="9" type="button" dataOnly="0" labelOnly="1" outline="0" axis="axisRow" fieldPosition="6"/>
    </format>
    <format dxfId="93">
      <pivotArea field="11" type="button" dataOnly="0" labelOnly="1" outline="0" axis="axisRow" fieldPosition="7"/>
    </format>
    <format dxfId="92">
      <pivotArea field="57" type="button" dataOnly="0" labelOnly="1" outline="0" axis="axisRow" fieldPosition="8"/>
    </format>
    <format dxfId="91">
      <pivotArea field="58" type="button" dataOnly="0" labelOnly="1" outline="0" axis="axisRow" fieldPosition="9"/>
    </format>
    <format dxfId="90">
      <pivotArea field="59" type="button" dataOnly="0" labelOnly="1" outline="0" axis="axisRow" fieldPosition="10"/>
    </format>
    <format dxfId="89">
      <pivotArea field="60" type="button" dataOnly="0" labelOnly="1" outline="0" axis="axisRow" fieldPosition="11"/>
    </format>
    <format dxfId="88">
      <pivotArea dataOnly="0" labelOnly="1" grandRow="1" outline="0" fieldPosition="0"/>
    </format>
    <format dxfId="87">
      <pivotArea outline="0" collapsedLevelsAreSubtotals="1" fieldPosition="0"/>
    </format>
    <format dxfId="86">
      <pivotArea field="55" type="button" dataOnly="0" labelOnly="1" outline="0" axis="axisRow" fieldPosition="2"/>
    </format>
    <format dxfId="85">
      <pivotArea field="0" type="button" dataOnly="0" labelOnly="1" outline="0" axis="axisRow" fieldPosition="3"/>
    </format>
    <format dxfId="84">
      <pivotArea field="7" type="button" dataOnly="0" labelOnly="1" outline="0" axis="axisRow" fieldPosition="4"/>
    </format>
    <format dxfId="83">
      <pivotArea field="12" type="button" dataOnly="0" labelOnly="1" outline="0" axis="axisRow" fieldPosition="5"/>
    </format>
    <format dxfId="82">
      <pivotArea field="9" type="button" dataOnly="0" labelOnly="1" outline="0" axis="axisRow" fieldPosition="6"/>
    </format>
    <format dxfId="81">
      <pivotArea field="11" type="button" dataOnly="0" labelOnly="1" outline="0" axis="axisRow" fieldPosition="7"/>
    </format>
    <format dxfId="80">
      <pivotArea field="57" type="button" dataOnly="0" labelOnly="1" outline="0" axis="axisRow" fieldPosition="8"/>
    </format>
    <format dxfId="79">
      <pivotArea field="58" type="button" dataOnly="0" labelOnly="1" outline="0" axis="axisRow" fieldPosition="9"/>
    </format>
    <format dxfId="78">
      <pivotArea field="59" type="button" dataOnly="0" labelOnly="1" outline="0" axis="axisRow" fieldPosition="10"/>
    </format>
    <format dxfId="77">
      <pivotArea field="60" type="button" dataOnly="0" labelOnly="1" outline="0" axis="axisRow" fieldPosition="11"/>
    </format>
    <format dxfId="76">
      <pivotArea dataOnly="0" labelOnly="1" grandRow="1" outline="0" fieldPosition="0"/>
    </format>
    <format dxfId="75">
      <pivotArea outline="0" collapsedLevelsAreSubtotals="1" fieldPosition="0"/>
    </format>
    <format dxfId="74">
      <pivotArea field="55" type="button" dataOnly="0" labelOnly="1" outline="0" axis="axisRow" fieldPosition="2"/>
    </format>
    <format dxfId="73">
      <pivotArea field="0" type="button" dataOnly="0" labelOnly="1" outline="0" axis="axisRow" fieldPosition="3"/>
    </format>
    <format dxfId="72">
      <pivotArea field="7" type="button" dataOnly="0" labelOnly="1" outline="0" axis="axisRow" fieldPosition="4"/>
    </format>
    <format dxfId="71">
      <pivotArea field="12" type="button" dataOnly="0" labelOnly="1" outline="0" axis="axisRow" fieldPosition="5"/>
    </format>
    <format dxfId="70">
      <pivotArea field="9" type="button" dataOnly="0" labelOnly="1" outline="0" axis="axisRow" fieldPosition="6"/>
    </format>
    <format dxfId="69">
      <pivotArea field="11" type="button" dataOnly="0" labelOnly="1" outline="0" axis="axisRow" fieldPosition="7"/>
    </format>
    <format dxfId="68">
      <pivotArea field="57" type="button" dataOnly="0" labelOnly="1" outline="0" axis="axisRow" fieldPosition="8"/>
    </format>
    <format dxfId="67">
      <pivotArea field="58" type="button" dataOnly="0" labelOnly="1" outline="0" axis="axisRow" fieldPosition="9"/>
    </format>
    <format dxfId="66">
      <pivotArea field="59" type="button" dataOnly="0" labelOnly="1" outline="0" axis="axisRow" fieldPosition="10"/>
    </format>
    <format dxfId="65">
      <pivotArea field="60" type="button" dataOnly="0" labelOnly="1" outline="0" axis="axisRow" fieldPosition="11"/>
    </format>
    <format dxfId="64">
      <pivotArea field="71" type="button" dataOnly="0" labelOnly="1" outline="0" axis="axisRow" fieldPosition="12"/>
    </format>
    <format dxfId="63">
      <pivotArea dataOnly="0" labelOnly="1" grandRow="1" outline="0" fieldPosition="0"/>
    </format>
    <format dxfId="62">
      <pivotArea outline="0" collapsedLevelsAreSubtotals="1" fieldPosition="0"/>
    </format>
    <format dxfId="61">
      <pivotArea field="55" type="button" dataOnly="0" labelOnly="1" outline="0" axis="axisRow" fieldPosition="2"/>
    </format>
    <format dxfId="60">
      <pivotArea field="0" type="button" dataOnly="0" labelOnly="1" outline="0" axis="axisRow" fieldPosition="3"/>
    </format>
    <format dxfId="59">
      <pivotArea field="7" type="button" dataOnly="0" labelOnly="1" outline="0" axis="axisRow" fieldPosition="4"/>
    </format>
    <format dxfId="58">
      <pivotArea field="12" type="button" dataOnly="0" labelOnly="1" outline="0" axis="axisRow" fieldPosition="5"/>
    </format>
    <format dxfId="57">
      <pivotArea field="9" type="button" dataOnly="0" labelOnly="1" outline="0" axis="axisRow" fieldPosition="6"/>
    </format>
    <format dxfId="56">
      <pivotArea field="11" type="button" dataOnly="0" labelOnly="1" outline="0" axis="axisRow" fieldPosition="7"/>
    </format>
    <format dxfId="55">
      <pivotArea field="57" type="button" dataOnly="0" labelOnly="1" outline="0" axis="axisRow" fieldPosition="8"/>
    </format>
    <format dxfId="54">
      <pivotArea field="58" type="button" dataOnly="0" labelOnly="1" outline="0" axis="axisRow" fieldPosition="9"/>
    </format>
    <format dxfId="53">
      <pivotArea field="59" type="button" dataOnly="0" labelOnly="1" outline="0" axis="axisRow" fieldPosition="10"/>
    </format>
    <format dxfId="52">
      <pivotArea field="60" type="button" dataOnly="0" labelOnly="1" outline="0" axis="axisRow" fieldPosition="11"/>
    </format>
    <format dxfId="51">
      <pivotArea field="71" type="button" dataOnly="0" labelOnly="1" outline="0" axis="axisRow" fieldPosition="12"/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field="55" type="button" dataOnly="0" labelOnly="1" outline="0" axis="axisRow" fieldPosition="2"/>
    </format>
    <format dxfId="47">
      <pivotArea field="0" type="button" dataOnly="0" labelOnly="1" outline="0" axis="axisRow" fieldPosition="3"/>
    </format>
    <format dxfId="46">
      <pivotArea field="7" type="button" dataOnly="0" labelOnly="1" outline="0" axis="axisRow" fieldPosition="4"/>
    </format>
    <format dxfId="45">
      <pivotArea field="12" type="button" dataOnly="0" labelOnly="1" outline="0" axis="axisRow" fieldPosition="5"/>
    </format>
    <format dxfId="44">
      <pivotArea field="9" type="button" dataOnly="0" labelOnly="1" outline="0" axis="axisRow" fieldPosition="6"/>
    </format>
    <format dxfId="43">
      <pivotArea field="11" type="button" dataOnly="0" labelOnly="1" outline="0" axis="axisRow" fieldPosition="7"/>
    </format>
    <format dxfId="42">
      <pivotArea field="57" type="button" dataOnly="0" labelOnly="1" outline="0" axis="axisRow" fieldPosition="8"/>
    </format>
    <format dxfId="41">
      <pivotArea field="58" type="button" dataOnly="0" labelOnly="1" outline="0" axis="axisRow" fieldPosition="9"/>
    </format>
    <format dxfId="40">
      <pivotArea field="59" type="button" dataOnly="0" labelOnly="1" outline="0" axis="axisRow" fieldPosition="10"/>
    </format>
    <format dxfId="39">
      <pivotArea field="60" type="button" dataOnly="0" labelOnly="1" outline="0" axis="axisRow" fieldPosition="11"/>
    </format>
    <format dxfId="38">
      <pivotArea field="71" type="button" dataOnly="0" labelOnly="1" outline="0" axis="axisRow" fieldPosition="12"/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field="55" type="button" dataOnly="0" labelOnly="1" outline="0" axis="axisRow" fieldPosition="2"/>
    </format>
    <format dxfId="34">
      <pivotArea field="0" type="button" dataOnly="0" labelOnly="1" outline="0" axis="axisRow" fieldPosition="3"/>
    </format>
    <format dxfId="33">
      <pivotArea field="7" type="button" dataOnly="0" labelOnly="1" outline="0" axis="axisRow" fieldPosition="4"/>
    </format>
    <format dxfId="32">
      <pivotArea field="12" type="button" dataOnly="0" labelOnly="1" outline="0" axis="axisRow" fieldPosition="5"/>
    </format>
    <format dxfId="31">
      <pivotArea field="9" type="button" dataOnly="0" labelOnly="1" outline="0" axis="axisRow" fieldPosition="6"/>
    </format>
    <format dxfId="30">
      <pivotArea field="11" type="button" dataOnly="0" labelOnly="1" outline="0" axis="axisRow" fieldPosition="7"/>
    </format>
    <format dxfId="29">
      <pivotArea field="57" type="button" dataOnly="0" labelOnly="1" outline="0" axis="axisRow" fieldPosition="8"/>
    </format>
    <format dxfId="28">
      <pivotArea field="58" type="button" dataOnly="0" labelOnly="1" outline="0" axis="axisRow" fieldPosition="9"/>
    </format>
    <format dxfId="27">
      <pivotArea field="59" type="button" dataOnly="0" labelOnly="1" outline="0" axis="axisRow" fieldPosition="10"/>
    </format>
    <format dxfId="26">
      <pivotArea field="60" type="button" dataOnly="0" labelOnly="1" outline="0" axis="axisRow" fieldPosition="11"/>
    </format>
    <format dxfId="25">
      <pivotArea field="71" type="button" dataOnly="0" labelOnly="1" outline="0" axis="axisRow" fieldPosition="12"/>
    </format>
    <format dxfId="24">
      <pivotArea dataOnly="0" labelOnly="1" grandRow="1" outline="0" fieldPosition="0"/>
    </format>
    <format dxfId="23">
      <pivotArea outline="0" collapsedLevelsAreSubtotals="1" fieldPosition="0"/>
    </format>
    <format dxfId="22">
      <pivotArea field="55" type="button" dataOnly="0" labelOnly="1" outline="0" axis="axisRow" fieldPosition="2"/>
    </format>
    <format dxfId="21">
      <pivotArea field="0" type="button" dataOnly="0" labelOnly="1" outline="0" axis="axisRow" fieldPosition="3"/>
    </format>
    <format dxfId="20">
      <pivotArea field="7" type="button" dataOnly="0" labelOnly="1" outline="0" axis="axisRow" fieldPosition="4"/>
    </format>
    <format dxfId="19">
      <pivotArea field="12" type="button" dataOnly="0" labelOnly="1" outline="0" axis="axisRow" fieldPosition="5"/>
    </format>
    <format dxfId="18">
      <pivotArea field="9" type="button" dataOnly="0" labelOnly="1" outline="0" axis="axisRow" fieldPosition="6"/>
    </format>
    <format dxfId="17">
      <pivotArea field="11" type="button" dataOnly="0" labelOnly="1" outline="0" axis="axisRow" fieldPosition="7"/>
    </format>
    <format dxfId="16">
      <pivotArea field="57" type="button" dataOnly="0" labelOnly="1" outline="0" axis="axisRow" fieldPosition="8"/>
    </format>
    <format dxfId="15">
      <pivotArea field="58" type="button" dataOnly="0" labelOnly="1" outline="0" axis="axisRow" fieldPosition="9"/>
    </format>
    <format dxfId="14">
      <pivotArea field="59" type="button" dataOnly="0" labelOnly="1" outline="0" axis="axisRow" fieldPosition="10"/>
    </format>
    <format dxfId="13">
      <pivotArea field="60" type="button" dataOnly="0" labelOnly="1" outline="0" axis="axisRow" fieldPosition="11"/>
    </format>
    <format dxfId="12">
      <pivotArea field="71" type="button" dataOnly="0" labelOnly="1" outline="0" axis="axisRow" fieldPosition="12"/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gridDropZones="1" multipleFieldFilters="0">
  <location ref="C4:H31" firstHeaderRow="1" firstDataRow="2" firstDataCol="3" rowPageCount="1" colPageCount="1"/>
  <pivotFields count="165">
    <pivotField compact="0" outline="0" showAll="0"/>
    <pivotField axis="axisPage" compact="0" outline="0" multipleItemSelectionAllowed="1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2"/>
        <item x="3"/>
        <item m="1" x="4"/>
        <item m="1" x="5"/>
        <item t="default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3">
        <item x="1"/>
        <item x="2"/>
        <item x="0"/>
      </items>
    </pivotField>
    <pivotField axis="axisRow" compact="0" outline="0" showAll="0">
      <items count="15">
        <item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defaultSubtotal="0">
      <items count="3">
        <item x="1"/>
        <item h="1" x="0"/>
        <item h="1" x="2"/>
      </items>
    </pivotField>
  </pivotFields>
  <rowFields count="3">
    <field x="164"/>
    <field x="163"/>
    <field x="71"/>
  </rowFields>
  <rowItems count="26">
    <i>
      <x/>
      <x v="4"/>
      <x v="96"/>
    </i>
    <i r="2">
      <x v="103"/>
    </i>
    <i r="2">
      <x v="110"/>
    </i>
    <i r="2">
      <x v="117"/>
    </i>
    <i t="default" r="1">
      <x v="4"/>
    </i>
    <i r="1">
      <x v="5"/>
      <x v="124"/>
    </i>
    <i r="2">
      <x v="131"/>
    </i>
    <i r="2">
      <x v="138"/>
    </i>
    <i r="2">
      <x v="145"/>
    </i>
    <i r="2">
      <x v="152"/>
    </i>
    <i t="default" r="1">
      <x v="5"/>
    </i>
    <i r="1">
      <x v="6"/>
      <x v="159"/>
    </i>
    <i r="2">
      <x v="166"/>
    </i>
    <i r="2">
      <x v="180"/>
    </i>
    <i t="default" r="1">
      <x v="6"/>
    </i>
    <i r="1">
      <x v="7"/>
      <x v="187"/>
    </i>
    <i r="2">
      <x v="188"/>
    </i>
    <i r="2">
      <x v="194"/>
    </i>
    <i r="2">
      <x v="208"/>
    </i>
    <i t="default" r="1">
      <x v="7"/>
    </i>
    <i r="1">
      <x v="8"/>
      <x v="215"/>
    </i>
    <i r="2">
      <x v="216"/>
    </i>
    <i t="default" r="1">
      <x v="8"/>
    </i>
    <i r="1">
      <x v="9"/>
      <x v="257"/>
    </i>
    <i t="default" r="1">
      <x v="9"/>
    </i>
    <i t="grand">
      <x/>
    </i>
  </rowItems>
  <colFields count="1">
    <field x="160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Qty" fld="13" baseField="0" baseItem="0"/>
  </dataFields>
  <formats count="10">
    <format dxfId="10">
      <pivotArea field="71" type="button" dataOnly="0" labelOnly="1" outline="0" axis="axisRow" fieldPosition="2"/>
    </format>
    <format dxfId="9">
      <pivotArea dataOnly="0" labelOnly="1" grandCol="1" outline="0" fieldPosition="0"/>
    </format>
    <format dxfId="8">
      <pivotArea field="71" type="button" dataOnly="0" labelOnly="1" outline="0" axis="axisRow" fieldPosition="2"/>
    </format>
    <format dxfId="7">
      <pivotArea dataOnly="0" labelOnly="1" outline="0" fieldPosition="0">
        <references count="1">
          <reference field="160" count="3">
            <x v="0"/>
            <x v="1"/>
            <x v="2"/>
          </reference>
        </references>
      </pivotArea>
    </format>
    <format dxfId="6">
      <pivotArea dataOnly="0" labelOnly="1" grandCol="1" outline="0" fieldPosition="0"/>
    </format>
    <format dxfId="5">
      <pivotArea field="71" type="button" dataOnly="0" labelOnly="1" outline="0" axis="axisRow" fieldPosition="2"/>
    </format>
    <format dxfId="4">
      <pivotArea dataOnly="0" labelOnly="1" outline="0" fieldPosition="0">
        <references count="1">
          <reference field="160" count="3">
            <x v="0"/>
            <x v="1"/>
            <x v="2"/>
          </reference>
        </references>
      </pivotArea>
    </format>
    <format dxfId="3">
      <pivotArea dataOnly="0" labelOnly="1" grandCol="1" outline="0" fieldPosition="0"/>
    </format>
    <format dxfId="2">
      <pivotArea dataOnly="0" outline="0" fieldPosition="0">
        <references count="1">
          <reference field="163" count="0" defaultSubtotal="1"/>
        </references>
      </pivotArea>
    </format>
    <format dxfId="1">
      <pivotArea dataOnly="0" outline="0" fieldPosition="0">
        <references count="1">
          <reference field="163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I15" firstHeaderRow="2" firstDataRow="2" firstDataCol="8"/>
  <pivotFields count="16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48">
        <item m="1" x="111"/>
        <item m="1" x="126"/>
        <item m="1" x="210"/>
        <item x="47"/>
        <item x="20"/>
        <item m="1" x="179"/>
        <item m="1" x="229"/>
        <item m="1" x="242"/>
        <item x="65"/>
        <item x="60"/>
        <item m="1" x="154"/>
        <item m="1" x="170"/>
        <item m="1" x="128"/>
        <item m="1" x="120"/>
        <item m="1" x="109"/>
        <item m="1" x="180"/>
        <item m="1" x="146"/>
        <item x="39"/>
        <item x="18"/>
        <item m="1" x="133"/>
        <item m="1" x="218"/>
        <item x="48"/>
        <item x="21"/>
        <item m="1" x="188"/>
        <item m="1" x="233"/>
        <item m="1" x="99"/>
        <item x="66"/>
        <item x="61"/>
        <item m="1" x="156"/>
        <item m="1" x="174"/>
        <item m="1" x="130"/>
        <item m="1" x="122"/>
        <item m="1" x="113"/>
        <item m="1" x="189"/>
        <item m="1" x="150"/>
        <item x="40"/>
        <item x="19"/>
        <item m="1" x="136"/>
        <item x="45"/>
        <item x="3"/>
        <item x="92"/>
        <item m="1" x="205"/>
        <item x="4"/>
        <item m="1" x="162"/>
        <item x="49"/>
        <item m="1" x="211"/>
        <item x="50"/>
        <item x="52"/>
        <item m="1" x="206"/>
        <item x="93"/>
        <item m="1" x="225"/>
        <item m="1" x="112"/>
        <item x="91"/>
        <item x="5"/>
        <item x="30"/>
        <item m="1" x="212"/>
        <item x="31"/>
        <item m="1" x="215"/>
        <item x="53"/>
        <item m="1" x="140"/>
        <item m="1" x="181"/>
        <item x="51"/>
        <item m="1" x="226"/>
        <item m="1" x="157"/>
        <item m="1" x="235"/>
        <item m="1" x="114"/>
        <item m="1" x="230"/>
        <item x="54"/>
        <item m="1" x="106"/>
        <item m="1" x="208"/>
        <item x="22"/>
        <item m="1" x="243"/>
        <item x="44"/>
        <item m="1" x="182"/>
        <item m="1" x="115"/>
        <item m="1" x="199"/>
        <item x="23"/>
        <item x="67"/>
        <item m="1" x="231"/>
        <item x="46"/>
        <item m="1" x="129"/>
        <item m="1" x="151"/>
        <item m="1" x="121"/>
        <item m="1" x="194"/>
        <item m="1" x="142"/>
        <item m="1" x="100"/>
        <item m="1" x="163"/>
        <item m="1" x="158"/>
        <item x="56"/>
        <item x="29"/>
        <item m="1" x="143"/>
        <item x="24"/>
        <item m="1" x="213"/>
        <item m="1" x="204"/>
        <item m="1" x="216"/>
        <item x="25"/>
        <item x="26"/>
        <item m="1" x="227"/>
        <item m="1" x="175"/>
        <item m="1" x="159"/>
        <item m="1" x="123"/>
        <item m="1" x="137"/>
        <item m="1" x="236"/>
        <item m="1" x="152"/>
        <item m="1" x="183"/>
        <item m="1" x="135"/>
        <item m="1" x="172"/>
        <item m="1" x="131"/>
        <item m="1" x="166"/>
        <item m="1" x="219"/>
        <item m="1" x="176"/>
        <item m="1" x="134"/>
        <item m="1" x="232"/>
        <item m="1" x="177"/>
        <item m="1" x="240"/>
        <item m="1" x="237"/>
        <item m="1" x="190"/>
        <item m="1" x="223"/>
        <item m="1" x="169"/>
        <item m="1" x="124"/>
        <item m="1" x="160"/>
        <item m="1" x="116"/>
        <item m="1" x="102"/>
        <item m="1" x="117"/>
        <item m="1" x="173"/>
        <item m="1" x="234"/>
        <item m="1" x="186"/>
        <item m="1" x="197"/>
        <item x="7"/>
        <item x="8"/>
        <item m="1" x="200"/>
        <item m="1" x="101"/>
        <item m="1" x="209"/>
        <item m="1" x="171"/>
        <item x="9"/>
        <item x="10"/>
        <item m="1" x="239"/>
        <item x="41"/>
        <item x="57"/>
        <item x="27"/>
        <item x="62"/>
        <item x="28"/>
        <item x="55"/>
        <item x="58"/>
        <item x="63"/>
        <item x="0"/>
        <item m="1" x="228"/>
        <item m="1" x="155"/>
        <item m="1" x="138"/>
        <item m="1" x="244"/>
        <item m="1" x="165"/>
        <item x="6"/>
        <item m="1" x="195"/>
        <item m="1" x="118"/>
        <item m="1" x="221"/>
        <item m="1" x="132"/>
        <item m="1" x="107"/>
        <item m="1" x="127"/>
        <item m="1" x="184"/>
        <item m="1" x="201"/>
        <item m="1" x="147"/>
        <item x="64"/>
        <item m="1" x="110"/>
        <item m="1" x="191"/>
        <item m="1" x="178"/>
        <item m="1" x="245"/>
        <item m="1" x="104"/>
        <item m="1" x="241"/>
        <item x="69"/>
        <item x="68"/>
        <item m="1" x="192"/>
        <item m="1" x="141"/>
        <item m="1" x="98"/>
        <item m="1" x="220"/>
        <item m="1" x="164"/>
        <item m="1" x="119"/>
        <item m="1" x="187"/>
        <item m="1" x="125"/>
        <item m="1" x="196"/>
        <item x="59"/>
        <item m="1" x="139"/>
        <item x="42"/>
        <item x="32"/>
        <item x="43"/>
        <item x="38"/>
        <item m="1" x="144"/>
        <item m="1" x="207"/>
        <item m="1" x="214"/>
        <item x="33"/>
        <item m="1" x="167"/>
        <item m="1" x="238"/>
        <item m="1" x="105"/>
        <item m="1" x="217"/>
        <item m="1" x="222"/>
        <item m="1" x="168"/>
        <item m="1" x="202"/>
        <item m="1" x="224"/>
        <item x="34"/>
        <item x="35"/>
        <item x="36"/>
        <item m="1" x="153"/>
        <item m="1" x="193"/>
        <item m="1" x="185"/>
        <item x="2"/>
        <item x="1"/>
        <item m="1" x="246"/>
        <item m="1" x="203"/>
        <item m="1" x="148"/>
        <item m="1" x="108"/>
        <item m="1" x="198"/>
        <item m="1" x="145"/>
        <item m="1" x="161"/>
        <item m="1" x="247"/>
        <item m="1" x="149"/>
        <item m="1" x="103"/>
        <item x="11"/>
        <item x="14"/>
        <item x="13"/>
        <item x="15"/>
        <item x="12"/>
        <item x="16"/>
        <item x="37"/>
        <item x="17"/>
        <item x="97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4"/>
        <item x="95"/>
        <item x="96"/>
      </items>
    </pivotField>
    <pivotField axis="axisRow" compact="0" outline="0" showAll="0" defaultSubtotal="0">
      <items count="151">
        <item x="52"/>
        <item x="53"/>
        <item x="42"/>
        <item x="36"/>
        <item x="37"/>
        <item x="41"/>
        <item x="7"/>
        <item m="1" x="110"/>
        <item x="40"/>
        <item x="39"/>
        <item m="1" x="67"/>
        <item m="1" x="139"/>
        <item x="34"/>
        <item m="1" x="92"/>
        <item m="1" x="102"/>
        <item x="46"/>
        <item x="35"/>
        <item m="1" x="85"/>
        <item m="1" x="100"/>
        <item m="1" x="87"/>
        <item m="1" x="143"/>
        <item x="32"/>
        <item m="1" x="128"/>
        <item m="1" x="83"/>
        <item m="1" x="76"/>
        <item m="1" x="135"/>
        <item m="1" x="68"/>
        <item m="1" x="75"/>
        <item m="1" x="148"/>
        <item x="1"/>
        <item m="1" x="91"/>
        <item m="1" x="114"/>
        <item m="1" x="103"/>
        <item m="1" x="98"/>
        <item m="1" x="138"/>
        <item m="1" x="119"/>
        <item m="1" x="126"/>
        <item m="1" x="149"/>
        <item m="1" x="106"/>
        <item m="1" x="122"/>
        <item m="1" x="89"/>
        <item x="22"/>
        <item m="1" x="90"/>
        <item m="1" x="88"/>
        <item m="1" x="101"/>
        <item m="1" x="108"/>
        <item x="23"/>
        <item x="20"/>
        <item x="43"/>
        <item m="1" x="115"/>
        <item m="1" x="81"/>
        <item m="1" x="71"/>
        <item m="1" x="66"/>
        <item m="1" x="136"/>
        <item m="1" x="127"/>
        <item m="1" x="72"/>
        <item x="18"/>
        <item m="1" x="107"/>
        <item m="1" x="80"/>
        <item m="1" x="130"/>
        <item m="1" x="116"/>
        <item m="1" x="94"/>
        <item m="1" x="73"/>
        <item m="1" x="150"/>
        <item m="1" x="133"/>
        <item m="1" x="97"/>
        <item m="1" x="105"/>
        <item m="1" x="64"/>
        <item m="1" x="70"/>
        <item x="50"/>
        <item x="26"/>
        <item x="25"/>
        <item x="44"/>
        <item x="24"/>
        <item x="21"/>
        <item m="1" x="118"/>
        <item m="1" x="69"/>
        <item m="1" x="109"/>
        <item m="1" x="74"/>
        <item m="1" x="77"/>
        <item x="33"/>
        <item m="1" x="140"/>
        <item m="1" x="141"/>
        <item m="1" x="120"/>
        <item m="1" x="147"/>
        <item m="1" x="99"/>
        <item m="1" x="63"/>
        <item m="1" x="111"/>
        <item m="1" x="86"/>
        <item m="1" x="134"/>
        <item m="1" x="117"/>
        <item m="1" x="144"/>
        <item m="1" x="65"/>
        <item m="1" x="125"/>
        <item m="1" x="131"/>
        <item m="1" x="95"/>
        <item m="1" x="123"/>
        <item m="1" x="96"/>
        <item m="1" x="62"/>
        <item m="1" x="145"/>
        <item m="1" x="142"/>
        <item m="1" x="112"/>
        <item m="1" x="146"/>
        <item m="1" x="93"/>
        <item m="1" x="104"/>
        <item m="1" x="129"/>
        <item m="1" x="137"/>
        <item m="1" x="113"/>
        <item x="10"/>
        <item x="0"/>
        <item x="9"/>
        <item x="8"/>
        <item x="48"/>
        <item x="51"/>
        <item x="49"/>
        <item x="19"/>
        <item x="30"/>
        <item x="2"/>
        <item x="3"/>
        <item x="11"/>
        <item x="14"/>
        <item x="13"/>
        <item x="15"/>
        <item x="12"/>
        <item x="16"/>
        <item x="27"/>
        <item x="28"/>
        <item x="45"/>
        <item x="47"/>
        <item x="31"/>
        <item x="56"/>
        <item x="54"/>
        <item x="55"/>
        <item x="29"/>
        <item x="17"/>
        <item x="57"/>
        <item m="1" x="121"/>
        <item m="1" x="124"/>
        <item m="1" x="132"/>
        <item m="1" x="79"/>
        <item m="1" x="84"/>
        <item x="5"/>
        <item x="4"/>
        <item x="58"/>
        <item x="6"/>
        <item x="59"/>
        <item x="38"/>
        <item m="1" x="78"/>
        <item m="1" x="82"/>
        <item x="61"/>
        <item x="60"/>
      </items>
    </pivotField>
    <pivotField compact="0" outline="0" showAll="0"/>
    <pivotField axis="axisRow" compact="0" outline="0" showAll="0" defaultSubtotal="0">
      <items count="99">
        <item m="1" x="40"/>
        <item m="1" x="65"/>
        <item m="1" x="38"/>
        <item m="1" x="45"/>
        <item x="25"/>
        <item x="36"/>
        <item x="4"/>
        <item m="1" x="81"/>
        <item m="1" x="57"/>
        <item x="7"/>
        <item m="1" x="86"/>
        <item m="1" x="91"/>
        <item m="1" x="55"/>
        <item m="1" x="97"/>
        <item m="1" x="83"/>
        <item x="31"/>
        <item x="16"/>
        <item m="1" x="87"/>
        <item x="13"/>
        <item x="0"/>
        <item m="1" x="92"/>
        <item x="34"/>
        <item x="6"/>
        <item m="1" x="94"/>
        <item x="5"/>
        <item m="1" x="48"/>
        <item x="26"/>
        <item x="23"/>
        <item m="1" x="49"/>
        <item m="1" x="95"/>
        <item m="1" x="74"/>
        <item m="1" x="85"/>
        <item x="24"/>
        <item m="1" x="66"/>
        <item m="1" x="96"/>
        <item x="8"/>
        <item m="1" x="47"/>
        <item m="1" x="41"/>
        <item m="1" x="67"/>
        <item m="1" x="84"/>
        <item m="1" x="39"/>
        <item m="1" x="89"/>
        <item m="1" x="69"/>
        <item m="1" x="62"/>
        <item m="1" x="82"/>
        <item m="1" x="71"/>
        <item m="1" x="60"/>
        <item m="1" x="90"/>
        <item m="1" x="58"/>
        <item x="9"/>
        <item m="1" x="61"/>
        <item m="1" x="68"/>
        <item x="27"/>
        <item x="14"/>
        <item x="28"/>
        <item x="20"/>
        <item m="1" x="63"/>
        <item x="21"/>
        <item m="1" x="79"/>
        <item m="1" x="51"/>
        <item x="10"/>
        <item x="17"/>
        <item x="19"/>
        <item m="1" x="42"/>
        <item m="1" x="44"/>
        <item m="1" x="54"/>
        <item x="18"/>
        <item m="1" x="78"/>
        <item m="1" x="72"/>
        <item x="1"/>
        <item m="1" x="53"/>
        <item m="1" x="80"/>
        <item x="22"/>
        <item m="1" x="50"/>
        <item m="1" x="98"/>
        <item m="1" x="88"/>
        <item x="12"/>
        <item m="1" x="43"/>
        <item m="1" x="93"/>
        <item m="1" x="37"/>
        <item m="1" x="70"/>
        <item m="1" x="64"/>
        <item x="15"/>
        <item x="3"/>
        <item m="1" x="75"/>
        <item m="1" x="56"/>
        <item m="1" x="76"/>
        <item m="1" x="52"/>
        <item m="1" x="46"/>
        <item m="1" x="73"/>
        <item m="1" x="59"/>
        <item m="1" x="77"/>
        <item x="2"/>
        <item x="11"/>
        <item x="29"/>
        <item x="30"/>
        <item x="32"/>
        <item x="33"/>
        <item x="35"/>
      </items>
    </pivotField>
    <pivotField axis="axisRow" compact="0" outline="0" showAll="0">
      <items count="220">
        <item m="1" x="88"/>
        <item x="22"/>
        <item x="24"/>
        <item x="23"/>
        <item m="1" x="199"/>
        <item m="1" x="200"/>
        <item m="1" x="196"/>
        <item m="1" x="206"/>
        <item m="1" x="178"/>
        <item m="1" x="215"/>
        <item m="1" x="183"/>
        <item m="1" x="186"/>
        <item m="1" x="207"/>
        <item m="1" x="116"/>
        <item m="1" x="151"/>
        <item x="6"/>
        <item m="1" x="179"/>
        <item m="1" x="192"/>
        <item m="1" x="100"/>
        <item m="1" x="94"/>
        <item m="1" x="131"/>
        <item m="1" x="137"/>
        <item m="1" x="172"/>
        <item m="1" x="194"/>
        <item m="1" x="184"/>
        <item x="52"/>
        <item m="1" x="198"/>
        <item m="1" x="120"/>
        <item m="1" x="213"/>
        <item m="1" x="111"/>
        <item m="1" x="208"/>
        <item m="1" x="104"/>
        <item m="1" x="171"/>
        <item m="1" x="185"/>
        <item m="1" x="201"/>
        <item m="1" x="140"/>
        <item m="1" x="107"/>
        <item m="1" x="204"/>
        <item m="1" x="134"/>
        <item m="1" x="148"/>
        <item m="1" x="170"/>
        <item m="1" x="149"/>
        <item m="1" x="103"/>
        <item x="28"/>
        <item m="1" x="87"/>
        <item x="39"/>
        <item m="1" x="189"/>
        <item m="1" x="95"/>
        <item m="1" x="138"/>
        <item m="1" x="102"/>
        <item m="1" x="210"/>
        <item m="1" x="143"/>
        <item m="1" x="113"/>
        <item m="1" x="83"/>
        <item x="32"/>
        <item m="1" x="123"/>
        <item x="14"/>
        <item m="1" x="114"/>
        <item m="1" x="212"/>
        <item m="1" x="216"/>
        <item m="1" x="169"/>
        <item m="1" x="197"/>
        <item x="33"/>
        <item m="1" x="177"/>
        <item m="1" x="82"/>
        <item m="1" x="119"/>
        <item x="12"/>
        <item x="35"/>
        <item x="34"/>
        <item m="1" x="193"/>
        <item m="1" x="117"/>
        <item x="11"/>
        <item x="13"/>
        <item m="1" x="98"/>
        <item m="1" x="155"/>
        <item m="1" x="128"/>
        <item m="1" x="150"/>
        <item x="40"/>
        <item m="1" x="139"/>
        <item x="41"/>
        <item m="1" x="122"/>
        <item m="1" x="127"/>
        <item m="1" x="154"/>
        <item m="1" x="108"/>
        <item m="1" x="112"/>
        <item m="1" x="147"/>
        <item m="1" x="124"/>
        <item m="1" x="168"/>
        <item m="1" x="217"/>
        <item x="64"/>
        <item x="71"/>
        <item m="1" x="160"/>
        <item x="67"/>
        <item x="69"/>
        <item x="37"/>
        <item x="36"/>
        <item m="1" x="92"/>
        <item x="29"/>
        <item x="66"/>
        <item x="63"/>
        <item m="1" x="129"/>
        <item m="1" x="176"/>
        <item m="1" x="218"/>
        <item m="1" x="152"/>
        <item m="1" x="162"/>
        <item m="1" x="101"/>
        <item m="1" x="130"/>
        <item m="1" x="93"/>
        <item m="1" x="214"/>
        <item m="1" x="109"/>
        <item m="1" x="90"/>
        <item m="1" x="181"/>
        <item m="1" x="144"/>
        <item m="1" x="158"/>
        <item m="1" x="125"/>
        <item m="1" x="187"/>
        <item m="1" x="133"/>
        <item m="1" x="156"/>
        <item m="1" x="106"/>
        <item m="1" x="97"/>
        <item m="1" x="132"/>
        <item m="1" x="191"/>
        <item m="1" x="141"/>
        <item m="1" x="126"/>
        <item m="1" x="174"/>
        <item m="1" x="142"/>
        <item x="9"/>
        <item x="0"/>
        <item x="3"/>
        <item x="2"/>
        <item x="1"/>
        <item x="10"/>
        <item m="1" x="180"/>
        <item x="48"/>
        <item x="49"/>
        <item x="47"/>
        <item x="70"/>
        <item x="72"/>
        <item x="65"/>
        <item x="50"/>
        <item x="45"/>
        <item x="44"/>
        <item x="43"/>
        <item x="42"/>
        <item x="73"/>
        <item x="51"/>
        <item m="1" x="91"/>
        <item m="1" x="159"/>
        <item m="1" x="167"/>
        <item x="77"/>
        <item m="1" x="146"/>
        <item m="1" x="121"/>
        <item m="1" x="145"/>
        <item x="79"/>
        <item x="54"/>
        <item x="55"/>
        <item x="7"/>
        <item x="60"/>
        <item x="5"/>
        <item x="8"/>
        <item x="56"/>
        <item m="1" x="86"/>
        <item m="1" x="136"/>
        <item m="1" x="161"/>
        <item m="1" x="203"/>
        <item m="1" x="202"/>
        <item m="1" x="165"/>
        <item x="62"/>
        <item m="1" x="182"/>
        <item m="1" x="99"/>
        <item m="1" x="166"/>
        <item m="1" x="153"/>
        <item x="61"/>
        <item m="1" x="175"/>
        <item m="1" x="81"/>
        <item m="1" x="164"/>
        <item m="1" x="105"/>
        <item m="1" x="115"/>
        <item m="1" x="188"/>
        <item x="25"/>
        <item m="1" x="84"/>
        <item m="1" x="96"/>
        <item m="1" x="85"/>
        <item x="30"/>
        <item x="53"/>
        <item m="1" x="195"/>
        <item m="1" x="211"/>
        <item x="74"/>
        <item x="26"/>
        <item x="58"/>
        <item x="31"/>
        <item m="1" x="118"/>
        <item m="1" x="205"/>
        <item x="57"/>
        <item m="1" x="135"/>
        <item x="15"/>
        <item x="18"/>
        <item x="17"/>
        <item x="19"/>
        <item x="16"/>
        <item x="20"/>
        <item x="46"/>
        <item x="21"/>
        <item m="1" x="163"/>
        <item m="1" x="209"/>
        <item x="68"/>
        <item m="1" x="190"/>
        <item x="38"/>
        <item x="59"/>
        <item m="1" x="157"/>
        <item x="27"/>
        <item x="4"/>
        <item m="1" x="173"/>
        <item m="1" x="89"/>
        <item m="1" x="110"/>
        <item x="80"/>
        <item x="75"/>
        <item x="76"/>
        <item x="7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h="1" x="0"/>
        <item x="2"/>
        <item h="1" m="1" x="5"/>
        <item h="1" m="1" x="4"/>
        <item h="1" m="1" x="3"/>
        <item h="1" m="1" x="6"/>
        <item h="1" m="1" x="7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h="1" x="0"/>
        <item h="1" x="1"/>
        <item h="1" x="2"/>
        <item h="1" x="3"/>
        <item x="4"/>
        <item x="5"/>
        <item x="6"/>
        <item x="7"/>
        <item h="1" x="8"/>
        <item h="1" x="9"/>
        <item h="1" x="10"/>
        <item h="1" x="11"/>
        <item h="1" x="12"/>
        <item h="1" x="13"/>
      </items>
    </pivotField>
    <pivotField axis="axisRow" compact="0" outline="0" showAll="0" defaultSubtotal="0">
      <items count="3">
        <item x="1"/>
        <item h="1" x="0"/>
        <item h="1" x="2"/>
      </items>
    </pivotField>
  </pivotFields>
  <rowFields count="8">
    <field x="164"/>
    <field x="163"/>
    <field x="71"/>
    <field x="57"/>
    <field x="8"/>
    <field x="11"/>
    <field x="9"/>
    <field x="12"/>
  </rowFields>
  <rowItems count="11">
    <i>
      <x/>
      <x v="4"/>
      <x v="117"/>
      <x v="1"/>
      <x v="140"/>
      <x v="35"/>
      <x v="73"/>
      <x v="92"/>
    </i>
    <i t="default" r="3">
      <x v="1"/>
    </i>
    <i r="1">
      <x v="5"/>
      <x v="131"/>
      <x v="1"/>
      <x v="137"/>
      <x v="27"/>
      <x v="129"/>
      <x v="139"/>
    </i>
    <i r="4">
      <x v="140"/>
      <x v="35"/>
      <x v="73"/>
      <x v="92"/>
    </i>
    <i r="4">
      <x v="179"/>
      <x v="54"/>
      <x v="126"/>
      <x v="211"/>
    </i>
    <i t="default" r="3">
      <x v="1"/>
    </i>
    <i r="2">
      <x v="145"/>
      <x v="1"/>
      <x v="184"/>
      <x v="72"/>
      <x v="126"/>
      <x v="211"/>
    </i>
    <i t="default" r="3">
      <x v="1"/>
    </i>
    <i r="1">
      <x v="7"/>
      <x v="194"/>
      <x v="1"/>
      <x v="77"/>
      <x v="49"/>
      <x v="69"/>
      <x v="43"/>
    </i>
    <i t="default" r="3">
      <x v="1"/>
    </i>
    <i t="grand">
      <x/>
    </i>
  </rowItems>
  <colItems count="1">
    <i/>
  </colItems>
  <dataFields count="1">
    <dataField name="Sum of Qty" fld="13" baseField="8" baseItem="8"/>
  </dataFields>
  <formats count="1">
    <format dxfId="0">
      <pivotArea dataOnly="0" outline="0" fieldPosition="0">
        <references count="1">
          <reference field="57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6"/>
  <sheetViews>
    <sheetView workbookViewId="0">
      <selection activeCell="L9" sqref="L9"/>
    </sheetView>
  </sheetViews>
  <sheetFormatPr defaultColWidth="19.140625" defaultRowHeight="15" x14ac:dyDescent="0.25"/>
  <cols>
    <col min="1" max="1" width="9.140625" style="77" customWidth="1"/>
    <col min="2" max="2" width="9.7109375" style="77" customWidth="1"/>
    <col min="3" max="3" width="10.42578125" style="77" customWidth="1"/>
    <col min="4" max="4" width="17.5703125" style="77" customWidth="1"/>
    <col min="5" max="5" width="16.7109375" style="77" customWidth="1"/>
    <col min="6" max="6" width="34.28515625" style="77" bestFit="1" customWidth="1"/>
    <col min="7" max="7" width="17.7109375" style="77" bestFit="1" customWidth="1"/>
    <col min="8" max="8" width="18.140625" style="77" customWidth="1"/>
    <col min="9" max="9" width="16.42578125" style="77" customWidth="1"/>
    <col min="10" max="11" width="6" style="77" customWidth="1"/>
    <col min="12" max="12" width="19.140625" style="77" customWidth="1"/>
    <col min="13" max="13" width="27.7109375" style="77" customWidth="1"/>
    <col min="14" max="14" width="10.42578125" style="77" customWidth="1"/>
    <col min="15" max="15" width="7.42578125" style="77" customWidth="1"/>
    <col min="16" max="16384" width="19.140625" style="77"/>
  </cols>
  <sheetData>
    <row r="1" spans="1:15" x14ac:dyDescent="0.25">
      <c r="A1"/>
      <c r="B1"/>
      <c r="F1" s="78"/>
    </row>
    <row r="3" spans="1:15" x14ac:dyDescent="0.25">
      <c r="A3" s="83" t="s">
        <v>611</v>
      </c>
      <c r="K3"/>
      <c r="L3"/>
      <c r="M3"/>
      <c r="N3"/>
      <c r="O3"/>
    </row>
    <row r="4" spans="1:15" s="79" customFormat="1" ht="38.25" customHeight="1" x14ac:dyDescent="0.25">
      <c r="A4" s="86" t="s">
        <v>824</v>
      </c>
      <c r="B4" s="86" t="s">
        <v>608</v>
      </c>
      <c r="C4" s="86" t="s">
        <v>612</v>
      </c>
      <c r="D4" s="86" t="s">
        <v>5</v>
      </c>
      <c r="E4" s="86" t="s">
        <v>12</v>
      </c>
      <c r="F4" s="86" t="s">
        <v>17</v>
      </c>
      <c r="G4" s="86" t="s">
        <v>30</v>
      </c>
      <c r="H4" s="86" t="s">
        <v>29</v>
      </c>
      <c r="I4" s="86" t="s">
        <v>145</v>
      </c>
      <c r="J4" s="77" t="s">
        <v>613</v>
      </c>
      <c r="K4" s="80"/>
      <c r="L4" s="80"/>
      <c r="M4" s="80"/>
      <c r="N4" s="80"/>
      <c r="O4" s="80"/>
    </row>
    <row r="5" spans="1:15" x14ac:dyDescent="0.25">
      <c r="A5" s="81" t="s">
        <v>825</v>
      </c>
      <c r="B5" s="81" t="s">
        <v>620</v>
      </c>
      <c r="C5" s="81" t="s">
        <v>623</v>
      </c>
      <c r="D5" s="81" t="s">
        <v>498</v>
      </c>
      <c r="E5" s="104" t="s">
        <v>500</v>
      </c>
      <c r="F5" s="104" t="s">
        <v>503</v>
      </c>
      <c r="G5" s="104" t="s">
        <v>373</v>
      </c>
      <c r="H5" s="104" t="s">
        <v>162</v>
      </c>
      <c r="I5" s="104" t="s">
        <v>176</v>
      </c>
      <c r="J5" s="84">
        <v>241</v>
      </c>
      <c r="K5"/>
      <c r="L5"/>
      <c r="M5"/>
      <c r="N5"/>
      <c r="O5"/>
    </row>
    <row r="6" spans="1:15" x14ac:dyDescent="0.25">
      <c r="A6" s="81" t="s">
        <v>825</v>
      </c>
      <c r="B6" s="81" t="s">
        <v>620</v>
      </c>
      <c r="C6" s="81" t="s">
        <v>623</v>
      </c>
      <c r="D6" s="81" t="s">
        <v>507</v>
      </c>
      <c r="E6" s="104" t="s">
        <v>509</v>
      </c>
      <c r="F6" s="104" t="s">
        <v>512</v>
      </c>
      <c r="G6" s="77" t="s">
        <v>373</v>
      </c>
      <c r="H6" s="77" t="s">
        <v>162</v>
      </c>
      <c r="I6" s="104" t="s">
        <v>176</v>
      </c>
      <c r="J6" s="84">
        <v>1204</v>
      </c>
      <c r="K6"/>
      <c r="L6"/>
      <c r="M6"/>
      <c r="N6"/>
      <c r="O6"/>
    </row>
    <row r="7" spans="1:15" x14ac:dyDescent="0.25">
      <c r="A7" s="81" t="s">
        <v>825</v>
      </c>
      <c r="B7" s="81" t="s">
        <v>620</v>
      </c>
      <c r="C7" s="81" t="s">
        <v>623</v>
      </c>
      <c r="D7" s="81" t="s">
        <v>516</v>
      </c>
      <c r="E7" s="104" t="s">
        <v>518</v>
      </c>
      <c r="F7" s="104" t="s">
        <v>521</v>
      </c>
      <c r="G7" s="77" t="s">
        <v>373</v>
      </c>
      <c r="H7" s="77" t="s">
        <v>162</v>
      </c>
      <c r="I7" s="104" t="s">
        <v>176</v>
      </c>
      <c r="J7" s="84">
        <v>141</v>
      </c>
      <c r="K7"/>
      <c r="L7"/>
      <c r="M7"/>
      <c r="N7"/>
      <c r="O7"/>
    </row>
    <row r="8" spans="1:15" x14ac:dyDescent="0.25">
      <c r="A8" s="81" t="s">
        <v>825</v>
      </c>
      <c r="B8" s="81" t="s">
        <v>620</v>
      </c>
      <c r="C8" s="81" t="s">
        <v>623</v>
      </c>
      <c r="D8" s="81" t="s">
        <v>523</v>
      </c>
      <c r="E8" s="104" t="s">
        <v>524</v>
      </c>
      <c r="F8" s="104" t="s">
        <v>525</v>
      </c>
      <c r="G8" s="77" t="s">
        <v>373</v>
      </c>
      <c r="H8" s="77" t="s">
        <v>162</v>
      </c>
      <c r="I8" s="104" t="s">
        <v>176</v>
      </c>
      <c r="J8" s="84">
        <v>211</v>
      </c>
      <c r="K8"/>
      <c r="L8"/>
      <c r="M8"/>
      <c r="N8"/>
      <c r="O8"/>
    </row>
    <row r="9" spans="1:15" x14ac:dyDescent="0.25">
      <c r="A9" s="81" t="s">
        <v>825</v>
      </c>
      <c r="B9" s="81" t="s">
        <v>620</v>
      </c>
      <c r="C9" s="81" t="s">
        <v>623</v>
      </c>
      <c r="D9" s="81" t="s">
        <v>527</v>
      </c>
      <c r="E9" s="104" t="s">
        <v>528</v>
      </c>
      <c r="F9" s="104" t="s">
        <v>529</v>
      </c>
      <c r="G9" s="77" t="s">
        <v>373</v>
      </c>
      <c r="H9" s="77" t="s">
        <v>162</v>
      </c>
      <c r="I9" s="104" t="s">
        <v>176</v>
      </c>
      <c r="J9" s="84">
        <v>90</v>
      </c>
      <c r="K9"/>
      <c r="L9"/>
      <c r="M9"/>
      <c r="N9"/>
      <c r="O9"/>
    </row>
    <row r="10" spans="1:15" x14ac:dyDescent="0.25">
      <c r="A10" s="81" t="s">
        <v>825</v>
      </c>
      <c r="B10" s="81" t="s">
        <v>620</v>
      </c>
      <c r="C10" s="81" t="s">
        <v>623</v>
      </c>
      <c r="D10" s="81" t="s">
        <v>531</v>
      </c>
      <c r="E10" s="104" t="s">
        <v>533</v>
      </c>
      <c r="F10" s="104" t="s">
        <v>535</v>
      </c>
      <c r="G10" s="77" t="s">
        <v>373</v>
      </c>
      <c r="H10" s="77" t="s">
        <v>162</v>
      </c>
      <c r="I10" s="104" t="s">
        <v>176</v>
      </c>
      <c r="J10" s="84">
        <v>35</v>
      </c>
      <c r="K10"/>
      <c r="L10"/>
      <c r="M10"/>
      <c r="N10"/>
      <c r="O10"/>
    </row>
    <row r="11" spans="1:15" x14ac:dyDescent="0.25">
      <c r="A11" s="81" t="s">
        <v>825</v>
      </c>
      <c r="B11" s="81" t="s">
        <v>620</v>
      </c>
      <c r="C11" s="81" t="s">
        <v>623</v>
      </c>
      <c r="D11" s="81" t="s">
        <v>478</v>
      </c>
      <c r="E11" s="104" t="s">
        <v>316</v>
      </c>
      <c r="F11" s="104" t="s">
        <v>187</v>
      </c>
      <c r="G11" s="104" t="s">
        <v>191</v>
      </c>
      <c r="H11" s="104" t="s">
        <v>320</v>
      </c>
      <c r="I11" s="104" t="s">
        <v>176</v>
      </c>
      <c r="J11" s="84">
        <v>253</v>
      </c>
      <c r="K11"/>
      <c r="L11"/>
      <c r="M11"/>
      <c r="N11"/>
      <c r="O11"/>
    </row>
    <row r="12" spans="1:15" x14ac:dyDescent="0.25">
      <c r="A12" s="81" t="s">
        <v>825</v>
      </c>
      <c r="B12" s="81" t="s">
        <v>620</v>
      </c>
      <c r="C12" s="81" t="s">
        <v>623</v>
      </c>
      <c r="D12" s="81" t="s">
        <v>470</v>
      </c>
      <c r="E12" s="104" t="s">
        <v>182</v>
      </c>
      <c r="F12" s="77" t="s">
        <v>187</v>
      </c>
      <c r="G12" s="77" t="s">
        <v>191</v>
      </c>
      <c r="H12" s="104" t="s">
        <v>190</v>
      </c>
      <c r="I12" s="104" t="s">
        <v>176</v>
      </c>
      <c r="J12" s="84">
        <v>200</v>
      </c>
      <c r="K12"/>
      <c r="L12"/>
      <c r="M12"/>
      <c r="N12"/>
      <c r="O12"/>
    </row>
    <row r="13" spans="1:15" x14ac:dyDescent="0.25">
      <c r="A13" s="81" t="s">
        <v>825</v>
      </c>
      <c r="B13" s="81" t="s">
        <v>620</v>
      </c>
      <c r="C13" s="81" t="s">
        <v>623</v>
      </c>
      <c r="D13" s="81" t="s">
        <v>537</v>
      </c>
      <c r="E13" s="104" t="s">
        <v>538</v>
      </c>
      <c r="F13" s="104" t="s">
        <v>540</v>
      </c>
      <c r="G13" s="77" t="s">
        <v>191</v>
      </c>
      <c r="H13" s="104" t="s">
        <v>320</v>
      </c>
      <c r="I13" s="104" t="s">
        <v>176</v>
      </c>
      <c r="J13" s="84">
        <v>1060</v>
      </c>
      <c r="K13"/>
      <c r="L13"/>
      <c r="M13"/>
      <c r="N13"/>
      <c r="O13"/>
    </row>
    <row r="14" spans="1:15" x14ac:dyDescent="0.25">
      <c r="A14" s="81" t="s">
        <v>825</v>
      </c>
      <c r="B14" s="81" t="s">
        <v>620</v>
      </c>
      <c r="C14" s="81" t="s">
        <v>623</v>
      </c>
      <c r="D14" s="81" t="s">
        <v>543</v>
      </c>
      <c r="E14" s="104" t="s">
        <v>544</v>
      </c>
      <c r="F14" s="104" t="s">
        <v>545</v>
      </c>
      <c r="G14" s="77" t="s">
        <v>191</v>
      </c>
      <c r="H14" s="77" t="s">
        <v>320</v>
      </c>
      <c r="I14" s="104" t="s">
        <v>176</v>
      </c>
      <c r="J14" s="84">
        <v>846</v>
      </c>
      <c r="K14"/>
      <c r="L14"/>
      <c r="M14"/>
      <c r="N14"/>
      <c r="O14"/>
    </row>
    <row r="15" spans="1:15" x14ac:dyDescent="0.25">
      <c r="A15" s="81" t="s">
        <v>825</v>
      </c>
      <c r="B15" s="81" t="s">
        <v>620</v>
      </c>
      <c r="C15" s="81" t="s">
        <v>623</v>
      </c>
      <c r="D15" s="81" t="s">
        <v>547</v>
      </c>
      <c r="E15" s="104" t="s">
        <v>548</v>
      </c>
      <c r="F15" s="104" t="s">
        <v>549</v>
      </c>
      <c r="G15" s="77" t="s">
        <v>191</v>
      </c>
      <c r="H15" s="77" t="s">
        <v>320</v>
      </c>
      <c r="I15" s="104" t="s">
        <v>176</v>
      </c>
      <c r="J15" s="84">
        <v>846</v>
      </c>
      <c r="K15"/>
      <c r="L15"/>
      <c r="M15"/>
      <c r="N15"/>
      <c r="O15"/>
    </row>
    <row r="16" spans="1:15" x14ac:dyDescent="0.25">
      <c r="A16" s="81" t="s">
        <v>825</v>
      </c>
      <c r="B16" s="81" t="s">
        <v>620</v>
      </c>
      <c r="C16" s="81" t="s">
        <v>623</v>
      </c>
      <c r="D16" s="81" t="s">
        <v>551</v>
      </c>
      <c r="E16" s="104" t="s">
        <v>552</v>
      </c>
      <c r="F16" s="104" t="s">
        <v>553</v>
      </c>
      <c r="G16" s="77" t="s">
        <v>191</v>
      </c>
      <c r="H16" s="77" t="s">
        <v>320</v>
      </c>
      <c r="I16" s="104" t="s">
        <v>176</v>
      </c>
      <c r="J16" s="84">
        <v>846</v>
      </c>
      <c r="K16"/>
      <c r="L16"/>
      <c r="M16"/>
      <c r="N16"/>
      <c r="O16"/>
    </row>
    <row r="17" spans="1:15" x14ac:dyDescent="0.25">
      <c r="A17" s="81" t="s">
        <v>825</v>
      </c>
      <c r="B17" s="81" t="s">
        <v>620</v>
      </c>
      <c r="C17" s="81" t="s">
        <v>623</v>
      </c>
      <c r="D17" s="81" t="s">
        <v>703</v>
      </c>
      <c r="E17" s="104" t="s">
        <v>377</v>
      </c>
      <c r="F17" s="104" t="s">
        <v>187</v>
      </c>
      <c r="G17" s="104" t="s">
        <v>373</v>
      </c>
      <c r="H17" s="104" t="s">
        <v>162</v>
      </c>
      <c r="I17" s="104" t="s">
        <v>176</v>
      </c>
      <c r="J17" s="84">
        <v>240</v>
      </c>
      <c r="K17"/>
      <c r="L17"/>
      <c r="M17"/>
      <c r="N17"/>
      <c r="O17"/>
    </row>
    <row r="18" spans="1:15" x14ac:dyDescent="0.25">
      <c r="A18" s="81" t="s">
        <v>825</v>
      </c>
      <c r="B18" s="81" t="s">
        <v>620</v>
      </c>
      <c r="C18" s="81" t="s">
        <v>623</v>
      </c>
      <c r="D18" s="81" t="s">
        <v>704</v>
      </c>
      <c r="E18" s="104" t="s">
        <v>379</v>
      </c>
      <c r="F18" s="104" t="s">
        <v>198</v>
      </c>
      <c r="G18" s="77" t="s">
        <v>373</v>
      </c>
      <c r="H18" s="77" t="s">
        <v>162</v>
      </c>
      <c r="I18" s="104" t="s">
        <v>176</v>
      </c>
      <c r="J18" s="84">
        <v>3000</v>
      </c>
      <c r="K18"/>
      <c r="L18"/>
      <c r="M18"/>
      <c r="N18"/>
      <c r="O18"/>
    </row>
    <row r="19" spans="1:15" x14ac:dyDescent="0.25">
      <c r="A19" s="81" t="s">
        <v>825</v>
      </c>
      <c r="B19" s="81" t="s">
        <v>620</v>
      </c>
      <c r="C19" s="81" t="s">
        <v>623</v>
      </c>
      <c r="D19" s="81" t="s">
        <v>705</v>
      </c>
      <c r="E19" s="104" t="s">
        <v>431</v>
      </c>
      <c r="F19" s="104" t="s">
        <v>233</v>
      </c>
      <c r="G19" s="77" t="s">
        <v>373</v>
      </c>
      <c r="H19" s="77" t="s">
        <v>162</v>
      </c>
      <c r="I19" s="104" t="s">
        <v>176</v>
      </c>
      <c r="J19" s="84">
        <v>1200</v>
      </c>
      <c r="K19"/>
      <c r="L19"/>
      <c r="M19"/>
      <c r="N19"/>
      <c r="O19"/>
    </row>
    <row r="20" spans="1:15" x14ac:dyDescent="0.25">
      <c r="A20" s="81" t="s">
        <v>825</v>
      </c>
      <c r="B20" s="81" t="s">
        <v>620</v>
      </c>
      <c r="C20" s="81" t="s">
        <v>623</v>
      </c>
      <c r="D20" s="81" t="s">
        <v>710</v>
      </c>
      <c r="E20" s="104" t="s">
        <v>627</v>
      </c>
      <c r="F20" s="104" t="s">
        <v>391</v>
      </c>
      <c r="G20" s="104" t="s">
        <v>191</v>
      </c>
      <c r="H20" s="104" t="s">
        <v>320</v>
      </c>
      <c r="I20" s="104" t="s">
        <v>176</v>
      </c>
      <c r="J20" s="84">
        <v>4000</v>
      </c>
      <c r="K20"/>
      <c r="L20"/>
      <c r="M20"/>
      <c r="N20"/>
      <c r="O20"/>
    </row>
    <row r="21" spans="1:15" x14ac:dyDescent="0.25">
      <c r="A21" s="81" t="s">
        <v>825</v>
      </c>
      <c r="B21" s="81" t="s">
        <v>620</v>
      </c>
      <c r="C21" s="81" t="s">
        <v>623</v>
      </c>
      <c r="D21" s="81" t="s">
        <v>711</v>
      </c>
      <c r="E21" s="104" t="s">
        <v>628</v>
      </c>
      <c r="F21" s="104" t="s">
        <v>392</v>
      </c>
      <c r="G21" s="77" t="s">
        <v>191</v>
      </c>
      <c r="H21" s="77" t="s">
        <v>320</v>
      </c>
      <c r="I21" s="104" t="s">
        <v>176</v>
      </c>
      <c r="J21" s="84">
        <v>304</v>
      </c>
      <c r="K21"/>
      <c r="L21"/>
      <c r="M21"/>
      <c r="N21"/>
      <c r="O21"/>
    </row>
    <row r="22" spans="1:15" x14ac:dyDescent="0.25">
      <c r="A22" s="81" t="s">
        <v>825</v>
      </c>
      <c r="B22" s="81" t="s">
        <v>620</v>
      </c>
      <c r="C22" s="81" t="s">
        <v>623</v>
      </c>
      <c r="D22" s="81" t="s">
        <v>700</v>
      </c>
      <c r="E22" s="104" t="s">
        <v>665</v>
      </c>
      <c r="F22" s="104" t="s">
        <v>198</v>
      </c>
      <c r="G22" s="104" t="s">
        <v>373</v>
      </c>
      <c r="H22" s="104" t="s">
        <v>162</v>
      </c>
      <c r="I22" s="104" t="s">
        <v>176</v>
      </c>
      <c r="J22" s="84">
        <v>4000</v>
      </c>
      <c r="K22"/>
      <c r="L22"/>
      <c r="M22"/>
      <c r="N22"/>
      <c r="O22"/>
    </row>
    <row r="23" spans="1:15" x14ac:dyDescent="0.25">
      <c r="A23" s="81" t="s">
        <v>825</v>
      </c>
      <c r="B23" s="81" t="s">
        <v>620</v>
      </c>
      <c r="C23" s="81" t="s">
        <v>623</v>
      </c>
      <c r="D23" s="81" t="s">
        <v>701</v>
      </c>
      <c r="E23" s="104" t="s">
        <v>666</v>
      </c>
      <c r="F23" s="104" t="s">
        <v>662</v>
      </c>
      <c r="G23" s="77" t="s">
        <v>373</v>
      </c>
      <c r="H23" s="77" t="s">
        <v>162</v>
      </c>
      <c r="I23" s="104" t="s">
        <v>176</v>
      </c>
      <c r="J23" s="84">
        <v>4000</v>
      </c>
      <c r="K23"/>
      <c r="L23"/>
      <c r="M23"/>
      <c r="N23"/>
      <c r="O23"/>
    </row>
    <row r="24" spans="1:15" ht="18.75" customHeight="1" x14ac:dyDescent="0.25">
      <c r="A24" s="81" t="s">
        <v>825</v>
      </c>
      <c r="B24" s="81" t="s">
        <v>620</v>
      </c>
      <c r="C24" s="81" t="s">
        <v>623</v>
      </c>
      <c r="D24" s="81" t="s">
        <v>702</v>
      </c>
      <c r="E24" s="104" t="s">
        <v>430</v>
      </c>
      <c r="F24" s="104" t="s">
        <v>233</v>
      </c>
      <c r="G24" s="77" t="s">
        <v>373</v>
      </c>
      <c r="H24" s="77" t="s">
        <v>162</v>
      </c>
      <c r="I24" s="104" t="s">
        <v>176</v>
      </c>
      <c r="J24" s="84">
        <v>3000</v>
      </c>
      <c r="K24"/>
      <c r="L24"/>
      <c r="M24"/>
      <c r="N24"/>
      <c r="O24"/>
    </row>
    <row r="25" spans="1:15" x14ac:dyDescent="0.25">
      <c r="A25" s="81" t="s">
        <v>825</v>
      </c>
      <c r="B25" s="81" t="s">
        <v>620</v>
      </c>
      <c r="C25" s="104" t="s">
        <v>623</v>
      </c>
      <c r="D25" s="104" t="s">
        <v>758</v>
      </c>
      <c r="E25" s="104" t="s">
        <v>728</v>
      </c>
      <c r="F25" s="104" t="s">
        <v>357</v>
      </c>
      <c r="G25" s="104" t="s">
        <v>348</v>
      </c>
      <c r="H25" s="104" t="s">
        <v>190</v>
      </c>
      <c r="I25" s="104" t="s">
        <v>176</v>
      </c>
      <c r="J25" s="84">
        <v>143</v>
      </c>
      <c r="K25"/>
      <c r="L25"/>
      <c r="M25"/>
      <c r="N25"/>
      <c r="O25"/>
    </row>
    <row r="26" spans="1:15" x14ac:dyDescent="0.25">
      <c r="A26" s="81" t="s">
        <v>825</v>
      </c>
      <c r="B26" s="81" t="s">
        <v>620</v>
      </c>
      <c r="C26" s="105" t="s">
        <v>866</v>
      </c>
      <c r="D26" s="105"/>
      <c r="E26" s="105"/>
      <c r="F26" s="105"/>
      <c r="G26" s="105"/>
      <c r="H26" s="105"/>
      <c r="I26" s="105"/>
      <c r="J26" s="85">
        <v>25860</v>
      </c>
      <c r="K26"/>
      <c r="L26"/>
      <c r="M26"/>
      <c r="N26"/>
      <c r="O26"/>
    </row>
    <row r="27" spans="1:15" x14ac:dyDescent="0.25">
      <c r="A27" s="81" t="s">
        <v>825</v>
      </c>
      <c r="B27" s="81" t="s">
        <v>620</v>
      </c>
      <c r="C27" s="81" t="s">
        <v>712</v>
      </c>
      <c r="D27" s="81" t="s">
        <v>699</v>
      </c>
      <c r="E27" s="104" t="s">
        <v>626</v>
      </c>
      <c r="F27" s="104" t="s">
        <v>417</v>
      </c>
      <c r="G27" s="104" t="s">
        <v>373</v>
      </c>
      <c r="H27" s="104" t="s">
        <v>190</v>
      </c>
      <c r="I27" s="104" t="s">
        <v>176</v>
      </c>
      <c r="J27" s="84">
        <v>842</v>
      </c>
      <c r="K27"/>
      <c r="L27"/>
      <c r="M27"/>
      <c r="N27"/>
      <c r="O27"/>
    </row>
    <row r="28" spans="1:15" x14ac:dyDescent="0.25">
      <c r="A28" s="81" t="s">
        <v>825</v>
      </c>
      <c r="B28" s="81" t="s">
        <v>620</v>
      </c>
      <c r="C28" s="81" t="s">
        <v>712</v>
      </c>
      <c r="D28" s="81" t="s">
        <v>706</v>
      </c>
      <c r="E28" s="104" t="s">
        <v>310</v>
      </c>
      <c r="F28" s="104" t="s">
        <v>309</v>
      </c>
      <c r="G28" s="77" t="s">
        <v>373</v>
      </c>
      <c r="H28" s="104" t="s">
        <v>162</v>
      </c>
      <c r="I28" s="104" t="s">
        <v>176</v>
      </c>
      <c r="J28" s="84">
        <v>1406</v>
      </c>
      <c r="K28"/>
      <c r="L28"/>
      <c r="M28"/>
      <c r="N28"/>
      <c r="O28"/>
    </row>
    <row r="29" spans="1:15" x14ac:dyDescent="0.25">
      <c r="A29" s="81" t="s">
        <v>825</v>
      </c>
      <c r="B29" s="81" t="s">
        <v>620</v>
      </c>
      <c r="C29" s="81" t="s">
        <v>712</v>
      </c>
      <c r="D29" s="81" t="s">
        <v>707</v>
      </c>
      <c r="E29" s="104" t="s">
        <v>324</v>
      </c>
      <c r="F29" s="104" t="s">
        <v>325</v>
      </c>
      <c r="G29" s="77" t="s">
        <v>373</v>
      </c>
      <c r="H29" s="77" t="s">
        <v>162</v>
      </c>
      <c r="I29" s="104" t="s">
        <v>176</v>
      </c>
      <c r="J29" s="84">
        <v>1560</v>
      </c>
      <c r="K29"/>
      <c r="L29"/>
      <c r="M29"/>
      <c r="N29"/>
      <c r="O29"/>
    </row>
    <row r="30" spans="1:15" x14ac:dyDescent="0.25">
      <c r="A30" s="81" t="s">
        <v>825</v>
      </c>
      <c r="B30" s="81" t="s">
        <v>620</v>
      </c>
      <c r="C30" s="81" t="s">
        <v>712</v>
      </c>
      <c r="D30" s="81" t="s">
        <v>708</v>
      </c>
      <c r="E30" s="104" t="s">
        <v>327</v>
      </c>
      <c r="F30" s="104" t="s">
        <v>328</v>
      </c>
      <c r="G30" s="77" t="s">
        <v>373</v>
      </c>
      <c r="H30" s="77" t="s">
        <v>162</v>
      </c>
      <c r="I30" s="104" t="s">
        <v>176</v>
      </c>
      <c r="J30" s="84">
        <v>500</v>
      </c>
      <c r="K30"/>
      <c r="L30"/>
      <c r="M30"/>
      <c r="N30"/>
      <c r="O30"/>
    </row>
    <row r="31" spans="1:15" x14ac:dyDescent="0.25">
      <c r="A31" s="81" t="s">
        <v>825</v>
      </c>
      <c r="B31" s="81" t="s">
        <v>620</v>
      </c>
      <c r="C31" s="81" t="s">
        <v>712</v>
      </c>
      <c r="D31" s="81" t="s">
        <v>709</v>
      </c>
      <c r="E31" s="104" t="s">
        <v>329</v>
      </c>
      <c r="F31" s="104" t="s">
        <v>330</v>
      </c>
      <c r="G31" s="77" t="s">
        <v>373</v>
      </c>
      <c r="H31" s="77" t="s">
        <v>162</v>
      </c>
      <c r="I31" s="104" t="s">
        <v>176</v>
      </c>
      <c r="J31" s="84">
        <v>650</v>
      </c>
      <c r="K31"/>
      <c r="L31"/>
      <c r="M31"/>
      <c r="N31"/>
      <c r="O31"/>
    </row>
    <row r="32" spans="1:15" x14ac:dyDescent="0.25">
      <c r="A32" s="81" t="s">
        <v>825</v>
      </c>
      <c r="B32" s="81" t="s">
        <v>620</v>
      </c>
      <c r="C32" s="81" t="s">
        <v>712</v>
      </c>
      <c r="D32" s="81" t="s">
        <v>759</v>
      </c>
      <c r="E32" s="104" t="s">
        <v>369</v>
      </c>
      <c r="F32" s="104" t="s">
        <v>372</v>
      </c>
      <c r="G32" s="77" t="s">
        <v>373</v>
      </c>
      <c r="H32" s="104" t="s">
        <v>190</v>
      </c>
      <c r="I32" s="104" t="s">
        <v>176</v>
      </c>
      <c r="J32" s="84">
        <v>600</v>
      </c>
      <c r="K32"/>
      <c r="L32"/>
      <c r="M32"/>
      <c r="N32"/>
      <c r="O32"/>
    </row>
    <row r="33" spans="1:15" x14ac:dyDescent="0.25">
      <c r="A33" s="81" t="s">
        <v>825</v>
      </c>
      <c r="B33" s="81" t="s">
        <v>620</v>
      </c>
      <c r="C33" s="81" t="s">
        <v>712</v>
      </c>
      <c r="D33" s="81" t="s">
        <v>760</v>
      </c>
      <c r="E33" s="104" t="s">
        <v>324</v>
      </c>
      <c r="F33" s="104" t="s">
        <v>325</v>
      </c>
      <c r="G33" s="77" t="s">
        <v>373</v>
      </c>
      <c r="H33" s="104" t="s">
        <v>162</v>
      </c>
      <c r="I33" s="104" t="s">
        <v>176</v>
      </c>
      <c r="J33" s="84">
        <v>704</v>
      </c>
      <c r="K33"/>
      <c r="L33"/>
      <c r="M33"/>
      <c r="N33"/>
      <c r="O33"/>
    </row>
    <row r="34" spans="1:15" x14ac:dyDescent="0.25">
      <c r="A34" s="81" t="s">
        <v>825</v>
      </c>
      <c r="B34" s="81" t="s">
        <v>620</v>
      </c>
      <c r="C34" s="81" t="s">
        <v>712</v>
      </c>
      <c r="D34" s="81" t="s">
        <v>757</v>
      </c>
      <c r="E34" s="104" t="s">
        <v>722</v>
      </c>
      <c r="F34" s="104" t="s">
        <v>357</v>
      </c>
      <c r="G34" s="104" t="s">
        <v>348</v>
      </c>
      <c r="H34" s="104" t="s">
        <v>190</v>
      </c>
      <c r="I34" s="104" t="s">
        <v>176</v>
      </c>
      <c r="J34" s="84">
        <v>750</v>
      </c>
      <c r="K34"/>
      <c r="L34"/>
      <c r="M34"/>
      <c r="N34"/>
      <c r="O34"/>
    </row>
    <row r="35" spans="1:15" x14ac:dyDescent="0.25">
      <c r="A35" s="81" t="s">
        <v>825</v>
      </c>
      <c r="B35" s="81" t="s">
        <v>620</v>
      </c>
      <c r="C35" s="81" t="s">
        <v>712</v>
      </c>
      <c r="D35" s="81" t="s">
        <v>761</v>
      </c>
      <c r="E35" s="104" t="s">
        <v>305</v>
      </c>
      <c r="F35" s="104" t="s">
        <v>307</v>
      </c>
      <c r="G35" s="104" t="s">
        <v>191</v>
      </c>
      <c r="H35" s="77" t="s">
        <v>190</v>
      </c>
      <c r="I35" s="104" t="s">
        <v>176</v>
      </c>
      <c r="J35" s="84">
        <v>200</v>
      </c>
      <c r="K35"/>
      <c r="L35"/>
      <c r="M35"/>
      <c r="N35"/>
      <c r="O35"/>
    </row>
    <row r="36" spans="1:15" x14ac:dyDescent="0.25">
      <c r="A36" s="81" t="s">
        <v>825</v>
      </c>
      <c r="B36" s="81" t="s">
        <v>620</v>
      </c>
      <c r="C36" s="81" t="s">
        <v>712</v>
      </c>
      <c r="D36" s="81" t="s">
        <v>762</v>
      </c>
      <c r="E36" s="104" t="s">
        <v>333</v>
      </c>
      <c r="F36" s="104" t="s">
        <v>336</v>
      </c>
      <c r="G36" s="77" t="s">
        <v>191</v>
      </c>
      <c r="H36" s="77" t="s">
        <v>190</v>
      </c>
      <c r="I36" s="104" t="s">
        <v>176</v>
      </c>
      <c r="J36" s="84">
        <v>505</v>
      </c>
      <c r="K36"/>
      <c r="L36"/>
      <c r="M36"/>
      <c r="N36"/>
      <c r="O36"/>
    </row>
    <row r="37" spans="1:15" x14ac:dyDescent="0.25">
      <c r="A37" s="81" t="s">
        <v>825</v>
      </c>
      <c r="B37" s="81" t="s">
        <v>620</v>
      </c>
      <c r="C37" s="81" t="s">
        <v>712</v>
      </c>
      <c r="D37" s="81" t="s">
        <v>763</v>
      </c>
      <c r="E37" s="104" t="s">
        <v>723</v>
      </c>
      <c r="F37" s="104" t="s">
        <v>733</v>
      </c>
      <c r="G37" s="77" t="s">
        <v>191</v>
      </c>
      <c r="H37" s="77" t="s">
        <v>190</v>
      </c>
      <c r="I37" s="104" t="s">
        <v>176</v>
      </c>
      <c r="J37" s="84">
        <v>330</v>
      </c>
      <c r="K37"/>
      <c r="L37"/>
      <c r="M37"/>
      <c r="N37"/>
      <c r="O37"/>
    </row>
    <row r="38" spans="1:15" x14ac:dyDescent="0.25">
      <c r="A38" s="81" t="s">
        <v>825</v>
      </c>
      <c r="B38" s="81" t="s">
        <v>620</v>
      </c>
      <c r="C38" s="81" t="s">
        <v>712</v>
      </c>
      <c r="D38" s="81" t="s">
        <v>764</v>
      </c>
      <c r="E38" s="104" t="s">
        <v>724</v>
      </c>
      <c r="F38" s="104" t="s">
        <v>734</v>
      </c>
      <c r="G38" s="77" t="s">
        <v>191</v>
      </c>
      <c r="H38" s="77" t="s">
        <v>190</v>
      </c>
      <c r="I38" s="104" t="s">
        <v>176</v>
      </c>
      <c r="J38" s="84">
        <v>300</v>
      </c>
      <c r="K38"/>
      <c r="L38"/>
      <c r="M38"/>
      <c r="N38"/>
      <c r="O38"/>
    </row>
    <row r="39" spans="1:15" x14ac:dyDescent="0.25">
      <c r="A39" s="81" t="s">
        <v>825</v>
      </c>
      <c r="B39" s="81" t="s">
        <v>620</v>
      </c>
      <c r="C39" s="81" t="s">
        <v>712</v>
      </c>
      <c r="D39" s="81" t="s">
        <v>765</v>
      </c>
      <c r="E39" s="104" t="s">
        <v>725</v>
      </c>
      <c r="F39" s="104" t="s">
        <v>735</v>
      </c>
      <c r="G39" s="77" t="s">
        <v>191</v>
      </c>
      <c r="H39" s="77" t="s">
        <v>190</v>
      </c>
      <c r="I39" s="104" t="s">
        <v>176</v>
      </c>
      <c r="J39" s="84">
        <v>440</v>
      </c>
      <c r="K39"/>
      <c r="L39"/>
      <c r="M39"/>
      <c r="N39"/>
      <c r="O39"/>
    </row>
    <row r="40" spans="1:15" x14ac:dyDescent="0.25">
      <c r="A40" s="81" t="s">
        <v>825</v>
      </c>
      <c r="B40" s="81" t="s">
        <v>620</v>
      </c>
      <c r="C40" s="81" t="s">
        <v>712</v>
      </c>
      <c r="D40" s="81" t="s">
        <v>766</v>
      </c>
      <c r="E40" s="104" t="s">
        <v>726</v>
      </c>
      <c r="F40" s="104" t="s">
        <v>736</v>
      </c>
      <c r="G40" s="77" t="s">
        <v>191</v>
      </c>
      <c r="H40" s="77" t="s">
        <v>190</v>
      </c>
      <c r="I40" s="104" t="s">
        <v>176</v>
      </c>
      <c r="J40" s="84">
        <v>300</v>
      </c>
      <c r="K40"/>
      <c r="L40"/>
      <c r="M40"/>
      <c r="N40"/>
      <c r="O40"/>
    </row>
    <row r="41" spans="1:15" x14ac:dyDescent="0.25">
      <c r="A41" s="81" t="s">
        <v>825</v>
      </c>
      <c r="B41" s="81" t="s">
        <v>620</v>
      </c>
      <c r="C41" s="81" t="s">
        <v>712</v>
      </c>
      <c r="D41" s="81" t="s">
        <v>767</v>
      </c>
      <c r="E41" s="104" t="s">
        <v>727</v>
      </c>
      <c r="F41" s="104" t="s">
        <v>737</v>
      </c>
      <c r="G41" s="77" t="s">
        <v>191</v>
      </c>
      <c r="H41" s="77" t="s">
        <v>190</v>
      </c>
      <c r="I41" s="104" t="s">
        <v>176</v>
      </c>
      <c r="J41" s="84">
        <v>300</v>
      </c>
      <c r="K41"/>
      <c r="L41"/>
      <c r="M41"/>
      <c r="N41"/>
      <c r="O41"/>
    </row>
    <row r="42" spans="1:15" x14ac:dyDescent="0.25">
      <c r="A42" s="81" t="s">
        <v>825</v>
      </c>
      <c r="B42" s="81" t="s">
        <v>620</v>
      </c>
      <c r="C42" s="104" t="s">
        <v>712</v>
      </c>
      <c r="D42" s="104" t="s">
        <v>858</v>
      </c>
      <c r="E42" s="104" t="s">
        <v>847</v>
      </c>
      <c r="F42" s="104" t="s">
        <v>851</v>
      </c>
      <c r="G42" s="104" t="s">
        <v>373</v>
      </c>
      <c r="H42" s="77" t="s">
        <v>190</v>
      </c>
      <c r="I42" s="104" t="s">
        <v>176</v>
      </c>
      <c r="J42" s="84">
        <v>372</v>
      </c>
      <c r="K42"/>
      <c r="L42"/>
      <c r="M42"/>
      <c r="N42"/>
      <c r="O42"/>
    </row>
    <row r="43" spans="1:15" x14ac:dyDescent="0.25">
      <c r="A43" s="81" t="s">
        <v>825</v>
      </c>
      <c r="B43" s="81" t="s">
        <v>620</v>
      </c>
      <c r="C43" s="105" t="s">
        <v>867</v>
      </c>
      <c r="D43" s="105"/>
      <c r="E43" s="105"/>
      <c r="F43" s="105"/>
      <c r="G43" s="105"/>
      <c r="H43" s="105"/>
      <c r="I43" s="105"/>
      <c r="J43" s="85">
        <v>9759</v>
      </c>
      <c r="K43"/>
      <c r="L43"/>
      <c r="M43"/>
      <c r="N43"/>
      <c r="O43"/>
    </row>
    <row r="44" spans="1:15" x14ac:dyDescent="0.25">
      <c r="A44" s="81" t="s">
        <v>825</v>
      </c>
      <c r="B44" s="81" t="s">
        <v>620</v>
      </c>
      <c r="C44" s="81" t="s">
        <v>826</v>
      </c>
      <c r="D44" s="81" t="s">
        <v>860</v>
      </c>
      <c r="E44" s="104" t="s">
        <v>848</v>
      </c>
      <c r="F44" s="104" t="s">
        <v>850</v>
      </c>
      <c r="G44" s="104" t="s">
        <v>373</v>
      </c>
      <c r="H44" s="104" t="s">
        <v>190</v>
      </c>
      <c r="I44" s="104" t="s">
        <v>176</v>
      </c>
      <c r="J44" s="84">
        <v>1600</v>
      </c>
      <c r="K44"/>
      <c r="L44"/>
      <c r="M44"/>
      <c r="N44"/>
      <c r="O44"/>
    </row>
    <row r="45" spans="1:15" x14ac:dyDescent="0.25">
      <c r="A45" s="81" t="s">
        <v>825</v>
      </c>
      <c r="B45" s="81" t="s">
        <v>620</v>
      </c>
      <c r="C45" s="104" t="s">
        <v>826</v>
      </c>
      <c r="D45" s="104" t="s">
        <v>897</v>
      </c>
      <c r="E45" s="104" t="s">
        <v>899</v>
      </c>
      <c r="F45" s="77" t="s">
        <v>850</v>
      </c>
      <c r="G45" s="77" t="s">
        <v>373</v>
      </c>
      <c r="H45" s="77" t="s">
        <v>190</v>
      </c>
      <c r="I45" s="104" t="s">
        <v>176</v>
      </c>
      <c r="J45" s="84">
        <v>450</v>
      </c>
      <c r="K45"/>
      <c r="L45"/>
      <c r="M45"/>
      <c r="N45"/>
      <c r="O45"/>
    </row>
    <row r="46" spans="1:15" x14ac:dyDescent="0.25">
      <c r="A46" s="81" t="s">
        <v>825</v>
      </c>
      <c r="B46" s="81" t="s">
        <v>620</v>
      </c>
      <c r="C46" s="105" t="s">
        <v>868</v>
      </c>
      <c r="D46" s="105"/>
      <c r="E46" s="105"/>
      <c r="F46" s="105"/>
      <c r="G46" s="105"/>
      <c r="H46" s="105"/>
      <c r="I46" s="105"/>
      <c r="J46" s="85">
        <v>2050</v>
      </c>
      <c r="K46"/>
      <c r="L46"/>
      <c r="M46"/>
      <c r="N46"/>
      <c r="O46"/>
    </row>
    <row r="47" spans="1:15" x14ac:dyDescent="0.25">
      <c r="A47" s="81" t="s">
        <v>825</v>
      </c>
      <c r="B47" s="81" t="s">
        <v>620</v>
      </c>
      <c r="C47" s="81" t="s">
        <v>713</v>
      </c>
      <c r="D47" s="81" t="s">
        <v>761</v>
      </c>
      <c r="E47" s="104" t="s">
        <v>305</v>
      </c>
      <c r="F47" s="104" t="s">
        <v>307</v>
      </c>
      <c r="G47" s="104" t="s">
        <v>191</v>
      </c>
      <c r="H47" s="104" t="s">
        <v>190</v>
      </c>
      <c r="I47" s="104" t="s">
        <v>176</v>
      </c>
      <c r="J47" s="84">
        <v>150</v>
      </c>
      <c r="K47"/>
      <c r="L47"/>
      <c r="M47"/>
      <c r="N47"/>
      <c r="O47"/>
    </row>
    <row r="48" spans="1:15" x14ac:dyDescent="0.25">
      <c r="A48" s="81" t="s">
        <v>825</v>
      </c>
      <c r="B48" s="81" t="s">
        <v>620</v>
      </c>
      <c r="C48" s="81" t="s">
        <v>713</v>
      </c>
      <c r="D48" s="81" t="s">
        <v>857</v>
      </c>
      <c r="E48" s="104" t="s">
        <v>846</v>
      </c>
      <c r="F48" s="104" t="s">
        <v>850</v>
      </c>
      <c r="G48" s="104" t="s">
        <v>373</v>
      </c>
      <c r="H48" s="77" t="s">
        <v>190</v>
      </c>
      <c r="I48" s="104" t="s">
        <v>176</v>
      </c>
      <c r="J48" s="84">
        <v>400</v>
      </c>
      <c r="K48"/>
      <c r="L48"/>
      <c r="M48"/>
      <c r="N48"/>
      <c r="O48"/>
    </row>
    <row r="49" spans="1:15" x14ac:dyDescent="0.25">
      <c r="A49" s="81" t="s">
        <v>825</v>
      </c>
      <c r="B49" s="81" t="s">
        <v>620</v>
      </c>
      <c r="C49" s="81" t="s">
        <v>713</v>
      </c>
      <c r="D49" s="81" t="s">
        <v>894</v>
      </c>
      <c r="E49" s="104" t="s">
        <v>884</v>
      </c>
      <c r="F49" s="104" t="s">
        <v>880</v>
      </c>
      <c r="G49" s="104" t="s">
        <v>191</v>
      </c>
      <c r="H49" s="104" t="s">
        <v>320</v>
      </c>
      <c r="I49" s="104" t="s">
        <v>176</v>
      </c>
      <c r="J49" s="84">
        <v>3680</v>
      </c>
      <c r="K49"/>
      <c r="L49"/>
      <c r="M49"/>
      <c r="N49"/>
      <c r="O49"/>
    </row>
    <row r="50" spans="1:15" x14ac:dyDescent="0.25">
      <c r="A50" s="81" t="s">
        <v>825</v>
      </c>
      <c r="B50" s="81" t="s">
        <v>620</v>
      </c>
      <c r="C50" s="81" t="s">
        <v>713</v>
      </c>
      <c r="D50" s="104" t="s">
        <v>895</v>
      </c>
      <c r="E50" s="104" t="s">
        <v>885</v>
      </c>
      <c r="F50" s="104" t="s">
        <v>881</v>
      </c>
      <c r="G50" s="77" t="s">
        <v>191</v>
      </c>
      <c r="H50" s="77" t="s">
        <v>320</v>
      </c>
      <c r="I50" s="104" t="s">
        <v>176</v>
      </c>
      <c r="J50" s="84">
        <v>3220</v>
      </c>
      <c r="K50"/>
      <c r="L50"/>
      <c r="M50"/>
      <c r="N50"/>
      <c r="O50"/>
    </row>
    <row r="51" spans="1:15" x14ac:dyDescent="0.25">
      <c r="A51" s="81" t="s">
        <v>825</v>
      </c>
      <c r="B51" s="81" t="s">
        <v>620</v>
      </c>
      <c r="C51" s="81" t="s">
        <v>713</v>
      </c>
      <c r="D51" s="77" t="s">
        <v>1144</v>
      </c>
      <c r="E51" s="77" t="s">
        <v>1137</v>
      </c>
      <c r="F51" s="77" t="s">
        <v>268</v>
      </c>
      <c r="G51" s="77" t="s">
        <v>614</v>
      </c>
      <c r="H51" s="77" t="s">
        <v>614</v>
      </c>
      <c r="I51" s="77" t="s">
        <v>176</v>
      </c>
      <c r="J51" s="84">
        <v>384</v>
      </c>
      <c r="K51"/>
      <c r="L51"/>
      <c r="M51"/>
      <c r="N51"/>
      <c r="O51"/>
    </row>
    <row r="52" spans="1:15" x14ac:dyDescent="0.25">
      <c r="A52" s="81" t="s">
        <v>825</v>
      </c>
      <c r="B52" s="81" t="s">
        <v>620</v>
      </c>
      <c r="C52" s="81" t="s">
        <v>713</v>
      </c>
      <c r="D52" s="77" t="s">
        <v>1145</v>
      </c>
      <c r="E52" s="77" t="s">
        <v>1138</v>
      </c>
      <c r="F52" s="77" t="s">
        <v>272</v>
      </c>
      <c r="G52" s="77" t="s">
        <v>614</v>
      </c>
      <c r="H52" s="77" t="s">
        <v>614</v>
      </c>
      <c r="I52" s="77" t="s">
        <v>176</v>
      </c>
      <c r="J52" s="84">
        <v>301</v>
      </c>
      <c r="K52"/>
      <c r="L52"/>
      <c r="M52"/>
      <c r="N52"/>
      <c r="O52"/>
    </row>
    <row r="53" spans="1:15" x14ac:dyDescent="0.25">
      <c r="A53" s="81" t="s">
        <v>825</v>
      </c>
      <c r="B53" s="81" t="s">
        <v>620</v>
      </c>
      <c r="C53" s="81" t="s">
        <v>713</v>
      </c>
      <c r="D53" s="77" t="s">
        <v>1146</v>
      </c>
      <c r="E53" s="77" t="s">
        <v>1139</v>
      </c>
      <c r="F53" s="77" t="s">
        <v>268</v>
      </c>
      <c r="G53" s="77" t="s">
        <v>614</v>
      </c>
      <c r="H53" s="77" t="s">
        <v>614</v>
      </c>
      <c r="I53" s="77" t="s">
        <v>176</v>
      </c>
      <c r="J53" s="84">
        <v>916</v>
      </c>
      <c r="K53"/>
      <c r="L53"/>
      <c r="M53"/>
      <c r="N53"/>
      <c r="O53"/>
    </row>
    <row r="54" spans="1:15" x14ac:dyDescent="0.25">
      <c r="A54" s="81" t="s">
        <v>825</v>
      </c>
      <c r="B54" s="81" t="s">
        <v>620</v>
      </c>
      <c r="C54" s="104" t="s">
        <v>713</v>
      </c>
      <c r="D54" s="77" t="s">
        <v>1147</v>
      </c>
      <c r="E54" s="77" t="s">
        <v>1140</v>
      </c>
      <c r="F54" s="77" t="s">
        <v>272</v>
      </c>
      <c r="G54" s="77" t="s">
        <v>614</v>
      </c>
      <c r="H54" s="77" t="s">
        <v>614</v>
      </c>
      <c r="I54" s="77" t="s">
        <v>176</v>
      </c>
      <c r="J54" s="84">
        <v>647</v>
      </c>
      <c r="K54"/>
      <c r="L54"/>
      <c r="M54"/>
      <c r="N54"/>
      <c r="O54"/>
    </row>
    <row r="55" spans="1:15" x14ac:dyDescent="0.25">
      <c r="A55" s="81" t="s">
        <v>825</v>
      </c>
      <c r="B55" s="81" t="s">
        <v>620</v>
      </c>
      <c r="C55" s="105" t="s">
        <v>869</v>
      </c>
      <c r="D55" s="105"/>
      <c r="E55" s="105"/>
      <c r="F55" s="105"/>
      <c r="G55" s="105"/>
      <c r="H55" s="105"/>
      <c r="I55" s="105"/>
      <c r="J55" s="85">
        <v>9698</v>
      </c>
      <c r="K55"/>
      <c r="L55"/>
      <c r="M55"/>
      <c r="N55"/>
      <c r="O55"/>
    </row>
    <row r="56" spans="1:15" x14ac:dyDescent="0.25">
      <c r="A56" s="81" t="s">
        <v>825</v>
      </c>
      <c r="B56" s="81" t="s">
        <v>621</v>
      </c>
      <c r="C56" s="81" t="s">
        <v>870</v>
      </c>
      <c r="D56" s="81" t="s">
        <v>761</v>
      </c>
      <c r="E56" s="104" t="s">
        <v>305</v>
      </c>
      <c r="F56" s="104" t="s">
        <v>307</v>
      </c>
      <c r="G56" s="104" t="s">
        <v>191</v>
      </c>
      <c r="H56" s="104" t="s">
        <v>190</v>
      </c>
      <c r="I56" s="104" t="s">
        <v>176</v>
      </c>
      <c r="J56" s="84">
        <v>112</v>
      </c>
      <c r="K56"/>
      <c r="L56"/>
      <c r="M56"/>
      <c r="N56"/>
      <c r="O56"/>
    </row>
    <row r="57" spans="1:15" x14ac:dyDescent="0.25">
      <c r="A57" s="81" t="s">
        <v>825</v>
      </c>
      <c r="B57" s="81" t="s">
        <v>621</v>
      </c>
      <c r="C57" s="81" t="s">
        <v>870</v>
      </c>
      <c r="D57" s="81" t="s">
        <v>862</v>
      </c>
      <c r="E57" s="104" t="s">
        <v>839</v>
      </c>
      <c r="F57" s="104" t="s">
        <v>841</v>
      </c>
      <c r="G57" s="77" t="s">
        <v>191</v>
      </c>
      <c r="H57" s="104" t="s">
        <v>320</v>
      </c>
      <c r="I57" s="104" t="s">
        <v>176</v>
      </c>
      <c r="J57" s="84">
        <v>4800</v>
      </c>
      <c r="K57"/>
      <c r="L57"/>
      <c r="M57"/>
      <c r="N57"/>
      <c r="O57"/>
    </row>
    <row r="58" spans="1:15" x14ac:dyDescent="0.25">
      <c r="A58" s="81" t="s">
        <v>825</v>
      </c>
      <c r="B58" s="81" t="s">
        <v>621</v>
      </c>
      <c r="C58" s="104" t="s">
        <v>870</v>
      </c>
      <c r="D58" s="104" t="s">
        <v>896</v>
      </c>
      <c r="E58" s="104" t="s">
        <v>886</v>
      </c>
      <c r="F58" s="104" t="s">
        <v>882</v>
      </c>
      <c r="G58" s="77" t="s">
        <v>191</v>
      </c>
      <c r="H58" s="77" t="s">
        <v>320</v>
      </c>
      <c r="I58" s="104" t="s">
        <v>176</v>
      </c>
      <c r="J58" s="84">
        <v>2354</v>
      </c>
      <c r="K58"/>
      <c r="L58"/>
      <c r="M58"/>
      <c r="N58"/>
      <c r="O58"/>
    </row>
    <row r="59" spans="1:15" x14ac:dyDescent="0.25">
      <c r="A59" s="81" t="s">
        <v>825</v>
      </c>
      <c r="B59" s="81" t="s">
        <v>621</v>
      </c>
      <c r="C59" s="105" t="s">
        <v>871</v>
      </c>
      <c r="D59" s="105"/>
      <c r="E59" s="105"/>
      <c r="F59" s="105"/>
      <c r="G59" s="105"/>
      <c r="H59" s="105"/>
      <c r="I59" s="105"/>
      <c r="J59" s="85">
        <v>7266</v>
      </c>
      <c r="K59"/>
      <c r="L59"/>
      <c r="M59"/>
      <c r="N59"/>
      <c r="O59"/>
    </row>
    <row r="60" spans="1:15" x14ac:dyDescent="0.25">
      <c r="A60" s="81" t="s">
        <v>825</v>
      </c>
      <c r="B60" s="81" t="s">
        <v>621</v>
      </c>
      <c r="C60" s="81" t="s">
        <v>906</v>
      </c>
      <c r="D60" s="81" t="s">
        <v>816</v>
      </c>
      <c r="E60" s="104" t="s">
        <v>804</v>
      </c>
      <c r="F60" s="104" t="s">
        <v>811</v>
      </c>
      <c r="G60" s="104" t="s">
        <v>191</v>
      </c>
      <c r="H60" s="104" t="s">
        <v>190</v>
      </c>
      <c r="I60" s="104" t="s">
        <v>176</v>
      </c>
      <c r="J60" s="84">
        <v>860</v>
      </c>
      <c r="K60"/>
      <c r="L60"/>
      <c r="M60"/>
      <c r="N60"/>
      <c r="O60"/>
    </row>
    <row r="61" spans="1:15" x14ac:dyDescent="0.25">
      <c r="A61" s="81" t="s">
        <v>825</v>
      </c>
      <c r="B61" s="81" t="s">
        <v>621</v>
      </c>
      <c r="C61" s="81" t="s">
        <v>906</v>
      </c>
      <c r="D61" s="81" t="s">
        <v>815</v>
      </c>
      <c r="E61" s="104" t="s">
        <v>805</v>
      </c>
      <c r="F61" s="104" t="s">
        <v>812</v>
      </c>
      <c r="G61" s="77" t="s">
        <v>191</v>
      </c>
      <c r="H61" s="77" t="s">
        <v>190</v>
      </c>
      <c r="I61" s="104" t="s">
        <v>176</v>
      </c>
      <c r="J61" s="84">
        <v>500</v>
      </c>
      <c r="K61"/>
      <c r="L61"/>
      <c r="M61"/>
      <c r="N61"/>
      <c r="O61"/>
    </row>
    <row r="62" spans="1:15" x14ac:dyDescent="0.25">
      <c r="A62" s="81" t="s">
        <v>825</v>
      </c>
      <c r="B62" s="81" t="s">
        <v>621</v>
      </c>
      <c r="C62" s="81" t="s">
        <v>906</v>
      </c>
      <c r="D62" s="81" t="s">
        <v>814</v>
      </c>
      <c r="E62" s="104" t="s">
        <v>388</v>
      </c>
      <c r="F62" s="104" t="s">
        <v>389</v>
      </c>
      <c r="G62" s="77" t="s">
        <v>191</v>
      </c>
      <c r="H62" s="77" t="s">
        <v>190</v>
      </c>
      <c r="I62" s="104" t="s">
        <v>176</v>
      </c>
      <c r="J62" s="84">
        <v>440</v>
      </c>
      <c r="K62"/>
      <c r="L62"/>
      <c r="M62"/>
      <c r="N62"/>
      <c r="O62"/>
    </row>
    <row r="63" spans="1:15" x14ac:dyDescent="0.25">
      <c r="A63" s="81" t="s">
        <v>825</v>
      </c>
      <c r="B63" s="81" t="s">
        <v>621</v>
      </c>
      <c r="C63" s="81" t="s">
        <v>906</v>
      </c>
      <c r="D63" s="81" t="s">
        <v>861</v>
      </c>
      <c r="E63" s="104" t="s">
        <v>340</v>
      </c>
      <c r="F63" s="104" t="s">
        <v>187</v>
      </c>
      <c r="G63" s="77" t="s">
        <v>191</v>
      </c>
      <c r="H63" s="77" t="s">
        <v>190</v>
      </c>
      <c r="I63" s="104" t="s">
        <v>176</v>
      </c>
      <c r="J63" s="84">
        <v>300</v>
      </c>
      <c r="K63"/>
      <c r="L63"/>
      <c r="M63"/>
      <c r="N63"/>
      <c r="O63"/>
    </row>
    <row r="64" spans="1:15" x14ac:dyDescent="0.25">
      <c r="A64" s="81" t="s">
        <v>825</v>
      </c>
      <c r="B64" s="81" t="s">
        <v>621</v>
      </c>
      <c r="C64" s="81" t="s">
        <v>906</v>
      </c>
      <c r="D64" s="81" t="s">
        <v>859</v>
      </c>
      <c r="E64" s="104" t="s">
        <v>848</v>
      </c>
      <c r="F64" s="104" t="s">
        <v>850</v>
      </c>
      <c r="G64" s="104" t="s">
        <v>373</v>
      </c>
      <c r="H64" s="77" t="s">
        <v>190</v>
      </c>
      <c r="I64" s="104" t="s">
        <v>176</v>
      </c>
      <c r="J64" s="84">
        <v>1200</v>
      </c>
      <c r="K64"/>
      <c r="L64"/>
      <c r="M64"/>
      <c r="N64"/>
      <c r="O64"/>
    </row>
    <row r="65" spans="1:15" x14ac:dyDescent="0.25">
      <c r="A65" s="81" t="s">
        <v>825</v>
      </c>
      <c r="B65" s="81" t="s">
        <v>621</v>
      </c>
      <c r="C65" s="81" t="s">
        <v>906</v>
      </c>
      <c r="D65" s="81" t="s">
        <v>894</v>
      </c>
      <c r="E65" s="104" t="s">
        <v>884</v>
      </c>
      <c r="F65" s="104" t="s">
        <v>880</v>
      </c>
      <c r="G65" s="104" t="s">
        <v>191</v>
      </c>
      <c r="H65" s="104" t="s">
        <v>320</v>
      </c>
      <c r="I65" s="104" t="s">
        <v>176</v>
      </c>
      <c r="J65" s="84">
        <v>320</v>
      </c>
      <c r="K65"/>
      <c r="L65"/>
      <c r="M65"/>
      <c r="N65"/>
      <c r="O65"/>
    </row>
    <row r="66" spans="1:15" x14ac:dyDescent="0.25">
      <c r="A66" s="81" t="s">
        <v>825</v>
      </c>
      <c r="B66" s="81" t="s">
        <v>621</v>
      </c>
      <c r="C66" s="104" t="s">
        <v>906</v>
      </c>
      <c r="D66" s="104" t="s">
        <v>895</v>
      </c>
      <c r="E66" s="104" t="s">
        <v>885</v>
      </c>
      <c r="F66" s="104" t="s">
        <v>881</v>
      </c>
      <c r="G66" s="77" t="s">
        <v>191</v>
      </c>
      <c r="H66" s="77" t="s">
        <v>320</v>
      </c>
      <c r="I66" s="104" t="s">
        <v>176</v>
      </c>
      <c r="J66" s="84">
        <v>280</v>
      </c>
      <c r="K66"/>
      <c r="L66"/>
      <c r="M66"/>
      <c r="N66"/>
      <c r="O66"/>
    </row>
    <row r="67" spans="1:15" x14ac:dyDescent="0.25">
      <c r="A67" s="81" t="s">
        <v>825</v>
      </c>
      <c r="B67" s="81" t="s">
        <v>621</v>
      </c>
      <c r="C67" s="105" t="s">
        <v>907</v>
      </c>
      <c r="D67" s="105"/>
      <c r="E67" s="105"/>
      <c r="F67" s="105"/>
      <c r="G67" s="105"/>
      <c r="H67" s="105"/>
      <c r="I67" s="105"/>
      <c r="J67" s="85">
        <v>3900</v>
      </c>
      <c r="K67"/>
      <c r="L67"/>
      <c r="M67"/>
      <c r="N67"/>
      <c r="O67"/>
    </row>
    <row r="68" spans="1:15" x14ac:dyDescent="0.25">
      <c r="A68" s="81" t="s">
        <v>825</v>
      </c>
      <c r="B68" s="81" t="s">
        <v>621</v>
      </c>
      <c r="C68" s="81" t="s">
        <v>908</v>
      </c>
      <c r="D68" s="81" t="s">
        <v>748</v>
      </c>
      <c r="E68" s="104" t="s">
        <v>556</v>
      </c>
      <c r="F68" s="104" t="s">
        <v>559</v>
      </c>
      <c r="G68" s="104" t="s">
        <v>191</v>
      </c>
      <c r="H68" s="104" t="s">
        <v>190</v>
      </c>
      <c r="I68" s="104" t="s">
        <v>176</v>
      </c>
      <c r="J68" s="84">
        <v>200</v>
      </c>
      <c r="K68"/>
      <c r="L68"/>
      <c r="M68"/>
      <c r="N68"/>
      <c r="O68"/>
    </row>
    <row r="69" spans="1:15" x14ac:dyDescent="0.25">
      <c r="A69" s="81" t="s">
        <v>825</v>
      </c>
      <c r="B69" s="81" t="s">
        <v>621</v>
      </c>
      <c r="C69" s="81" t="s">
        <v>908</v>
      </c>
      <c r="D69" s="81" t="s">
        <v>749</v>
      </c>
      <c r="E69" s="104" t="s">
        <v>566</v>
      </c>
      <c r="F69" s="104" t="s">
        <v>569</v>
      </c>
      <c r="G69" s="77" t="s">
        <v>191</v>
      </c>
      <c r="H69" s="77" t="s">
        <v>190</v>
      </c>
      <c r="I69" s="104" t="s">
        <v>176</v>
      </c>
      <c r="J69" s="84">
        <v>252</v>
      </c>
      <c r="K69"/>
      <c r="L69"/>
      <c r="M69"/>
      <c r="N69"/>
      <c r="O69"/>
    </row>
    <row r="70" spans="1:15" x14ac:dyDescent="0.25">
      <c r="A70" s="81" t="s">
        <v>825</v>
      </c>
      <c r="B70" s="81" t="s">
        <v>621</v>
      </c>
      <c r="C70" s="81" t="s">
        <v>908</v>
      </c>
      <c r="D70" s="81" t="s">
        <v>750</v>
      </c>
      <c r="E70" s="104" t="s">
        <v>576</v>
      </c>
      <c r="F70" s="104" t="s">
        <v>578</v>
      </c>
      <c r="G70" s="77" t="s">
        <v>191</v>
      </c>
      <c r="H70" s="77" t="s">
        <v>190</v>
      </c>
      <c r="I70" s="104" t="s">
        <v>176</v>
      </c>
      <c r="J70" s="84">
        <v>246</v>
      </c>
      <c r="K70"/>
      <c r="L70"/>
      <c r="M70"/>
      <c r="N70"/>
      <c r="O70"/>
    </row>
    <row r="71" spans="1:15" x14ac:dyDescent="0.25">
      <c r="A71" s="81" t="s">
        <v>825</v>
      </c>
      <c r="B71" s="81" t="s">
        <v>621</v>
      </c>
      <c r="C71" s="81" t="s">
        <v>908</v>
      </c>
      <c r="D71" s="81" t="s">
        <v>751</v>
      </c>
      <c r="E71" s="104" t="s">
        <v>584</v>
      </c>
      <c r="F71" s="104" t="s">
        <v>586</v>
      </c>
      <c r="G71" s="77" t="s">
        <v>191</v>
      </c>
      <c r="H71" s="77" t="s">
        <v>190</v>
      </c>
      <c r="I71" s="104" t="s">
        <v>176</v>
      </c>
      <c r="J71" s="84">
        <v>215</v>
      </c>
      <c r="K71"/>
      <c r="L71"/>
      <c r="M71"/>
      <c r="N71"/>
      <c r="O71"/>
    </row>
    <row r="72" spans="1:15" x14ac:dyDescent="0.25">
      <c r="A72" s="81" t="s">
        <v>825</v>
      </c>
      <c r="B72" s="81" t="s">
        <v>621</v>
      </c>
      <c r="C72" s="81" t="s">
        <v>908</v>
      </c>
      <c r="D72" s="81" t="s">
        <v>752</v>
      </c>
      <c r="E72" s="104" t="s">
        <v>593</v>
      </c>
      <c r="F72" s="104" t="s">
        <v>595</v>
      </c>
      <c r="G72" s="77" t="s">
        <v>191</v>
      </c>
      <c r="H72" s="77" t="s">
        <v>190</v>
      </c>
      <c r="I72" s="104" t="s">
        <v>176</v>
      </c>
      <c r="J72" s="84">
        <v>200</v>
      </c>
      <c r="K72"/>
      <c r="L72"/>
      <c r="M72"/>
      <c r="N72"/>
      <c r="O72"/>
    </row>
    <row r="73" spans="1:15" x14ac:dyDescent="0.25">
      <c r="A73" s="81" t="s">
        <v>825</v>
      </c>
      <c r="B73" s="81" t="s">
        <v>621</v>
      </c>
      <c r="C73" s="104" t="s">
        <v>908</v>
      </c>
      <c r="D73" s="104" t="s">
        <v>753</v>
      </c>
      <c r="E73" s="104" t="s">
        <v>600</v>
      </c>
      <c r="F73" s="104" t="s">
        <v>602</v>
      </c>
      <c r="G73" s="77" t="s">
        <v>191</v>
      </c>
      <c r="H73" s="77" t="s">
        <v>190</v>
      </c>
      <c r="I73" s="104" t="s">
        <v>176</v>
      </c>
      <c r="J73" s="84">
        <v>274</v>
      </c>
      <c r="K73"/>
      <c r="L73"/>
      <c r="M73"/>
      <c r="N73"/>
      <c r="O73"/>
    </row>
    <row r="74" spans="1:15" x14ac:dyDescent="0.25">
      <c r="A74" s="81" t="s">
        <v>825</v>
      </c>
      <c r="B74" s="81" t="s">
        <v>621</v>
      </c>
      <c r="C74" s="105" t="s">
        <v>1116</v>
      </c>
      <c r="D74" s="105"/>
      <c r="E74" s="105"/>
      <c r="F74" s="105"/>
      <c r="G74" s="105"/>
      <c r="H74" s="105"/>
      <c r="I74" s="105"/>
      <c r="J74" s="85">
        <v>1387</v>
      </c>
      <c r="K74"/>
      <c r="L74"/>
      <c r="M74"/>
      <c r="N74"/>
      <c r="O74"/>
    </row>
    <row r="75" spans="1:15" x14ac:dyDescent="0.25">
      <c r="A75" s="81" t="s">
        <v>825</v>
      </c>
      <c r="B75" s="81" t="s">
        <v>621</v>
      </c>
      <c r="C75" s="81" t="s">
        <v>872</v>
      </c>
      <c r="D75" s="81" t="s">
        <v>774</v>
      </c>
      <c r="E75" s="104" t="s">
        <v>770</v>
      </c>
      <c r="F75" s="104" t="s">
        <v>233</v>
      </c>
      <c r="G75" s="104" t="s">
        <v>191</v>
      </c>
      <c r="H75" s="104" t="s">
        <v>190</v>
      </c>
      <c r="I75" s="104" t="s">
        <v>176</v>
      </c>
      <c r="J75" s="84">
        <v>300</v>
      </c>
      <c r="K75"/>
      <c r="L75"/>
      <c r="M75"/>
      <c r="N75"/>
      <c r="O75"/>
    </row>
    <row r="76" spans="1:15" x14ac:dyDescent="0.25">
      <c r="A76" s="81" t="s">
        <v>825</v>
      </c>
      <c r="B76" s="81" t="s">
        <v>621</v>
      </c>
      <c r="C76" s="81" t="s">
        <v>872</v>
      </c>
      <c r="D76" s="81" t="s">
        <v>837</v>
      </c>
      <c r="E76" s="104" t="s">
        <v>827</v>
      </c>
      <c r="F76" s="104" t="s">
        <v>829</v>
      </c>
      <c r="G76" s="104" t="s">
        <v>348</v>
      </c>
      <c r="H76" s="77" t="s">
        <v>190</v>
      </c>
      <c r="I76" s="104" t="s">
        <v>176</v>
      </c>
      <c r="J76" s="84">
        <v>420</v>
      </c>
      <c r="K76"/>
      <c r="L76"/>
      <c r="M76"/>
      <c r="N76"/>
      <c r="O76"/>
    </row>
    <row r="77" spans="1:15" x14ac:dyDescent="0.25">
      <c r="A77" s="81" t="s">
        <v>825</v>
      </c>
      <c r="B77" s="81" t="s">
        <v>621</v>
      </c>
      <c r="C77" s="81" t="s">
        <v>872</v>
      </c>
      <c r="D77" s="81" t="s">
        <v>838</v>
      </c>
      <c r="E77" s="104" t="s">
        <v>828</v>
      </c>
      <c r="F77" s="104" t="s">
        <v>830</v>
      </c>
      <c r="G77" s="77" t="s">
        <v>348</v>
      </c>
      <c r="H77" s="77" t="s">
        <v>190</v>
      </c>
      <c r="I77" s="104" t="s">
        <v>176</v>
      </c>
      <c r="J77" s="84">
        <v>255</v>
      </c>
      <c r="K77"/>
      <c r="L77"/>
      <c r="M77"/>
      <c r="N77"/>
      <c r="O77"/>
    </row>
    <row r="78" spans="1:15" x14ac:dyDescent="0.25">
      <c r="A78" s="81" t="s">
        <v>825</v>
      </c>
      <c r="B78" s="81" t="s">
        <v>621</v>
      </c>
      <c r="C78" s="81" t="s">
        <v>872</v>
      </c>
      <c r="D78" s="81" t="s">
        <v>950</v>
      </c>
      <c r="E78" s="104" t="s">
        <v>305</v>
      </c>
      <c r="F78" s="104" t="s">
        <v>307</v>
      </c>
      <c r="G78" s="104" t="s">
        <v>191</v>
      </c>
      <c r="H78" s="77" t="s">
        <v>190</v>
      </c>
      <c r="I78" s="104" t="s">
        <v>176</v>
      </c>
      <c r="J78" s="84">
        <v>339</v>
      </c>
      <c r="K78"/>
      <c r="L78"/>
      <c r="M78"/>
      <c r="N78"/>
      <c r="O78"/>
    </row>
    <row r="79" spans="1:15" x14ac:dyDescent="0.25">
      <c r="A79" s="81" t="s">
        <v>825</v>
      </c>
      <c r="B79" s="81" t="s">
        <v>621</v>
      </c>
      <c r="C79" s="81" t="s">
        <v>872</v>
      </c>
      <c r="D79" s="104" t="s">
        <v>951</v>
      </c>
      <c r="E79" s="104" t="s">
        <v>727</v>
      </c>
      <c r="F79" s="104" t="s">
        <v>737</v>
      </c>
      <c r="G79" s="77" t="s">
        <v>191</v>
      </c>
      <c r="H79" s="77" t="s">
        <v>190</v>
      </c>
      <c r="I79" s="104" t="s">
        <v>176</v>
      </c>
      <c r="J79" s="84">
        <v>323</v>
      </c>
      <c r="K79"/>
      <c r="L79"/>
      <c r="M79"/>
      <c r="N79"/>
      <c r="O79"/>
    </row>
    <row r="80" spans="1:15" x14ac:dyDescent="0.25">
      <c r="A80" s="81" t="s">
        <v>825</v>
      </c>
      <c r="B80" s="81" t="s">
        <v>621</v>
      </c>
      <c r="C80" s="81" t="s">
        <v>872</v>
      </c>
      <c r="D80" s="77" t="s">
        <v>991</v>
      </c>
      <c r="E80" s="77" t="s">
        <v>441</v>
      </c>
      <c r="F80" s="77" t="s">
        <v>272</v>
      </c>
      <c r="G80" s="77" t="s">
        <v>191</v>
      </c>
      <c r="H80" s="77" t="s">
        <v>320</v>
      </c>
      <c r="I80" s="77" t="s">
        <v>176</v>
      </c>
      <c r="J80" s="84">
        <v>4152</v>
      </c>
      <c r="K80"/>
      <c r="L80"/>
      <c r="M80"/>
      <c r="N80"/>
      <c r="O80"/>
    </row>
    <row r="81" spans="1:15" x14ac:dyDescent="0.25">
      <c r="A81" s="81" t="s">
        <v>825</v>
      </c>
      <c r="B81" s="81" t="s">
        <v>621</v>
      </c>
      <c r="C81" s="104" t="s">
        <v>872</v>
      </c>
      <c r="D81" s="77" t="s">
        <v>992</v>
      </c>
      <c r="E81" s="77" t="s">
        <v>444</v>
      </c>
      <c r="F81" s="77" t="s">
        <v>272</v>
      </c>
      <c r="G81" s="77" t="s">
        <v>191</v>
      </c>
      <c r="H81" s="77" t="s">
        <v>320</v>
      </c>
      <c r="I81" s="77" t="s">
        <v>176</v>
      </c>
      <c r="J81" s="84">
        <v>606</v>
      </c>
      <c r="K81"/>
      <c r="L81"/>
      <c r="M81"/>
      <c r="N81"/>
      <c r="O81"/>
    </row>
    <row r="82" spans="1:15" x14ac:dyDescent="0.25">
      <c r="A82" s="81" t="s">
        <v>825</v>
      </c>
      <c r="B82" s="81" t="s">
        <v>621</v>
      </c>
      <c r="C82" s="105" t="s">
        <v>873</v>
      </c>
      <c r="D82" s="105"/>
      <c r="E82" s="105"/>
      <c r="F82" s="105"/>
      <c r="G82" s="105"/>
      <c r="H82" s="105"/>
      <c r="I82" s="105"/>
      <c r="J82" s="85">
        <v>6395</v>
      </c>
      <c r="K82"/>
      <c r="L82"/>
      <c r="M82"/>
      <c r="N82"/>
      <c r="O82"/>
    </row>
    <row r="83" spans="1:15" x14ac:dyDescent="0.25">
      <c r="A83" s="81" t="s">
        <v>825</v>
      </c>
      <c r="B83" s="81" t="s">
        <v>621</v>
      </c>
      <c r="C83" s="81" t="s">
        <v>909</v>
      </c>
      <c r="D83" s="81" t="s">
        <v>837</v>
      </c>
      <c r="E83" s="104" t="s">
        <v>827</v>
      </c>
      <c r="F83" s="104" t="s">
        <v>829</v>
      </c>
      <c r="G83" s="104" t="s">
        <v>348</v>
      </c>
      <c r="H83" s="104" t="s">
        <v>190</v>
      </c>
      <c r="I83" s="104" t="s">
        <v>176</v>
      </c>
      <c r="J83" s="84">
        <v>430</v>
      </c>
      <c r="K83"/>
      <c r="L83"/>
      <c r="M83"/>
      <c r="N83"/>
      <c r="O83"/>
    </row>
    <row r="84" spans="1:15" x14ac:dyDescent="0.25">
      <c r="A84" s="81" t="s">
        <v>825</v>
      </c>
      <c r="B84" s="81" t="s">
        <v>621</v>
      </c>
      <c r="C84" s="81" t="s">
        <v>909</v>
      </c>
      <c r="D84" s="81" t="s">
        <v>838</v>
      </c>
      <c r="E84" s="104" t="s">
        <v>828</v>
      </c>
      <c r="F84" s="104" t="s">
        <v>830</v>
      </c>
      <c r="G84" s="77" t="s">
        <v>348</v>
      </c>
      <c r="H84" s="77" t="s">
        <v>190</v>
      </c>
      <c r="I84" s="104" t="s">
        <v>176</v>
      </c>
      <c r="J84" s="84">
        <v>180</v>
      </c>
      <c r="K84"/>
      <c r="L84"/>
      <c r="M84"/>
      <c r="N84"/>
      <c r="O84"/>
    </row>
    <row r="85" spans="1:15" x14ac:dyDescent="0.25">
      <c r="A85" s="81" t="s">
        <v>825</v>
      </c>
      <c r="B85" s="81" t="s">
        <v>621</v>
      </c>
      <c r="C85" s="104" t="s">
        <v>909</v>
      </c>
      <c r="D85" s="104" t="s">
        <v>996</v>
      </c>
      <c r="E85" s="104" t="s">
        <v>983</v>
      </c>
      <c r="F85" s="104" t="s">
        <v>987</v>
      </c>
      <c r="G85" s="104" t="s">
        <v>373</v>
      </c>
      <c r="H85" s="77" t="s">
        <v>190</v>
      </c>
      <c r="I85" s="104" t="s">
        <v>176</v>
      </c>
      <c r="J85" s="84">
        <v>7486</v>
      </c>
      <c r="K85"/>
      <c r="L85"/>
      <c r="M85"/>
      <c r="N85"/>
      <c r="O85"/>
    </row>
    <row r="86" spans="1:15" x14ac:dyDescent="0.25">
      <c r="A86" s="104" t="s">
        <v>825</v>
      </c>
      <c r="B86" s="104" t="s">
        <v>621</v>
      </c>
      <c r="C86" s="105" t="s">
        <v>954</v>
      </c>
      <c r="D86" s="105"/>
      <c r="E86" s="105"/>
      <c r="F86" s="105"/>
      <c r="G86" s="105"/>
      <c r="H86" s="105"/>
      <c r="I86" s="105"/>
      <c r="J86" s="85">
        <v>8096</v>
      </c>
      <c r="K86"/>
      <c r="L86"/>
      <c r="M86"/>
      <c r="N86"/>
      <c r="O86"/>
    </row>
    <row r="87" spans="1:15" x14ac:dyDescent="0.25">
      <c r="A87" s="81" t="s">
        <v>609</v>
      </c>
      <c r="B87" s="81"/>
      <c r="C87" s="81"/>
      <c r="D87" s="81"/>
      <c r="E87" s="81"/>
      <c r="F87" s="81"/>
      <c r="G87" s="81"/>
      <c r="H87" s="81"/>
      <c r="I87" s="81"/>
      <c r="J87" s="84">
        <v>74411</v>
      </c>
      <c r="K87"/>
      <c r="L87"/>
      <c r="M87"/>
      <c r="N87"/>
      <c r="O87"/>
    </row>
    <row r="88" spans="1: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7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7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7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7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7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7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Q166" s="82" t="s">
        <v>615</v>
      </c>
    </row>
    <row r="167" spans="1:17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7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7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7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7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7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7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7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7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7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25">
      <c r="A654"/>
      <c r="B654"/>
      <c r="C654"/>
      <c r="D654"/>
      <c r="E654"/>
      <c r="F654"/>
      <c r="G654"/>
      <c r="H654"/>
      <c r="I654"/>
      <c r="J654"/>
      <c r="K654"/>
    </row>
    <row r="655" spans="1:14" x14ac:dyDescent="0.25">
      <c r="A655"/>
      <c r="B655"/>
      <c r="C655"/>
      <c r="D655"/>
      <c r="E655"/>
      <c r="F655"/>
      <c r="G655"/>
      <c r="H655"/>
      <c r="I655"/>
      <c r="J655"/>
      <c r="K655"/>
    </row>
    <row r="656" spans="1:14" x14ac:dyDescent="0.25">
      <c r="A656"/>
      <c r="B656"/>
      <c r="C656"/>
      <c r="D656"/>
      <c r="E656"/>
      <c r="F656"/>
      <c r="G656"/>
      <c r="H656"/>
      <c r="I656"/>
      <c r="J656"/>
      <c r="K656"/>
    </row>
    <row r="657" spans="1:11" x14ac:dyDescent="0.25">
      <c r="A657"/>
      <c r="B657"/>
      <c r="C657"/>
      <c r="D657"/>
      <c r="E657"/>
      <c r="F657"/>
      <c r="G657"/>
      <c r="H657"/>
      <c r="I657"/>
      <c r="J657"/>
      <c r="K657"/>
    </row>
    <row r="658" spans="1:11" x14ac:dyDescent="0.25">
      <c r="A658"/>
      <c r="B658"/>
      <c r="C658"/>
      <c r="D658"/>
      <c r="E658"/>
      <c r="F658"/>
      <c r="G658"/>
      <c r="H658"/>
      <c r="I658"/>
      <c r="J658"/>
      <c r="K658"/>
    </row>
    <row r="659" spans="1:11" x14ac:dyDescent="0.25">
      <c r="A659"/>
      <c r="B659"/>
      <c r="C659"/>
      <c r="D659"/>
      <c r="E659"/>
      <c r="F659"/>
      <c r="G659"/>
      <c r="H659"/>
      <c r="I659"/>
      <c r="J659"/>
      <c r="K659"/>
    </row>
    <row r="660" spans="1:11" x14ac:dyDescent="0.25">
      <c r="A660"/>
      <c r="B660"/>
      <c r="C660"/>
      <c r="D660"/>
      <c r="E660"/>
      <c r="F660"/>
      <c r="G660"/>
      <c r="H660"/>
      <c r="I660"/>
      <c r="J660"/>
      <c r="K660"/>
    </row>
    <row r="661" spans="1:11" x14ac:dyDescent="0.25">
      <c r="A661"/>
      <c r="B661"/>
      <c r="C661"/>
      <c r="D661"/>
      <c r="E661"/>
      <c r="F661"/>
      <c r="G661"/>
      <c r="H661"/>
      <c r="I661"/>
      <c r="J661"/>
      <c r="K661"/>
    </row>
    <row r="662" spans="1:11" x14ac:dyDescent="0.25">
      <c r="A662"/>
      <c r="B662"/>
      <c r="C662"/>
      <c r="D662"/>
      <c r="E662"/>
      <c r="F662"/>
      <c r="G662"/>
      <c r="H662"/>
      <c r="I662"/>
      <c r="J662"/>
      <c r="K662"/>
    </row>
    <row r="663" spans="1:11" x14ac:dyDescent="0.25">
      <c r="A663"/>
      <c r="B663"/>
      <c r="C663"/>
      <c r="D663"/>
      <c r="E663"/>
      <c r="F663"/>
      <c r="G663"/>
      <c r="H663"/>
      <c r="I663"/>
      <c r="J663"/>
      <c r="K663"/>
    </row>
    <row r="664" spans="1:11" x14ac:dyDescent="0.25">
      <c r="A664"/>
      <c r="B664"/>
      <c r="C664"/>
      <c r="D664"/>
      <c r="E664"/>
      <c r="F664"/>
      <c r="G664"/>
      <c r="H664"/>
      <c r="I664"/>
      <c r="J664"/>
      <c r="K664"/>
    </row>
    <row r="665" spans="1:11" x14ac:dyDescent="0.25">
      <c r="A665"/>
      <c r="B665"/>
      <c r="C665"/>
      <c r="D665"/>
      <c r="E665"/>
      <c r="F665"/>
      <c r="G665"/>
      <c r="H665"/>
      <c r="I665"/>
      <c r="J665"/>
      <c r="K665"/>
    </row>
    <row r="666" spans="1:11" x14ac:dyDescent="0.25">
      <c r="A666"/>
      <c r="B666"/>
      <c r="C666"/>
      <c r="D666"/>
      <c r="E666"/>
      <c r="F666"/>
      <c r="G666"/>
      <c r="H666"/>
      <c r="I666"/>
      <c r="J666"/>
      <c r="K666"/>
    </row>
    <row r="667" spans="1:11" x14ac:dyDescent="0.25">
      <c r="A667"/>
      <c r="B667"/>
      <c r="C667"/>
      <c r="D667"/>
      <c r="E667"/>
      <c r="F667"/>
      <c r="G667"/>
      <c r="H667"/>
      <c r="I667"/>
      <c r="J667"/>
      <c r="K667"/>
    </row>
    <row r="668" spans="1:11" x14ac:dyDescent="0.25">
      <c r="A668"/>
      <c r="B668"/>
      <c r="C668"/>
      <c r="D668"/>
      <c r="E668"/>
      <c r="F668"/>
      <c r="G668"/>
      <c r="H668"/>
      <c r="I668"/>
      <c r="J668"/>
      <c r="K668"/>
    </row>
    <row r="669" spans="1:11" x14ac:dyDescent="0.25">
      <c r="A669"/>
      <c r="B669"/>
      <c r="C669"/>
      <c r="D669"/>
      <c r="E669"/>
      <c r="F669"/>
      <c r="G669"/>
      <c r="H669"/>
      <c r="I669"/>
      <c r="J669"/>
      <c r="K669"/>
    </row>
    <row r="670" spans="1:11" x14ac:dyDescent="0.25">
      <c r="A670"/>
      <c r="B670"/>
      <c r="C670"/>
      <c r="D670"/>
      <c r="E670"/>
      <c r="F670"/>
      <c r="G670"/>
      <c r="H670"/>
      <c r="I670"/>
      <c r="J670"/>
      <c r="K670"/>
    </row>
    <row r="671" spans="1:11" x14ac:dyDescent="0.25">
      <c r="A671"/>
      <c r="B671"/>
      <c r="C671"/>
      <c r="D671"/>
      <c r="E671"/>
      <c r="F671"/>
      <c r="G671"/>
      <c r="H671"/>
      <c r="I671"/>
      <c r="J671"/>
      <c r="K671"/>
    </row>
    <row r="672" spans="1:11" x14ac:dyDescent="0.25">
      <c r="A672"/>
      <c r="B672"/>
      <c r="C672"/>
      <c r="D672"/>
      <c r="E672"/>
      <c r="F672"/>
      <c r="G672"/>
      <c r="H672"/>
      <c r="I672"/>
      <c r="J672"/>
      <c r="K672"/>
    </row>
    <row r="673" spans="1:11" x14ac:dyDescent="0.25">
      <c r="A673"/>
      <c r="B673"/>
      <c r="C673"/>
      <c r="D673"/>
      <c r="E673"/>
      <c r="F673"/>
      <c r="G673"/>
      <c r="H673"/>
      <c r="I673"/>
      <c r="J673"/>
      <c r="K673"/>
    </row>
    <row r="674" spans="1:11" x14ac:dyDescent="0.25">
      <c r="A674"/>
      <c r="B674"/>
      <c r="C674"/>
      <c r="D674"/>
      <c r="E674"/>
      <c r="F674"/>
      <c r="G674"/>
      <c r="H674"/>
      <c r="I674"/>
      <c r="J674"/>
      <c r="K674"/>
    </row>
    <row r="675" spans="1:11" x14ac:dyDescent="0.25">
      <c r="A675"/>
      <c r="B675"/>
      <c r="C675"/>
      <c r="D675"/>
      <c r="E675"/>
      <c r="F675"/>
      <c r="G675"/>
      <c r="H675"/>
      <c r="I675"/>
      <c r="J675"/>
      <c r="K675"/>
    </row>
    <row r="676" spans="1:11" x14ac:dyDescent="0.25">
      <c r="A676"/>
      <c r="B676"/>
      <c r="C676"/>
      <c r="D676"/>
      <c r="E676"/>
      <c r="F676"/>
      <c r="G676"/>
      <c r="H676"/>
      <c r="I676"/>
      <c r="J676"/>
      <c r="K676"/>
    </row>
    <row r="677" spans="1:11" x14ac:dyDescent="0.25">
      <c r="A677"/>
      <c r="B677"/>
      <c r="C677"/>
      <c r="D677"/>
      <c r="E677"/>
      <c r="F677"/>
      <c r="G677"/>
      <c r="H677"/>
      <c r="I677"/>
      <c r="J677"/>
      <c r="K677"/>
    </row>
    <row r="678" spans="1:11" x14ac:dyDescent="0.25">
      <c r="A678"/>
      <c r="B678"/>
      <c r="C678"/>
      <c r="D678"/>
      <c r="E678"/>
      <c r="F678"/>
      <c r="G678"/>
      <c r="H678"/>
      <c r="I678"/>
      <c r="J678"/>
      <c r="K678"/>
    </row>
    <row r="679" spans="1:11" x14ac:dyDescent="0.25">
      <c r="A679"/>
      <c r="B679"/>
      <c r="C679"/>
      <c r="D679"/>
      <c r="E679"/>
      <c r="F679"/>
      <c r="G679"/>
      <c r="H679"/>
      <c r="I679"/>
      <c r="J679"/>
      <c r="K679"/>
    </row>
    <row r="680" spans="1:11" x14ac:dyDescent="0.25">
      <c r="A680"/>
      <c r="B680"/>
      <c r="C680"/>
      <c r="D680"/>
      <c r="E680"/>
      <c r="F680"/>
      <c r="G680"/>
      <c r="H680"/>
      <c r="I680"/>
      <c r="J680"/>
      <c r="K680"/>
    </row>
    <row r="681" spans="1:11" x14ac:dyDescent="0.25">
      <c r="A681"/>
      <c r="B681"/>
      <c r="C681"/>
      <c r="D681"/>
      <c r="E681"/>
      <c r="F681"/>
      <c r="G681"/>
      <c r="H681"/>
      <c r="I681"/>
      <c r="J681"/>
      <c r="K681"/>
    </row>
    <row r="682" spans="1:11" x14ac:dyDescent="0.25">
      <c r="A682"/>
      <c r="B682"/>
      <c r="C682"/>
      <c r="D682"/>
      <c r="E682"/>
      <c r="F682"/>
      <c r="G682"/>
      <c r="H682"/>
      <c r="I682"/>
      <c r="J682"/>
      <c r="K682"/>
    </row>
    <row r="683" spans="1:11" x14ac:dyDescent="0.25">
      <c r="A683"/>
      <c r="B683"/>
      <c r="C683"/>
      <c r="D683"/>
      <c r="E683"/>
      <c r="F683"/>
      <c r="G683"/>
      <c r="H683"/>
      <c r="I683"/>
      <c r="J683"/>
      <c r="K683"/>
    </row>
    <row r="684" spans="1:11" x14ac:dyDescent="0.25">
      <c r="A684"/>
      <c r="B684"/>
      <c r="C684"/>
      <c r="D684"/>
      <c r="E684"/>
      <c r="F684"/>
      <c r="G684"/>
      <c r="H684"/>
      <c r="I684"/>
      <c r="J684"/>
      <c r="K684"/>
    </row>
    <row r="685" spans="1:11" x14ac:dyDescent="0.25">
      <c r="A685"/>
      <c r="B685"/>
      <c r="C685"/>
      <c r="D685"/>
      <c r="E685"/>
      <c r="F685"/>
      <c r="G685"/>
      <c r="H685"/>
      <c r="I685"/>
      <c r="J685"/>
      <c r="K685"/>
    </row>
    <row r="686" spans="1:11" x14ac:dyDescent="0.25">
      <c r="A686"/>
      <c r="B686"/>
      <c r="C686"/>
      <c r="D686"/>
      <c r="E686"/>
      <c r="F686"/>
      <c r="G686"/>
      <c r="H686"/>
      <c r="I686"/>
      <c r="J686"/>
      <c r="K686"/>
    </row>
    <row r="687" spans="1:11" x14ac:dyDescent="0.25">
      <c r="A687"/>
      <c r="B687"/>
      <c r="C687"/>
      <c r="D687"/>
      <c r="E687"/>
      <c r="F687"/>
      <c r="G687"/>
      <c r="H687"/>
      <c r="I687"/>
      <c r="J687"/>
      <c r="K687"/>
    </row>
    <row r="688" spans="1:11" x14ac:dyDescent="0.25">
      <c r="A688"/>
      <c r="B688"/>
      <c r="C688"/>
      <c r="D688"/>
      <c r="E688"/>
      <c r="F688"/>
      <c r="G688"/>
      <c r="H688"/>
      <c r="I688"/>
      <c r="J688"/>
      <c r="K688"/>
    </row>
    <row r="689" spans="1:11" x14ac:dyDescent="0.25">
      <c r="A689"/>
      <c r="B689"/>
      <c r="C689"/>
      <c r="D689"/>
      <c r="E689"/>
      <c r="F689"/>
      <c r="G689"/>
      <c r="H689"/>
      <c r="I689"/>
      <c r="J689"/>
      <c r="K689"/>
    </row>
    <row r="690" spans="1:11" x14ac:dyDescent="0.25">
      <c r="A690"/>
      <c r="B690"/>
      <c r="C690"/>
      <c r="D690"/>
      <c r="E690"/>
      <c r="F690"/>
      <c r="G690"/>
      <c r="H690"/>
      <c r="I690"/>
      <c r="J690"/>
      <c r="K690"/>
    </row>
    <row r="691" spans="1:11" x14ac:dyDescent="0.25">
      <c r="A691"/>
      <c r="B691"/>
      <c r="C691"/>
      <c r="D691"/>
      <c r="E691"/>
      <c r="F691"/>
      <c r="G691"/>
      <c r="H691"/>
      <c r="I691"/>
      <c r="J691"/>
      <c r="K691"/>
    </row>
    <row r="692" spans="1:11" x14ac:dyDescent="0.25">
      <c r="A692"/>
      <c r="B692"/>
      <c r="C692"/>
      <c r="D692"/>
      <c r="E692"/>
      <c r="F692"/>
      <c r="G692"/>
      <c r="H692"/>
      <c r="I692"/>
      <c r="J692"/>
      <c r="K692"/>
    </row>
    <row r="693" spans="1:11" x14ac:dyDescent="0.25">
      <c r="A693"/>
      <c r="B693"/>
      <c r="C693"/>
      <c r="D693"/>
      <c r="E693"/>
      <c r="F693"/>
      <c r="G693"/>
      <c r="H693"/>
      <c r="I693"/>
      <c r="J693"/>
      <c r="K693"/>
    </row>
    <row r="694" spans="1:11" x14ac:dyDescent="0.25">
      <c r="A694"/>
      <c r="B694"/>
      <c r="C694"/>
      <c r="D694"/>
      <c r="E694"/>
      <c r="F694"/>
      <c r="G694"/>
      <c r="H694"/>
      <c r="I694"/>
      <c r="J694"/>
      <c r="K694"/>
    </row>
    <row r="695" spans="1:11" x14ac:dyDescent="0.25">
      <c r="A695"/>
      <c r="B695"/>
      <c r="C695"/>
      <c r="D695"/>
      <c r="E695"/>
      <c r="F695"/>
      <c r="G695"/>
      <c r="H695"/>
      <c r="I695"/>
      <c r="J695"/>
      <c r="K695"/>
    </row>
    <row r="696" spans="1:11" x14ac:dyDescent="0.25">
      <c r="A696"/>
      <c r="B696"/>
      <c r="C696"/>
      <c r="D696"/>
      <c r="E696"/>
      <c r="F696"/>
      <c r="G696"/>
      <c r="H696"/>
      <c r="I696"/>
      <c r="J696"/>
      <c r="K696"/>
    </row>
    <row r="697" spans="1:11" x14ac:dyDescent="0.25">
      <c r="A697"/>
      <c r="B697"/>
      <c r="C697"/>
      <c r="D697"/>
      <c r="E697"/>
      <c r="F697"/>
      <c r="G697"/>
      <c r="H697"/>
      <c r="I697"/>
      <c r="J697"/>
      <c r="K697"/>
    </row>
    <row r="698" spans="1:11" x14ac:dyDescent="0.25">
      <c r="A698"/>
      <c r="B698"/>
      <c r="C698"/>
      <c r="D698"/>
      <c r="E698"/>
      <c r="F698"/>
      <c r="G698"/>
      <c r="H698"/>
      <c r="I698"/>
      <c r="J698"/>
      <c r="K698"/>
    </row>
    <row r="699" spans="1:11" x14ac:dyDescent="0.25">
      <c r="A699"/>
      <c r="B699"/>
      <c r="C699"/>
      <c r="D699"/>
      <c r="E699"/>
      <c r="F699"/>
      <c r="G699"/>
      <c r="H699"/>
      <c r="I699"/>
      <c r="J699"/>
      <c r="K699"/>
    </row>
    <row r="700" spans="1:11" x14ac:dyDescent="0.25">
      <c r="A700"/>
      <c r="B700"/>
      <c r="C700"/>
      <c r="D700"/>
      <c r="E700"/>
      <c r="F700"/>
      <c r="G700"/>
      <c r="H700"/>
      <c r="I700"/>
      <c r="J700"/>
      <c r="K700"/>
    </row>
    <row r="701" spans="1:11" x14ac:dyDescent="0.25">
      <c r="A701"/>
      <c r="B701"/>
      <c r="C701"/>
      <c r="D701"/>
      <c r="E701"/>
      <c r="F701"/>
      <c r="G701"/>
      <c r="H701"/>
      <c r="I701"/>
      <c r="J701"/>
      <c r="K701"/>
    </row>
    <row r="702" spans="1:11" x14ac:dyDescent="0.25">
      <c r="A702"/>
      <c r="B702"/>
      <c r="C702"/>
      <c r="D702"/>
      <c r="E702"/>
      <c r="F702"/>
      <c r="G702"/>
      <c r="H702"/>
      <c r="I702"/>
      <c r="J702"/>
      <c r="K702"/>
    </row>
    <row r="703" spans="1:11" x14ac:dyDescent="0.25">
      <c r="A703"/>
      <c r="B703"/>
      <c r="C703"/>
      <c r="D703"/>
      <c r="E703"/>
      <c r="F703"/>
      <c r="G703"/>
      <c r="H703"/>
      <c r="I703"/>
      <c r="J703"/>
      <c r="K703"/>
    </row>
    <row r="704" spans="1:11" x14ac:dyDescent="0.25">
      <c r="A704"/>
      <c r="B704"/>
      <c r="C704"/>
      <c r="D704"/>
      <c r="E704"/>
      <c r="F704"/>
      <c r="G704"/>
      <c r="H704"/>
      <c r="I704"/>
      <c r="J704"/>
      <c r="K704"/>
    </row>
    <row r="705" spans="1:11" x14ac:dyDescent="0.25">
      <c r="A705"/>
      <c r="B705"/>
      <c r="C705"/>
      <c r="D705"/>
      <c r="E705"/>
      <c r="F705"/>
      <c r="G705"/>
      <c r="H705"/>
      <c r="I705"/>
      <c r="J705"/>
      <c r="K705"/>
    </row>
    <row r="706" spans="1:11" x14ac:dyDescent="0.25">
      <c r="A706"/>
      <c r="B706"/>
      <c r="C706"/>
      <c r="D706"/>
      <c r="E706"/>
      <c r="F706"/>
      <c r="G706"/>
      <c r="H706"/>
      <c r="I706"/>
      <c r="J706"/>
      <c r="K706"/>
    </row>
    <row r="707" spans="1:11" x14ac:dyDescent="0.25">
      <c r="A707"/>
      <c r="B707"/>
      <c r="C707"/>
      <c r="D707"/>
      <c r="E707"/>
      <c r="F707"/>
      <c r="G707"/>
      <c r="H707"/>
      <c r="I707"/>
      <c r="J707"/>
      <c r="K707"/>
    </row>
    <row r="708" spans="1:11" x14ac:dyDescent="0.25">
      <c r="A708"/>
      <c r="B708"/>
      <c r="C708"/>
      <c r="D708"/>
      <c r="E708"/>
      <c r="F708"/>
      <c r="G708"/>
      <c r="H708"/>
      <c r="I708"/>
      <c r="J708"/>
      <c r="K708"/>
    </row>
    <row r="709" spans="1:11" x14ac:dyDescent="0.25">
      <c r="A709"/>
      <c r="B709"/>
      <c r="C709"/>
      <c r="D709"/>
      <c r="E709"/>
      <c r="F709"/>
      <c r="G709"/>
      <c r="H709"/>
      <c r="I709"/>
      <c r="J709"/>
      <c r="K709"/>
    </row>
    <row r="710" spans="1:11" x14ac:dyDescent="0.25">
      <c r="A710"/>
      <c r="B710"/>
      <c r="C710"/>
      <c r="D710"/>
      <c r="E710"/>
      <c r="F710"/>
      <c r="G710"/>
      <c r="H710"/>
      <c r="I710"/>
      <c r="J710"/>
      <c r="K710"/>
    </row>
    <row r="711" spans="1:11" x14ac:dyDescent="0.25">
      <c r="A711"/>
      <c r="B711"/>
      <c r="C711"/>
      <c r="D711"/>
      <c r="E711"/>
      <c r="F711"/>
      <c r="G711"/>
      <c r="H711"/>
      <c r="I711"/>
      <c r="J711"/>
      <c r="K711"/>
    </row>
    <row r="712" spans="1:11" x14ac:dyDescent="0.25">
      <c r="A712"/>
      <c r="B712"/>
      <c r="C712"/>
      <c r="D712"/>
      <c r="E712"/>
      <c r="F712"/>
      <c r="G712"/>
      <c r="H712"/>
      <c r="I712"/>
      <c r="J712"/>
      <c r="K712"/>
    </row>
    <row r="713" spans="1:11" x14ac:dyDescent="0.25">
      <c r="A713"/>
      <c r="B713"/>
      <c r="C713"/>
      <c r="D713"/>
      <c r="E713"/>
      <c r="F713"/>
      <c r="G713"/>
      <c r="H713"/>
      <c r="I713"/>
      <c r="J713"/>
      <c r="K713"/>
    </row>
    <row r="714" spans="1:11" x14ac:dyDescent="0.25">
      <c r="A714"/>
      <c r="B714"/>
      <c r="C714"/>
      <c r="D714"/>
      <c r="E714"/>
      <c r="F714"/>
      <c r="G714"/>
      <c r="H714"/>
      <c r="I714"/>
      <c r="J714"/>
      <c r="K714"/>
    </row>
    <row r="715" spans="1:11" x14ac:dyDescent="0.25">
      <c r="A715"/>
      <c r="B715"/>
      <c r="C715"/>
      <c r="D715"/>
      <c r="E715"/>
      <c r="F715"/>
      <c r="G715"/>
      <c r="H715"/>
      <c r="I715"/>
      <c r="J715"/>
      <c r="K715"/>
    </row>
    <row r="716" spans="1:11" x14ac:dyDescent="0.25">
      <c r="A716"/>
      <c r="B716"/>
      <c r="C716"/>
      <c r="D716"/>
      <c r="E716"/>
      <c r="F716"/>
      <c r="G716"/>
      <c r="H716"/>
      <c r="I716"/>
      <c r="J716"/>
      <c r="K716"/>
    </row>
    <row r="717" spans="1:11" x14ac:dyDescent="0.25">
      <c r="A717"/>
      <c r="B717"/>
      <c r="C717"/>
      <c r="D717"/>
      <c r="E717"/>
      <c r="F717"/>
      <c r="G717"/>
      <c r="H717"/>
      <c r="I717"/>
      <c r="J717"/>
      <c r="K717"/>
    </row>
    <row r="718" spans="1:11" x14ac:dyDescent="0.25">
      <c r="A718"/>
      <c r="B718"/>
      <c r="C718"/>
      <c r="D718"/>
      <c r="E718"/>
      <c r="F718"/>
      <c r="G718"/>
      <c r="H718"/>
      <c r="I718"/>
      <c r="J718"/>
      <c r="K718"/>
    </row>
    <row r="719" spans="1:11" x14ac:dyDescent="0.25">
      <c r="A719"/>
      <c r="B719"/>
      <c r="C719"/>
      <c r="D719"/>
      <c r="E719"/>
      <c r="F719"/>
      <c r="G719"/>
      <c r="H719"/>
      <c r="I719"/>
      <c r="J719"/>
      <c r="K719"/>
    </row>
    <row r="720" spans="1:11" x14ac:dyDescent="0.25">
      <c r="A720"/>
      <c r="B720"/>
      <c r="C720"/>
      <c r="D720"/>
      <c r="E720"/>
      <c r="F720"/>
      <c r="G720"/>
      <c r="H720"/>
      <c r="I720"/>
      <c r="J720"/>
      <c r="K720"/>
    </row>
    <row r="721" spans="1:11" x14ac:dyDescent="0.25">
      <c r="A721"/>
      <c r="B721"/>
      <c r="C721"/>
      <c r="D721"/>
      <c r="E721"/>
      <c r="F721"/>
      <c r="G721"/>
      <c r="H721"/>
      <c r="I721"/>
      <c r="J721"/>
      <c r="K721"/>
    </row>
    <row r="722" spans="1:11" x14ac:dyDescent="0.25">
      <c r="A722"/>
      <c r="B722"/>
      <c r="C722"/>
      <c r="D722"/>
      <c r="E722"/>
      <c r="F722"/>
      <c r="G722"/>
      <c r="H722"/>
      <c r="I722"/>
      <c r="J722"/>
      <c r="K722"/>
    </row>
    <row r="723" spans="1:11" x14ac:dyDescent="0.25">
      <c r="A723"/>
      <c r="B723"/>
      <c r="C723"/>
      <c r="D723"/>
      <c r="E723"/>
      <c r="F723"/>
      <c r="G723"/>
      <c r="H723"/>
      <c r="I723"/>
      <c r="J723"/>
      <c r="K723"/>
    </row>
    <row r="724" spans="1:11" x14ac:dyDescent="0.25">
      <c r="A724"/>
      <c r="B724"/>
      <c r="C724"/>
      <c r="D724"/>
      <c r="E724"/>
      <c r="F724"/>
      <c r="G724"/>
      <c r="H724"/>
      <c r="I724"/>
      <c r="J724"/>
      <c r="K724"/>
    </row>
    <row r="725" spans="1:11" x14ac:dyDescent="0.25">
      <c r="A725"/>
      <c r="B725"/>
      <c r="C725"/>
      <c r="D725"/>
      <c r="E725"/>
      <c r="F725"/>
      <c r="G725"/>
      <c r="H725"/>
      <c r="I725"/>
      <c r="J725"/>
      <c r="K725"/>
    </row>
    <row r="726" spans="1:11" x14ac:dyDescent="0.25">
      <c r="A726"/>
      <c r="B726"/>
      <c r="C726"/>
      <c r="D726"/>
      <c r="E726"/>
      <c r="F726"/>
      <c r="G726"/>
      <c r="H726"/>
      <c r="I726"/>
      <c r="J726"/>
      <c r="K726"/>
    </row>
    <row r="727" spans="1:11" x14ac:dyDescent="0.25">
      <c r="A727"/>
      <c r="B727"/>
      <c r="C727"/>
      <c r="D727"/>
      <c r="E727"/>
      <c r="F727"/>
      <c r="G727"/>
      <c r="H727"/>
      <c r="I727"/>
      <c r="J727"/>
      <c r="K727"/>
    </row>
    <row r="728" spans="1:11" x14ac:dyDescent="0.25">
      <c r="A728"/>
      <c r="B728"/>
      <c r="C728"/>
      <c r="D728"/>
      <c r="E728"/>
      <c r="F728"/>
      <c r="G728"/>
      <c r="H728"/>
      <c r="I728"/>
      <c r="J728"/>
      <c r="K728"/>
    </row>
    <row r="729" spans="1:11" x14ac:dyDescent="0.25">
      <c r="A729"/>
      <c r="B729"/>
      <c r="C729"/>
      <c r="D729"/>
      <c r="E729"/>
      <c r="F729"/>
      <c r="G729"/>
      <c r="H729"/>
      <c r="I729"/>
      <c r="J729"/>
      <c r="K729"/>
    </row>
    <row r="730" spans="1:11" x14ac:dyDescent="0.25">
      <c r="A730"/>
      <c r="B730"/>
      <c r="C730"/>
      <c r="D730"/>
      <c r="E730"/>
      <c r="F730"/>
      <c r="G730"/>
      <c r="H730"/>
      <c r="I730"/>
      <c r="J730"/>
      <c r="K730"/>
    </row>
    <row r="731" spans="1:11" x14ac:dyDescent="0.25">
      <c r="A731"/>
      <c r="B731"/>
      <c r="C731"/>
      <c r="D731"/>
      <c r="E731"/>
      <c r="F731"/>
      <c r="G731"/>
      <c r="H731"/>
      <c r="I731"/>
      <c r="J731"/>
      <c r="K731"/>
    </row>
    <row r="732" spans="1:11" x14ac:dyDescent="0.25">
      <c r="A732"/>
      <c r="B732"/>
      <c r="C732"/>
      <c r="D732"/>
      <c r="E732"/>
      <c r="F732"/>
      <c r="G732"/>
      <c r="H732"/>
      <c r="I732"/>
      <c r="J732"/>
      <c r="K732"/>
    </row>
    <row r="733" spans="1:11" x14ac:dyDescent="0.25">
      <c r="A733"/>
      <c r="B733"/>
      <c r="C733"/>
      <c r="D733"/>
      <c r="E733"/>
      <c r="F733"/>
      <c r="G733"/>
      <c r="H733"/>
      <c r="I733"/>
      <c r="J733"/>
      <c r="K733"/>
    </row>
    <row r="734" spans="1:11" x14ac:dyDescent="0.25">
      <c r="A734"/>
      <c r="B734"/>
      <c r="C734"/>
      <c r="D734"/>
      <c r="E734"/>
      <c r="F734"/>
      <c r="G734"/>
      <c r="H734"/>
      <c r="I734"/>
      <c r="J734"/>
      <c r="K734"/>
    </row>
    <row r="735" spans="1:11" x14ac:dyDescent="0.25">
      <c r="A735"/>
      <c r="B735"/>
      <c r="C735"/>
      <c r="D735"/>
      <c r="E735"/>
      <c r="F735"/>
      <c r="G735"/>
      <c r="H735"/>
      <c r="I735"/>
      <c r="J735"/>
      <c r="K735"/>
    </row>
    <row r="736" spans="1:11" x14ac:dyDescent="0.25">
      <c r="A736"/>
      <c r="B736"/>
      <c r="C736"/>
      <c r="D736"/>
      <c r="E736"/>
      <c r="F736"/>
      <c r="G736"/>
      <c r="H736"/>
      <c r="I736"/>
      <c r="J736"/>
      <c r="K736"/>
    </row>
    <row r="737" spans="1:11" x14ac:dyDescent="0.25">
      <c r="A737"/>
      <c r="B737"/>
      <c r="C737"/>
      <c r="D737"/>
      <c r="E737"/>
      <c r="F737"/>
      <c r="G737"/>
      <c r="H737"/>
      <c r="I737"/>
      <c r="J737"/>
      <c r="K737"/>
    </row>
    <row r="738" spans="1:11" x14ac:dyDescent="0.25">
      <c r="A738"/>
      <c r="B738"/>
      <c r="C738"/>
      <c r="D738"/>
      <c r="E738"/>
      <c r="F738"/>
      <c r="G738"/>
      <c r="H738"/>
      <c r="I738"/>
      <c r="J738"/>
      <c r="K738"/>
    </row>
    <row r="739" spans="1:11" x14ac:dyDescent="0.25">
      <c r="A739"/>
      <c r="B739"/>
      <c r="C739"/>
      <c r="D739"/>
      <c r="E739"/>
      <c r="F739"/>
      <c r="G739"/>
      <c r="H739"/>
      <c r="I739"/>
      <c r="J739"/>
      <c r="K739"/>
    </row>
    <row r="740" spans="1:11" x14ac:dyDescent="0.25">
      <c r="A740"/>
      <c r="B740"/>
      <c r="C740"/>
      <c r="D740"/>
      <c r="E740"/>
      <c r="F740"/>
      <c r="G740"/>
      <c r="H740"/>
      <c r="I740"/>
      <c r="J740"/>
      <c r="K740"/>
    </row>
    <row r="741" spans="1:11" x14ac:dyDescent="0.25">
      <c r="A741"/>
      <c r="B741"/>
      <c r="C741"/>
      <c r="D741"/>
      <c r="E741"/>
      <c r="F741"/>
      <c r="G741"/>
      <c r="H741"/>
      <c r="I741"/>
      <c r="J741"/>
      <c r="K741"/>
    </row>
    <row r="742" spans="1:11" x14ac:dyDescent="0.25">
      <c r="A742"/>
      <c r="B742"/>
      <c r="C742"/>
      <c r="D742"/>
      <c r="E742"/>
      <c r="F742"/>
      <c r="G742"/>
      <c r="H742"/>
      <c r="I742"/>
      <c r="J742"/>
      <c r="K742"/>
    </row>
    <row r="743" spans="1:11" x14ac:dyDescent="0.25">
      <c r="A743"/>
      <c r="B743"/>
      <c r="C743"/>
      <c r="D743"/>
      <c r="E743"/>
      <c r="F743"/>
      <c r="G743"/>
      <c r="H743"/>
      <c r="I743"/>
      <c r="J743"/>
      <c r="K743"/>
    </row>
    <row r="744" spans="1:11" x14ac:dyDescent="0.25">
      <c r="A744"/>
      <c r="B744"/>
      <c r="C744"/>
      <c r="D744"/>
      <c r="E744"/>
      <c r="F744"/>
      <c r="G744"/>
      <c r="H744"/>
      <c r="I744"/>
      <c r="J744"/>
      <c r="K744"/>
    </row>
    <row r="745" spans="1:11" x14ac:dyDescent="0.25">
      <c r="A745"/>
      <c r="B745"/>
      <c r="C745"/>
      <c r="D745"/>
      <c r="E745"/>
      <c r="F745"/>
      <c r="G745"/>
      <c r="H745"/>
      <c r="I745"/>
      <c r="J745"/>
      <c r="K745"/>
    </row>
    <row r="746" spans="1:11" x14ac:dyDescent="0.25">
      <c r="A746"/>
      <c r="B746"/>
      <c r="C746"/>
      <c r="D746"/>
      <c r="E746"/>
      <c r="F746"/>
      <c r="G746"/>
      <c r="H746"/>
      <c r="I746"/>
      <c r="J746"/>
      <c r="K746"/>
    </row>
    <row r="747" spans="1:11" x14ac:dyDescent="0.25">
      <c r="A747"/>
      <c r="B747"/>
      <c r="C747"/>
      <c r="D747"/>
      <c r="E747"/>
      <c r="F747"/>
      <c r="G747"/>
      <c r="H747"/>
      <c r="I747"/>
      <c r="J747"/>
      <c r="K747"/>
    </row>
    <row r="748" spans="1:11" x14ac:dyDescent="0.25">
      <c r="A748"/>
      <c r="B748"/>
      <c r="C748"/>
      <c r="D748"/>
      <c r="E748"/>
      <c r="F748"/>
      <c r="G748"/>
      <c r="H748"/>
      <c r="I748"/>
      <c r="J748"/>
      <c r="K748"/>
    </row>
    <row r="749" spans="1:11" x14ac:dyDescent="0.25">
      <c r="A749"/>
      <c r="B749"/>
      <c r="C749"/>
      <c r="D749"/>
      <c r="E749"/>
      <c r="F749"/>
      <c r="G749"/>
      <c r="H749"/>
      <c r="I749"/>
      <c r="J749"/>
      <c r="K749"/>
    </row>
    <row r="750" spans="1:11" x14ac:dyDescent="0.25">
      <c r="A750"/>
      <c r="B750"/>
      <c r="C750"/>
      <c r="D750"/>
      <c r="E750"/>
      <c r="F750"/>
      <c r="G750"/>
      <c r="H750"/>
      <c r="I750"/>
      <c r="J750"/>
      <c r="K750"/>
    </row>
    <row r="751" spans="1:11" x14ac:dyDescent="0.25">
      <c r="A751"/>
      <c r="B751"/>
      <c r="C751"/>
      <c r="D751"/>
      <c r="E751"/>
      <c r="F751"/>
      <c r="G751"/>
      <c r="H751"/>
      <c r="I751"/>
      <c r="J751"/>
      <c r="K751"/>
    </row>
    <row r="752" spans="1:11" x14ac:dyDescent="0.25">
      <c r="A752"/>
      <c r="B752"/>
      <c r="C752"/>
      <c r="D752"/>
      <c r="E752"/>
      <c r="F752"/>
      <c r="G752"/>
      <c r="H752"/>
      <c r="I752"/>
      <c r="J752"/>
      <c r="K752"/>
    </row>
    <row r="753" spans="1:11" x14ac:dyDescent="0.25">
      <c r="A753"/>
      <c r="B753"/>
      <c r="C753"/>
      <c r="D753"/>
      <c r="E753"/>
      <c r="F753"/>
      <c r="G753"/>
      <c r="H753"/>
      <c r="I753"/>
      <c r="J753"/>
      <c r="K753"/>
    </row>
    <row r="754" spans="1:11" x14ac:dyDescent="0.25">
      <c r="A754"/>
      <c r="B754"/>
      <c r="C754"/>
      <c r="D754"/>
      <c r="E754"/>
      <c r="F754"/>
      <c r="G754"/>
      <c r="H754"/>
      <c r="I754"/>
      <c r="J754"/>
      <c r="K754"/>
    </row>
    <row r="755" spans="1:11" x14ac:dyDescent="0.25">
      <c r="A755"/>
      <c r="B755"/>
      <c r="C755"/>
      <c r="D755"/>
      <c r="E755"/>
      <c r="F755"/>
      <c r="G755"/>
      <c r="H755"/>
      <c r="I755"/>
      <c r="J755"/>
      <c r="K755"/>
    </row>
    <row r="756" spans="1:11" x14ac:dyDescent="0.25">
      <c r="A756"/>
      <c r="B756"/>
      <c r="C756"/>
      <c r="D756"/>
      <c r="E756"/>
      <c r="F756"/>
      <c r="G756"/>
      <c r="H756"/>
      <c r="I756"/>
      <c r="J756"/>
      <c r="K756"/>
    </row>
    <row r="757" spans="1:11" x14ac:dyDescent="0.25">
      <c r="A757"/>
      <c r="B757"/>
      <c r="C757"/>
      <c r="D757"/>
      <c r="E757"/>
      <c r="F757"/>
      <c r="G757"/>
      <c r="H757"/>
      <c r="I757"/>
      <c r="J757"/>
      <c r="K757"/>
    </row>
    <row r="758" spans="1:11" x14ac:dyDescent="0.25">
      <c r="A758"/>
      <c r="B758"/>
      <c r="C758"/>
      <c r="D758"/>
      <c r="E758"/>
      <c r="F758"/>
      <c r="G758"/>
      <c r="H758"/>
      <c r="I758"/>
      <c r="J758"/>
      <c r="K758"/>
    </row>
    <row r="759" spans="1:11" x14ac:dyDescent="0.25">
      <c r="A759"/>
      <c r="B759"/>
      <c r="C759"/>
      <c r="D759"/>
      <c r="E759"/>
      <c r="F759"/>
      <c r="G759"/>
      <c r="H759"/>
      <c r="I759"/>
      <c r="J759"/>
      <c r="K759"/>
    </row>
    <row r="760" spans="1:11" x14ac:dyDescent="0.25">
      <c r="A760"/>
      <c r="B760"/>
      <c r="C760"/>
      <c r="D760"/>
      <c r="E760"/>
      <c r="F760"/>
      <c r="G760"/>
      <c r="H760"/>
      <c r="I760"/>
      <c r="J760"/>
      <c r="K760"/>
    </row>
    <row r="761" spans="1:11" x14ac:dyDescent="0.25">
      <c r="A761"/>
      <c r="B761"/>
      <c r="C761"/>
      <c r="D761"/>
      <c r="E761"/>
      <c r="F761"/>
      <c r="G761"/>
      <c r="H761"/>
      <c r="I761"/>
      <c r="J761"/>
      <c r="K761"/>
    </row>
    <row r="762" spans="1:11" x14ac:dyDescent="0.25">
      <c r="A762"/>
      <c r="B762"/>
      <c r="C762"/>
      <c r="D762"/>
      <c r="E762"/>
      <c r="F762"/>
      <c r="G762"/>
      <c r="H762"/>
      <c r="I762"/>
      <c r="J762"/>
      <c r="K762"/>
    </row>
    <row r="763" spans="1:11" x14ac:dyDescent="0.25">
      <c r="A763"/>
      <c r="B763"/>
      <c r="C763"/>
      <c r="D763"/>
      <c r="E763"/>
      <c r="F763"/>
      <c r="G763"/>
      <c r="H763"/>
      <c r="I763"/>
      <c r="J763"/>
      <c r="K763"/>
    </row>
    <row r="764" spans="1:11" x14ac:dyDescent="0.25">
      <c r="A764"/>
      <c r="B764"/>
      <c r="C764"/>
      <c r="D764"/>
      <c r="E764"/>
      <c r="F764"/>
      <c r="G764"/>
      <c r="H764"/>
      <c r="I764"/>
      <c r="J764"/>
      <c r="K764"/>
    </row>
    <row r="765" spans="1:11" x14ac:dyDescent="0.25">
      <c r="A765"/>
      <c r="B765"/>
      <c r="C765"/>
      <c r="D765"/>
      <c r="E765"/>
      <c r="F765"/>
      <c r="G765"/>
      <c r="H765"/>
      <c r="I765"/>
      <c r="J765"/>
      <c r="K765"/>
    </row>
    <row r="766" spans="1:11" x14ac:dyDescent="0.25">
      <c r="A766"/>
      <c r="B766"/>
      <c r="C766"/>
      <c r="D766"/>
      <c r="E766"/>
      <c r="F766"/>
      <c r="G766"/>
      <c r="H766"/>
      <c r="I766"/>
      <c r="J766"/>
      <c r="K766"/>
    </row>
    <row r="767" spans="1:11" x14ac:dyDescent="0.25">
      <c r="A767"/>
      <c r="B767"/>
      <c r="C767"/>
      <c r="D767"/>
      <c r="E767"/>
      <c r="F767"/>
      <c r="G767"/>
      <c r="H767"/>
      <c r="I767"/>
      <c r="J767"/>
      <c r="K767"/>
    </row>
    <row r="768" spans="1:11" x14ac:dyDescent="0.25">
      <c r="A768"/>
      <c r="B768"/>
      <c r="C768"/>
      <c r="D768"/>
      <c r="E768"/>
      <c r="F768"/>
      <c r="G768"/>
      <c r="H768"/>
      <c r="I768"/>
      <c r="J768"/>
      <c r="K768"/>
    </row>
    <row r="769" spans="1:11" x14ac:dyDescent="0.25">
      <c r="A769"/>
      <c r="B769"/>
      <c r="C769"/>
      <c r="D769"/>
      <c r="E769"/>
      <c r="F769"/>
      <c r="G769"/>
      <c r="H769"/>
      <c r="I769"/>
      <c r="J769"/>
      <c r="K769"/>
    </row>
    <row r="770" spans="1:11" x14ac:dyDescent="0.25">
      <c r="A770"/>
      <c r="B770"/>
      <c r="C770"/>
      <c r="D770"/>
      <c r="E770"/>
      <c r="F770"/>
      <c r="G770"/>
      <c r="H770"/>
      <c r="I770"/>
      <c r="J770"/>
      <c r="K770"/>
    </row>
    <row r="771" spans="1:11" x14ac:dyDescent="0.25">
      <c r="A771"/>
      <c r="B771"/>
      <c r="C771"/>
      <c r="D771"/>
      <c r="E771"/>
      <c r="F771"/>
      <c r="G771"/>
      <c r="H771"/>
      <c r="I771"/>
      <c r="J771"/>
      <c r="K771"/>
    </row>
    <row r="772" spans="1:11" x14ac:dyDescent="0.25">
      <c r="A772"/>
      <c r="B772"/>
      <c r="C772"/>
      <c r="D772"/>
      <c r="E772"/>
      <c r="F772"/>
      <c r="G772"/>
      <c r="H772"/>
      <c r="I772"/>
      <c r="J772"/>
      <c r="K772"/>
    </row>
    <row r="773" spans="1:11" x14ac:dyDescent="0.25">
      <c r="A773"/>
      <c r="B773"/>
      <c r="C773"/>
      <c r="D773"/>
      <c r="E773"/>
      <c r="F773"/>
      <c r="G773"/>
      <c r="H773"/>
      <c r="I773"/>
      <c r="J773"/>
      <c r="K773"/>
    </row>
    <row r="774" spans="1:11" x14ac:dyDescent="0.25">
      <c r="A774"/>
      <c r="B774"/>
      <c r="C774"/>
      <c r="D774"/>
      <c r="E774"/>
      <c r="F774"/>
      <c r="G774"/>
      <c r="H774"/>
      <c r="I774"/>
      <c r="J774"/>
      <c r="K774"/>
    </row>
    <row r="775" spans="1:11" x14ac:dyDescent="0.25">
      <c r="A775"/>
      <c r="B775"/>
      <c r="C775"/>
      <c r="D775"/>
      <c r="E775"/>
      <c r="F775"/>
      <c r="G775"/>
      <c r="H775"/>
      <c r="I775"/>
      <c r="J775"/>
      <c r="K775"/>
    </row>
    <row r="776" spans="1:11" x14ac:dyDescent="0.25">
      <c r="A776"/>
      <c r="B776"/>
      <c r="C776"/>
      <c r="D776"/>
      <c r="E776"/>
      <c r="F776"/>
      <c r="G776"/>
      <c r="H776"/>
      <c r="I776"/>
      <c r="J776"/>
      <c r="K776"/>
    </row>
    <row r="777" spans="1:11" x14ac:dyDescent="0.25">
      <c r="A777"/>
      <c r="B777"/>
      <c r="C777"/>
      <c r="D777"/>
      <c r="E777"/>
      <c r="F777"/>
      <c r="G777"/>
      <c r="H777"/>
      <c r="I777"/>
      <c r="J777"/>
      <c r="K777"/>
    </row>
    <row r="778" spans="1:11" x14ac:dyDescent="0.25">
      <c r="A778"/>
      <c r="B778"/>
      <c r="C778"/>
      <c r="D778"/>
      <c r="E778"/>
      <c r="F778"/>
      <c r="G778"/>
      <c r="H778"/>
      <c r="I778"/>
      <c r="J778"/>
      <c r="K778"/>
    </row>
    <row r="779" spans="1:11" x14ac:dyDescent="0.25">
      <c r="A779"/>
      <c r="B779"/>
      <c r="C779"/>
      <c r="D779"/>
      <c r="E779"/>
      <c r="F779"/>
      <c r="G779"/>
      <c r="H779"/>
      <c r="I779"/>
      <c r="J779"/>
      <c r="K779"/>
    </row>
    <row r="780" spans="1:11" x14ac:dyDescent="0.25">
      <c r="A780"/>
      <c r="B780"/>
      <c r="C780"/>
      <c r="D780"/>
      <c r="E780"/>
      <c r="F780"/>
      <c r="G780"/>
      <c r="H780"/>
      <c r="I780"/>
      <c r="J780"/>
      <c r="K780"/>
    </row>
    <row r="781" spans="1:11" x14ac:dyDescent="0.25">
      <c r="A781"/>
      <c r="B781"/>
      <c r="C781"/>
      <c r="D781"/>
      <c r="E781"/>
      <c r="F781"/>
      <c r="G781"/>
      <c r="H781"/>
      <c r="I781"/>
      <c r="J781"/>
      <c r="K781"/>
    </row>
    <row r="782" spans="1:11" x14ac:dyDescent="0.25">
      <c r="A782"/>
      <c r="B782"/>
      <c r="C782"/>
      <c r="D782"/>
      <c r="E782"/>
      <c r="F782"/>
      <c r="G782"/>
      <c r="H782"/>
      <c r="I782"/>
      <c r="J782"/>
      <c r="K782"/>
    </row>
    <row r="783" spans="1:11" x14ac:dyDescent="0.25">
      <c r="A783"/>
      <c r="B783"/>
      <c r="C783"/>
      <c r="D783"/>
      <c r="E783"/>
      <c r="F783"/>
      <c r="G783"/>
      <c r="H783"/>
      <c r="I783"/>
      <c r="J783"/>
      <c r="K783"/>
    </row>
    <row r="784" spans="1:11" x14ac:dyDescent="0.25">
      <c r="A784"/>
      <c r="B784"/>
      <c r="C784"/>
      <c r="D784"/>
      <c r="E784"/>
      <c r="F784"/>
      <c r="G784"/>
      <c r="H784"/>
      <c r="I784"/>
      <c r="J784"/>
      <c r="K784"/>
    </row>
    <row r="785" spans="1:11" x14ac:dyDescent="0.25">
      <c r="A785"/>
      <c r="B785"/>
      <c r="C785"/>
      <c r="D785"/>
      <c r="E785"/>
      <c r="F785"/>
      <c r="G785"/>
      <c r="H785"/>
      <c r="I785"/>
      <c r="J785"/>
      <c r="K785"/>
    </row>
    <row r="786" spans="1:11" x14ac:dyDescent="0.25">
      <c r="A786"/>
      <c r="B786"/>
      <c r="C786"/>
      <c r="D786"/>
      <c r="E786"/>
      <c r="F786"/>
      <c r="G786"/>
      <c r="H786"/>
      <c r="I786"/>
      <c r="J786"/>
      <c r="K786"/>
    </row>
    <row r="787" spans="1:11" x14ac:dyDescent="0.25">
      <c r="A787"/>
      <c r="B787"/>
      <c r="C787"/>
      <c r="D787"/>
      <c r="E787"/>
      <c r="F787"/>
      <c r="G787"/>
      <c r="H787"/>
      <c r="I787"/>
      <c r="J787"/>
      <c r="K787"/>
    </row>
    <row r="788" spans="1:11" x14ac:dyDescent="0.25">
      <c r="A788"/>
      <c r="B788"/>
      <c r="C788"/>
      <c r="D788"/>
      <c r="E788"/>
      <c r="F788"/>
      <c r="G788"/>
      <c r="H788"/>
      <c r="I788"/>
      <c r="J788"/>
      <c r="K788"/>
    </row>
    <row r="789" spans="1:11" x14ac:dyDescent="0.25">
      <c r="A789"/>
      <c r="B789"/>
      <c r="C789"/>
      <c r="D789"/>
      <c r="E789"/>
      <c r="F789"/>
      <c r="G789"/>
      <c r="H789"/>
      <c r="I789"/>
      <c r="J789"/>
      <c r="K789"/>
    </row>
    <row r="790" spans="1:11" x14ac:dyDescent="0.25">
      <c r="A790"/>
      <c r="B790"/>
      <c r="C790"/>
      <c r="D790"/>
      <c r="E790"/>
      <c r="F790"/>
      <c r="G790"/>
      <c r="H790"/>
      <c r="I790"/>
      <c r="J790"/>
      <c r="K790"/>
    </row>
    <row r="791" spans="1:11" x14ac:dyDescent="0.25">
      <c r="A791"/>
      <c r="B791"/>
      <c r="C791"/>
      <c r="D791"/>
      <c r="E791"/>
      <c r="F791"/>
      <c r="G791"/>
      <c r="H791"/>
      <c r="I791"/>
      <c r="J791"/>
      <c r="K791"/>
    </row>
    <row r="792" spans="1:11" x14ac:dyDescent="0.25">
      <c r="A792"/>
      <c r="B792"/>
      <c r="C792"/>
      <c r="D792"/>
      <c r="E792"/>
      <c r="F792"/>
      <c r="G792"/>
      <c r="H792"/>
      <c r="I792"/>
      <c r="J792"/>
      <c r="K792"/>
    </row>
    <row r="793" spans="1:11" x14ac:dyDescent="0.25">
      <c r="A793"/>
      <c r="B793"/>
      <c r="C793"/>
      <c r="D793"/>
      <c r="E793"/>
      <c r="F793"/>
      <c r="G793"/>
      <c r="H793"/>
      <c r="I793"/>
      <c r="J793"/>
      <c r="K793"/>
    </row>
    <row r="794" spans="1:11" x14ac:dyDescent="0.25">
      <c r="A794"/>
      <c r="B794"/>
      <c r="C794"/>
      <c r="D794"/>
      <c r="E794"/>
      <c r="F794"/>
      <c r="G794"/>
      <c r="H794"/>
      <c r="I794"/>
      <c r="J794"/>
      <c r="K794"/>
    </row>
    <row r="795" spans="1:11" x14ac:dyDescent="0.25">
      <c r="A795"/>
      <c r="B795"/>
      <c r="C795"/>
      <c r="D795"/>
      <c r="E795"/>
      <c r="F795"/>
      <c r="G795"/>
      <c r="H795"/>
      <c r="I795"/>
      <c r="J795"/>
      <c r="K795"/>
    </row>
    <row r="796" spans="1:11" x14ac:dyDescent="0.25">
      <c r="A796"/>
      <c r="B796"/>
      <c r="C796"/>
      <c r="D796"/>
      <c r="E796"/>
      <c r="F796"/>
      <c r="G796"/>
      <c r="H796"/>
      <c r="I796"/>
      <c r="J796"/>
      <c r="K796"/>
    </row>
    <row r="797" spans="1:11" x14ac:dyDescent="0.25">
      <c r="A797"/>
      <c r="B797"/>
      <c r="C797"/>
      <c r="D797"/>
      <c r="E797"/>
      <c r="F797"/>
      <c r="G797"/>
      <c r="H797"/>
      <c r="I797"/>
      <c r="J797"/>
      <c r="K797"/>
    </row>
    <row r="798" spans="1:11" x14ac:dyDescent="0.25">
      <c r="A798"/>
      <c r="B798"/>
      <c r="C798"/>
      <c r="D798"/>
      <c r="E798"/>
      <c r="F798"/>
      <c r="G798"/>
      <c r="H798"/>
      <c r="I798"/>
      <c r="J798"/>
      <c r="K798"/>
    </row>
    <row r="799" spans="1:11" x14ac:dyDescent="0.25">
      <c r="A799"/>
      <c r="B799"/>
      <c r="C799"/>
      <c r="D799"/>
      <c r="E799"/>
      <c r="F799"/>
      <c r="G799"/>
      <c r="H799"/>
      <c r="I799"/>
      <c r="J799"/>
      <c r="K799"/>
    </row>
    <row r="800" spans="1:11" x14ac:dyDescent="0.25">
      <c r="A800"/>
      <c r="B800"/>
      <c r="C800"/>
      <c r="D800"/>
      <c r="E800"/>
      <c r="F800"/>
      <c r="G800"/>
      <c r="H800"/>
      <c r="I800"/>
      <c r="J800"/>
      <c r="K800"/>
    </row>
    <row r="801" spans="1:11" x14ac:dyDescent="0.25">
      <c r="A801"/>
      <c r="B801"/>
      <c r="C801"/>
      <c r="D801"/>
      <c r="E801"/>
      <c r="F801"/>
      <c r="G801"/>
      <c r="H801"/>
      <c r="I801"/>
      <c r="J801"/>
      <c r="K801"/>
    </row>
    <row r="802" spans="1:11" x14ac:dyDescent="0.25">
      <c r="A802"/>
      <c r="B802"/>
      <c r="C802"/>
      <c r="D802"/>
      <c r="E802"/>
      <c r="F802"/>
      <c r="G802"/>
      <c r="H802"/>
      <c r="I802"/>
      <c r="J802"/>
      <c r="K802"/>
    </row>
    <row r="803" spans="1:11" x14ac:dyDescent="0.25">
      <c r="A803"/>
      <c r="B803"/>
      <c r="C803"/>
      <c r="D803"/>
      <c r="E803"/>
      <c r="F803"/>
      <c r="G803"/>
      <c r="H803"/>
      <c r="I803"/>
      <c r="J803"/>
      <c r="K803"/>
    </row>
    <row r="804" spans="1:11" x14ac:dyDescent="0.25">
      <c r="A804"/>
      <c r="B804"/>
      <c r="C804"/>
      <c r="D804"/>
      <c r="E804"/>
      <c r="F804"/>
      <c r="G804"/>
      <c r="H804"/>
      <c r="I804"/>
      <c r="J804"/>
      <c r="K804"/>
    </row>
    <row r="805" spans="1:11" x14ac:dyDescent="0.25">
      <c r="A805"/>
      <c r="B805"/>
      <c r="C805"/>
      <c r="D805"/>
      <c r="E805"/>
      <c r="F805"/>
      <c r="G805"/>
      <c r="H805"/>
      <c r="I805"/>
      <c r="J805"/>
      <c r="K805"/>
    </row>
    <row r="806" spans="1:11" x14ac:dyDescent="0.25">
      <c r="A806"/>
      <c r="B806"/>
      <c r="C806"/>
      <c r="D806"/>
      <c r="E806"/>
      <c r="F806"/>
      <c r="G806"/>
      <c r="H806"/>
      <c r="I806"/>
      <c r="J806"/>
      <c r="K806"/>
    </row>
    <row r="807" spans="1:11" x14ac:dyDescent="0.25">
      <c r="A807"/>
      <c r="B807"/>
      <c r="C807"/>
      <c r="D807"/>
      <c r="E807"/>
      <c r="F807"/>
      <c r="G807"/>
      <c r="H807"/>
      <c r="I807"/>
      <c r="J807"/>
      <c r="K807"/>
    </row>
    <row r="808" spans="1:11" x14ac:dyDescent="0.25">
      <c r="A808"/>
      <c r="B808"/>
      <c r="C808"/>
      <c r="D808"/>
      <c r="E808"/>
      <c r="F808"/>
      <c r="G808"/>
      <c r="H808"/>
      <c r="I808"/>
      <c r="J808"/>
      <c r="K808"/>
    </row>
    <row r="809" spans="1:11" x14ac:dyDescent="0.25">
      <c r="A809"/>
      <c r="B809"/>
      <c r="C809"/>
      <c r="D809"/>
      <c r="E809"/>
      <c r="F809"/>
      <c r="G809"/>
      <c r="H809"/>
      <c r="I809"/>
      <c r="J809"/>
      <c r="K809"/>
    </row>
    <row r="810" spans="1:11" x14ac:dyDescent="0.25">
      <c r="A810"/>
      <c r="B810"/>
      <c r="C810"/>
      <c r="D810"/>
      <c r="E810"/>
      <c r="F810"/>
      <c r="G810"/>
      <c r="H810"/>
      <c r="I810"/>
      <c r="J810"/>
      <c r="K810"/>
    </row>
    <row r="811" spans="1:11" x14ac:dyDescent="0.25">
      <c r="A811"/>
      <c r="B811"/>
      <c r="C811"/>
      <c r="D811"/>
      <c r="E811"/>
      <c r="F811"/>
      <c r="G811"/>
      <c r="H811"/>
      <c r="I811"/>
      <c r="J811"/>
      <c r="K811"/>
    </row>
    <row r="812" spans="1:11" x14ac:dyDescent="0.25">
      <c r="A812"/>
      <c r="B812"/>
      <c r="C812"/>
      <c r="D812"/>
      <c r="E812"/>
      <c r="F812"/>
      <c r="G812"/>
      <c r="H812"/>
      <c r="I812"/>
      <c r="J812"/>
      <c r="K812"/>
    </row>
    <row r="813" spans="1:11" x14ac:dyDescent="0.25">
      <c r="A813"/>
      <c r="B813"/>
      <c r="C813"/>
      <c r="D813"/>
      <c r="E813"/>
      <c r="F813"/>
      <c r="G813"/>
      <c r="H813"/>
      <c r="I813"/>
      <c r="J813"/>
      <c r="K813"/>
    </row>
    <row r="814" spans="1:11" x14ac:dyDescent="0.25">
      <c r="A814"/>
      <c r="B814"/>
      <c r="C814"/>
      <c r="D814"/>
      <c r="E814"/>
      <c r="F814"/>
      <c r="G814"/>
      <c r="H814"/>
      <c r="I814"/>
      <c r="J814"/>
      <c r="K814"/>
    </row>
    <row r="815" spans="1:11" x14ac:dyDescent="0.25">
      <c r="A815"/>
      <c r="B815"/>
      <c r="C815"/>
      <c r="D815"/>
      <c r="E815"/>
      <c r="F815"/>
      <c r="G815"/>
      <c r="H815"/>
      <c r="I815"/>
      <c r="J815"/>
      <c r="K815"/>
    </row>
    <row r="816" spans="1:11" x14ac:dyDescent="0.25">
      <c r="A816"/>
      <c r="B816"/>
      <c r="C816"/>
      <c r="D816"/>
      <c r="E816"/>
      <c r="F816"/>
      <c r="G816"/>
      <c r="H816"/>
      <c r="I816"/>
      <c r="J816"/>
      <c r="K816"/>
    </row>
    <row r="817" spans="1:11" x14ac:dyDescent="0.25">
      <c r="A817"/>
      <c r="B817"/>
      <c r="C817"/>
      <c r="D817"/>
      <c r="E817"/>
      <c r="F817"/>
      <c r="G817"/>
      <c r="H817"/>
      <c r="I817"/>
      <c r="J817"/>
      <c r="K817"/>
    </row>
    <row r="818" spans="1:11" x14ac:dyDescent="0.25">
      <c r="A818"/>
      <c r="B818"/>
      <c r="C818"/>
      <c r="D818"/>
      <c r="E818"/>
      <c r="F818"/>
      <c r="G818"/>
      <c r="H818"/>
      <c r="I818"/>
      <c r="J818"/>
      <c r="K818"/>
    </row>
    <row r="819" spans="1:11" x14ac:dyDescent="0.25">
      <c r="A819"/>
      <c r="B819"/>
      <c r="C819"/>
      <c r="D819"/>
      <c r="E819"/>
      <c r="F819"/>
      <c r="G819"/>
      <c r="H819"/>
      <c r="I819"/>
      <c r="J819"/>
      <c r="K819"/>
    </row>
    <row r="820" spans="1:11" x14ac:dyDescent="0.25">
      <c r="A820"/>
      <c r="B820"/>
      <c r="C820"/>
      <c r="D820"/>
      <c r="E820"/>
      <c r="F820"/>
      <c r="G820"/>
      <c r="H820"/>
      <c r="I820"/>
      <c r="J820"/>
      <c r="K820"/>
    </row>
    <row r="821" spans="1:11" x14ac:dyDescent="0.25">
      <c r="A821"/>
      <c r="B821"/>
      <c r="C821"/>
      <c r="D821"/>
      <c r="E821"/>
      <c r="F821"/>
      <c r="G821"/>
      <c r="H821"/>
      <c r="I821"/>
      <c r="J821"/>
      <c r="K821"/>
    </row>
    <row r="822" spans="1:11" x14ac:dyDescent="0.25">
      <c r="A822"/>
      <c r="B822"/>
      <c r="C822"/>
      <c r="D822"/>
      <c r="E822"/>
      <c r="F822"/>
      <c r="G822"/>
      <c r="H822"/>
      <c r="I822"/>
      <c r="J822"/>
      <c r="K822"/>
    </row>
    <row r="823" spans="1:11" x14ac:dyDescent="0.25">
      <c r="A823"/>
      <c r="B823"/>
      <c r="C823"/>
      <c r="D823"/>
      <c r="E823"/>
      <c r="F823"/>
      <c r="G823"/>
      <c r="H823"/>
      <c r="I823"/>
      <c r="J823"/>
      <c r="K823"/>
    </row>
    <row r="824" spans="1:11" x14ac:dyDescent="0.25">
      <c r="A824"/>
      <c r="B824"/>
      <c r="C824"/>
      <c r="D824"/>
      <c r="E824"/>
      <c r="F824"/>
      <c r="G824"/>
      <c r="H824"/>
      <c r="I824"/>
      <c r="J824"/>
      <c r="K824"/>
    </row>
    <row r="825" spans="1:11" x14ac:dyDescent="0.25">
      <c r="A825"/>
      <c r="B825"/>
      <c r="C825"/>
      <c r="D825"/>
      <c r="E825"/>
      <c r="F825"/>
      <c r="G825"/>
      <c r="H825"/>
      <c r="I825"/>
      <c r="J825"/>
      <c r="K825"/>
    </row>
    <row r="826" spans="1:11" x14ac:dyDescent="0.25">
      <c r="A826"/>
      <c r="B826"/>
      <c r="C826"/>
      <c r="D826"/>
      <c r="E826"/>
      <c r="F826"/>
      <c r="G826"/>
      <c r="H826"/>
      <c r="I826"/>
      <c r="J826"/>
      <c r="K826"/>
    </row>
    <row r="827" spans="1:11" x14ac:dyDescent="0.25">
      <c r="A827"/>
      <c r="B827"/>
      <c r="C827"/>
      <c r="D827"/>
      <c r="E827"/>
      <c r="F827"/>
      <c r="G827"/>
      <c r="H827"/>
      <c r="I827"/>
      <c r="J827"/>
      <c r="K827"/>
    </row>
    <row r="828" spans="1:11" x14ac:dyDescent="0.25">
      <c r="A828"/>
      <c r="B828"/>
      <c r="C828"/>
      <c r="D828"/>
      <c r="E828"/>
      <c r="F828"/>
      <c r="G828"/>
      <c r="H828"/>
      <c r="I828"/>
      <c r="J828"/>
      <c r="K828"/>
    </row>
    <row r="829" spans="1:11" x14ac:dyDescent="0.25">
      <c r="A829"/>
      <c r="B829"/>
      <c r="C829"/>
      <c r="D829"/>
      <c r="E829"/>
      <c r="F829"/>
      <c r="G829"/>
      <c r="H829"/>
      <c r="I829"/>
      <c r="J829"/>
      <c r="K829"/>
    </row>
    <row r="830" spans="1:11" x14ac:dyDescent="0.25">
      <c r="A830"/>
      <c r="B830"/>
      <c r="C830"/>
      <c r="D830"/>
      <c r="E830"/>
      <c r="F830"/>
      <c r="G830"/>
      <c r="H830"/>
      <c r="I830"/>
      <c r="J830"/>
      <c r="K830"/>
    </row>
    <row r="831" spans="1:11" x14ac:dyDescent="0.25">
      <c r="A831"/>
      <c r="B831"/>
      <c r="C831"/>
      <c r="D831"/>
      <c r="E831"/>
      <c r="F831"/>
      <c r="G831"/>
      <c r="H831"/>
      <c r="I831"/>
      <c r="J831"/>
      <c r="K831"/>
    </row>
    <row r="832" spans="1:11" x14ac:dyDescent="0.25">
      <c r="A832"/>
      <c r="B832"/>
      <c r="C832"/>
      <c r="D832"/>
      <c r="E832"/>
      <c r="F832"/>
      <c r="G832"/>
      <c r="H832"/>
      <c r="I832"/>
      <c r="J832"/>
      <c r="K832"/>
    </row>
    <row r="833" spans="1:11" x14ac:dyDescent="0.25">
      <c r="A833"/>
      <c r="B833"/>
      <c r="C833"/>
      <c r="D833"/>
      <c r="E833"/>
      <c r="F833"/>
      <c r="G833"/>
      <c r="H833"/>
      <c r="I833"/>
      <c r="J833"/>
      <c r="K833"/>
    </row>
    <row r="834" spans="1:11" x14ac:dyDescent="0.25">
      <c r="A834"/>
      <c r="B834"/>
      <c r="C834"/>
      <c r="D834"/>
      <c r="E834"/>
      <c r="F834"/>
      <c r="G834"/>
      <c r="H834"/>
      <c r="I834"/>
      <c r="J834"/>
      <c r="K834"/>
    </row>
    <row r="835" spans="1:11" x14ac:dyDescent="0.25">
      <c r="A835"/>
      <c r="B835"/>
      <c r="C835"/>
      <c r="D835"/>
      <c r="E835"/>
      <c r="F835"/>
      <c r="G835"/>
      <c r="H835"/>
      <c r="I835"/>
      <c r="J835"/>
      <c r="K835"/>
    </row>
    <row r="836" spans="1:11" x14ac:dyDescent="0.25">
      <c r="A836"/>
      <c r="B836"/>
      <c r="C836"/>
      <c r="D836"/>
      <c r="E836"/>
      <c r="F836"/>
      <c r="G836"/>
      <c r="H836"/>
      <c r="I836"/>
      <c r="J836"/>
      <c r="K836"/>
    </row>
    <row r="837" spans="1:11" x14ac:dyDescent="0.25">
      <c r="A837"/>
      <c r="B837"/>
      <c r="C837"/>
      <c r="D837"/>
      <c r="E837"/>
      <c r="F837"/>
      <c r="G837"/>
      <c r="H837"/>
      <c r="I837"/>
      <c r="J837"/>
      <c r="K837"/>
    </row>
    <row r="838" spans="1:11" x14ac:dyDescent="0.25">
      <c r="A838"/>
      <c r="B838"/>
      <c r="C838"/>
      <c r="D838"/>
      <c r="E838"/>
      <c r="F838"/>
      <c r="G838"/>
      <c r="H838"/>
      <c r="I838"/>
      <c r="J838"/>
      <c r="K838"/>
    </row>
    <row r="839" spans="1:11" x14ac:dyDescent="0.25">
      <c r="A839"/>
      <c r="B839"/>
      <c r="C839"/>
      <c r="D839"/>
      <c r="E839"/>
      <c r="F839"/>
      <c r="G839"/>
      <c r="H839"/>
      <c r="I839"/>
      <c r="J839"/>
      <c r="K839"/>
    </row>
    <row r="840" spans="1:11" x14ac:dyDescent="0.25">
      <c r="A840"/>
      <c r="B840"/>
      <c r="C840"/>
      <c r="D840"/>
      <c r="E840"/>
      <c r="F840"/>
      <c r="G840"/>
      <c r="H840"/>
      <c r="I840"/>
      <c r="J840"/>
      <c r="K840"/>
    </row>
    <row r="841" spans="1:11" x14ac:dyDescent="0.25">
      <c r="A841"/>
      <c r="B841"/>
      <c r="C841"/>
      <c r="D841"/>
      <c r="E841"/>
      <c r="F841"/>
      <c r="G841"/>
      <c r="H841"/>
      <c r="I841"/>
      <c r="J841"/>
      <c r="K841"/>
    </row>
    <row r="842" spans="1:11" x14ac:dyDescent="0.25">
      <c r="A842"/>
      <c r="B842"/>
      <c r="C842"/>
      <c r="D842"/>
      <c r="E842"/>
      <c r="F842"/>
      <c r="G842"/>
      <c r="H842"/>
      <c r="I842"/>
      <c r="J842"/>
      <c r="K842"/>
    </row>
    <row r="843" spans="1:11" x14ac:dyDescent="0.25">
      <c r="A843"/>
      <c r="B843"/>
      <c r="C843"/>
      <c r="D843"/>
      <c r="E843"/>
      <c r="F843"/>
      <c r="G843"/>
      <c r="H843"/>
      <c r="I843"/>
      <c r="J843"/>
      <c r="K843"/>
    </row>
    <row r="844" spans="1:11" x14ac:dyDescent="0.25">
      <c r="A844"/>
      <c r="B844"/>
      <c r="C844"/>
      <c r="D844"/>
      <c r="E844"/>
      <c r="F844"/>
      <c r="G844"/>
      <c r="H844"/>
      <c r="I844"/>
      <c r="J844"/>
      <c r="K844"/>
    </row>
    <row r="845" spans="1:11" x14ac:dyDescent="0.25">
      <c r="A845"/>
      <c r="B845"/>
      <c r="C845"/>
      <c r="D845"/>
      <c r="E845"/>
      <c r="F845"/>
      <c r="G845"/>
      <c r="H845"/>
      <c r="I845"/>
      <c r="J845"/>
      <c r="K845"/>
    </row>
    <row r="846" spans="1:11" x14ac:dyDescent="0.25">
      <c r="A846"/>
      <c r="B846"/>
      <c r="C846"/>
      <c r="D846"/>
      <c r="E846"/>
      <c r="F846"/>
      <c r="G846"/>
      <c r="H846"/>
      <c r="I846"/>
      <c r="J846"/>
      <c r="K846"/>
    </row>
    <row r="847" spans="1:11" x14ac:dyDescent="0.25">
      <c r="A847"/>
      <c r="B847"/>
      <c r="C847"/>
      <c r="D847"/>
      <c r="E847"/>
      <c r="F847"/>
      <c r="G847"/>
      <c r="H847"/>
      <c r="I847"/>
      <c r="J847"/>
      <c r="K847"/>
    </row>
    <row r="848" spans="1:11" x14ac:dyDescent="0.25">
      <c r="A848"/>
      <c r="B848"/>
      <c r="C848"/>
      <c r="D848"/>
      <c r="E848"/>
      <c r="F848"/>
      <c r="G848"/>
      <c r="H848"/>
      <c r="I848"/>
      <c r="J848"/>
      <c r="K848"/>
    </row>
    <row r="849" spans="1:11" x14ac:dyDescent="0.25">
      <c r="A849"/>
      <c r="B849"/>
      <c r="C849"/>
      <c r="D849"/>
      <c r="E849"/>
      <c r="F849"/>
      <c r="G849"/>
      <c r="H849"/>
      <c r="I849"/>
      <c r="J849"/>
      <c r="K849"/>
    </row>
    <row r="850" spans="1:11" x14ac:dyDescent="0.25">
      <c r="A850"/>
      <c r="B850"/>
      <c r="C850"/>
      <c r="D850"/>
      <c r="E850"/>
      <c r="F850"/>
      <c r="G850"/>
      <c r="H850"/>
      <c r="I850"/>
      <c r="J850"/>
      <c r="K850"/>
    </row>
    <row r="851" spans="1:11" x14ac:dyDescent="0.25">
      <c r="A851"/>
      <c r="B851"/>
      <c r="C851"/>
      <c r="D851"/>
      <c r="E851"/>
      <c r="F851"/>
      <c r="G851"/>
      <c r="H851"/>
      <c r="I851"/>
      <c r="J851"/>
      <c r="K851"/>
    </row>
    <row r="852" spans="1:11" x14ac:dyDescent="0.25">
      <c r="A852"/>
      <c r="B852"/>
      <c r="C852"/>
      <c r="D852"/>
      <c r="E852"/>
      <c r="F852"/>
      <c r="G852"/>
      <c r="H852"/>
      <c r="I852"/>
      <c r="J852"/>
      <c r="K852"/>
    </row>
    <row r="853" spans="1:11" x14ac:dyDescent="0.25">
      <c r="A853"/>
      <c r="B853"/>
      <c r="C853"/>
      <c r="D853"/>
      <c r="E853"/>
      <c r="F853"/>
      <c r="G853"/>
      <c r="H853"/>
      <c r="I853"/>
      <c r="J853"/>
      <c r="K853"/>
    </row>
    <row r="854" spans="1:11" x14ac:dyDescent="0.25">
      <c r="A854"/>
      <c r="B854"/>
      <c r="C854"/>
      <c r="D854"/>
      <c r="E854"/>
      <c r="F854"/>
      <c r="G854"/>
      <c r="H854"/>
      <c r="I854"/>
      <c r="J854"/>
      <c r="K854"/>
    </row>
    <row r="855" spans="1:11" x14ac:dyDescent="0.25">
      <c r="A855"/>
      <c r="B855"/>
      <c r="C855"/>
      <c r="D855"/>
      <c r="E855"/>
      <c r="F855"/>
      <c r="G855"/>
      <c r="H855"/>
      <c r="I855"/>
      <c r="J855"/>
      <c r="K855"/>
    </row>
    <row r="856" spans="1:11" x14ac:dyDescent="0.25">
      <c r="A856"/>
      <c r="B856"/>
      <c r="C856"/>
      <c r="D856"/>
      <c r="E856"/>
      <c r="F856"/>
      <c r="G856"/>
      <c r="H856"/>
      <c r="I856"/>
      <c r="J856"/>
      <c r="K856"/>
    </row>
    <row r="857" spans="1:11" x14ac:dyDescent="0.25">
      <c r="A857"/>
      <c r="B857"/>
      <c r="C857"/>
      <c r="D857"/>
      <c r="E857"/>
      <c r="F857"/>
      <c r="G857"/>
      <c r="H857"/>
      <c r="I857"/>
      <c r="J857"/>
      <c r="K857"/>
    </row>
    <row r="858" spans="1:11" x14ac:dyDescent="0.25">
      <c r="A858"/>
      <c r="B858"/>
      <c r="C858"/>
      <c r="D858"/>
      <c r="E858"/>
      <c r="F858"/>
      <c r="G858"/>
      <c r="H858"/>
      <c r="I858"/>
      <c r="J858"/>
      <c r="K858"/>
    </row>
    <row r="859" spans="1:11" x14ac:dyDescent="0.25">
      <c r="A859"/>
      <c r="B859"/>
      <c r="C859"/>
      <c r="D859"/>
      <c r="E859"/>
      <c r="F859"/>
      <c r="G859"/>
      <c r="H859"/>
      <c r="I859"/>
      <c r="J859"/>
      <c r="K859"/>
    </row>
    <row r="860" spans="1:11" x14ac:dyDescent="0.25">
      <c r="A860"/>
      <c r="B860"/>
      <c r="C860"/>
      <c r="D860"/>
      <c r="E860"/>
      <c r="F860"/>
      <c r="G860"/>
      <c r="H860"/>
      <c r="I860"/>
      <c r="J860"/>
      <c r="K860"/>
    </row>
    <row r="861" spans="1:11" x14ac:dyDescent="0.25">
      <c r="A861"/>
      <c r="B861"/>
      <c r="C861"/>
      <c r="D861"/>
      <c r="E861"/>
      <c r="F861"/>
      <c r="G861"/>
      <c r="H861"/>
      <c r="I861"/>
      <c r="J861"/>
      <c r="K861"/>
    </row>
    <row r="862" spans="1:11" x14ac:dyDescent="0.25">
      <c r="A862"/>
      <c r="B862"/>
      <c r="C862"/>
      <c r="D862"/>
      <c r="E862"/>
      <c r="F862"/>
      <c r="G862"/>
      <c r="H862"/>
      <c r="I862"/>
      <c r="J862"/>
      <c r="K862"/>
    </row>
    <row r="863" spans="1:11" x14ac:dyDescent="0.25">
      <c r="A863"/>
      <c r="B863"/>
      <c r="C863"/>
      <c r="D863"/>
      <c r="E863"/>
      <c r="F863"/>
      <c r="G863"/>
      <c r="H863"/>
      <c r="I863"/>
      <c r="J863"/>
      <c r="K863"/>
    </row>
    <row r="864" spans="1:11" x14ac:dyDescent="0.25">
      <c r="A864"/>
      <c r="B864"/>
      <c r="C864"/>
      <c r="D864"/>
      <c r="E864"/>
      <c r="F864"/>
      <c r="G864"/>
      <c r="H864"/>
      <c r="I864"/>
      <c r="J864"/>
      <c r="K864"/>
    </row>
    <row r="865" spans="1:11" x14ac:dyDescent="0.25">
      <c r="A865"/>
      <c r="B865"/>
      <c r="C865"/>
      <c r="D865"/>
      <c r="E865"/>
      <c r="F865"/>
      <c r="G865"/>
      <c r="H865"/>
      <c r="I865"/>
      <c r="J865"/>
      <c r="K865"/>
    </row>
    <row r="866" spans="1:11" x14ac:dyDescent="0.25">
      <c r="A866"/>
      <c r="B866"/>
      <c r="C866"/>
      <c r="D866"/>
      <c r="E866"/>
      <c r="F866"/>
      <c r="G866"/>
      <c r="H866"/>
      <c r="I866"/>
      <c r="J866"/>
      <c r="K866"/>
    </row>
    <row r="867" spans="1:11" x14ac:dyDescent="0.25">
      <c r="A867"/>
      <c r="B867"/>
      <c r="C867"/>
      <c r="D867"/>
      <c r="E867"/>
      <c r="F867"/>
      <c r="G867"/>
      <c r="H867"/>
      <c r="I867"/>
      <c r="J867"/>
      <c r="K867"/>
    </row>
    <row r="868" spans="1:11" x14ac:dyDescent="0.25">
      <c r="A868"/>
      <c r="B868"/>
      <c r="C868"/>
      <c r="D868"/>
      <c r="E868"/>
      <c r="F868"/>
      <c r="G868"/>
      <c r="H868"/>
      <c r="I868"/>
      <c r="J868"/>
      <c r="K868"/>
    </row>
    <row r="869" spans="1:11" x14ac:dyDescent="0.25">
      <c r="A869"/>
      <c r="B869"/>
      <c r="C869"/>
      <c r="D869"/>
      <c r="E869"/>
      <c r="F869"/>
      <c r="G869"/>
      <c r="H869"/>
      <c r="I869"/>
      <c r="J869"/>
      <c r="K869"/>
    </row>
    <row r="870" spans="1:11" x14ac:dyDescent="0.25">
      <c r="A870"/>
      <c r="B870"/>
      <c r="C870"/>
      <c r="D870"/>
      <c r="E870"/>
      <c r="F870"/>
      <c r="G870"/>
      <c r="H870"/>
      <c r="I870"/>
      <c r="J870"/>
      <c r="K870"/>
    </row>
    <row r="871" spans="1:11" x14ac:dyDescent="0.25">
      <c r="A871"/>
      <c r="B871"/>
      <c r="C871"/>
      <c r="D871"/>
      <c r="E871"/>
      <c r="F871"/>
      <c r="G871"/>
      <c r="H871"/>
      <c r="I871"/>
      <c r="J871"/>
      <c r="K871"/>
    </row>
    <row r="872" spans="1:11" x14ac:dyDescent="0.25">
      <c r="A872"/>
      <c r="B872"/>
      <c r="C872"/>
      <c r="D872"/>
      <c r="E872"/>
      <c r="F872"/>
      <c r="G872"/>
      <c r="H872"/>
      <c r="I872"/>
      <c r="J872"/>
      <c r="K872"/>
    </row>
    <row r="873" spans="1:11" x14ac:dyDescent="0.25">
      <c r="A873"/>
      <c r="B873"/>
      <c r="C873"/>
      <c r="D873"/>
      <c r="E873"/>
      <c r="F873"/>
      <c r="G873"/>
      <c r="H873"/>
      <c r="I873"/>
      <c r="J873"/>
      <c r="K873"/>
    </row>
    <row r="874" spans="1:11" x14ac:dyDescent="0.25">
      <c r="A874"/>
      <c r="B874"/>
      <c r="C874"/>
      <c r="D874"/>
      <c r="E874"/>
      <c r="F874"/>
      <c r="G874"/>
      <c r="H874"/>
      <c r="I874"/>
      <c r="J874"/>
      <c r="K874"/>
    </row>
    <row r="875" spans="1:11" x14ac:dyDescent="0.25">
      <c r="A875"/>
      <c r="B875"/>
      <c r="C875"/>
      <c r="D875"/>
      <c r="E875"/>
      <c r="F875"/>
      <c r="G875"/>
      <c r="H875"/>
      <c r="I875"/>
      <c r="J875"/>
      <c r="K875"/>
    </row>
    <row r="876" spans="1:11" x14ac:dyDescent="0.25">
      <c r="A876"/>
      <c r="B876"/>
      <c r="C876"/>
      <c r="D876"/>
      <c r="E876"/>
      <c r="F876"/>
      <c r="G876"/>
      <c r="H876"/>
      <c r="I876"/>
      <c r="J876"/>
      <c r="K876"/>
    </row>
    <row r="877" spans="1:11" x14ac:dyDescent="0.25">
      <c r="A877"/>
      <c r="B877"/>
      <c r="C877"/>
      <c r="D877"/>
      <c r="E877"/>
      <c r="F877"/>
      <c r="G877"/>
      <c r="H877"/>
      <c r="I877"/>
      <c r="J877"/>
      <c r="K877"/>
    </row>
    <row r="878" spans="1:11" x14ac:dyDescent="0.25">
      <c r="A878"/>
      <c r="B878"/>
      <c r="C878"/>
      <c r="D878"/>
      <c r="E878"/>
      <c r="F878"/>
      <c r="G878"/>
      <c r="H878"/>
      <c r="I878"/>
      <c r="J878"/>
      <c r="K878"/>
    </row>
    <row r="879" spans="1:11" x14ac:dyDescent="0.25">
      <c r="A879"/>
      <c r="B879"/>
      <c r="C879"/>
      <c r="D879"/>
      <c r="E879"/>
      <c r="F879"/>
      <c r="G879"/>
      <c r="H879"/>
      <c r="I879"/>
      <c r="J879"/>
      <c r="K879"/>
    </row>
    <row r="880" spans="1:11" x14ac:dyDescent="0.25">
      <c r="A880"/>
      <c r="B880"/>
      <c r="C880"/>
      <c r="D880"/>
      <c r="E880"/>
      <c r="F880"/>
      <c r="G880"/>
      <c r="H880"/>
      <c r="I880"/>
      <c r="J880"/>
      <c r="K880"/>
    </row>
    <row r="881" spans="1:11" x14ac:dyDescent="0.25">
      <c r="A881"/>
      <c r="B881"/>
      <c r="C881"/>
      <c r="D881"/>
      <c r="E881"/>
      <c r="F881"/>
      <c r="G881"/>
      <c r="H881"/>
      <c r="I881"/>
      <c r="J881"/>
      <c r="K881"/>
    </row>
    <row r="882" spans="1:11" x14ac:dyDescent="0.25">
      <c r="A882"/>
      <c r="B882"/>
      <c r="C882"/>
      <c r="D882"/>
      <c r="E882"/>
      <c r="F882"/>
      <c r="G882"/>
      <c r="H882"/>
      <c r="I882"/>
      <c r="J882"/>
      <c r="K882"/>
    </row>
    <row r="883" spans="1:11" x14ac:dyDescent="0.25">
      <c r="A883"/>
      <c r="B883"/>
      <c r="C883"/>
      <c r="D883"/>
      <c r="E883"/>
      <c r="F883"/>
      <c r="G883"/>
      <c r="H883"/>
      <c r="I883"/>
      <c r="J883"/>
      <c r="K883"/>
    </row>
    <row r="884" spans="1:11" x14ac:dyDescent="0.25">
      <c r="A884"/>
      <c r="B884"/>
      <c r="C884"/>
      <c r="D884"/>
      <c r="E884"/>
      <c r="F884"/>
      <c r="G884"/>
      <c r="H884"/>
      <c r="I884"/>
      <c r="J884"/>
      <c r="K884"/>
    </row>
    <row r="885" spans="1:11" x14ac:dyDescent="0.25">
      <c r="A885"/>
      <c r="B885"/>
      <c r="C885"/>
      <c r="D885"/>
      <c r="E885"/>
      <c r="F885"/>
      <c r="G885"/>
      <c r="H885"/>
      <c r="I885"/>
      <c r="J885"/>
      <c r="K885"/>
    </row>
    <row r="886" spans="1:11" x14ac:dyDescent="0.25">
      <c r="A886"/>
      <c r="B886"/>
      <c r="C886"/>
      <c r="D886"/>
      <c r="E886"/>
      <c r="F886"/>
      <c r="G886"/>
      <c r="H886"/>
      <c r="I886"/>
      <c r="J886"/>
      <c r="K886"/>
    </row>
    <row r="887" spans="1:11" x14ac:dyDescent="0.25">
      <c r="A887"/>
      <c r="B887"/>
      <c r="C887"/>
      <c r="D887"/>
      <c r="E887"/>
      <c r="F887"/>
      <c r="G887"/>
      <c r="H887"/>
      <c r="I887"/>
      <c r="J887"/>
      <c r="K887"/>
    </row>
    <row r="888" spans="1:11" x14ac:dyDescent="0.25">
      <c r="A888"/>
      <c r="B888"/>
      <c r="C888"/>
      <c r="D888"/>
      <c r="E888"/>
      <c r="F888"/>
      <c r="G888"/>
      <c r="H888"/>
      <c r="I888"/>
      <c r="J888"/>
      <c r="K888"/>
    </row>
    <row r="889" spans="1:11" x14ac:dyDescent="0.25">
      <c r="A889"/>
      <c r="B889"/>
      <c r="C889"/>
      <c r="D889"/>
      <c r="E889"/>
      <c r="F889"/>
      <c r="G889"/>
      <c r="H889"/>
      <c r="I889"/>
      <c r="J889"/>
      <c r="K889"/>
    </row>
    <row r="890" spans="1:11" x14ac:dyDescent="0.25">
      <c r="A890"/>
      <c r="B890"/>
      <c r="C890"/>
      <c r="D890"/>
      <c r="E890"/>
      <c r="F890"/>
      <c r="G890"/>
      <c r="H890"/>
      <c r="I890"/>
      <c r="J890"/>
      <c r="K890"/>
    </row>
    <row r="891" spans="1:11" x14ac:dyDescent="0.25">
      <c r="A891"/>
      <c r="B891"/>
      <c r="C891"/>
      <c r="D891"/>
      <c r="E891"/>
      <c r="F891"/>
      <c r="G891"/>
      <c r="H891"/>
      <c r="I891"/>
      <c r="J891"/>
      <c r="K891"/>
    </row>
    <row r="892" spans="1:11" x14ac:dyDescent="0.25">
      <c r="A892"/>
      <c r="B892"/>
      <c r="C892"/>
      <c r="D892"/>
      <c r="E892"/>
      <c r="F892"/>
      <c r="G892"/>
      <c r="H892"/>
      <c r="I892"/>
      <c r="J892"/>
      <c r="K892"/>
    </row>
    <row r="893" spans="1:11" x14ac:dyDescent="0.25">
      <c r="A893"/>
      <c r="B893"/>
      <c r="C893"/>
      <c r="D893"/>
      <c r="E893"/>
      <c r="F893"/>
      <c r="G893"/>
      <c r="H893"/>
      <c r="I893"/>
      <c r="J893"/>
      <c r="K893"/>
    </row>
    <row r="894" spans="1:11" x14ac:dyDescent="0.25">
      <c r="A894"/>
      <c r="B894"/>
      <c r="C894"/>
      <c r="D894"/>
      <c r="E894"/>
      <c r="F894"/>
      <c r="G894"/>
      <c r="H894"/>
      <c r="I894"/>
      <c r="J894"/>
      <c r="K894"/>
    </row>
    <row r="895" spans="1:11" x14ac:dyDescent="0.25">
      <c r="A895"/>
      <c r="B895"/>
      <c r="C895"/>
      <c r="D895"/>
      <c r="E895"/>
      <c r="F895"/>
      <c r="G895"/>
      <c r="H895"/>
      <c r="I895"/>
      <c r="J895"/>
      <c r="K895"/>
    </row>
    <row r="896" spans="1:11" x14ac:dyDescent="0.25">
      <c r="A896"/>
      <c r="B896"/>
      <c r="C896"/>
      <c r="D896"/>
      <c r="E896"/>
      <c r="F896"/>
      <c r="G896"/>
      <c r="H896"/>
      <c r="I896"/>
      <c r="J896"/>
      <c r="K896"/>
    </row>
    <row r="897" spans="1:11" x14ac:dyDescent="0.25">
      <c r="A897"/>
      <c r="B897"/>
      <c r="C897"/>
      <c r="D897"/>
      <c r="E897"/>
      <c r="F897"/>
      <c r="G897"/>
      <c r="H897"/>
      <c r="I897"/>
      <c r="J897"/>
      <c r="K897"/>
    </row>
    <row r="898" spans="1:11" x14ac:dyDescent="0.25">
      <c r="A898"/>
      <c r="B898"/>
      <c r="C898"/>
      <c r="D898"/>
      <c r="E898"/>
      <c r="F898"/>
      <c r="G898"/>
      <c r="H898"/>
      <c r="I898"/>
      <c r="J898"/>
      <c r="K898"/>
    </row>
    <row r="899" spans="1:11" x14ac:dyDescent="0.25">
      <c r="A899"/>
      <c r="B899"/>
      <c r="C899"/>
      <c r="D899"/>
      <c r="E899"/>
      <c r="F899"/>
      <c r="G899"/>
      <c r="H899"/>
      <c r="I899"/>
      <c r="J899"/>
      <c r="K899"/>
    </row>
    <row r="900" spans="1:11" x14ac:dyDescent="0.25">
      <c r="A900"/>
      <c r="B900"/>
      <c r="C900"/>
      <c r="D900"/>
      <c r="E900"/>
      <c r="F900"/>
      <c r="G900"/>
      <c r="H900"/>
      <c r="I900"/>
      <c r="J900"/>
      <c r="K900"/>
    </row>
    <row r="901" spans="1:11" x14ac:dyDescent="0.25">
      <c r="A901"/>
      <c r="B901"/>
      <c r="C901"/>
      <c r="D901"/>
      <c r="E901"/>
      <c r="F901"/>
      <c r="G901"/>
      <c r="H901"/>
      <c r="I901"/>
      <c r="J901"/>
      <c r="K901"/>
    </row>
    <row r="902" spans="1:11" x14ac:dyDescent="0.25">
      <c r="A902"/>
      <c r="B902"/>
      <c r="C902"/>
      <c r="D902"/>
      <c r="E902"/>
      <c r="F902"/>
      <c r="G902"/>
      <c r="H902"/>
      <c r="I902"/>
      <c r="J902"/>
      <c r="K902"/>
    </row>
    <row r="903" spans="1:11" x14ac:dyDescent="0.25">
      <c r="A903"/>
      <c r="B903"/>
      <c r="C903"/>
      <c r="D903"/>
      <c r="E903"/>
      <c r="F903"/>
      <c r="G903"/>
      <c r="H903"/>
      <c r="I903"/>
      <c r="J903"/>
      <c r="K903"/>
    </row>
    <row r="904" spans="1:11" x14ac:dyDescent="0.25">
      <c r="A904"/>
      <c r="B904"/>
      <c r="C904"/>
      <c r="D904"/>
      <c r="E904"/>
      <c r="F904"/>
      <c r="G904"/>
      <c r="H904"/>
      <c r="I904"/>
      <c r="J904"/>
      <c r="K904"/>
    </row>
    <row r="905" spans="1:11" x14ac:dyDescent="0.25">
      <c r="A905"/>
      <c r="B905"/>
      <c r="C905"/>
      <c r="D905"/>
      <c r="E905"/>
      <c r="F905"/>
      <c r="G905"/>
      <c r="H905"/>
      <c r="I905"/>
      <c r="J905"/>
      <c r="K905"/>
    </row>
    <row r="906" spans="1:11" x14ac:dyDescent="0.25">
      <c r="A906"/>
      <c r="B906"/>
      <c r="C906"/>
      <c r="D906"/>
      <c r="E906"/>
      <c r="F906"/>
      <c r="G906"/>
      <c r="H906"/>
      <c r="I906"/>
      <c r="J906"/>
      <c r="K906"/>
    </row>
    <row r="907" spans="1:11" x14ac:dyDescent="0.25">
      <c r="A907"/>
      <c r="B907"/>
      <c r="C907"/>
      <c r="D907"/>
      <c r="E907"/>
      <c r="F907"/>
      <c r="G907"/>
      <c r="H907"/>
      <c r="I907"/>
      <c r="J907"/>
      <c r="K907"/>
    </row>
    <row r="908" spans="1:11" x14ac:dyDescent="0.25">
      <c r="A908"/>
      <c r="B908"/>
      <c r="C908"/>
      <c r="D908"/>
      <c r="E908"/>
      <c r="F908"/>
      <c r="G908"/>
      <c r="H908"/>
      <c r="I908"/>
      <c r="J908"/>
      <c r="K908"/>
    </row>
    <row r="909" spans="1:11" x14ac:dyDescent="0.25">
      <c r="A909"/>
      <c r="B909"/>
      <c r="C909"/>
      <c r="D909"/>
      <c r="E909"/>
      <c r="F909"/>
      <c r="G909"/>
      <c r="H909"/>
      <c r="I909"/>
      <c r="J909"/>
      <c r="K909"/>
    </row>
    <row r="910" spans="1:11" x14ac:dyDescent="0.25">
      <c r="A910"/>
      <c r="B910"/>
      <c r="C910"/>
      <c r="D910"/>
      <c r="E910"/>
      <c r="F910"/>
      <c r="G910"/>
      <c r="H910"/>
      <c r="I910"/>
      <c r="J910"/>
      <c r="K910"/>
    </row>
    <row r="911" spans="1:11" x14ac:dyDescent="0.25">
      <c r="A911"/>
      <c r="B911"/>
      <c r="C911"/>
      <c r="D911"/>
      <c r="E911"/>
      <c r="F911"/>
      <c r="G911"/>
      <c r="H911"/>
      <c r="I911"/>
      <c r="J911"/>
      <c r="K911"/>
    </row>
    <row r="912" spans="1:11" x14ac:dyDescent="0.25">
      <c r="A912"/>
      <c r="B912"/>
      <c r="C912"/>
      <c r="D912"/>
      <c r="E912"/>
      <c r="F912"/>
      <c r="G912"/>
      <c r="H912"/>
      <c r="I912"/>
      <c r="J912"/>
      <c r="K912"/>
    </row>
    <row r="913" spans="1:11" x14ac:dyDescent="0.25">
      <c r="A913"/>
      <c r="B913"/>
      <c r="C913"/>
      <c r="D913"/>
      <c r="E913"/>
      <c r="F913"/>
      <c r="G913"/>
      <c r="H913"/>
      <c r="I913"/>
      <c r="J913"/>
      <c r="K913"/>
    </row>
    <row r="914" spans="1:11" x14ac:dyDescent="0.25">
      <c r="A914"/>
      <c r="B914"/>
      <c r="C914"/>
      <c r="D914"/>
      <c r="E914"/>
      <c r="F914"/>
      <c r="G914"/>
      <c r="H914"/>
      <c r="I914"/>
      <c r="J914"/>
      <c r="K914"/>
    </row>
    <row r="915" spans="1:11" x14ac:dyDescent="0.25">
      <c r="A915"/>
      <c r="B915"/>
      <c r="C915"/>
      <c r="D915"/>
      <c r="E915"/>
      <c r="F915"/>
      <c r="G915"/>
      <c r="H915"/>
      <c r="I915"/>
      <c r="J915"/>
      <c r="K915"/>
    </row>
    <row r="916" spans="1:11" x14ac:dyDescent="0.25">
      <c r="A916"/>
      <c r="B916"/>
      <c r="C916"/>
      <c r="D916"/>
      <c r="E916"/>
      <c r="F916"/>
      <c r="G916"/>
      <c r="H916"/>
      <c r="I916"/>
      <c r="J916"/>
      <c r="K916"/>
    </row>
    <row r="917" spans="1:11" x14ac:dyDescent="0.25">
      <c r="A917"/>
      <c r="B917"/>
      <c r="C917"/>
      <c r="D917"/>
      <c r="E917"/>
      <c r="F917"/>
      <c r="G917"/>
      <c r="H917"/>
      <c r="I917"/>
      <c r="J917"/>
      <c r="K917"/>
    </row>
    <row r="918" spans="1:11" x14ac:dyDescent="0.25">
      <c r="A918"/>
      <c r="B918"/>
      <c r="C918"/>
      <c r="D918"/>
      <c r="E918"/>
      <c r="F918"/>
      <c r="G918"/>
      <c r="H918"/>
      <c r="I918"/>
      <c r="J918"/>
      <c r="K918"/>
    </row>
    <row r="919" spans="1:11" x14ac:dyDescent="0.25">
      <c r="A919"/>
      <c r="B919"/>
      <c r="C919"/>
      <c r="D919"/>
      <c r="E919"/>
      <c r="F919"/>
      <c r="G919"/>
      <c r="H919"/>
      <c r="I919"/>
      <c r="J919"/>
      <c r="K919"/>
    </row>
    <row r="920" spans="1:11" x14ac:dyDescent="0.25">
      <c r="A920"/>
      <c r="B920"/>
      <c r="C920"/>
      <c r="D920"/>
      <c r="E920"/>
      <c r="F920"/>
      <c r="G920"/>
      <c r="H920"/>
      <c r="I920"/>
      <c r="J920"/>
      <c r="K920"/>
    </row>
    <row r="921" spans="1:11" x14ac:dyDescent="0.25">
      <c r="A921"/>
      <c r="B921"/>
      <c r="C921"/>
      <c r="D921"/>
      <c r="E921"/>
      <c r="F921"/>
      <c r="G921"/>
      <c r="H921"/>
      <c r="I921"/>
      <c r="J921"/>
      <c r="K921"/>
    </row>
    <row r="922" spans="1:11" x14ac:dyDescent="0.25">
      <c r="A922"/>
      <c r="B922"/>
      <c r="C922"/>
      <c r="D922"/>
      <c r="E922"/>
      <c r="F922"/>
      <c r="G922"/>
      <c r="H922"/>
      <c r="I922"/>
      <c r="J922"/>
      <c r="K922"/>
    </row>
    <row r="923" spans="1:11" x14ac:dyDescent="0.25">
      <c r="A923"/>
      <c r="B923"/>
      <c r="C923"/>
      <c r="D923"/>
      <c r="E923"/>
      <c r="F923"/>
      <c r="G923"/>
      <c r="H923"/>
      <c r="I923"/>
      <c r="J923"/>
      <c r="K923"/>
    </row>
    <row r="924" spans="1:11" x14ac:dyDescent="0.25">
      <c r="A924"/>
      <c r="B924"/>
      <c r="C924"/>
      <c r="D924"/>
      <c r="E924"/>
      <c r="F924"/>
      <c r="G924"/>
      <c r="H924"/>
      <c r="I924"/>
      <c r="J924"/>
      <c r="K924"/>
    </row>
    <row r="925" spans="1:11" x14ac:dyDescent="0.25">
      <c r="A925"/>
      <c r="B925"/>
      <c r="C925"/>
      <c r="D925"/>
      <c r="E925"/>
      <c r="F925"/>
      <c r="G925"/>
      <c r="H925"/>
      <c r="I925"/>
      <c r="J925"/>
      <c r="K925"/>
    </row>
    <row r="926" spans="1:11" x14ac:dyDescent="0.25">
      <c r="A926"/>
      <c r="B926"/>
      <c r="C926"/>
      <c r="D926"/>
      <c r="E926"/>
      <c r="F926"/>
      <c r="G926"/>
      <c r="H926"/>
      <c r="I926"/>
      <c r="J926"/>
      <c r="K926"/>
    </row>
    <row r="927" spans="1:11" x14ac:dyDescent="0.25">
      <c r="A927"/>
      <c r="B927"/>
      <c r="C927"/>
      <c r="D927"/>
      <c r="E927"/>
      <c r="F927"/>
      <c r="G927"/>
      <c r="H927"/>
      <c r="I927"/>
      <c r="J927"/>
      <c r="K927"/>
    </row>
    <row r="928" spans="1:11" x14ac:dyDescent="0.25">
      <c r="A928"/>
      <c r="B928"/>
      <c r="C928"/>
      <c r="D928"/>
      <c r="E928"/>
      <c r="F928"/>
      <c r="G928"/>
      <c r="H928"/>
      <c r="I928"/>
      <c r="J928"/>
      <c r="K928"/>
    </row>
    <row r="929" spans="1:11" x14ac:dyDescent="0.25">
      <c r="A929"/>
      <c r="B929"/>
      <c r="C929"/>
      <c r="D929"/>
      <c r="E929"/>
      <c r="F929"/>
      <c r="G929"/>
      <c r="H929"/>
      <c r="I929"/>
      <c r="J929"/>
      <c r="K929"/>
    </row>
    <row r="930" spans="1:11" x14ac:dyDescent="0.25">
      <c r="A930"/>
      <c r="B930"/>
      <c r="C930"/>
      <c r="D930"/>
      <c r="E930"/>
      <c r="F930"/>
      <c r="G930"/>
      <c r="H930"/>
      <c r="I930"/>
      <c r="J930"/>
      <c r="K930"/>
    </row>
    <row r="931" spans="1:11" x14ac:dyDescent="0.25">
      <c r="A931"/>
      <c r="B931"/>
      <c r="C931"/>
      <c r="D931"/>
      <c r="E931"/>
      <c r="F931"/>
      <c r="G931"/>
      <c r="H931"/>
      <c r="I931"/>
      <c r="J931"/>
      <c r="K931"/>
    </row>
    <row r="932" spans="1:11" x14ac:dyDescent="0.25">
      <c r="A932"/>
      <c r="B932"/>
      <c r="C932"/>
      <c r="D932"/>
      <c r="E932"/>
      <c r="F932"/>
      <c r="G932"/>
      <c r="H932"/>
      <c r="I932"/>
      <c r="J932"/>
      <c r="K932"/>
    </row>
    <row r="933" spans="1:11" x14ac:dyDescent="0.25">
      <c r="A933"/>
      <c r="B933"/>
      <c r="C933"/>
      <c r="D933"/>
      <c r="E933"/>
      <c r="F933"/>
      <c r="G933"/>
      <c r="H933"/>
      <c r="I933"/>
      <c r="J933"/>
      <c r="K933"/>
    </row>
    <row r="934" spans="1:11" x14ac:dyDescent="0.25">
      <c r="A934"/>
      <c r="B934"/>
      <c r="C934"/>
      <c r="D934"/>
      <c r="E934"/>
      <c r="F934"/>
      <c r="G934"/>
      <c r="H934"/>
      <c r="I934"/>
      <c r="J934"/>
      <c r="K934"/>
    </row>
    <row r="935" spans="1:11" x14ac:dyDescent="0.25">
      <c r="A935"/>
      <c r="B935"/>
      <c r="C935"/>
      <c r="D935"/>
      <c r="E935"/>
      <c r="F935"/>
      <c r="G935"/>
      <c r="H935"/>
      <c r="I935"/>
      <c r="J935"/>
      <c r="K935"/>
    </row>
    <row r="936" spans="1:11" x14ac:dyDescent="0.25">
      <c r="A936"/>
      <c r="B936"/>
      <c r="C936"/>
      <c r="D936"/>
      <c r="E936"/>
      <c r="F936"/>
      <c r="G936"/>
      <c r="H936"/>
      <c r="I936"/>
      <c r="J936"/>
      <c r="K936"/>
    </row>
    <row r="937" spans="1:11" x14ac:dyDescent="0.25">
      <c r="A937"/>
      <c r="B937"/>
      <c r="C937"/>
      <c r="D937"/>
      <c r="E937"/>
      <c r="F937"/>
      <c r="G937"/>
      <c r="H937"/>
      <c r="I937"/>
      <c r="J937"/>
      <c r="K937"/>
    </row>
    <row r="938" spans="1:11" x14ac:dyDescent="0.25">
      <c r="A938"/>
      <c r="B938"/>
      <c r="C938"/>
      <c r="D938"/>
      <c r="E938"/>
      <c r="F938"/>
      <c r="G938"/>
      <c r="H938"/>
      <c r="I938"/>
      <c r="J938"/>
      <c r="K938"/>
    </row>
    <row r="939" spans="1:11" x14ac:dyDescent="0.25">
      <c r="A939"/>
      <c r="B939"/>
      <c r="C939"/>
      <c r="D939"/>
      <c r="E939"/>
      <c r="F939"/>
      <c r="G939"/>
      <c r="H939"/>
      <c r="I939"/>
      <c r="J939"/>
      <c r="K939"/>
    </row>
    <row r="940" spans="1:11" x14ac:dyDescent="0.25">
      <c r="A940"/>
      <c r="B940"/>
      <c r="C940"/>
      <c r="D940"/>
      <c r="E940"/>
      <c r="F940"/>
      <c r="G940"/>
      <c r="H940"/>
      <c r="I940"/>
      <c r="J940"/>
      <c r="K940"/>
    </row>
    <row r="941" spans="1:11" x14ac:dyDescent="0.25">
      <c r="A941"/>
      <c r="B941"/>
      <c r="C941"/>
      <c r="D941"/>
      <c r="E941"/>
      <c r="F941"/>
      <c r="G941"/>
      <c r="H941"/>
      <c r="I941"/>
      <c r="J941"/>
      <c r="K941"/>
    </row>
    <row r="942" spans="1:11" x14ac:dyDescent="0.25">
      <c r="A942"/>
      <c r="B942"/>
      <c r="C942"/>
      <c r="D942"/>
      <c r="E942"/>
      <c r="F942"/>
      <c r="G942"/>
      <c r="H942"/>
      <c r="I942"/>
      <c r="J942"/>
      <c r="K942"/>
    </row>
    <row r="943" spans="1:11" x14ac:dyDescent="0.25">
      <c r="A943"/>
      <c r="B943"/>
      <c r="C943"/>
      <c r="D943"/>
      <c r="E943"/>
      <c r="F943"/>
      <c r="G943"/>
      <c r="H943"/>
      <c r="I943"/>
      <c r="J943"/>
      <c r="K943"/>
    </row>
    <row r="944" spans="1:11" x14ac:dyDescent="0.25">
      <c r="A944"/>
      <c r="B944"/>
      <c r="C944"/>
      <c r="D944"/>
      <c r="E944"/>
      <c r="F944"/>
      <c r="G944"/>
      <c r="H944"/>
      <c r="I944"/>
      <c r="J944"/>
      <c r="K944"/>
    </row>
    <row r="945" spans="1:11" x14ac:dyDescent="0.25">
      <c r="A945"/>
      <c r="B945"/>
      <c r="C945"/>
      <c r="D945"/>
      <c r="E945"/>
      <c r="F945"/>
      <c r="G945"/>
      <c r="H945"/>
      <c r="I945"/>
      <c r="J945"/>
      <c r="K945"/>
    </row>
    <row r="946" spans="1:11" x14ac:dyDescent="0.25">
      <c r="A946"/>
      <c r="B946"/>
      <c r="C946"/>
      <c r="D946"/>
      <c r="E946"/>
      <c r="F946"/>
      <c r="G946"/>
      <c r="H946"/>
      <c r="I946"/>
      <c r="J946"/>
      <c r="K9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N622"/>
  <sheetViews>
    <sheetView showGridLines="0" tabSelected="1" zoomScale="70" zoomScaleNormal="70" workbookViewId="0">
      <pane xSplit="14" ySplit="5" topLeftCell="CO338" activePane="bottomRight" state="frozen"/>
      <selection pane="topRight" activeCell="O1" sqref="O1"/>
      <selection pane="bottomLeft" activeCell="A6" sqref="A6"/>
      <selection pane="bottomRight" activeCell="H629" sqref="H629"/>
    </sheetView>
  </sheetViews>
  <sheetFormatPr defaultColWidth="8.85546875" defaultRowHeight="18.75" x14ac:dyDescent="0.25"/>
  <cols>
    <col min="1" max="1" width="23.5703125" style="1" customWidth="1"/>
    <col min="2" max="2" width="11.7109375" style="1" customWidth="1"/>
    <col min="3" max="3" width="25.7109375" style="1" customWidth="1"/>
    <col min="4" max="4" width="23.42578125" style="17" customWidth="1"/>
    <col min="5" max="5" width="22.5703125" style="8" bestFit="1" customWidth="1"/>
    <col min="6" max="6" width="15.42578125" style="1" customWidth="1"/>
    <col min="7" max="7" width="10.140625" style="8" customWidth="1"/>
    <col min="8" max="8" width="26.28515625" style="34" customWidth="1"/>
    <col min="9" max="9" width="23.7109375" style="34" customWidth="1"/>
    <col min="10" max="10" width="23.5703125" style="1" customWidth="1"/>
    <col min="11" max="11" width="18.140625" style="1" customWidth="1"/>
    <col min="12" max="12" width="24.28515625" style="1" customWidth="1"/>
    <col min="13" max="13" width="49.28515625" style="58" customWidth="1"/>
    <col min="14" max="14" width="18.5703125" style="1" customWidth="1"/>
    <col min="15" max="15" width="15.85546875" style="8" customWidth="1"/>
    <col min="16" max="16" width="19.5703125" style="74" customWidth="1"/>
    <col min="17" max="17" width="40.7109375" style="8" customWidth="1"/>
    <col min="18" max="18" width="25" style="8" customWidth="1"/>
    <col min="19" max="20" width="19.5703125" style="8" customWidth="1"/>
    <col min="21" max="23" width="16.7109375" style="8" customWidth="1"/>
    <col min="24" max="24" width="27.140625" style="17" customWidth="1"/>
    <col min="25" max="25" width="23.5703125" style="8" customWidth="1"/>
    <col min="26" max="26" width="26.7109375" style="8" customWidth="1"/>
    <col min="27" max="27" width="21.5703125" style="8" customWidth="1"/>
    <col min="28" max="28" width="29" style="8" customWidth="1"/>
    <col min="29" max="29" width="20.42578125" style="10" customWidth="1"/>
    <col min="30" max="30" width="21.28515625" style="8" customWidth="1"/>
    <col min="31" max="31" width="43.42578125" style="1" customWidth="1"/>
    <col min="32" max="32" width="23.140625" style="8" customWidth="1"/>
    <col min="33" max="33" width="25.140625" style="10" customWidth="1"/>
    <col min="34" max="35" width="18" style="10" customWidth="1"/>
    <col min="36" max="36" width="23.140625" style="10" customWidth="1"/>
    <col min="37" max="37" width="51.28515625" style="1" customWidth="1"/>
    <col min="38" max="38" width="27.28515625" style="1" customWidth="1"/>
    <col min="39" max="39" width="26.28515625" style="1" customWidth="1"/>
    <col min="40" max="41" width="32" style="1" customWidth="1"/>
    <col min="42" max="42" width="24" style="1" customWidth="1"/>
    <col min="43" max="43" width="32.5703125" style="1" customWidth="1"/>
    <col min="44" max="44" width="32" style="1" customWidth="1"/>
    <col min="45" max="45" width="32.140625" style="1" customWidth="1"/>
    <col min="46" max="46" width="26.42578125" style="1" customWidth="1"/>
    <col min="47" max="47" width="40.28515625" style="1" customWidth="1"/>
    <col min="48" max="51" width="23.5703125" style="1" customWidth="1"/>
    <col min="52" max="52" width="28.28515625" style="1" customWidth="1"/>
    <col min="53" max="53" width="13.140625" style="1" customWidth="1"/>
    <col min="54" max="54" width="24.5703125" style="1" customWidth="1"/>
    <col min="55" max="55" width="26.7109375" style="1" customWidth="1"/>
    <col min="56" max="56" width="19.28515625" style="11" customWidth="1"/>
    <col min="57" max="57" width="25.5703125" style="1" customWidth="1"/>
    <col min="58" max="58" width="26.7109375" style="1" customWidth="1"/>
    <col min="59" max="60" width="24" style="1" customWidth="1"/>
    <col min="61" max="61" width="24.28515625" style="1" customWidth="1"/>
    <col min="62" max="63" width="26.7109375" style="1" customWidth="1"/>
    <col min="64" max="64" width="19.5703125" style="1" customWidth="1"/>
    <col min="65" max="66" width="19.28515625" style="1" customWidth="1"/>
    <col min="67" max="67" width="23" style="12" customWidth="1"/>
    <col min="68" max="68" width="32.5703125" style="12" customWidth="1"/>
    <col min="69" max="69" width="22" style="12" customWidth="1"/>
    <col min="70" max="70" width="26.28515625" style="12" customWidth="1"/>
    <col min="71" max="71" width="18" style="12" customWidth="1"/>
    <col min="72" max="72" width="18" style="13" customWidth="1"/>
    <col min="73" max="73" width="22.85546875" style="1" customWidth="1"/>
    <col min="74" max="74" width="26.7109375" style="1" customWidth="1"/>
    <col min="75" max="75" width="18" style="13" customWidth="1"/>
    <col min="76" max="76" width="13.85546875" style="13" customWidth="1"/>
    <col min="77" max="87" width="13.85546875" style="8" customWidth="1"/>
    <col min="88" max="89" width="13.42578125" style="8" customWidth="1"/>
    <col min="90" max="90" width="13.85546875" style="8" customWidth="1"/>
    <col min="91" max="91" width="16.7109375" style="8" customWidth="1"/>
    <col min="92" max="94" width="14" style="8" customWidth="1"/>
    <col min="95" max="95" width="12.28515625" style="8" customWidth="1"/>
    <col min="96" max="96" width="12.5703125" style="8" customWidth="1"/>
    <col min="97" max="97" width="12.28515625" style="8" customWidth="1"/>
    <col min="98" max="98" width="10.5703125" style="8" customWidth="1"/>
    <col min="99" max="103" width="12.140625" style="8" customWidth="1"/>
    <col min="104" max="136" width="12.5703125" style="8" customWidth="1"/>
    <col min="137" max="139" width="13" style="8" customWidth="1"/>
    <col min="140" max="140" width="12.7109375" style="8" customWidth="1"/>
    <col min="141" max="143" width="13" style="8" customWidth="1"/>
    <col min="144" max="146" width="12.5703125" style="8" customWidth="1"/>
    <col min="147" max="147" width="23.28515625" style="1" customWidth="1"/>
    <col min="148" max="148" width="33.140625" style="1" customWidth="1"/>
    <col min="149" max="149" width="47.28515625" style="1" customWidth="1"/>
    <col min="150" max="150" width="23.5703125" style="1" customWidth="1"/>
    <col min="151" max="151" width="43.42578125" style="1" customWidth="1"/>
    <col min="152" max="152" width="22.140625" style="1" customWidth="1"/>
    <col min="153" max="153" width="31.28515625" style="1" customWidth="1"/>
    <col min="154" max="154" width="31" style="1" customWidth="1"/>
    <col min="155" max="155" width="26.85546875" style="1" customWidth="1"/>
    <col min="156" max="156" width="34.42578125" style="1" customWidth="1"/>
    <col min="157" max="157" width="31.140625" style="1" customWidth="1"/>
    <col min="158" max="158" width="26.5703125" style="1" customWidth="1"/>
    <col min="159" max="159" width="22.42578125" style="1" customWidth="1"/>
    <col min="160" max="160" width="34.42578125" style="1" customWidth="1"/>
    <col min="161" max="161" width="23.42578125" style="1" customWidth="1"/>
    <col min="162" max="162" width="45.28515625" style="1" customWidth="1"/>
    <col min="163" max="163" width="40.140625" style="1" bestFit="1" customWidth="1"/>
    <col min="164" max="164" width="37.5703125" style="1" customWidth="1"/>
    <col min="165" max="165" width="30.7109375" style="1" customWidth="1"/>
    <col min="166" max="166" width="35.42578125" style="1" bestFit="1" customWidth="1"/>
    <col min="167" max="167" width="32.28515625" style="38" bestFit="1" customWidth="1"/>
    <col min="168" max="168" width="25.140625" style="1" bestFit="1" customWidth="1"/>
    <col min="169" max="169" width="48.42578125" style="1" bestFit="1" customWidth="1"/>
    <col min="170" max="170" width="22.42578125" style="1" customWidth="1"/>
    <col min="171" max="171" width="16" style="1" customWidth="1"/>
    <col min="172" max="16384" width="8.85546875" style="1"/>
  </cols>
  <sheetData>
    <row r="1" spans="1:170" ht="21" x14ac:dyDescent="0.25">
      <c r="D1" s="2"/>
      <c r="E1" s="3"/>
      <c r="F1" s="4"/>
      <c r="G1" s="1"/>
      <c r="H1" s="1" t="s">
        <v>0</v>
      </c>
      <c r="I1" s="5" t="s">
        <v>1</v>
      </c>
      <c r="M1" s="1"/>
      <c r="N1" s="6"/>
      <c r="O1" s="1"/>
      <c r="P1" s="7"/>
      <c r="Q1" s="5" t="s">
        <v>1</v>
      </c>
      <c r="X1" s="8"/>
      <c r="AB1" s="9"/>
      <c r="AC1" s="9"/>
      <c r="AE1" s="9"/>
      <c r="AS1" s="5" t="s">
        <v>1</v>
      </c>
      <c r="AX1" s="5" t="s">
        <v>1</v>
      </c>
      <c r="BS1" s="1"/>
      <c r="BT1" s="12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5" t="s">
        <v>1</v>
      </c>
      <c r="EW1" s="15" t="s">
        <v>2</v>
      </c>
      <c r="FH1" s="5" t="s">
        <v>1</v>
      </c>
      <c r="FI1" s="5" t="s">
        <v>1</v>
      </c>
      <c r="FJ1" s="5"/>
      <c r="FK1" s="5"/>
      <c r="FL1" s="5"/>
      <c r="FM1" s="5"/>
      <c r="FN1" s="5"/>
    </row>
    <row r="2" spans="1:170" s="16" customFormat="1" ht="26.25" x14ac:dyDescent="0.25">
      <c r="B2" s="1"/>
      <c r="C2" s="1"/>
      <c r="D2" s="3"/>
      <c r="E2" s="1"/>
      <c r="F2" s="3"/>
      <c r="G2" s="1"/>
      <c r="H2" s="1"/>
      <c r="I2" s="1"/>
      <c r="J2" s="1"/>
      <c r="K2" s="3"/>
      <c r="L2" s="2"/>
      <c r="M2" s="1"/>
      <c r="N2" s="17"/>
      <c r="O2" s="1"/>
      <c r="P2" s="18"/>
      <c r="Q2" s="18"/>
      <c r="R2" s="18"/>
      <c r="S2" s="19"/>
      <c r="T2" s="19"/>
      <c r="U2" s="19"/>
      <c r="V2" s="19"/>
      <c r="W2" s="19"/>
      <c r="Y2" s="20"/>
      <c r="Z2" s="20"/>
      <c r="AA2" s="20"/>
      <c r="AB2" s="20"/>
      <c r="AC2" s="21"/>
      <c r="AD2" s="20"/>
      <c r="AF2" s="20"/>
      <c r="AG2" s="21"/>
      <c r="AH2" s="21"/>
      <c r="AI2" s="21"/>
      <c r="AJ2" s="21"/>
      <c r="AS2" s="15" t="e">
        <v>#N/A</v>
      </c>
      <c r="AU2" s="22"/>
      <c r="AX2" s="23"/>
      <c r="BD2" s="24"/>
      <c r="BR2" s="25"/>
      <c r="BS2" s="25"/>
      <c r="BT2" s="26"/>
      <c r="BU2" s="22"/>
      <c r="BV2" s="22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W2" s="15" t="s">
        <v>3</v>
      </c>
      <c r="FH2" s="16" t="s">
        <v>622</v>
      </c>
      <c r="FI2" s="16">
        <v>0</v>
      </c>
      <c r="FK2" s="101"/>
    </row>
    <row r="3" spans="1:170" ht="26.25" x14ac:dyDescent="0.25">
      <c r="A3" s="3"/>
      <c r="D3" s="3"/>
      <c r="E3" s="3"/>
      <c r="G3" s="1"/>
      <c r="H3" s="1"/>
      <c r="I3" s="1"/>
      <c r="M3" s="6"/>
      <c r="N3" s="1">
        <v>2037264.6</v>
      </c>
      <c r="O3" s="17" t="e">
        <v>#N/A</v>
      </c>
      <c r="P3" s="28"/>
      <c r="Q3" s="29"/>
      <c r="R3" s="1"/>
      <c r="W3" s="29"/>
      <c r="AR3" s="16"/>
      <c r="AS3" s="15"/>
      <c r="AX3" s="23"/>
      <c r="AY3" s="22"/>
      <c r="BQ3" s="16"/>
      <c r="BR3" s="22"/>
      <c r="BS3" s="30"/>
      <c r="BT3" s="26"/>
      <c r="BU3" s="26"/>
      <c r="BX3" s="31">
        <v>2.8697437653620969E-6</v>
      </c>
      <c r="BY3" s="31">
        <v>1.3918257262006172E-3</v>
      </c>
      <c r="BZ3" s="31">
        <v>3.5015656843693189E-3</v>
      </c>
      <c r="CA3" s="31">
        <v>5.1406676650186363E-3</v>
      </c>
      <c r="CB3" s="31">
        <v>5.2430218593165516E-3</v>
      </c>
      <c r="CC3" s="31">
        <v>4.3864033453559657E-3</v>
      </c>
      <c r="CD3" s="31">
        <v>2.9764025753080551E-3</v>
      </c>
      <c r="CE3" s="31">
        <v>2.0255608077180804E-3</v>
      </c>
      <c r="CF3" s="31">
        <v>8.4800928266449971E-4</v>
      </c>
      <c r="CG3" s="31">
        <v>3.1854155795519278E-4</v>
      </c>
      <c r="CH3" s="31">
        <v>0</v>
      </c>
      <c r="CI3" s="31">
        <v>0</v>
      </c>
      <c r="CJ3" s="31">
        <v>0</v>
      </c>
      <c r="CK3" s="32">
        <v>1.1573676605705338E-2</v>
      </c>
      <c r="CL3" s="32">
        <v>9.2693680202450862E-2</v>
      </c>
      <c r="CM3" s="32">
        <v>0.20343517894526394</v>
      </c>
      <c r="CN3" s="32">
        <v>0.21831527865929398</v>
      </c>
      <c r="CO3" s="32">
        <v>0.12146716606585392</v>
      </c>
      <c r="CP3" s="32">
        <v>5.6260369938668793E-2</v>
      </c>
      <c r="CQ3" s="32">
        <v>8.642711640015516E-4</v>
      </c>
      <c r="CR3" s="32">
        <v>0</v>
      </c>
      <c r="CS3" s="32">
        <v>0</v>
      </c>
      <c r="CT3" s="32">
        <v>1.2335115284781413E-3</v>
      </c>
      <c r="CU3" s="32">
        <v>2.9912295847624257E-3</v>
      </c>
      <c r="CV3" s="32">
        <v>3.5929191942333455E-3</v>
      </c>
      <c r="CW3" s="32">
        <v>2.3187529624125744E-3</v>
      </c>
      <c r="CX3" s="32">
        <v>9.3218843311512116E-4</v>
      </c>
      <c r="CY3" s="32">
        <v>7.6526500409655918E-6</v>
      </c>
      <c r="CZ3" s="32">
        <v>1.5888814647554812E-3</v>
      </c>
      <c r="DA3" s="32">
        <v>6.2297354239735526E-3</v>
      </c>
      <c r="DB3" s="32">
        <v>4.7991681569405469E-3</v>
      </c>
      <c r="DC3" s="32">
        <v>1.7261508748653014E-3</v>
      </c>
      <c r="DD3" s="32">
        <v>5.9068892503703169E-4</v>
      </c>
      <c r="DE3" s="32">
        <v>1.1048513496644074E-4</v>
      </c>
      <c r="DF3" s="32">
        <v>1.6261881337051885E-5</v>
      </c>
      <c r="DG3" s="32">
        <v>4.7829062756034953E-6</v>
      </c>
      <c r="DH3" s="32">
        <v>1.3057334132397542E-4</v>
      </c>
      <c r="DI3" s="32">
        <v>1.1010250246439245E-3</v>
      </c>
      <c r="DJ3" s="32">
        <v>2.2814462934628673E-4</v>
      </c>
      <c r="DK3" s="32">
        <v>1.3382571759138579E-3</v>
      </c>
      <c r="DL3" s="32">
        <v>1.024976814861829E-3</v>
      </c>
      <c r="DM3" s="32">
        <v>1.1512455405377612E-3</v>
      </c>
      <c r="DN3" s="32">
        <v>1.0158892929381825E-3</v>
      </c>
      <c r="DO3" s="32">
        <v>0</v>
      </c>
      <c r="DP3" s="32">
        <v>1.2038575095693997E-3</v>
      </c>
      <c r="DQ3" s="32">
        <v>1.4171751294613157E-3</v>
      </c>
      <c r="DR3" s="32">
        <v>4.7829062756034953E-6</v>
      </c>
      <c r="DS3" s="32">
        <v>7.3561098518781754E-4</v>
      </c>
      <c r="DT3" s="32">
        <v>1.1995528939213566E-3</v>
      </c>
      <c r="DU3" s="32">
        <v>1.1000684433888039E-5</v>
      </c>
      <c r="DV3" s="32">
        <v>3.3193369552688258E-4</v>
      </c>
      <c r="DW3" s="32">
        <v>1.2799057193514953E-3</v>
      </c>
      <c r="DX3" s="32">
        <v>2.5827693888258875E-5</v>
      </c>
      <c r="DY3" s="32">
        <v>9.0731732048198301E-4</v>
      </c>
      <c r="DZ3" s="32">
        <v>4.208957522531076E-5</v>
      </c>
      <c r="EA3" s="32">
        <v>1.3009505069641508E-4</v>
      </c>
      <c r="EB3" s="32">
        <v>1.4348718826810486E-4</v>
      </c>
      <c r="EC3" s="32">
        <v>1.5400958207443255E-4</v>
      </c>
      <c r="ED3" s="32">
        <v>1.894030885138984E-4</v>
      </c>
      <c r="EE3" s="32">
        <v>2.5110257946918348E-4</v>
      </c>
      <c r="EF3" s="32">
        <v>2.6353813578575261E-4</v>
      </c>
      <c r="EG3" s="32">
        <v>1.0828021517338752E-2</v>
      </c>
      <c r="EH3" s="32">
        <v>1.2612045558138857E-2</v>
      </c>
      <c r="EI3" s="32">
        <v>1.3106598067036257E-2</v>
      </c>
      <c r="EJ3" s="32">
        <v>1.2600088292449848E-2</v>
      </c>
      <c r="EK3" s="32">
        <v>1.3021940625958076E-2</v>
      </c>
      <c r="EL3" s="32">
        <v>1.2955458228727188E-2</v>
      </c>
      <c r="EM3" s="32">
        <v>1.8175043847293283E-2</v>
      </c>
      <c r="EN3" s="32">
        <v>2.9983082860503191E-2</v>
      </c>
      <c r="EO3" s="32">
        <v>5.5733771957724845E-2</v>
      </c>
      <c r="EP3" s="32">
        <v>5.0116248537028542E-2</v>
      </c>
    </row>
    <row r="4" spans="1:170" ht="26.25" x14ac:dyDescent="0.25">
      <c r="A4" s="12">
        <f ca="1">TODAY()</f>
        <v>46119</v>
      </c>
      <c r="H4" s="33">
        <f>SUBTOTAL(3,H6:H2510)</f>
        <v>2</v>
      </c>
      <c r="I4" s="34" t="s">
        <v>1036</v>
      </c>
      <c r="L4" s="35"/>
      <c r="M4" s="36"/>
      <c r="N4" s="33">
        <f>SUBTOTAL(9,N6:N2510)</f>
        <v>685</v>
      </c>
      <c r="O4" s="33"/>
      <c r="P4" s="28"/>
      <c r="Q4" s="29"/>
      <c r="R4" s="1"/>
      <c r="W4" s="29"/>
      <c r="AR4" s="16"/>
      <c r="AS4" s="16" t="s">
        <v>4</v>
      </c>
      <c r="AX4" s="33">
        <v>1689982</v>
      </c>
      <c r="AY4" s="22"/>
      <c r="BA4" s="12"/>
      <c r="BB4" s="12"/>
      <c r="BC4" s="12"/>
      <c r="BE4" s="38"/>
      <c r="BF4" s="12"/>
      <c r="BG4" s="12"/>
      <c r="BH4" s="12"/>
      <c r="BI4" s="12"/>
      <c r="BJ4" s="12"/>
      <c r="BK4" s="12"/>
      <c r="BL4" s="12"/>
      <c r="BN4" s="37"/>
      <c r="BQ4" s="1"/>
      <c r="BR4" s="39"/>
      <c r="BS4" s="26"/>
      <c r="BT4" s="26">
        <v>46079</v>
      </c>
      <c r="BU4" s="12">
        <v>46098</v>
      </c>
      <c r="BW4" s="33"/>
      <c r="BX4" s="40">
        <f t="shared" ref="BX4:DC4" si="0">SUBTOTAL(9,BX6:BX2510)</f>
        <v>0</v>
      </c>
      <c r="BY4" s="40">
        <f t="shared" si="0"/>
        <v>0</v>
      </c>
      <c r="BZ4" s="40">
        <f t="shared" si="0"/>
        <v>0</v>
      </c>
      <c r="CA4" s="40">
        <f t="shared" si="0"/>
        <v>0</v>
      </c>
      <c r="CB4" s="40">
        <f t="shared" si="0"/>
        <v>0</v>
      </c>
      <c r="CC4" s="40">
        <f t="shared" si="0"/>
        <v>0</v>
      </c>
      <c r="CD4" s="40">
        <f t="shared" si="0"/>
        <v>0</v>
      </c>
      <c r="CE4" s="40">
        <f t="shared" si="0"/>
        <v>0</v>
      </c>
      <c r="CF4" s="40">
        <f t="shared" si="0"/>
        <v>0</v>
      </c>
      <c r="CG4" s="40">
        <f t="shared" si="0"/>
        <v>0</v>
      </c>
      <c r="CH4" s="40">
        <f t="shared" si="0"/>
        <v>0</v>
      </c>
      <c r="CI4" s="40">
        <f t="shared" si="0"/>
        <v>0</v>
      </c>
      <c r="CJ4" s="40">
        <f t="shared" si="0"/>
        <v>0</v>
      </c>
      <c r="CK4" s="40">
        <f t="shared" si="0"/>
        <v>0</v>
      </c>
      <c r="CL4" s="40">
        <f t="shared" si="0"/>
        <v>0</v>
      </c>
      <c r="CM4" s="40">
        <f t="shared" si="0"/>
        <v>208</v>
      </c>
      <c r="CN4" s="40">
        <f t="shared" si="0"/>
        <v>303</v>
      </c>
      <c r="CO4" s="40">
        <f t="shared" si="0"/>
        <v>174</v>
      </c>
      <c r="CP4" s="40">
        <f t="shared" si="0"/>
        <v>0</v>
      </c>
      <c r="CQ4" s="40">
        <f t="shared" si="0"/>
        <v>0</v>
      </c>
      <c r="CR4" s="40">
        <f t="shared" si="0"/>
        <v>0</v>
      </c>
      <c r="CS4" s="40">
        <f t="shared" si="0"/>
        <v>0</v>
      </c>
      <c r="CT4" s="40">
        <f t="shared" si="0"/>
        <v>0</v>
      </c>
      <c r="CU4" s="40">
        <f t="shared" si="0"/>
        <v>0</v>
      </c>
      <c r="CV4" s="40">
        <f t="shared" si="0"/>
        <v>0</v>
      </c>
      <c r="CW4" s="40">
        <f t="shared" si="0"/>
        <v>0</v>
      </c>
      <c r="CX4" s="40">
        <f t="shared" si="0"/>
        <v>0</v>
      </c>
      <c r="CY4" s="40">
        <f t="shared" si="0"/>
        <v>0</v>
      </c>
      <c r="CZ4" s="40">
        <f t="shared" si="0"/>
        <v>0</v>
      </c>
      <c r="DA4" s="40">
        <f t="shared" si="0"/>
        <v>0</v>
      </c>
      <c r="DB4" s="40">
        <f t="shared" si="0"/>
        <v>0</v>
      </c>
      <c r="DC4" s="40">
        <f t="shared" si="0"/>
        <v>0</v>
      </c>
      <c r="DD4" s="40">
        <f t="shared" ref="DD4:EI4" si="1">SUBTOTAL(9,DD6:DD2510)</f>
        <v>0</v>
      </c>
      <c r="DE4" s="40">
        <f t="shared" si="1"/>
        <v>0</v>
      </c>
      <c r="DF4" s="40">
        <f t="shared" si="1"/>
        <v>0</v>
      </c>
      <c r="DG4" s="40">
        <f t="shared" si="1"/>
        <v>0</v>
      </c>
      <c r="DH4" s="40">
        <f t="shared" si="1"/>
        <v>0</v>
      </c>
      <c r="DI4" s="40">
        <f t="shared" si="1"/>
        <v>0</v>
      </c>
      <c r="DJ4" s="40">
        <f t="shared" si="1"/>
        <v>0</v>
      </c>
      <c r="DK4" s="40">
        <f t="shared" si="1"/>
        <v>0</v>
      </c>
      <c r="DL4" s="40">
        <f t="shared" si="1"/>
        <v>0</v>
      </c>
      <c r="DM4" s="40">
        <f t="shared" si="1"/>
        <v>0</v>
      </c>
      <c r="DN4" s="40">
        <f t="shared" si="1"/>
        <v>0</v>
      </c>
      <c r="DO4" s="40">
        <f t="shared" si="1"/>
        <v>0</v>
      </c>
      <c r="DP4" s="40">
        <f t="shared" si="1"/>
        <v>0</v>
      </c>
      <c r="DQ4" s="40">
        <f t="shared" si="1"/>
        <v>0</v>
      </c>
      <c r="DR4" s="40">
        <f t="shared" si="1"/>
        <v>0</v>
      </c>
      <c r="DS4" s="40">
        <f t="shared" si="1"/>
        <v>0</v>
      </c>
      <c r="DT4" s="40">
        <f t="shared" si="1"/>
        <v>0</v>
      </c>
      <c r="DU4" s="40">
        <f t="shared" si="1"/>
        <v>0</v>
      </c>
      <c r="DV4" s="40">
        <f t="shared" si="1"/>
        <v>0</v>
      </c>
      <c r="DW4" s="40">
        <f t="shared" si="1"/>
        <v>0</v>
      </c>
      <c r="DX4" s="40">
        <f t="shared" si="1"/>
        <v>0</v>
      </c>
      <c r="DY4" s="40">
        <f t="shared" si="1"/>
        <v>0</v>
      </c>
      <c r="DZ4" s="40">
        <f t="shared" si="1"/>
        <v>0</v>
      </c>
      <c r="EA4" s="40">
        <f t="shared" si="1"/>
        <v>0</v>
      </c>
      <c r="EB4" s="40">
        <f t="shared" si="1"/>
        <v>0</v>
      </c>
      <c r="EC4" s="40">
        <f t="shared" si="1"/>
        <v>0</v>
      </c>
      <c r="ED4" s="40">
        <f t="shared" si="1"/>
        <v>0</v>
      </c>
      <c r="EE4" s="40">
        <f t="shared" si="1"/>
        <v>0</v>
      </c>
      <c r="EF4" s="40">
        <f t="shared" si="1"/>
        <v>0</v>
      </c>
      <c r="EG4" s="40">
        <f t="shared" si="1"/>
        <v>0</v>
      </c>
      <c r="EH4" s="40">
        <f t="shared" si="1"/>
        <v>0</v>
      </c>
      <c r="EI4" s="40">
        <f t="shared" si="1"/>
        <v>0</v>
      </c>
      <c r="EJ4" s="40">
        <f t="shared" ref="EJ4:EQ4" si="2">SUBTOTAL(9,EJ6:EJ2510)</f>
        <v>0</v>
      </c>
      <c r="EK4" s="40">
        <f t="shared" si="2"/>
        <v>0</v>
      </c>
      <c r="EL4" s="40">
        <f t="shared" si="2"/>
        <v>0</v>
      </c>
      <c r="EM4" s="40">
        <f t="shared" si="2"/>
        <v>0</v>
      </c>
      <c r="EN4" s="40">
        <f t="shared" si="2"/>
        <v>0</v>
      </c>
      <c r="EO4" s="40">
        <f t="shared" si="2"/>
        <v>0</v>
      </c>
      <c r="EP4" s="40">
        <f t="shared" si="2"/>
        <v>0</v>
      </c>
      <c r="EQ4" s="37">
        <f t="shared" si="2"/>
        <v>685</v>
      </c>
      <c r="ER4" s="41"/>
      <c r="ES4" s="41"/>
      <c r="ET4" s="41"/>
      <c r="EU4" s="41"/>
      <c r="EV4" s="37">
        <v>703924.09500000009</v>
      </c>
      <c r="EW4" s="41"/>
      <c r="EX4" s="41"/>
      <c r="EY4" s="41"/>
      <c r="EZ4" s="41"/>
      <c r="FA4" s="41"/>
      <c r="FB4" s="41"/>
      <c r="FC4" s="41"/>
      <c r="FD4" s="41"/>
    </row>
    <row r="5" spans="1:170" s="58" customFormat="1" ht="37.5" x14ac:dyDescent="0.25">
      <c r="A5" s="42" t="s">
        <v>5</v>
      </c>
      <c r="B5" s="42" t="s">
        <v>6</v>
      </c>
      <c r="C5" s="42" t="s">
        <v>7</v>
      </c>
      <c r="D5" s="43" t="s">
        <v>8</v>
      </c>
      <c r="E5" s="44" t="s">
        <v>9</v>
      </c>
      <c r="F5" s="42" t="s">
        <v>10</v>
      </c>
      <c r="G5" s="42" t="s">
        <v>11</v>
      </c>
      <c r="H5" s="43" t="s">
        <v>12</v>
      </c>
      <c r="I5" s="43" t="s">
        <v>13</v>
      </c>
      <c r="J5" s="42" t="s">
        <v>14</v>
      </c>
      <c r="K5" s="42" t="s">
        <v>15</v>
      </c>
      <c r="L5" s="42" t="s">
        <v>16</v>
      </c>
      <c r="M5" s="45" t="s">
        <v>17</v>
      </c>
      <c r="N5" s="42" t="s">
        <v>18</v>
      </c>
      <c r="O5" s="42" t="s">
        <v>19</v>
      </c>
      <c r="P5" s="46" t="s">
        <v>20</v>
      </c>
      <c r="Q5" s="42" t="s">
        <v>21</v>
      </c>
      <c r="R5" s="42" t="s">
        <v>22</v>
      </c>
      <c r="S5" s="42" t="s">
        <v>23</v>
      </c>
      <c r="T5" s="42" t="s">
        <v>24</v>
      </c>
      <c r="U5" s="42" t="s">
        <v>25</v>
      </c>
      <c r="V5" s="42" t="s">
        <v>26</v>
      </c>
      <c r="W5" s="42" t="s">
        <v>27</v>
      </c>
      <c r="X5" s="43" t="s">
        <v>28</v>
      </c>
      <c r="Y5" s="42" t="s">
        <v>29</v>
      </c>
      <c r="Z5" s="42" t="s">
        <v>30</v>
      </c>
      <c r="AA5" s="42" t="s">
        <v>31</v>
      </c>
      <c r="AB5" s="42" t="s">
        <v>32</v>
      </c>
      <c r="AC5" s="47" t="s">
        <v>33</v>
      </c>
      <c r="AD5" s="42" t="s">
        <v>34</v>
      </c>
      <c r="AE5" s="48" t="s">
        <v>35</v>
      </c>
      <c r="AF5" s="42" t="s">
        <v>36</v>
      </c>
      <c r="AG5" s="47" t="s">
        <v>37</v>
      </c>
      <c r="AH5" s="47" t="s">
        <v>38</v>
      </c>
      <c r="AI5" s="47" t="s">
        <v>39</v>
      </c>
      <c r="AJ5" s="47" t="s">
        <v>40</v>
      </c>
      <c r="AK5" s="42" t="s">
        <v>41</v>
      </c>
      <c r="AL5" s="42" t="s">
        <v>42</v>
      </c>
      <c r="AM5" s="42" t="s">
        <v>43</v>
      </c>
      <c r="AN5" s="42" t="s">
        <v>44</v>
      </c>
      <c r="AO5" s="42" t="s">
        <v>45</v>
      </c>
      <c r="AP5" s="42" t="s">
        <v>46</v>
      </c>
      <c r="AQ5" s="42" t="s">
        <v>47</v>
      </c>
      <c r="AR5" s="42" t="s">
        <v>48</v>
      </c>
      <c r="AS5" s="48" t="s">
        <v>49</v>
      </c>
      <c r="AT5" s="48" t="s">
        <v>50</v>
      </c>
      <c r="AU5" s="48" t="s">
        <v>51</v>
      </c>
      <c r="AV5" s="49" t="s">
        <v>52</v>
      </c>
      <c r="AW5" s="49" t="s">
        <v>53</v>
      </c>
      <c r="AX5" s="49" t="s">
        <v>54</v>
      </c>
      <c r="AY5" s="49" t="s">
        <v>55</v>
      </c>
      <c r="AZ5" s="50" t="s">
        <v>56</v>
      </c>
      <c r="BA5" s="50" t="s">
        <v>57</v>
      </c>
      <c r="BB5" s="50" t="s">
        <v>58</v>
      </c>
      <c r="BC5" s="50" t="s">
        <v>1038</v>
      </c>
      <c r="BD5" s="51" t="s">
        <v>67</v>
      </c>
      <c r="BE5" s="50" t="s">
        <v>68</v>
      </c>
      <c r="BF5" s="48" t="s">
        <v>59</v>
      </c>
      <c r="BG5" s="50" t="s">
        <v>62</v>
      </c>
      <c r="BH5" s="50" t="s">
        <v>63</v>
      </c>
      <c r="BI5" s="50" t="s">
        <v>910</v>
      </c>
      <c r="BJ5" s="50" t="s">
        <v>60</v>
      </c>
      <c r="BK5" s="50" t="s">
        <v>61</v>
      </c>
      <c r="BL5" s="50" t="s">
        <v>64</v>
      </c>
      <c r="BM5" s="50" t="s">
        <v>65</v>
      </c>
      <c r="BN5" s="50" t="s">
        <v>66</v>
      </c>
      <c r="BO5" s="52" t="s">
        <v>69</v>
      </c>
      <c r="BP5" s="52" t="s">
        <v>70</v>
      </c>
      <c r="BQ5" s="52" t="s">
        <v>71</v>
      </c>
      <c r="BR5" s="52" t="s">
        <v>72</v>
      </c>
      <c r="BS5" s="52" t="s">
        <v>73</v>
      </c>
      <c r="BT5" s="53" t="s">
        <v>74</v>
      </c>
      <c r="BU5" s="42" t="s">
        <v>75</v>
      </c>
      <c r="BV5" s="42" t="s">
        <v>76</v>
      </c>
      <c r="BW5" s="52" t="s">
        <v>77</v>
      </c>
      <c r="BX5" s="42">
        <v>14</v>
      </c>
      <c r="BY5" s="42">
        <v>14.5</v>
      </c>
      <c r="BZ5" s="42">
        <v>15</v>
      </c>
      <c r="CA5" s="42">
        <v>15.5</v>
      </c>
      <c r="CB5" s="42">
        <v>16</v>
      </c>
      <c r="CC5" s="42">
        <v>16.5</v>
      </c>
      <c r="CD5" s="42">
        <v>17</v>
      </c>
      <c r="CE5" s="42">
        <v>17.5</v>
      </c>
      <c r="CF5" s="42">
        <v>18</v>
      </c>
      <c r="CG5" s="42">
        <v>18.5</v>
      </c>
      <c r="CH5" s="42">
        <v>19</v>
      </c>
      <c r="CI5" s="42">
        <v>20</v>
      </c>
      <c r="CJ5" s="42" t="s">
        <v>78</v>
      </c>
      <c r="CK5" s="42" t="s">
        <v>79</v>
      </c>
      <c r="CL5" s="42" t="s">
        <v>80</v>
      </c>
      <c r="CM5" s="42" t="s">
        <v>81</v>
      </c>
      <c r="CN5" s="42" t="s">
        <v>82</v>
      </c>
      <c r="CO5" s="42" t="s">
        <v>83</v>
      </c>
      <c r="CP5" s="42" t="s">
        <v>84</v>
      </c>
      <c r="CQ5" s="42" t="s">
        <v>85</v>
      </c>
      <c r="CR5" s="42" t="s">
        <v>86</v>
      </c>
      <c r="CS5" s="42" t="s">
        <v>87</v>
      </c>
      <c r="CT5" s="42" t="s">
        <v>88</v>
      </c>
      <c r="CU5" s="42" t="s">
        <v>89</v>
      </c>
      <c r="CV5" s="48" t="s">
        <v>90</v>
      </c>
      <c r="CW5" s="42" t="s">
        <v>91</v>
      </c>
      <c r="CX5" s="42" t="s">
        <v>92</v>
      </c>
      <c r="CY5" s="54" t="s">
        <v>93</v>
      </c>
      <c r="CZ5" s="42" t="s">
        <v>94</v>
      </c>
      <c r="DA5" s="42" t="s">
        <v>95</v>
      </c>
      <c r="DB5" s="48" t="s">
        <v>96</v>
      </c>
      <c r="DC5" s="42" t="s">
        <v>97</v>
      </c>
      <c r="DD5" s="54" t="s">
        <v>98</v>
      </c>
      <c r="DE5" s="54" t="s">
        <v>99</v>
      </c>
      <c r="DF5" s="54" t="s">
        <v>100</v>
      </c>
      <c r="DG5" s="54" t="s">
        <v>101</v>
      </c>
      <c r="DH5" s="55" t="s">
        <v>102</v>
      </c>
      <c r="DI5" s="55" t="s">
        <v>103</v>
      </c>
      <c r="DJ5" s="55" t="s">
        <v>104</v>
      </c>
      <c r="DK5" s="55" t="s">
        <v>105</v>
      </c>
      <c r="DL5" s="55" t="s">
        <v>106</v>
      </c>
      <c r="DM5" s="55" t="s">
        <v>107</v>
      </c>
      <c r="DN5" s="55" t="s">
        <v>108</v>
      </c>
      <c r="DO5" s="55" t="s">
        <v>109</v>
      </c>
      <c r="DP5" s="55" t="s">
        <v>110</v>
      </c>
      <c r="DQ5" s="55" t="s">
        <v>111</v>
      </c>
      <c r="DR5" s="55" t="s">
        <v>112</v>
      </c>
      <c r="DS5" s="55" t="s">
        <v>113</v>
      </c>
      <c r="DT5" s="55" t="s">
        <v>114</v>
      </c>
      <c r="DU5" s="55" t="s">
        <v>115</v>
      </c>
      <c r="DV5" s="55" t="s">
        <v>116</v>
      </c>
      <c r="DW5" s="55" t="s">
        <v>117</v>
      </c>
      <c r="DX5" s="55" t="s">
        <v>118</v>
      </c>
      <c r="DY5" s="55" t="s">
        <v>119</v>
      </c>
      <c r="DZ5" s="55" t="s">
        <v>120</v>
      </c>
      <c r="EA5" s="56" t="s">
        <v>121</v>
      </c>
      <c r="EB5" s="56" t="s">
        <v>122</v>
      </c>
      <c r="EC5" s="56" t="s">
        <v>123</v>
      </c>
      <c r="ED5" s="56" t="s">
        <v>124</v>
      </c>
      <c r="EE5" s="56" t="s">
        <v>125</v>
      </c>
      <c r="EF5" s="56" t="s">
        <v>126</v>
      </c>
      <c r="EG5" s="56">
        <v>2</v>
      </c>
      <c r="EH5" s="56">
        <v>3</v>
      </c>
      <c r="EI5" s="56">
        <v>4</v>
      </c>
      <c r="EJ5" s="56">
        <v>5</v>
      </c>
      <c r="EK5" s="56">
        <v>6</v>
      </c>
      <c r="EL5" s="56">
        <v>7</v>
      </c>
      <c r="EM5" s="56" t="s">
        <v>127</v>
      </c>
      <c r="EN5" s="56" t="s">
        <v>128</v>
      </c>
      <c r="EO5" s="56" t="s">
        <v>129</v>
      </c>
      <c r="EP5" s="56" t="s">
        <v>130</v>
      </c>
      <c r="EQ5" s="48" t="s">
        <v>131</v>
      </c>
      <c r="ER5" s="48" t="s">
        <v>132</v>
      </c>
      <c r="ES5" s="48" t="s">
        <v>133</v>
      </c>
      <c r="ET5" s="48" t="s">
        <v>134</v>
      </c>
      <c r="EU5" s="48" t="s">
        <v>135</v>
      </c>
      <c r="EV5" s="48" t="s">
        <v>136</v>
      </c>
      <c r="EW5" s="48" t="s">
        <v>137</v>
      </c>
      <c r="EX5" s="48" t="s">
        <v>138</v>
      </c>
      <c r="EY5" s="48" t="s">
        <v>139</v>
      </c>
      <c r="EZ5" s="52" t="s">
        <v>140</v>
      </c>
      <c r="FA5" s="52" t="s">
        <v>141</v>
      </c>
      <c r="FB5" s="52" t="s">
        <v>142</v>
      </c>
      <c r="FC5" s="48" t="s">
        <v>143</v>
      </c>
      <c r="FD5" s="48" t="s">
        <v>144</v>
      </c>
      <c r="FE5" s="57" t="s">
        <v>145</v>
      </c>
      <c r="FF5" s="48"/>
      <c r="FG5" s="48" t="s">
        <v>146</v>
      </c>
      <c r="FI5" s="59" t="s">
        <v>147</v>
      </c>
      <c r="FK5" s="102"/>
    </row>
    <row r="6" spans="1:170" ht="21" hidden="1" x14ac:dyDescent="0.25">
      <c r="A6" s="15" t="s">
        <v>537</v>
      </c>
      <c r="B6" s="15" t="s">
        <v>149</v>
      </c>
      <c r="C6" s="15" t="s">
        <v>489</v>
      </c>
      <c r="D6" s="15">
        <v>4702080081</v>
      </c>
      <c r="E6" s="15" t="s">
        <v>196</v>
      </c>
      <c r="F6" s="15" t="s">
        <v>181</v>
      </c>
      <c r="G6" s="15"/>
      <c r="H6" s="15" t="s">
        <v>538</v>
      </c>
      <c r="I6" s="15" t="s">
        <v>440</v>
      </c>
      <c r="J6" s="15" t="s">
        <v>539</v>
      </c>
      <c r="K6" s="15" t="s">
        <v>185</v>
      </c>
      <c r="L6" s="15" t="s">
        <v>247</v>
      </c>
      <c r="M6" s="15" t="s">
        <v>540</v>
      </c>
      <c r="N6" s="63">
        <v>40</v>
      </c>
      <c r="O6" s="15"/>
      <c r="P6" s="15">
        <v>13.05</v>
      </c>
      <c r="Q6" s="15" t="s">
        <v>541</v>
      </c>
      <c r="R6" s="15"/>
      <c r="S6" s="15" t="s">
        <v>235</v>
      </c>
      <c r="T6" s="15"/>
      <c r="U6" s="15"/>
      <c r="V6" s="15"/>
      <c r="W6" s="15"/>
      <c r="X6" s="15"/>
      <c r="Y6" s="15" t="s">
        <v>320</v>
      </c>
      <c r="Z6" s="15" t="s">
        <v>191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203</v>
      </c>
      <c r="AL6" s="15"/>
      <c r="AM6" s="15">
        <v>8</v>
      </c>
      <c r="AN6" s="15"/>
      <c r="AO6" s="15"/>
      <c r="AP6" s="15"/>
      <c r="AQ6" s="15"/>
      <c r="AR6" s="15"/>
      <c r="AS6" s="15" t="s">
        <v>170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61">
        <v>46038</v>
      </c>
      <c r="BE6" s="61" t="s">
        <v>192</v>
      </c>
      <c r="BF6" s="15" t="s">
        <v>219</v>
      </c>
      <c r="BG6" s="15" t="s">
        <v>219</v>
      </c>
      <c r="BH6" s="15" t="s">
        <v>219</v>
      </c>
      <c r="BI6" s="15" t="s">
        <v>199</v>
      </c>
      <c r="BJ6" s="15"/>
      <c r="BK6" s="15"/>
      <c r="BL6" s="15"/>
      <c r="BM6" s="15"/>
      <c r="BN6" s="15"/>
      <c r="BO6" s="64"/>
      <c r="BP6" s="64">
        <v>46107</v>
      </c>
      <c r="BQ6" s="15"/>
      <c r="BR6" s="15">
        <v>51</v>
      </c>
      <c r="BS6" s="64">
        <v>46089</v>
      </c>
      <c r="BT6" s="64">
        <v>46117</v>
      </c>
      <c r="BU6" s="64">
        <v>46188</v>
      </c>
      <c r="BV6" s="15"/>
      <c r="BW6" s="64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15"/>
      <c r="CL6" s="68">
        <v>5</v>
      </c>
      <c r="CM6" s="68">
        <v>10</v>
      </c>
      <c r="CN6" s="68">
        <v>15</v>
      </c>
      <c r="CO6" s="68">
        <v>10</v>
      </c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  <c r="EL6" s="68"/>
      <c r="EM6" s="68"/>
      <c r="EN6" s="68"/>
      <c r="EO6" s="68"/>
      <c r="EP6" s="68"/>
      <c r="EQ6" s="65">
        <f t="shared" ref="EQ6:EQ39" si="3">SUM(BX6:EP6)</f>
        <v>40</v>
      </c>
      <c r="ER6" s="6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 t="s">
        <v>176</v>
      </c>
      <c r="FF6" s="15"/>
      <c r="FG6" s="15"/>
      <c r="FH6" s="1" t="str">
        <f t="shared" ref="FH6:FH38" si="4">H6&amp;D6</f>
        <v>710P038555014702080081</v>
      </c>
      <c r="FI6" s="1" t="str">
        <f t="shared" ref="FI6:FI38" si="5">A6</f>
        <v>PRLS/25/12930</v>
      </c>
      <c r="FJ6" s="38" t="e">
        <f>VLOOKUP(FH6,[1]Sheet3!$A:$D,4,0)</f>
        <v>#N/A</v>
      </c>
      <c r="FL6" s="13"/>
    </row>
    <row r="7" spans="1:170" ht="21" hidden="1" x14ac:dyDescent="0.25">
      <c r="A7" s="15" t="s">
        <v>543</v>
      </c>
      <c r="B7" s="15" t="s">
        <v>149</v>
      </c>
      <c r="C7" s="15" t="s">
        <v>489</v>
      </c>
      <c r="D7" s="15">
        <v>4702080081</v>
      </c>
      <c r="E7" s="15" t="s">
        <v>196</v>
      </c>
      <c r="F7" s="15" t="s">
        <v>181</v>
      </c>
      <c r="G7" s="15"/>
      <c r="H7" s="15" t="s">
        <v>544</v>
      </c>
      <c r="I7" s="15" t="s">
        <v>440</v>
      </c>
      <c r="J7" s="15" t="s">
        <v>539</v>
      </c>
      <c r="K7" s="15" t="s">
        <v>185</v>
      </c>
      <c r="L7" s="15" t="s">
        <v>247</v>
      </c>
      <c r="M7" s="15" t="s">
        <v>545</v>
      </c>
      <c r="N7" s="63">
        <v>40</v>
      </c>
      <c r="O7" s="15"/>
      <c r="P7" s="15">
        <v>13.05</v>
      </c>
      <c r="Q7" s="15" t="s">
        <v>546</v>
      </c>
      <c r="R7" s="15"/>
      <c r="S7" s="15" t="s">
        <v>235</v>
      </c>
      <c r="T7" s="15"/>
      <c r="U7" s="15"/>
      <c r="V7" s="15"/>
      <c r="W7" s="15"/>
      <c r="X7" s="15"/>
      <c r="Y7" s="15" t="s">
        <v>320</v>
      </c>
      <c r="Z7" s="15" t="s">
        <v>191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203</v>
      </c>
      <c r="AL7" s="15"/>
      <c r="AM7" s="15">
        <v>8</v>
      </c>
      <c r="AN7" s="15"/>
      <c r="AO7" s="15"/>
      <c r="AP7" s="15"/>
      <c r="AQ7" s="15"/>
      <c r="AR7" s="15"/>
      <c r="AS7" s="15" t="s">
        <v>170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61">
        <v>46042</v>
      </c>
      <c r="BE7" s="61" t="s">
        <v>192</v>
      </c>
      <c r="BF7" s="15" t="s">
        <v>219</v>
      </c>
      <c r="BG7" s="15" t="s">
        <v>219</v>
      </c>
      <c r="BH7" s="15" t="s">
        <v>219</v>
      </c>
      <c r="BI7" s="15" t="s">
        <v>199</v>
      </c>
      <c r="BJ7" s="15"/>
      <c r="BK7" s="15"/>
      <c r="BL7" s="15"/>
      <c r="BM7" s="15"/>
      <c r="BN7" s="15"/>
      <c r="BO7" s="64"/>
      <c r="BP7" s="64">
        <v>46107</v>
      </c>
      <c r="BQ7" s="15"/>
      <c r="BR7" s="15">
        <v>47</v>
      </c>
      <c r="BS7" s="64">
        <v>46089</v>
      </c>
      <c r="BT7" s="64">
        <v>46117</v>
      </c>
      <c r="BU7" s="64">
        <v>46188</v>
      </c>
      <c r="BV7" s="15"/>
      <c r="BW7" s="64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15"/>
      <c r="CL7" s="68">
        <v>5</v>
      </c>
      <c r="CM7" s="68">
        <v>10</v>
      </c>
      <c r="CN7" s="68">
        <v>15</v>
      </c>
      <c r="CO7" s="68">
        <v>10</v>
      </c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  <c r="EQ7" s="65">
        <f t="shared" si="3"/>
        <v>40</v>
      </c>
      <c r="ER7" s="6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 t="s">
        <v>176</v>
      </c>
      <c r="FF7" s="15"/>
      <c r="FG7" s="15"/>
      <c r="FH7" s="1" t="str">
        <f t="shared" si="4"/>
        <v>710P038555024702080081</v>
      </c>
      <c r="FI7" s="1" t="str">
        <f t="shared" si="5"/>
        <v>PRLS/25/12931</v>
      </c>
      <c r="FJ7" s="38" t="e">
        <f>VLOOKUP(FH7,[1]Sheet3!$A:$D,4,0)</f>
        <v>#N/A</v>
      </c>
      <c r="FL7" s="13"/>
    </row>
    <row r="8" spans="1:170" ht="21" hidden="1" x14ac:dyDescent="0.25">
      <c r="A8" s="15" t="s">
        <v>547</v>
      </c>
      <c r="B8" s="15" t="s">
        <v>149</v>
      </c>
      <c r="C8" s="15" t="s">
        <v>489</v>
      </c>
      <c r="D8" s="15">
        <v>4702080081</v>
      </c>
      <c r="E8" s="15" t="s">
        <v>196</v>
      </c>
      <c r="F8" s="15" t="s">
        <v>181</v>
      </c>
      <c r="G8" s="15"/>
      <c r="H8" s="15" t="s">
        <v>548</v>
      </c>
      <c r="I8" s="15" t="s">
        <v>440</v>
      </c>
      <c r="J8" s="15" t="s">
        <v>539</v>
      </c>
      <c r="K8" s="15" t="s">
        <v>185</v>
      </c>
      <c r="L8" s="15" t="s">
        <v>247</v>
      </c>
      <c r="M8" s="15" t="s">
        <v>549</v>
      </c>
      <c r="N8" s="63">
        <v>40</v>
      </c>
      <c r="O8" s="15"/>
      <c r="P8" s="15">
        <v>13.05</v>
      </c>
      <c r="Q8" s="15" t="s">
        <v>550</v>
      </c>
      <c r="R8" s="15"/>
      <c r="S8" s="15" t="s">
        <v>235</v>
      </c>
      <c r="T8" s="15"/>
      <c r="U8" s="15"/>
      <c r="V8" s="15"/>
      <c r="W8" s="15"/>
      <c r="X8" s="15"/>
      <c r="Y8" s="15" t="s">
        <v>320</v>
      </c>
      <c r="Z8" s="15" t="s">
        <v>191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203</v>
      </c>
      <c r="AL8" s="15"/>
      <c r="AM8" s="15">
        <v>8</v>
      </c>
      <c r="AN8" s="15"/>
      <c r="AO8" s="15"/>
      <c r="AP8" s="15"/>
      <c r="AQ8" s="15"/>
      <c r="AR8" s="15"/>
      <c r="AS8" s="15" t="s">
        <v>170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61">
        <v>46041</v>
      </c>
      <c r="BE8" s="61" t="s">
        <v>192</v>
      </c>
      <c r="BF8" s="15" t="s">
        <v>219</v>
      </c>
      <c r="BG8" s="15" t="s">
        <v>219</v>
      </c>
      <c r="BH8" s="15" t="s">
        <v>219</v>
      </c>
      <c r="BI8" s="15" t="s">
        <v>199</v>
      </c>
      <c r="BJ8" s="15"/>
      <c r="BK8" s="15"/>
      <c r="BL8" s="15"/>
      <c r="BM8" s="15"/>
      <c r="BN8" s="15"/>
      <c r="BO8" s="64"/>
      <c r="BP8" s="64">
        <v>46107</v>
      </c>
      <c r="BQ8" s="15"/>
      <c r="BR8" s="15">
        <v>48</v>
      </c>
      <c r="BS8" s="64">
        <v>46089</v>
      </c>
      <c r="BT8" s="64">
        <v>46117</v>
      </c>
      <c r="BU8" s="64">
        <v>46188</v>
      </c>
      <c r="BV8" s="15"/>
      <c r="BW8" s="64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15"/>
      <c r="CL8" s="68">
        <v>5</v>
      </c>
      <c r="CM8" s="68">
        <v>10</v>
      </c>
      <c r="CN8" s="68">
        <v>15</v>
      </c>
      <c r="CO8" s="68">
        <v>10</v>
      </c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5">
        <f t="shared" si="3"/>
        <v>40</v>
      </c>
      <c r="ER8" s="6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 t="s">
        <v>176</v>
      </c>
      <c r="FF8" s="15"/>
      <c r="FG8" s="15"/>
      <c r="FH8" s="1" t="str">
        <f t="shared" si="4"/>
        <v>710P038555034702080081</v>
      </c>
      <c r="FI8" s="1" t="str">
        <f t="shared" si="5"/>
        <v>PRLS/25/12932</v>
      </c>
      <c r="FJ8" s="38" t="e">
        <f>VLOOKUP(FH8,[1]Sheet3!$A:$D,4,0)</f>
        <v>#N/A</v>
      </c>
      <c r="FL8" s="13"/>
    </row>
    <row r="9" spans="1:170" ht="21" hidden="1" x14ac:dyDescent="0.25">
      <c r="A9" s="15" t="s">
        <v>551</v>
      </c>
      <c r="B9" s="15" t="s">
        <v>149</v>
      </c>
      <c r="C9" s="15" t="s">
        <v>489</v>
      </c>
      <c r="D9" s="15">
        <v>4702080081</v>
      </c>
      <c r="E9" s="15" t="s">
        <v>196</v>
      </c>
      <c r="F9" s="15" t="s">
        <v>181</v>
      </c>
      <c r="G9" s="15"/>
      <c r="H9" s="15" t="s">
        <v>552</v>
      </c>
      <c r="I9" s="15" t="s">
        <v>440</v>
      </c>
      <c r="J9" s="15" t="s">
        <v>539</v>
      </c>
      <c r="K9" s="15" t="s">
        <v>185</v>
      </c>
      <c r="L9" s="15" t="s">
        <v>247</v>
      </c>
      <c r="M9" s="15" t="s">
        <v>553</v>
      </c>
      <c r="N9" s="63">
        <v>40</v>
      </c>
      <c r="O9" s="15"/>
      <c r="P9" s="15">
        <v>13.05</v>
      </c>
      <c r="Q9" s="15" t="s">
        <v>554</v>
      </c>
      <c r="R9" s="15"/>
      <c r="S9" s="15" t="s">
        <v>235</v>
      </c>
      <c r="T9" s="15"/>
      <c r="U9" s="15"/>
      <c r="V9" s="15"/>
      <c r="W9" s="15"/>
      <c r="X9" s="15"/>
      <c r="Y9" s="15" t="s">
        <v>320</v>
      </c>
      <c r="Z9" s="15" t="s">
        <v>191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203</v>
      </c>
      <c r="AL9" s="15"/>
      <c r="AM9" s="15">
        <v>8</v>
      </c>
      <c r="AN9" s="15"/>
      <c r="AO9" s="15"/>
      <c r="AP9" s="15"/>
      <c r="AQ9" s="15"/>
      <c r="AR9" s="15"/>
      <c r="AS9" s="15" t="s">
        <v>170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61">
        <v>46035</v>
      </c>
      <c r="BE9" s="61" t="s">
        <v>192</v>
      </c>
      <c r="BF9" s="15" t="s">
        <v>219</v>
      </c>
      <c r="BG9" s="15" t="s">
        <v>219</v>
      </c>
      <c r="BH9" s="15" t="s">
        <v>219</v>
      </c>
      <c r="BI9" s="15" t="s">
        <v>199</v>
      </c>
      <c r="BJ9" s="15"/>
      <c r="BK9" s="15"/>
      <c r="BL9" s="15"/>
      <c r="BM9" s="15"/>
      <c r="BN9" s="15"/>
      <c r="BO9" s="64"/>
      <c r="BP9" s="64">
        <v>46107</v>
      </c>
      <c r="BQ9" s="15"/>
      <c r="BR9" s="15">
        <v>52</v>
      </c>
      <c r="BS9" s="64">
        <v>46089</v>
      </c>
      <c r="BT9" s="64">
        <v>46117</v>
      </c>
      <c r="BU9" s="64">
        <v>46188</v>
      </c>
      <c r="BV9" s="15"/>
      <c r="BW9" s="64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15"/>
      <c r="CL9" s="68">
        <v>5</v>
      </c>
      <c r="CM9" s="68">
        <v>10</v>
      </c>
      <c r="CN9" s="68">
        <v>15</v>
      </c>
      <c r="CO9" s="68">
        <v>10</v>
      </c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5">
        <f t="shared" si="3"/>
        <v>40</v>
      </c>
      <c r="ER9" s="6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 t="s">
        <v>176</v>
      </c>
      <c r="FF9" s="15"/>
      <c r="FG9" s="15"/>
      <c r="FH9" s="1" t="str">
        <f t="shared" si="4"/>
        <v>710P038555044702080081</v>
      </c>
      <c r="FI9" s="1" t="str">
        <f t="shared" si="5"/>
        <v>PRLS/25/12933</v>
      </c>
      <c r="FJ9" s="38" t="e">
        <f>VLOOKUP(FH9,[1]Sheet3!$A:$D,4,0)</f>
        <v>#N/A</v>
      </c>
      <c r="FL9" s="13"/>
    </row>
    <row r="10" spans="1:170" ht="21" hidden="1" x14ac:dyDescent="0.25">
      <c r="A10" s="15" t="s">
        <v>537</v>
      </c>
      <c r="B10" s="15" t="s">
        <v>149</v>
      </c>
      <c r="C10" s="15" t="s">
        <v>489</v>
      </c>
      <c r="D10" s="15">
        <v>4702080082</v>
      </c>
      <c r="E10" s="15" t="s">
        <v>196</v>
      </c>
      <c r="F10" s="15" t="s">
        <v>181</v>
      </c>
      <c r="G10" s="15"/>
      <c r="H10" s="15" t="s">
        <v>538</v>
      </c>
      <c r="I10" s="15" t="s">
        <v>440</v>
      </c>
      <c r="J10" s="15" t="s">
        <v>539</v>
      </c>
      <c r="K10" s="15" t="s">
        <v>185</v>
      </c>
      <c r="L10" s="15" t="s">
        <v>247</v>
      </c>
      <c r="M10" s="15" t="s">
        <v>540</v>
      </c>
      <c r="N10" s="63">
        <v>330</v>
      </c>
      <c r="O10" s="15"/>
      <c r="P10" s="15">
        <v>13.05</v>
      </c>
      <c r="Q10" s="15" t="s">
        <v>541</v>
      </c>
      <c r="R10" s="15"/>
      <c r="S10" s="15" t="s">
        <v>235</v>
      </c>
      <c r="T10" s="15"/>
      <c r="U10" s="15"/>
      <c r="V10" s="15"/>
      <c r="W10" s="15"/>
      <c r="X10" s="15"/>
      <c r="Y10" s="15" t="s">
        <v>320</v>
      </c>
      <c r="Z10" s="15" t="s">
        <v>191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486</v>
      </c>
      <c r="AL10" s="15"/>
      <c r="AM10" s="15">
        <v>6</v>
      </c>
      <c r="AN10" s="15"/>
      <c r="AO10" s="15"/>
      <c r="AP10" s="15"/>
      <c r="AQ10" s="15"/>
      <c r="AR10" s="15"/>
      <c r="AS10" s="15" t="s">
        <v>170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61">
        <v>46038</v>
      </c>
      <c r="BE10" s="61" t="s">
        <v>192</v>
      </c>
      <c r="BF10" s="15" t="s">
        <v>219</v>
      </c>
      <c r="BG10" s="15" t="s">
        <v>219</v>
      </c>
      <c r="BH10" s="15" t="s">
        <v>219</v>
      </c>
      <c r="BI10" s="15" t="s">
        <v>199</v>
      </c>
      <c r="BJ10" s="15"/>
      <c r="BK10" s="15"/>
      <c r="BL10" s="15"/>
      <c r="BM10" s="15"/>
      <c r="BN10" s="15"/>
      <c r="BO10" s="64"/>
      <c r="BP10" s="64">
        <v>46107</v>
      </c>
      <c r="BQ10" s="15"/>
      <c r="BR10" s="15">
        <v>51</v>
      </c>
      <c r="BS10" s="64">
        <v>46089</v>
      </c>
      <c r="BT10" s="64">
        <v>46117</v>
      </c>
      <c r="BU10" s="64">
        <v>46188</v>
      </c>
      <c r="BV10" s="15"/>
      <c r="BW10" s="64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15"/>
      <c r="CL10" s="68">
        <v>55</v>
      </c>
      <c r="CM10" s="68">
        <v>55</v>
      </c>
      <c r="CN10" s="68">
        <v>110</v>
      </c>
      <c r="CO10" s="68">
        <v>55</v>
      </c>
      <c r="CP10" s="68">
        <v>55</v>
      </c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5">
        <f t="shared" si="3"/>
        <v>330</v>
      </c>
      <c r="ER10" s="6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 t="s">
        <v>176</v>
      </c>
      <c r="FF10" s="15"/>
      <c r="FG10" s="15"/>
      <c r="FH10" s="1" t="str">
        <f t="shared" si="4"/>
        <v>710P038555014702080082</v>
      </c>
      <c r="FI10" s="1" t="str">
        <f t="shared" si="5"/>
        <v>PRLS/25/12930</v>
      </c>
      <c r="FJ10" s="38" t="e">
        <f>VLOOKUP(FH10,[1]Sheet3!$A:$D,4,0)</f>
        <v>#N/A</v>
      </c>
      <c r="FL10" s="13"/>
    </row>
    <row r="11" spans="1:170" ht="21" hidden="1" x14ac:dyDescent="0.25">
      <c r="A11" s="15" t="s">
        <v>543</v>
      </c>
      <c r="B11" s="15" t="s">
        <v>149</v>
      </c>
      <c r="C11" s="15" t="s">
        <v>489</v>
      </c>
      <c r="D11" s="15">
        <v>4702080082</v>
      </c>
      <c r="E11" s="15" t="s">
        <v>196</v>
      </c>
      <c r="F11" s="15" t="s">
        <v>181</v>
      </c>
      <c r="G11" s="15"/>
      <c r="H11" s="15" t="s">
        <v>544</v>
      </c>
      <c r="I11" s="15" t="s">
        <v>440</v>
      </c>
      <c r="J11" s="15" t="s">
        <v>539</v>
      </c>
      <c r="K11" s="15" t="s">
        <v>185</v>
      </c>
      <c r="L11" s="15" t="s">
        <v>247</v>
      </c>
      <c r="M11" s="15" t="s">
        <v>545</v>
      </c>
      <c r="N11" s="63">
        <v>294</v>
      </c>
      <c r="O11" s="15"/>
      <c r="P11" s="15">
        <v>13.05</v>
      </c>
      <c r="Q11" s="15" t="s">
        <v>546</v>
      </c>
      <c r="R11" s="15"/>
      <c r="S11" s="15" t="s">
        <v>235</v>
      </c>
      <c r="T11" s="15"/>
      <c r="U11" s="15"/>
      <c r="V11" s="15"/>
      <c r="W11" s="15"/>
      <c r="X11" s="15"/>
      <c r="Y11" s="15" t="s">
        <v>320</v>
      </c>
      <c r="Z11" s="15" t="s">
        <v>191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486</v>
      </c>
      <c r="AL11" s="15"/>
      <c r="AM11" s="15">
        <v>6</v>
      </c>
      <c r="AN11" s="15"/>
      <c r="AO11" s="15"/>
      <c r="AP11" s="15"/>
      <c r="AQ11" s="15"/>
      <c r="AR11" s="15"/>
      <c r="AS11" s="15" t="s">
        <v>170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61">
        <v>46042</v>
      </c>
      <c r="BE11" s="61" t="s">
        <v>192</v>
      </c>
      <c r="BF11" s="15" t="s">
        <v>219</v>
      </c>
      <c r="BG11" s="15" t="s">
        <v>219</v>
      </c>
      <c r="BH11" s="15" t="s">
        <v>219</v>
      </c>
      <c r="BI11" s="15" t="s">
        <v>199</v>
      </c>
      <c r="BJ11" s="15"/>
      <c r="BK11" s="15"/>
      <c r="BL11" s="15"/>
      <c r="BM11" s="15"/>
      <c r="BN11" s="15"/>
      <c r="BO11" s="64"/>
      <c r="BP11" s="64">
        <v>46107</v>
      </c>
      <c r="BQ11" s="15"/>
      <c r="BR11" s="15">
        <v>47</v>
      </c>
      <c r="BS11" s="64">
        <v>46089</v>
      </c>
      <c r="BT11" s="64">
        <v>46117</v>
      </c>
      <c r="BU11" s="64">
        <v>46188</v>
      </c>
      <c r="BV11" s="15"/>
      <c r="BW11" s="64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15"/>
      <c r="CL11" s="68">
        <v>49</v>
      </c>
      <c r="CM11" s="68">
        <v>49</v>
      </c>
      <c r="CN11" s="68">
        <v>98</v>
      </c>
      <c r="CO11" s="68">
        <v>49</v>
      </c>
      <c r="CP11" s="68">
        <v>49</v>
      </c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5">
        <f t="shared" si="3"/>
        <v>294</v>
      </c>
      <c r="ER11" s="6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 t="s">
        <v>176</v>
      </c>
      <c r="FF11" s="15"/>
      <c r="FG11" s="15"/>
      <c r="FH11" s="1" t="str">
        <f t="shared" si="4"/>
        <v>710P038555024702080082</v>
      </c>
      <c r="FI11" s="1" t="str">
        <f t="shared" si="5"/>
        <v>PRLS/25/12931</v>
      </c>
      <c r="FJ11" s="38" t="e">
        <f>VLOOKUP(FH11,[1]Sheet3!$A:$D,4,0)</f>
        <v>#N/A</v>
      </c>
      <c r="FL11" s="13"/>
    </row>
    <row r="12" spans="1:170" ht="21" hidden="1" x14ac:dyDescent="0.25">
      <c r="A12" s="15" t="s">
        <v>547</v>
      </c>
      <c r="B12" s="15" t="s">
        <v>149</v>
      </c>
      <c r="C12" s="15" t="s">
        <v>489</v>
      </c>
      <c r="D12" s="15">
        <v>4702080082</v>
      </c>
      <c r="E12" s="15" t="s">
        <v>196</v>
      </c>
      <c r="F12" s="15" t="s">
        <v>181</v>
      </c>
      <c r="G12" s="15"/>
      <c r="H12" s="15" t="s">
        <v>548</v>
      </c>
      <c r="I12" s="15" t="s">
        <v>440</v>
      </c>
      <c r="J12" s="15" t="s">
        <v>539</v>
      </c>
      <c r="K12" s="15" t="s">
        <v>185</v>
      </c>
      <c r="L12" s="15" t="s">
        <v>247</v>
      </c>
      <c r="M12" s="15" t="s">
        <v>549</v>
      </c>
      <c r="N12" s="63">
        <v>294</v>
      </c>
      <c r="O12" s="15"/>
      <c r="P12" s="15">
        <v>13.05</v>
      </c>
      <c r="Q12" s="15" t="s">
        <v>550</v>
      </c>
      <c r="R12" s="15"/>
      <c r="S12" s="15" t="s">
        <v>235</v>
      </c>
      <c r="T12" s="15"/>
      <c r="U12" s="15"/>
      <c r="V12" s="15"/>
      <c r="W12" s="15"/>
      <c r="X12" s="15"/>
      <c r="Y12" s="15" t="s">
        <v>320</v>
      </c>
      <c r="Z12" s="15" t="s">
        <v>191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486</v>
      </c>
      <c r="AL12" s="15"/>
      <c r="AM12" s="15">
        <v>6</v>
      </c>
      <c r="AN12" s="15"/>
      <c r="AO12" s="15"/>
      <c r="AP12" s="15"/>
      <c r="AQ12" s="15"/>
      <c r="AR12" s="15"/>
      <c r="AS12" s="15" t="s">
        <v>170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61">
        <v>46041</v>
      </c>
      <c r="BE12" s="61" t="s">
        <v>192</v>
      </c>
      <c r="BF12" s="15" t="s">
        <v>219</v>
      </c>
      <c r="BG12" s="15" t="s">
        <v>219</v>
      </c>
      <c r="BH12" s="15" t="s">
        <v>219</v>
      </c>
      <c r="BI12" s="15" t="s">
        <v>199</v>
      </c>
      <c r="BJ12" s="15"/>
      <c r="BK12" s="15"/>
      <c r="BL12" s="15"/>
      <c r="BM12" s="15"/>
      <c r="BN12" s="15"/>
      <c r="BO12" s="64"/>
      <c r="BP12" s="64">
        <v>46107</v>
      </c>
      <c r="BQ12" s="15"/>
      <c r="BR12" s="15">
        <v>48</v>
      </c>
      <c r="BS12" s="64">
        <v>46089</v>
      </c>
      <c r="BT12" s="64">
        <v>46117</v>
      </c>
      <c r="BU12" s="64">
        <v>46188</v>
      </c>
      <c r="BV12" s="15"/>
      <c r="BW12" s="64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15"/>
      <c r="CL12" s="68">
        <v>49</v>
      </c>
      <c r="CM12" s="68">
        <v>49</v>
      </c>
      <c r="CN12" s="68">
        <v>98</v>
      </c>
      <c r="CO12" s="68">
        <v>49</v>
      </c>
      <c r="CP12" s="68">
        <v>49</v>
      </c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5">
        <f t="shared" si="3"/>
        <v>294</v>
      </c>
      <c r="ER12" s="6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 t="s">
        <v>176</v>
      </c>
      <c r="FF12" s="15"/>
      <c r="FG12" s="15"/>
      <c r="FH12" s="1" t="str">
        <f t="shared" si="4"/>
        <v>710P038555034702080082</v>
      </c>
      <c r="FI12" s="1" t="str">
        <f t="shared" si="5"/>
        <v>PRLS/25/12932</v>
      </c>
      <c r="FJ12" s="38" t="e">
        <f>VLOOKUP(FH12,[1]Sheet3!$A:$D,4,0)</f>
        <v>#N/A</v>
      </c>
      <c r="FL12" s="13"/>
    </row>
    <row r="13" spans="1:170" ht="21" hidden="1" x14ac:dyDescent="0.25">
      <c r="A13" s="15" t="s">
        <v>551</v>
      </c>
      <c r="B13" s="15" t="s">
        <v>149</v>
      </c>
      <c r="C13" s="15" t="s">
        <v>489</v>
      </c>
      <c r="D13" s="15">
        <v>4702080082</v>
      </c>
      <c r="E13" s="15" t="s">
        <v>196</v>
      </c>
      <c r="F13" s="15" t="s">
        <v>181</v>
      </c>
      <c r="G13" s="15"/>
      <c r="H13" s="15" t="s">
        <v>552</v>
      </c>
      <c r="I13" s="15" t="s">
        <v>440</v>
      </c>
      <c r="J13" s="15" t="s">
        <v>539</v>
      </c>
      <c r="K13" s="15" t="s">
        <v>185</v>
      </c>
      <c r="L13" s="15" t="s">
        <v>247</v>
      </c>
      <c r="M13" s="15" t="s">
        <v>553</v>
      </c>
      <c r="N13" s="63">
        <v>294</v>
      </c>
      <c r="O13" s="15"/>
      <c r="P13" s="15">
        <v>13.05</v>
      </c>
      <c r="Q13" s="15" t="s">
        <v>554</v>
      </c>
      <c r="R13" s="15"/>
      <c r="S13" s="15" t="s">
        <v>235</v>
      </c>
      <c r="T13" s="15"/>
      <c r="U13" s="15"/>
      <c r="V13" s="15"/>
      <c r="W13" s="15"/>
      <c r="X13" s="15"/>
      <c r="Y13" s="15" t="s">
        <v>320</v>
      </c>
      <c r="Z13" s="15" t="s">
        <v>191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486</v>
      </c>
      <c r="AL13" s="15"/>
      <c r="AM13" s="15">
        <v>6</v>
      </c>
      <c r="AN13" s="15"/>
      <c r="AO13" s="15"/>
      <c r="AP13" s="15"/>
      <c r="AQ13" s="15"/>
      <c r="AR13" s="15"/>
      <c r="AS13" s="15" t="s">
        <v>170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61">
        <v>46035</v>
      </c>
      <c r="BE13" s="61" t="s">
        <v>192</v>
      </c>
      <c r="BF13" s="15" t="s">
        <v>219</v>
      </c>
      <c r="BG13" s="15" t="s">
        <v>219</v>
      </c>
      <c r="BH13" s="15" t="s">
        <v>219</v>
      </c>
      <c r="BI13" s="15" t="s">
        <v>199</v>
      </c>
      <c r="BJ13" s="15"/>
      <c r="BK13" s="15"/>
      <c r="BL13" s="15"/>
      <c r="BM13" s="15"/>
      <c r="BN13" s="15"/>
      <c r="BO13" s="64"/>
      <c r="BP13" s="64">
        <v>46107</v>
      </c>
      <c r="BQ13" s="15"/>
      <c r="BR13" s="15">
        <v>52</v>
      </c>
      <c r="BS13" s="64">
        <v>46089</v>
      </c>
      <c r="BT13" s="64">
        <v>46117</v>
      </c>
      <c r="BU13" s="64">
        <v>46188</v>
      </c>
      <c r="BV13" s="15"/>
      <c r="BW13" s="64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15"/>
      <c r="CL13" s="68">
        <v>49</v>
      </c>
      <c r="CM13" s="68">
        <v>49</v>
      </c>
      <c r="CN13" s="68">
        <v>98</v>
      </c>
      <c r="CO13" s="68">
        <v>49</v>
      </c>
      <c r="CP13" s="68">
        <v>49</v>
      </c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5">
        <f t="shared" si="3"/>
        <v>294</v>
      </c>
      <c r="ER13" s="6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 t="s">
        <v>176</v>
      </c>
      <c r="FF13" s="15"/>
      <c r="FG13" s="15"/>
      <c r="FH13" s="1" t="str">
        <f t="shared" si="4"/>
        <v>710P038555044702080082</v>
      </c>
      <c r="FI13" s="1" t="str">
        <f t="shared" si="5"/>
        <v>PRLS/25/12933</v>
      </c>
      <c r="FJ13" s="38" t="e">
        <f>VLOOKUP(FH13,[1]Sheet3!$A:$D,4,0)</f>
        <v>#N/A</v>
      </c>
      <c r="FL13" s="13"/>
    </row>
    <row r="14" spans="1:170" ht="21" hidden="1" x14ac:dyDescent="0.25">
      <c r="A14" s="15" t="s">
        <v>537</v>
      </c>
      <c r="B14" s="15" t="s">
        <v>149</v>
      </c>
      <c r="C14" s="15" t="s">
        <v>489</v>
      </c>
      <c r="D14" s="15">
        <v>4702080083</v>
      </c>
      <c r="E14" s="15" t="s">
        <v>196</v>
      </c>
      <c r="F14" s="15" t="s">
        <v>181</v>
      </c>
      <c r="G14" s="15"/>
      <c r="H14" s="15" t="s">
        <v>538</v>
      </c>
      <c r="I14" s="15" t="s">
        <v>440</v>
      </c>
      <c r="J14" s="15" t="s">
        <v>539</v>
      </c>
      <c r="K14" s="15" t="s">
        <v>185</v>
      </c>
      <c r="L14" s="15" t="s">
        <v>247</v>
      </c>
      <c r="M14" s="15" t="s">
        <v>540</v>
      </c>
      <c r="N14" s="63">
        <v>264</v>
      </c>
      <c r="O14" s="15"/>
      <c r="P14" s="15">
        <v>13.05</v>
      </c>
      <c r="Q14" s="15" t="s">
        <v>541</v>
      </c>
      <c r="R14" s="15"/>
      <c r="S14" s="15" t="s">
        <v>235</v>
      </c>
      <c r="T14" s="15"/>
      <c r="U14" s="15"/>
      <c r="V14" s="15"/>
      <c r="W14" s="15"/>
      <c r="X14" s="15"/>
      <c r="Y14" s="15" t="s">
        <v>320</v>
      </c>
      <c r="Z14" s="15" t="s">
        <v>191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484</v>
      </c>
      <c r="AL14" s="15"/>
      <c r="AM14" s="15">
        <v>8</v>
      </c>
      <c r="AN14" s="15"/>
      <c r="AO14" s="15"/>
      <c r="AP14" s="15"/>
      <c r="AQ14" s="15"/>
      <c r="AR14" s="15"/>
      <c r="AS14" s="15" t="s">
        <v>170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61">
        <v>46038</v>
      </c>
      <c r="BE14" s="61" t="s">
        <v>192</v>
      </c>
      <c r="BF14" s="15" t="s">
        <v>219</v>
      </c>
      <c r="BG14" s="15" t="s">
        <v>219</v>
      </c>
      <c r="BH14" s="15" t="s">
        <v>219</v>
      </c>
      <c r="BI14" s="15" t="s">
        <v>199</v>
      </c>
      <c r="BJ14" s="15"/>
      <c r="BK14" s="15"/>
      <c r="BL14" s="15"/>
      <c r="BM14" s="15"/>
      <c r="BN14" s="15"/>
      <c r="BO14" s="64"/>
      <c r="BP14" s="64">
        <v>46107</v>
      </c>
      <c r="BQ14" s="15"/>
      <c r="BR14" s="15">
        <v>51</v>
      </c>
      <c r="BS14" s="64">
        <v>46089</v>
      </c>
      <c r="BT14" s="64">
        <v>46117</v>
      </c>
      <c r="BU14" s="64">
        <v>46188</v>
      </c>
      <c r="BV14" s="15"/>
      <c r="BW14" s="64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15"/>
      <c r="CL14" s="68">
        <v>33</v>
      </c>
      <c r="CM14" s="68">
        <v>66</v>
      </c>
      <c r="CN14" s="68">
        <v>66</v>
      </c>
      <c r="CO14" s="68">
        <v>66</v>
      </c>
      <c r="CP14" s="68">
        <v>33</v>
      </c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5">
        <f t="shared" si="3"/>
        <v>264</v>
      </c>
      <c r="ER14" s="6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 t="s">
        <v>176</v>
      </c>
      <c r="FF14" s="15"/>
      <c r="FG14" s="15"/>
      <c r="FH14" s="1" t="str">
        <f t="shared" si="4"/>
        <v>710P038555014702080083</v>
      </c>
      <c r="FI14" s="1" t="str">
        <f t="shared" si="5"/>
        <v>PRLS/25/12930</v>
      </c>
      <c r="FJ14" s="38" t="e">
        <f>VLOOKUP(FH14,[1]Sheet3!$A:$D,4,0)</f>
        <v>#N/A</v>
      </c>
      <c r="FL14" s="13"/>
    </row>
    <row r="15" spans="1:170" ht="21" hidden="1" x14ac:dyDescent="0.25">
      <c r="A15" s="15" t="s">
        <v>543</v>
      </c>
      <c r="B15" s="15" t="s">
        <v>149</v>
      </c>
      <c r="C15" s="15" t="s">
        <v>489</v>
      </c>
      <c r="D15" s="15">
        <v>4702080083</v>
      </c>
      <c r="E15" s="15" t="s">
        <v>196</v>
      </c>
      <c r="F15" s="15" t="s">
        <v>181</v>
      </c>
      <c r="G15" s="15"/>
      <c r="H15" s="15" t="s">
        <v>544</v>
      </c>
      <c r="I15" s="15" t="s">
        <v>440</v>
      </c>
      <c r="J15" s="15" t="s">
        <v>539</v>
      </c>
      <c r="K15" s="15" t="s">
        <v>185</v>
      </c>
      <c r="L15" s="15" t="s">
        <v>247</v>
      </c>
      <c r="M15" s="15" t="s">
        <v>545</v>
      </c>
      <c r="N15" s="63">
        <v>200</v>
      </c>
      <c r="O15" s="15"/>
      <c r="P15" s="15">
        <v>13.05</v>
      </c>
      <c r="Q15" s="15" t="s">
        <v>546</v>
      </c>
      <c r="R15" s="15"/>
      <c r="S15" s="15" t="s">
        <v>235</v>
      </c>
      <c r="T15" s="15"/>
      <c r="U15" s="15"/>
      <c r="V15" s="15"/>
      <c r="W15" s="15"/>
      <c r="X15" s="15"/>
      <c r="Y15" s="15" t="s">
        <v>320</v>
      </c>
      <c r="Z15" s="15" t="s">
        <v>191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484</v>
      </c>
      <c r="AL15" s="15"/>
      <c r="AM15" s="15">
        <v>8</v>
      </c>
      <c r="AN15" s="15"/>
      <c r="AO15" s="15"/>
      <c r="AP15" s="15"/>
      <c r="AQ15" s="15"/>
      <c r="AR15" s="15"/>
      <c r="AS15" s="15" t="s">
        <v>170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61">
        <v>46042</v>
      </c>
      <c r="BE15" s="61" t="s">
        <v>192</v>
      </c>
      <c r="BF15" s="15" t="s">
        <v>219</v>
      </c>
      <c r="BG15" s="15" t="s">
        <v>219</v>
      </c>
      <c r="BH15" s="15" t="s">
        <v>219</v>
      </c>
      <c r="BI15" s="15" t="s">
        <v>199</v>
      </c>
      <c r="BJ15" s="15"/>
      <c r="BK15" s="15"/>
      <c r="BL15" s="15"/>
      <c r="BM15" s="15"/>
      <c r="BN15" s="15"/>
      <c r="BO15" s="64"/>
      <c r="BP15" s="64">
        <v>46107</v>
      </c>
      <c r="BQ15" s="15"/>
      <c r="BR15" s="15">
        <v>47</v>
      </c>
      <c r="BS15" s="64">
        <v>46089</v>
      </c>
      <c r="BT15" s="64">
        <v>46117</v>
      </c>
      <c r="BU15" s="64">
        <v>46188</v>
      </c>
      <c r="BV15" s="15"/>
      <c r="BW15" s="64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15"/>
      <c r="CL15" s="68">
        <v>25</v>
      </c>
      <c r="CM15" s="68">
        <v>50</v>
      </c>
      <c r="CN15" s="68">
        <v>50</v>
      </c>
      <c r="CO15" s="68">
        <v>50</v>
      </c>
      <c r="CP15" s="68">
        <v>25</v>
      </c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5">
        <f t="shared" si="3"/>
        <v>200</v>
      </c>
      <c r="ER15" s="6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 t="s">
        <v>176</v>
      </c>
      <c r="FF15" s="15"/>
      <c r="FG15" s="15"/>
      <c r="FH15" s="1" t="str">
        <f t="shared" si="4"/>
        <v>710P038555024702080083</v>
      </c>
      <c r="FI15" s="1" t="str">
        <f t="shared" si="5"/>
        <v>PRLS/25/12931</v>
      </c>
      <c r="FJ15" s="38" t="e">
        <f>VLOOKUP(FH15,[1]Sheet3!$A:$D,4,0)</f>
        <v>#N/A</v>
      </c>
      <c r="FL15" s="13"/>
    </row>
    <row r="16" spans="1:170" ht="21" hidden="1" x14ac:dyDescent="0.25">
      <c r="A16" s="15" t="s">
        <v>547</v>
      </c>
      <c r="B16" s="15" t="s">
        <v>149</v>
      </c>
      <c r="C16" s="15" t="s">
        <v>489</v>
      </c>
      <c r="D16" s="15">
        <v>4702080083</v>
      </c>
      <c r="E16" s="15" t="s">
        <v>196</v>
      </c>
      <c r="F16" s="15" t="s">
        <v>181</v>
      </c>
      <c r="G16" s="15"/>
      <c r="H16" s="15" t="s">
        <v>548</v>
      </c>
      <c r="I16" s="15" t="s">
        <v>440</v>
      </c>
      <c r="J16" s="15" t="s">
        <v>539</v>
      </c>
      <c r="K16" s="15" t="s">
        <v>185</v>
      </c>
      <c r="L16" s="15" t="s">
        <v>247</v>
      </c>
      <c r="M16" s="15" t="s">
        <v>549</v>
      </c>
      <c r="N16" s="63">
        <v>200</v>
      </c>
      <c r="O16" s="15"/>
      <c r="P16" s="15">
        <v>13.05</v>
      </c>
      <c r="Q16" s="15" t="s">
        <v>550</v>
      </c>
      <c r="R16" s="15"/>
      <c r="S16" s="15" t="s">
        <v>235</v>
      </c>
      <c r="T16" s="15"/>
      <c r="U16" s="15"/>
      <c r="V16" s="15"/>
      <c r="W16" s="15"/>
      <c r="X16" s="15"/>
      <c r="Y16" s="15" t="s">
        <v>320</v>
      </c>
      <c r="Z16" s="15" t="s">
        <v>191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484</v>
      </c>
      <c r="AL16" s="15"/>
      <c r="AM16" s="15">
        <v>8</v>
      </c>
      <c r="AN16" s="15"/>
      <c r="AO16" s="15"/>
      <c r="AP16" s="15"/>
      <c r="AQ16" s="15"/>
      <c r="AR16" s="15"/>
      <c r="AS16" s="15" t="s">
        <v>170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61">
        <v>46041</v>
      </c>
      <c r="BE16" s="61" t="s">
        <v>192</v>
      </c>
      <c r="BF16" s="15" t="s">
        <v>219</v>
      </c>
      <c r="BG16" s="15" t="s">
        <v>219</v>
      </c>
      <c r="BH16" s="15" t="s">
        <v>219</v>
      </c>
      <c r="BI16" s="15" t="s">
        <v>199</v>
      </c>
      <c r="BJ16" s="15"/>
      <c r="BK16" s="15"/>
      <c r="BL16" s="15"/>
      <c r="BM16" s="15"/>
      <c r="BN16" s="15"/>
      <c r="BO16" s="64"/>
      <c r="BP16" s="64">
        <v>46107</v>
      </c>
      <c r="BQ16" s="15"/>
      <c r="BR16" s="15">
        <v>48</v>
      </c>
      <c r="BS16" s="64">
        <v>46089</v>
      </c>
      <c r="BT16" s="64">
        <v>46117</v>
      </c>
      <c r="BU16" s="64">
        <v>46188</v>
      </c>
      <c r="BV16" s="15"/>
      <c r="BW16" s="64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15"/>
      <c r="CL16" s="68">
        <v>25</v>
      </c>
      <c r="CM16" s="68">
        <v>50</v>
      </c>
      <c r="CN16" s="68">
        <v>50</v>
      </c>
      <c r="CO16" s="68">
        <v>50</v>
      </c>
      <c r="CP16" s="68">
        <v>25</v>
      </c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5">
        <f t="shared" si="3"/>
        <v>200</v>
      </c>
      <c r="ER16" s="6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 t="s">
        <v>176</v>
      </c>
      <c r="FF16" s="15"/>
      <c r="FG16" s="15"/>
      <c r="FH16" s="1" t="str">
        <f t="shared" si="4"/>
        <v>710P038555034702080083</v>
      </c>
      <c r="FI16" s="1" t="str">
        <f t="shared" si="5"/>
        <v>PRLS/25/12932</v>
      </c>
      <c r="FJ16" s="38" t="e">
        <f>VLOOKUP(FH16,[1]Sheet3!$A:$D,4,0)</f>
        <v>#N/A</v>
      </c>
      <c r="FL16" s="13"/>
    </row>
    <row r="17" spans="1:168" ht="21" hidden="1" x14ac:dyDescent="0.25">
      <c r="A17" s="15" t="s">
        <v>551</v>
      </c>
      <c r="B17" s="15" t="s">
        <v>149</v>
      </c>
      <c r="C17" s="15" t="s">
        <v>489</v>
      </c>
      <c r="D17" s="15">
        <v>4702080083</v>
      </c>
      <c r="E17" s="15" t="s">
        <v>196</v>
      </c>
      <c r="F17" s="15" t="s">
        <v>181</v>
      </c>
      <c r="G17" s="15"/>
      <c r="H17" s="15" t="s">
        <v>552</v>
      </c>
      <c r="I17" s="15" t="s">
        <v>440</v>
      </c>
      <c r="J17" s="15" t="s">
        <v>539</v>
      </c>
      <c r="K17" s="15" t="s">
        <v>185</v>
      </c>
      <c r="L17" s="15" t="s">
        <v>247</v>
      </c>
      <c r="M17" s="15" t="s">
        <v>553</v>
      </c>
      <c r="N17" s="63">
        <v>200</v>
      </c>
      <c r="O17" s="15"/>
      <c r="P17" s="15">
        <v>13.05</v>
      </c>
      <c r="Q17" s="15" t="s">
        <v>554</v>
      </c>
      <c r="R17" s="15"/>
      <c r="S17" s="15" t="s">
        <v>235</v>
      </c>
      <c r="T17" s="15"/>
      <c r="U17" s="15"/>
      <c r="V17" s="15"/>
      <c r="W17" s="15"/>
      <c r="X17" s="15"/>
      <c r="Y17" s="15" t="s">
        <v>320</v>
      </c>
      <c r="Z17" s="15" t="s">
        <v>191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484</v>
      </c>
      <c r="AL17" s="15"/>
      <c r="AM17" s="15">
        <v>8</v>
      </c>
      <c r="AN17" s="15"/>
      <c r="AO17" s="15"/>
      <c r="AP17" s="15"/>
      <c r="AQ17" s="15"/>
      <c r="AR17" s="15"/>
      <c r="AS17" s="15" t="s">
        <v>170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61">
        <v>46035</v>
      </c>
      <c r="BE17" s="61" t="s">
        <v>192</v>
      </c>
      <c r="BF17" s="15" t="s">
        <v>219</v>
      </c>
      <c r="BG17" s="15" t="s">
        <v>219</v>
      </c>
      <c r="BH17" s="15" t="s">
        <v>219</v>
      </c>
      <c r="BI17" s="15" t="s">
        <v>199</v>
      </c>
      <c r="BJ17" s="15"/>
      <c r="BK17" s="15"/>
      <c r="BL17" s="15"/>
      <c r="BM17" s="15"/>
      <c r="BN17" s="15"/>
      <c r="BO17" s="64"/>
      <c r="BP17" s="64">
        <v>46107</v>
      </c>
      <c r="BQ17" s="15"/>
      <c r="BR17" s="15">
        <v>52</v>
      </c>
      <c r="BS17" s="64">
        <v>46089</v>
      </c>
      <c r="BT17" s="64">
        <v>46117</v>
      </c>
      <c r="BU17" s="64">
        <v>46188</v>
      </c>
      <c r="BV17" s="15"/>
      <c r="BW17" s="64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15"/>
      <c r="CL17" s="68">
        <v>25</v>
      </c>
      <c r="CM17" s="68">
        <v>50</v>
      </c>
      <c r="CN17" s="68">
        <v>50</v>
      </c>
      <c r="CO17" s="68">
        <v>50</v>
      </c>
      <c r="CP17" s="68">
        <v>25</v>
      </c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5">
        <f t="shared" si="3"/>
        <v>200</v>
      </c>
      <c r="ER17" s="6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 t="s">
        <v>176</v>
      </c>
      <c r="FF17" s="15"/>
      <c r="FG17" s="15"/>
      <c r="FH17" s="1" t="str">
        <f t="shared" si="4"/>
        <v>710P038555044702080083</v>
      </c>
      <c r="FI17" s="1" t="str">
        <f t="shared" si="5"/>
        <v>PRLS/25/12933</v>
      </c>
      <c r="FJ17" s="38" t="e">
        <f>VLOOKUP(FH17,[1]Sheet3!$A:$D,4,0)</f>
        <v>#N/A</v>
      </c>
      <c r="FL17" s="13"/>
    </row>
    <row r="18" spans="1:168" ht="21" hidden="1" x14ac:dyDescent="0.25">
      <c r="A18" s="15" t="s">
        <v>537</v>
      </c>
      <c r="B18" s="15" t="s">
        <v>149</v>
      </c>
      <c r="C18" s="15" t="s">
        <v>489</v>
      </c>
      <c r="D18" s="15">
        <v>4702080084</v>
      </c>
      <c r="E18" s="15" t="s">
        <v>196</v>
      </c>
      <c r="F18" s="15" t="s">
        <v>181</v>
      </c>
      <c r="G18" s="15"/>
      <c r="H18" s="15" t="s">
        <v>538</v>
      </c>
      <c r="I18" s="15" t="s">
        <v>440</v>
      </c>
      <c r="J18" s="15" t="s">
        <v>539</v>
      </c>
      <c r="K18" s="15" t="s">
        <v>185</v>
      </c>
      <c r="L18" s="15" t="s">
        <v>247</v>
      </c>
      <c r="M18" s="15" t="s">
        <v>540</v>
      </c>
      <c r="N18" s="63">
        <v>204</v>
      </c>
      <c r="O18" s="15"/>
      <c r="P18" s="15">
        <v>13.05</v>
      </c>
      <c r="Q18" s="15" t="s">
        <v>541</v>
      </c>
      <c r="R18" s="15"/>
      <c r="S18" s="15" t="s">
        <v>235</v>
      </c>
      <c r="T18" s="15"/>
      <c r="U18" s="15"/>
      <c r="V18" s="15"/>
      <c r="W18" s="15"/>
      <c r="X18" s="15"/>
      <c r="Y18" s="15" t="s">
        <v>320</v>
      </c>
      <c r="Z18" s="15" t="s">
        <v>191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487</v>
      </c>
      <c r="AL18" s="15"/>
      <c r="AM18" s="15">
        <v>6</v>
      </c>
      <c r="AN18" s="15"/>
      <c r="AO18" s="15"/>
      <c r="AP18" s="15"/>
      <c r="AQ18" s="15"/>
      <c r="AR18" s="15"/>
      <c r="AS18" s="15" t="s">
        <v>170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61">
        <v>46038</v>
      </c>
      <c r="BE18" s="61" t="s">
        <v>192</v>
      </c>
      <c r="BF18" s="15" t="s">
        <v>219</v>
      </c>
      <c r="BG18" s="15" t="s">
        <v>219</v>
      </c>
      <c r="BH18" s="15" t="s">
        <v>219</v>
      </c>
      <c r="BI18" s="15" t="s">
        <v>199</v>
      </c>
      <c r="BJ18" s="15"/>
      <c r="BK18" s="15"/>
      <c r="BL18" s="15"/>
      <c r="BM18" s="15"/>
      <c r="BN18" s="15"/>
      <c r="BO18" s="64"/>
      <c r="BP18" s="64">
        <v>46107</v>
      </c>
      <c r="BQ18" s="15"/>
      <c r="BR18" s="15">
        <v>51</v>
      </c>
      <c r="BS18" s="64">
        <v>46089</v>
      </c>
      <c r="BT18" s="64">
        <v>46117</v>
      </c>
      <c r="BU18" s="64">
        <v>46188</v>
      </c>
      <c r="BV18" s="15"/>
      <c r="BW18" s="64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15"/>
      <c r="CL18" s="68">
        <v>34</v>
      </c>
      <c r="CM18" s="68">
        <v>68</v>
      </c>
      <c r="CN18" s="68">
        <v>68</v>
      </c>
      <c r="CO18" s="68">
        <v>34</v>
      </c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5">
        <f t="shared" si="3"/>
        <v>204</v>
      </c>
      <c r="ER18" s="6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 t="s">
        <v>176</v>
      </c>
      <c r="FF18" s="15"/>
      <c r="FG18" s="15"/>
      <c r="FH18" s="1" t="str">
        <f t="shared" si="4"/>
        <v>710P038555014702080084</v>
      </c>
      <c r="FI18" s="1" t="str">
        <f t="shared" si="5"/>
        <v>PRLS/25/12930</v>
      </c>
      <c r="FJ18" s="38" t="e">
        <f>VLOOKUP(FH18,[1]Sheet3!$A:$D,4,0)</f>
        <v>#N/A</v>
      </c>
      <c r="FL18" s="13"/>
    </row>
    <row r="19" spans="1:168" ht="21" hidden="1" x14ac:dyDescent="0.25">
      <c r="A19" s="15" t="s">
        <v>543</v>
      </c>
      <c r="B19" s="15" t="s">
        <v>149</v>
      </c>
      <c r="C19" s="15" t="s">
        <v>489</v>
      </c>
      <c r="D19" s="15">
        <v>4702080084</v>
      </c>
      <c r="E19" s="15" t="s">
        <v>196</v>
      </c>
      <c r="F19" s="15" t="s">
        <v>181</v>
      </c>
      <c r="G19" s="15"/>
      <c r="H19" s="15" t="s">
        <v>544</v>
      </c>
      <c r="I19" s="15" t="s">
        <v>440</v>
      </c>
      <c r="J19" s="15" t="s">
        <v>539</v>
      </c>
      <c r="K19" s="15" t="s">
        <v>185</v>
      </c>
      <c r="L19" s="15" t="s">
        <v>247</v>
      </c>
      <c r="M19" s="15" t="s">
        <v>545</v>
      </c>
      <c r="N19" s="63">
        <v>168</v>
      </c>
      <c r="O19" s="15"/>
      <c r="P19" s="15">
        <v>13.05</v>
      </c>
      <c r="Q19" s="15" t="s">
        <v>546</v>
      </c>
      <c r="R19" s="15"/>
      <c r="S19" s="15" t="s">
        <v>235</v>
      </c>
      <c r="T19" s="15"/>
      <c r="U19" s="15"/>
      <c r="V19" s="15"/>
      <c r="W19" s="15"/>
      <c r="X19" s="15"/>
      <c r="Y19" s="15" t="s">
        <v>320</v>
      </c>
      <c r="Z19" s="15" t="s">
        <v>191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487</v>
      </c>
      <c r="AL19" s="15"/>
      <c r="AM19" s="15">
        <v>6</v>
      </c>
      <c r="AN19" s="15"/>
      <c r="AO19" s="15"/>
      <c r="AP19" s="15"/>
      <c r="AQ19" s="15"/>
      <c r="AR19" s="15"/>
      <c r="AS19" s="15" t="s">
        <v>170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61">
        <v>46042</v>
      </c>
      <c r="BE19" s="61" t="s">
        <v>192</v>
      </c>
      <c r="BF19" s="15" t="s">
        <v>219</v>
      </c>
      <c r="BG19" s="15" t="s">
        <v>219</v>
      </c>
      <c r="BH19" s="15" t="s">
        <v>219</v>
      </c>
      <c r="BI19" s="15" t="s">
        <v>199</v>
      </c>
      <c r="BJ19" s="15"/>
      <c r="BK19" s="15"/>
      <c r="BL19" s="15"/>
      <c r="BM19" s="15"/>
      <c r="BN19" s="15"/>
      <c r="BO19" s="64"/>
      <c r="BP19" s="64">
        <v>46107</v>
      </c>
      <c r="BQ19" s="15"/>
      <c r="BR19" s="15">
        <v>47</v>
      </c>
      <c r="BS19" s="64">
        <v>46089</v>
      </c>
      <c r="BT19" s="64">
        <v>46117</v>
      </c>
      <c r="BU19" s="64">
        <v>46188</v>
      </c>
      <c r="BV19" s="15"/>
      <c r="BW19" s="64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15"/>
      <c r="CL19" s="68">
        <v>28</v>
      </c>
      <c r="CM19" s="68">
        <v>56</v>
      </c>
      <c r="CN19" s="68">
        <v>56</v>
      </c>
      <c r="CO19" s="68">
        <v>28</v>
      </c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5">
        <f t="shared" si="3"/>
        <v>168</v>
      </c>
      <c r="ER19" s="6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 t="s">
        <v>176</v>
      </c>
      <c r="FF19" s="15"/>
      <c r="FG19" s="15"/>
      <c r="FH19" s="1" t="str">
        <f t="shared" si="4"/>
        <v>710P038555024702080084</v>
      </c>
      <c r="FI19" s="1" t="str">
        <f t="shared" si="5"/>
        <v>PRLS/25/12931</v>
      </c>
      <c r="FJ19" s="38" t="e">
        <f>VLOOKUP(FH19,[1]Sheet3!$A:$D,4,0)</f>
        <v>#N/A</v>
      </c>
      <c r="FL19" s="13"/>
    </row>
    <row r="20" spans="1:168" ht="21" hidden="1" x14ac:dyDescent="0.25">
      <c r="A20" s="15" t="s">
        <v>547</v>
      </c>
      <c r="B20" s="15" t="s">
        <v>149</v>
      </c>
      <c r="C20" s="15" t="s">
        <v>489</v>
      </c>
      <c r="D20" s="15">
        <v>4702080084</v>
      </c>
      <c r="E20" s="15" t="s">
        <v>196</v>
      </c>
      <c r="F20" s="15" t="s">
        <v>181</v>
      </c>
      <c r="G20" s="15"/>
      <c r="H20" s="15" t="s">
        <v>548</v>
      </c>
      <c r="I20" s="15" t="s">
        <v>440</v>
      </c>
      <c r="J20" s="15" t="s">
        <v>539</v>
      </c>
      <c r="K20" s="15" t="s">
        <v>185</v>
      </c>
      <c r="L20" s="15" t="s">
        <v>247</v>
      </c>
      <c r="M20" s="15" t="s">
        <v>549</v>
      </c>
      <c r="N20" s="63">
        <v>168</v>
      </c>
      <c r="O20" s="15"/>
      <c r="P20" s="15">
        <v>13.05</v>
      </c>
      <c r="Q20" s="15" t="s">
        <v>550</v>
      </c>
      <c r="R20" s="15"/>
      <c r="S20" s="15" t="s">
        <v>235</v>
      </c>
      <c r="T20" s="15"/>
      <c r="U20" s="15"/>
      <c r="V20" s="15"/>
      <c r="W20" s="15"/>
      <c r="X20" s="15"/>
      <c r="Y20" s="15" t="s">
        <v>320</v>
      </c>
      <c r="Z20" s="15" t="s">
        <v>191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487</v>
      </c>
      <c r="AL20" s="15"/>
      <c r="AM20" s="15">
        <v>6</v>
      </c>
      <c r="AN20" s="15"/>
      <c r="AO20" s="15"/>
      <c r="AP20" s="15"/>
      <c r="AQ20" s="15"/>
      <c r="AR20" s="15"/>
      <c r="AS20" s="15" t="s">
        <v>170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61">
        <v>46041</v>
      </c>
      <c r="BE20" s="61" t="s">
        <v>192</v>
      </c>
      <c r="BF20" s="15" t="s">
        <v>219</v>
      </c>
      <c r="BG20" s="15" t="s">
        <v>219</v>
      </c>
      <c r="BH20" s="15" t="s">
        <v>219</v>
      </c>
      <c r="BI20" s="15" t="s">
        <v>199</v>
      </c>
      <c r="BJ20" s="15"/>
      <c r="BK20" s="15"/>
      <c r="BL20" s="15"/>
      <c r="BM20" s="15"/>
      <c r="BN20" s="15"/>
      <c r="BO20" s="64"/>
      <c r="BP20" s="64">
        <v>46107</v>
      </c>
      <c r="BQ20" s="15"/>
      <c r="BR20" s="15">
        <v>48</v>
      </c>
      <c r="BS20" s="64">
        <v>46089</v>
      </c>
      <c r="BT20" s="64">
        <v>46117</v>
      </c>
      <c r="BU20" s="64">
        <v>46188</v>
      </c>
      <c r="BV20" s="15"/>
      <c r="BW20" s="64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15"/>
      <c r="CL20" s="68">
        <v>28</v>
      </c>
      <c r="CM20" s="68">
        <v>56</v>
      </c>
      <c r="CN20" s="68">
        <v>56</v>
      </c>
      <c r="CO20" s="68">
        <v>28</v>
      </c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5">
        <f t="shared" si="3"/>
        <v>168</v>
      </c>
      <c r="ER20" s="6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 t="s">
        <v>176</v>
      </c>
      <c r="FF20" s="15"/>
      <c r="FG20" s="15"/>
      <c r="FH20" s="1" t="str">
        <f t="shared" si="4"/>
        <v>710P038555034702080084</v>
      </c>
      <c r="FI20" s="1" t="str">
        <f t="shared" si="5"/>
        <v>PRLS/25/12932</v>
      </c>
      <c r="FJ20" s="38" t="e">
        <f>VLOOKUP(FH20,[1]Sheet3!$A:$D,4,0)</f>
        <v>#N/A</v>
      </c>
      <c r="FL20" s="13"/>
    </row>
    <row r="21" spans="1:168" ht="21" hidden="1" x14ac:dyDescent="0.25">
      <c r="A21" s="15" t="s">
        <v>551</v>
      </c>
      <c r="B21" s="15" t="s">
        <v>149</v>
      </c>
      <c r="C21" s="15" t="s">
        <v>489</v>
      </c>
      <c r="D21" s="15">
        <v>4702080084</v>
      </c>
      <c r="E21" s="15" t="s">
        <v>196</v>
      </c>
      <c r="F21" s="15" t="s">
        <v>181</v>
      </c>
      <c r="G21" s="15"/>
      <c r="H21" s="15" t="s">
        <v>552</v>
      </c>
      <c r="I21" s="15" t="s">
        <v>440</v>
      </c>
      <c r="J21" s="15" t="s">
        <v>539</v>
      </c>
      <c r="K21" s="15" t="s">
        <v>185</v>
      </c>
      <c r="L21" s="15" t="s">
        <v>247</v>
      </c>
      <c r="M21" s="15" t="s">
        <v>553</v>
      </c>
      <c r="N21" s="63">
        <v>168</v>
      </c>
      <c r="O21" s="15"/>
      <c r="P21" s="15">
        <v>13.05</v>
      </c>
      <c r="Q21" s="15" t="s">
        <v>554</v>
      </c>
      <c r="R21" s="15"/>
      <c r="S21" s="15" t="s">
        <v>235</v>
      </c>
      <c r="T21" s="15"/>
      <c r="U21" s="15"/>
      <c r="V21" s="15"/>
      <c r="W21" s="15"/>
      <c r="X21" s="15"/>
      <c r="Y21" s="15" t="s">
        <v>320</v>
      </c>
      <c r="Z21" s="15" t="s">
        <v>191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487</v>
      </c>
      <c r="AL21" s="15"/>
      <c r="AM21" s="15">
        <v>6</v>
      </c>
      <c r="AN21" s="15"/>
      <c r="AO21" s="15"/>
      <c r="AP21" s="15"/>
      <c r="AQ21" s="15"/>
      <c r="AR21" s="15"/>
      <c r="AS21" s="15" t="s">
        <v>170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61">
        <v>46035</v>
      </c>
      <c r="BE21" s="61" t="s">
        <v>192</v>
      </c>
      <c r="BF21" s="15" t="s">
        <v>219</v>
      </c>
      <c r="BG21" s="15" t="s">
        <v>219</v>
      </c>
      <c r="BH21" s="15" t="s">
        <v>219</v>
      </c>
      <c r="BI21" s="15" t="s">
        <v>199</v>
      </c>
      <c r="BJ21" s="15"/>
      <c r="BK21" s="15"/>
      <c r="BL21" s="15"/>
      <c r="BM21" s="15"/>
      <c r="BN21" s="15"/>
      <c r="BO21" s="64"/>
      <c r="BP21" s="64">
        <v>46107</v>
      </c>
      <c r="BQ21" s="15"/>
      <c r="BR21" s="15">
        <v>52</v>
      </c>
      <c r="BS21" s="64">
        <v>46089</v>
      </c>
      <c r="BT21" s="64">
        <v>46117</v>
      </c>
      <c r="BU21" s="64">
        <v>46188</v>
      </c>
      <c r="BV21" s="15"/>
      <c r="BW21" s="64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15"/>
      <c r="CL21" s="68">
        <v>28</v>
      </c>
      <c r="CM21" s="68">
        <v>56</v>
      </c>
      <c r="CN21" s="68">
        <v>56</v>
      </c>
      <c r="CO21" s="68">
        <v>28</v>
      </c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5">
        <f t="shared" si="3"/>
        <v>168</v>
      </c>
      <c r="ER21" s="6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 t="s">
        <v>176</v>
      </c>
      <c r="FF21" s="15"/>
      <c r="FG21" s="15"/>
      <c r="FH21" s="1" t="str">
        <f t="shared" si="4"/>
        <v>710P038555044702080084</v>
      </c>
      <c r="FI21" s="1" t="str">
        <f t="shared" si="5"/>
        <v>PRLS/25/12933</v>
      </c>
      <c r="FJ21" s="38" t="e">
        <f>VLOOKUP(FH21,[1]Sheet3!$A:$D,4,0)</f>
        <v>#N/A</v>
      </c>
      <c r="FL21" s="13"/>
    </row>
    <row r="22" spans="1:168" ht="21" hidden="1" x14ac:dyDescent="0.25">
      <c r="A22" s="15" t="s">
        <v>537</v>
      </c>
      <c r="B22" s="15" t="s">
        <v>149</v>
      </c>
      <c r="C22" s="15" t="s">
        <v>489</v>
      </c>
      <c r="D22" s="15">
        <v>4702080085</v>
      </c>
      <c r="E22" s="15" t="s">
        <v>196</v>
      </c>
      <c r="F22" s="15" t="s">
        <v>181</v>
      </c>
      <c r="G22" s="15"/>
      <c r="H22" s="15" t="s">
        <v>538</v>
      </c>
      <c r="I22" s="15" t="s">
        <v>440</v>
      </c>
      <c r="J22" s="15" t="s">
        <v>539</v>
      </c>
      <c r="K22" s="15" t="s">
        <v>185</v>
      </c>
      <c r="L22" s="15" t="s">
        <v>247</v>
      </c>
      <c r="M22" s="15" t="s">
        <v>540</v>
      </c>
      <c r="N22" s="63">
        <v>24</v>
      </c>
      <c r="O22" s="15"/>
      <c r="P22" s="15">
        <v>13.05</v>
      </c>
      <c r="Q22" s="15" t="s">
        <v>541</v>
      </c>
      <c r="R22" s="15"/>
      <c r="S22" s="15" t="s">
        <v>235</v>
      </c>
      <c r="T22" s="15"/>
      <c r="U22" s="15"/>
      <c r="V22" s="15"/>
      <c r="W22" s="15"/>
      <c r="X22" s="15"/>
      <c r="Y22" s="15" t="s">
        <v>320</v>
      </c>
      <c r="Z22" s="15" t="s">
        <v>191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542</v>
      </c>
      <c r="AL22" s="15"/>
      <c r="AM22" s="15">
        <v>12</v>
      </c>
      <c r="AN22" s="15"/>
      <c r="AO22" s="15"/>
      <c r="AP22" s="15"/>
      <c r="AQ22" s="15"/>
      <c r="AR22" s="15"/>
      <c r="AS22" s="15" t="s">
        <v>170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61">
        <v>46038</v>
      </c>
      <c r="BE22" s="61" t="s">
        <v>192</v>
      </c>
      <c r="BF22" s="15" t="s">
        <v>219</v>
      </c>
      <c r="BG22" s="15" t="s">
        <v>219</v>
      </c>
      <c r="BH22" s="15" t="s">
        <v>219</v>
      </c>
      <c r="BI22" s="15" t="s">
        <v>199</v>
      </c>
      <c r="BJ22" s="15"/>
      <c r="BK22" s="15"/>
      <c r="BL22" s="15"/>
      <c r="BM22" s="15"/>
      <c r="BN22" s="15"/>
      <c r="BO22" s="64"/>
      <c r="BP22" s="64">
        <v>46107</v>
      </c>
      <c r="BQ22" s="15"/>
      <c r="BR22" s="15">
        <v>51</v>
      </c>
      <c r="BS22" s="64">
        <v>46089</v>
      </c>
      <c r="BT22" s="64">
        <v>46117</v>
      </c>
      <c r="BU22" s="64">
        <v>46188</v>
      </c>
      <c r="BV22" s="15"/>
      <c r="BW22" s="64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15"/>
      <c r="CL22" s="68">
        <v>4</v>
      </c>
      <c r="CM22" s="68">
        <v>6</v>
      </c>
      <c r="CN22" s="68">
        <v>6</v>
      </c>
      <c r="CO22" s="68">
        <v>6</v>
      </c>
      <c r="CP22" s="68">
        <v>2</v>
      </c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5">
        <f t="shared" si="3"/>
        <v>24</v>
      </c>
      <c r="ER22" s="6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 t="s">
        <v>176</v>
      </c>
      <c r="FF22" s="15"/>
      <c r="FG22" s="15"/>
      <c r="FH22" s="1" t="str">
        <f t="shared" si="4"/>
        <v>710P038555014702080085</v>
      </c>
      <c r="FI22" s="1" t="str">
        <f t="shared" si="5"/>
        <v>PRLS/25/12930</v>
      </c>
      <c r="FJ22" s="38" t="e">
        <f>VLOOKUP(FH22,[1]Sheet3!$A:$D,4,0)</f>
        <v>#N/A</v>
      </c>
      <c r="FL22" s="13"/>
    </row>
    <row r="23" spans="1:168" ht="21" hidden="1" x14ac:dyDescent="0.25">
      <c r="A23" s="15" t="s">
        <v>537</v>
      </c>
      <c r="B23" s="15" t="s">
        <v>149</v>
      </c>
      <c r="C23" s="15" t="s">
        <v>489</v>
      </c>
      <c r="D23" s="15">
        <v>4702080086</v>
      </c>
      <c r="E23" s="15" t="s">
        <v>196</v>
      </c>
      <c r="F23" s="15" t="s">
        <v>181</v>
      </c>
      <c r="G23" s="15"/>
      <c r="H23" s="15" t="s">
        <v>538</v>
      </c>
      <c r="I23" s="15" t="s">
        <v>440</v>
      </c>
      <c r="J23" s="15" t="s">
        <v>539</v>
      </c>
      <c r="K23" s="15" t="s">
        <v>185</v>
      </c>
      <c r="L23" s="15" t="s">
        <v>247</v>
      </c>
      <c r="M23" s="15" t="s">
        <v>540</v>
      </c>
      <c r="N23" s="63">
        <v>90</v>
      </c>
      <c r="O23" s="15"/>
      <c r="P23" s="15">
        <v>13.05</v>
      </c>
      <c r="Q23" s="15" t="s">
        <v>541</v>
      </c>
      <c r="R23" s="15"/>
      <c r="S23" s="15" t="s">
        <v>235</v>
      </c>
      <c r="T23" s="15"/>
      <c r="U23" s="15"/>
      <c r="V23" s="15"/>
      <c r="W23" s="15"/>
      <c r="X23" s="15"/>
      <c r="Y23" s="15" t="s">
        <v>320</v>
      </c>
      <c r="Z23" s="15" t="s">
        <v>191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485</v>
      </c>
      <c r="AL23" s="15"/>
      <c r="AM23" s="15">
        <v>6</v>
      </c>
      <c r="AN23" s="15"/>
      <c r="AO23" s="15"/>
      <c r="AP23" s="15"/>
      <c r="AQ23" s="15"/>
      <c r="AR23" s="15"/>
      <c r="AS23" s="15" t="s">
        <v>170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61">
        <v>46038</v>
      </c>
      <c r="BE23" s="61" t="s">
        <v>192</v>
      </c>
      <c r="BF23" s="15" t="s">
        <v>219</v>
      </c>
      <c r="BG23" s="15" t="s">
        <v>219</v>
      </c>
      <c r="BH23" s="15" t="s">
        <v>219</v>
      </c>
      <c r="BI23" s="15" t="s">
        <v>199</v>
      </c>
      <c r="BJ23" s="15"/>
      <c r="BK23" s="15"/>
      <c r="BL23" s="15"/>
      <c r="BM23" s="15"/>
      <c r="BN23" s="15"/>
      <c r="BO23" s="64"/>
      <c r="BP23" s="64">
        <v>46107</v>
      </c>
      <c r="BQ23" s="15"/>
      <c r="BR23" s="15">
        <v>51</v>
      </c>
      <c r="BS23" s="64">
        <v>46089</v>
      </c>
      <c r="BT23" s="64">
        <v>46117</v>
      </c>
      <c r="BU23" s="64">
        <v>46188</v>
      </c>
      <c r="BV23" s="15"/>
      <c r="BW23" s="64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15"/>
      <c r="CL23" s="68">
        <v>15</v>
      </c>
      <c r="CM23" s="68">
        <v>30</v>
      </c>
      <c r="CN23" s="68">
        <v>15</v>
      </c>
      <c r="CO23" s="68">
        <v>15</v>
      </c>
      <c r="CP23" s="68">
        <v>15</v>
      </c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5">
        <f t="shared" si="3"/>
        <v>90</v>
      </c>
      <c r="ER23" s="6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 t="s">
        <v>176</v>
      </c>
      <c r="FF23" s="15"/>
      <c r="FG23" s="15"/>
      <c r="FH23" s="1" t="str">
        <f t="shared" si="4"/>
        <v>710P038555014702080086</v>
      </c>
      <c r="FI23" s="1" t="str">
        <f t="shared" si="5"/>
        <v>PRLS/25/12930</v>
      </c>
      <c r="FJ23" s="38" t="e">
        <f>VLOOKUP(FH23,[1]Sheet3!$A:$D,4,0)</f>
        <v>#N/A</v>
      </c>
      <c r="FL23" s="13"/>
    </row>
    <row r="24" spans="1:168" ht="21" hidden="1" x14ac:dyDescent="0.25">
      <c r="A24" s="15" t="s">
        <v>543</v>
      </c>
      <c r="B24" s="15" t="s">
        <v>149</v>
      </c>
      <c r="C24" s="15" t="s">
        <v>489</v>
      </c>
      <c r="D24" s="15">
        <v>4702080086</v>
      </c>
      <c r="E24" s="15" t="s">
        <v>196</v>
      </c>
      <c r="F24" s="15" t="s">
        <v>181</v>
      </c>
      <c r="G24" s="15"/>
      <c r="H24" s="15" t="s">
        <v>544</v>
      </c>
      <c r="I24" s="15" t="s">
        <v>440</v>
      </c>
      <c r="J24" s="15" t="s">
        <v>539</v>
      </c>
      <c r="K24" s="15" t="s">
        <v>185</v>
      </c>
      <c r="L24" s="15" t="s">
        <v>247</v>
      </c>
      <c r="M24" s="15" t="s">
        <v>545</v>
      </c>
      <c r="N24" s="63">
        <v>72</v>
      </c>
      <c r="O24" s="15"/>
      <c r="P24" s="15">
        <v>13.05</v>
      </c>
      <c r="Q24" s="15" t="s">
        <v>546</v>
      </c>
      <c r="R24" s="15"/>
      <c r="S24" s="15" t="s">
        <v>235</v>
      </c>
      <c r="T24" s="15"/>
      <c r="U24" s="15"/>
      <c r="V24" s="15"/>
      <c r="W24" s="15"/>
      <c r="X24" s="15"/>
      <c r="Y24" s="15" t="s">
        <v>320</v>
      </c>
      <c r="Z24" s="15" t="s">
        <v>191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485</v>
      </c>
      <c r="AL24" s="15"/>
      <c r="AM24" s="15">
        <v>6</v>
      </c>
      <c r="AN24" s="15"/>
      <c r="AO24" s="15"/>
      <c r="AP24" s="15"/>
      <c r="AQ24" s="15"/>
      <c r="AR24" s="15"/>
      <c r="AS24" s="15" t="s">
        <v>170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1">
        <v>46042</v>
      </c>
      <c r="BE24" s="61" t="s">
        <v>192</v>
      </c>
      <c r="BF24" s="15" t="s">
        <v>219</v>
      </c>
      <c r="BG24" s="15" t="s">
        <v>219</v>
      </c>
      <c r="BH24" s="15" t="s">
        <v>219</v>
      </c>
      <c r="BI24" s="15" t="s">
        <v>199</v>
      </c>
      <c r="BJ24" s="15"/>
      <c r="BK24" s="15"/>
      <c r="BL24" s="15"/>
      <c r="BM24" s="15"/>
      <c r="BN24" s="15"/>
      <c r="BO24" s="64"/>
      <c r="BP24" s="64">
        <v>46107</v>
      </c>
      <c r="BQ24" s="15"/>
      <c r="BR24" s="15">
        <v>47</v>
      </c>
      <c r="BS24" s="64">
        <v>46089</v>
      </c>
      <c r="BT24" s="64">
        <v>46117</v>
      </c>
      <c r="BU24" s="64">
        <v>46188</v>
      </c>
      <c r="BV24" s="15"/>
      <c r="BW24" s="64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15"/>
      <c r="CL24" s="68">
        <v>12</v>
      </c>
      <c r="CM24" s="68">
        <v>24</v>
      </c>
      <c r="CN24" s="68">
        <v>12</v>
      </c>
      <c r="CO24" s="68">
        <v>12</v>
      </c>
      <c r="CP24" s="68">
        <v>12</v>
      </c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5">
        <f t="shared" si="3"/>
        <v>72</v>
      </c>
      <c r="ER24" s="6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 t="s">
        <v>176</v>
      </c>
      <c r="FF24" s="15"/>
      <c r="FG24" s="15"/>
      <c r="FH24" s="1" t="str">
        <f t="shared" si="4"/>
        <v>710P038555024702080086</v>
      </c>
      <c r="FI24" s="1" t="str">
        <f t="shared" si="5"/>
        <v>PRLS/25/12931</v>
      </c>
      <c r="FJ24" s="38" t="e">
        <f>VLOOKUP(FH24,[1]Sheet3!$A:$D,4,0)</f>
        <v>#N/A</v>
      </c>
      <c r="FL24" s="13"/>
    </row>
    <row r="25" spans="1:168" ht="21" hidden="1" x14ac:dyDescent="0.25">
      <c r="A25" s="15" t="s">
        <v>547</v>
      </c>
      <c r="B25" s="15" t="s">
        <v>149</v>
      </c>
      <c r="C25" s="15" t="s">
        <v>489</v>
      </c>
      <c r="D25" s="15">
        <v>4702080086</v>
      </c>
      <c r="E25" s="15" t="s">
        <v>196</v>
      </c>
      <c r="F25" s="15" t="s">
        <v>181</v>
      </c>
      <c r="G25" s="15"/>
      <c r="H25" s="15" t="s">
        <v>548</v>
      </c>
      <c r="I25" s="15" t="s">
        <v>440</v>
      </c>
      <c r="J25" s="15" t="s">
        <v>539</v>
      </c>
      <c r="K25" s="15" t="s">
        <v>185</v>
      </c>
      <c r="L25" s="15" t="s">
        <v>247</v>
      </c>
      <c r="M25" s="15" t="s">
        <v>549</v>
      </c>
      <c r="N25" s="63">
        <v>72</v>
      </c>
      <c r="O25" s="15"/>
      <c r="P25" s="15">
        <v>13.05</v>
      </c>
      <c r="Q25" s="15" t="s">
        <v>550</v>
      </c>
      <c r="R25" s="15"/>
      <c r="S25" s="15" t="s">
        <v>235</v>
      </c>
      <c r="T25" s="15"/>
      <c r="U25" s="15"/>
      <c r="V25" s="15"/>
      <c r="W25" s="15"/>
      <c r="X25" s="15"/>
      <c r="Y25" s="15" t="s">
        <v>320</v>
      </c>
      <c r="Z25" s="15" t="s">
        <v>191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485</v>
      </c>
      <c r="AL25" s="15"/>
      <c r="AM25" s="15">
        <v>6</v>
      </c>
      <c r="AN25" s="15"/>
      <c r="AO25" s="15"/>
      <c r="AP25" s="15"/>
      <c r="AQ25" s="15"/>
      <c r="AR25" s="15"/>
      <c r="AS25" s="15" t="s">
        <v>170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1">
        <v>46041</v>
      </c>
      <c r="BE25" s="61" t="s">
        <v>192</v>
      </c>
      <c r="BF25" s="15" t="s">
        <v>219</v>
      </c>
      <c r="BG25" s="15" t="s">
        <v>219</v>
      </c>
      <c r="BH25" s="15" t="s">
        <v>219</v>
      </c>
      <c r="BI25" s="15" t="s">
        <v>199</v>
      </c>
      <c r="BJ25" s="15"/>
      <c r="BK25" s="15"/>
      <c r="BL25" s="15"/>
      <c r="BM25" s="15"/>
      <c r="BN25" s="15"/>
      <c r="BO25" s="64"/>
      <c r="BP25" s="64">
        <v>46107</v>
      </c>
      <c r="BQ25" s="15"/>
      <c r="BR25" s="15">
        <v>48</v>
      </c>
      <c r="BS25" s="64">
        <v>46089</v>
      </c>
      <c r="BT25" s="64">
        <v>46117</v>
      </c>
      <c r="BU25" s="64">
        <v>46188</v>
      </c>
      <c r="BV25" s="15"/>
      <c r="BW25" s="64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15"/>
      <c r="CL25" s="68">
        <v>12</v>
      </c>
      <c r="CM25" s="68">
        <v>24</v>
      </c>
      <c r="CN25" s="68">
        <v>12</v>
      </c>
      <c r="CO25" s="68">
        <v>12</v>
      </c>
      <c r="CP25" s="68">
        <v>12</v>
      </c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5">
        <f t="shared" si="3"/>
        <v>72</v>
      </c>
      <c r="ER25" s="6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 t="s">
        <v>176</v>
      </c>
      <c r="FF25" s="15"/>
      <c r="FG25" s="15"/>
      <c r="FH25" s="1" t="str">
        <f t="shared" si="4"/>
        <v>710P038555034702080086</v>
      </c>
      <c r="FI25" s="1" t="str">
        <f t="shared" si="5"/>
        <v>PRLS/25/12932</v>
      </c>
      <c r="FJ25" s="38" t="e">
        <f>VLOOKUP(FH25,[1]Sheet3!$A:$D,4,0)</f>
        <v>#N/A</v>
      </c>
      <c r="FL25" s="13"/>
    </row>
    <row r="26" spans="1:168" ht="21" hidden="1" x14ac:dyDescent="0.25">
      <c r="A26" s="15" t="s">
        <v>551</v>
      </c>
      <c r="B26" s="15" t="s">
        <v>149</v>
      </c>
      <c r="C26" s="15" t="s">
        <v>489</v>
      </c>
      <c r="D26" s="15">
        <v>4702080086</v>
      </c>
      <c r="E26" s="15" t="s">
        <v>196</v>
      </c>
      <c r="F26" s="15" t="s">
        <v>181</v>
      </c>
      <c r="G26" s="15"/>
      <c r="H26" s="15" t="s">
        <v>552</v>
      </c>
      <c r="I26" s="15" t="s">
        <v>440</v>
      </c>
      <c r="J26" s="15" t="s">
        <v>539</v>
      </c>
      <c r="K26" s="15" t="s">
        <v>185</v>
      </c>
      <c r="L26" s="15" t="s">
        <v>247</v>
      </c>
      <c r="M26" s="15" t="s">
        <v>553</v>
      </c>
      <c r="N26" s="63">
        <v>72</v>
      </c>
      <c r="O26" s="15"/>
      <c r="P26" s="15">
        <v>13.05</v>
      </c>
      <c r="Q26" s="15" t="s">
        <v>554</v>
      </c>
      <c r="R26" s="15"/>
      <c r="S26" s="15" t="s">
        <v>235</v>
      </c>
      <c r="T26" s="15"/>
      <c r="U26" s="15"/>
      <c r="V26" s="15"/>
      <c r="W26" s="15"/>
      <c r="X26" s="15"/>
      <c r="Y26" s="15" t="s">
        <v>320</v>
      </c>
      <c r="Z26" s="15" t="s">
        <v>191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485</v>
      </c>
      <c r="AL26" s="15"/>
      <c r="AM26" s="15">
        <v>6</v>
      </c>
      <c r="AN26" s="15"/>
      <c r="AO26" s="15"/>
      <c r="AP26" s="15"/>
      <c r="AQ26" s="15"/>
      <c r="AR26" s="15"/>
      <c r="AS26" s="15" t="s">
        <v>170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1">
        <v>46035</v>
      </c>
      <c r="BE26" s="61" t="s">
        <v>192</v>
      </c>
      <c r="BF26" s="15" t="s">
        <v>219</v>
      </c>
      <c r="BG26" s="15" t="s">
        <v>219</v>
      </c>
      <c r="BH26" s="15" t="s">
        <v>219</v>
      </c>
      <c r="BI26" s="15" t="s">
        <v>199</v>
      </c>
      <c r="BJ26" s="15"/>
      <c r="BK26" s="15"/>
      <c r="BL26" s="15"/>
      <c r="BM26" s="15"/>
      <c r="BN26" s="15"/>
      <c r="BO26" s="64"/>
      <c r="BP26" s="64">
        <v>46107</v>
      </c>
      <c r="BQ26" s="15"/>
      <c r="BR26" s="15">
        <v>52</v>
      </c>
      <c r="BS26" s="64">
        <v>46089</v>
      </c>
      <c r="BT26" s="64">
        <v>46117</v>
      </c>
      <c r="BU26" s="64">
        <v>46188</v>
      </c>
      <c r="BV26" s="15"/>
      <c r="BW26" s="64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15"/>
      <c r="CL26" s="68">
        <v>12</v>
      </c>
      <c r="CM26" s="68">
        <v>24</v>
      </c>
      <c r="CN26" s="68">
        <v>12</v>
      </c>
      <c r="CO26" s="68">
        <v>12</v>
      </c>
      <c r="CP26" s="68">
        <v>12</v>
      </c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  <c r="EQ26" s="65">
        <f t="shared" si="3"/>
        <v>72</v>
      </c>
      <c r="ER26" s="6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 t="s">
        <v>176</v>
      </c>
      <c r="FF26" s="15"/>
      <c r="FG26" s="15"/>
      <c r="FH26" s="1" t="str">
        <f t="shared" si="4"/>
        <v>710P038555044702080086</v>
      </c>
      <c r="FI26" s="1" t="str">
        <f t="shared" si="5"/>
        <v>PRLS/25/12933</v>
      </c>
      <c r="FJ26" s="38" t="e">
        <f>VLOOKUP(FH26,[1]Sheet3!$A:$D,4,0)</f>
        <v>#N/A</v>
      </c>
      <c r="FL26" s="13"/>
    </row>
    <row r="27" spans="1:168" ht="21" hidden="1" x14ac:dyDescent="0.25">
      <c r="A27" s="15" t="s">
        <v>537</v>
      </c>
      <c r="B27" s="15" t="s">
        <v>149</v>
      </c>
      <c r="C27" s="15" t="s">
        <v>489</v>
      </c>
      <c r="D27" s="15">
        <v>4702080087</v>
      </c>
      <c r="E27" s="15" t="s">
        <v>196</v>
      </c>
      <c r="F27" s="15" t="s">
        <v>181</v>
      </c>
      <c r="G27" s="15"/>
      <c r="H27" s="15" t="s">
        <v>538</v>
      </c>
      <c r="I27" s="15" t="s">
        <v>440</v>
      </c>
      <c r="J27" s="15" t="s">
        <v>539</v>
      </c>
      <c r="K27" s="15" t="s">
        <v>185</v>
      </c>
      <c r="L27" s="15" t="s">
        <v>247</v>
      </c>
      <c r="M27" s="15" t="s">
        <v>540</v>
      </c>
      <c r="N27" s="63">
        <v>12</v>
      </c>
      <c r="O27" s="15"/>
      <c r="P27" s="15">
        <v>13.05</v>
      </c>
      <c r="Q27" s="15" t="s">
        <v>541</v>
      </c>
      <c r="R27" s="15"/>
      <c r="S27" s="15" t="s">
        <v>235</v>
      </c>
      <c r="T27" s="15"/>
      <c r="U27" s="15"/>
      <c r="V27" s="15"/>
      <c r="W27" s="15"/>
      <c r="X27" s="15"/>
      <c r="Y27" s="15" t="s">
        <v>320</v>
      </c>
      <c r="Z27" s="15" t="s">
        <v>191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204</v>
      </c>
      <c r="AL27" s="15"/>
      <c r="AM27" s="15">
        <v>12</v>
      </c>
      <c r="AN27" s="15"/>
      <c r="AO27" s="15"/>
      <c r="AP27" s="15"/>
      <c r="AQ27" s="15"/>
      <c r="AR27" s="15"/>
      <c r="AS27" s="15" t="s">
        <v>170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61">
        <v>46038</v>
      </c>
      <c r="BE27" s="61" t="s">
        <v>192</v>
      </c>
      <c r="BF27" s="15" t="s">
        <v>219</v>
      </c>
      <c r="BG27" s="15" t="s">
        <v>219</v>
      </c>
      <c r="BH27" s="15" t="s">
        <v>219</v>
      </c>
      <c r="BI27" s="15" t="s">
        <v>199</v>
      </c>
      <c r="BJ27" s="15"/>
      <c r="BK27" s="15"/>
      <c r="BL27" s="15"/>
      <c r="BM27" s="15"/>
      <c r="BN27" s="15"/>
      <c r="BO27" s="64"/>
      <c r="BP27" s="64">
        <v>46107</v>
      </c>
      <c r="BQ27" s="15"/>
      <c r="BR27" s="15">
        <v>51</v>
      </c>
      <c r="BS27" s="64">
        <v>46089</v>
      </c>
      <c r="BT27" s="64">
        <v>46117</v>
      </c>
      <c r="BU27" s="64">
        <v>46188</v>
      </c>
      <c r="BV27" s="15"/>
      <c r="BW27" s="64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15"/>
      <c r="CL27" s="68">
        <v>12</v>
      </c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5">
        <f t="shared" si="3"/>
        <v>12</v>
      </c>
      <c r="ER27" s="6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 t="s">
        <v>176</v>
      </c>
      <c r="FF27" s="15"/>
      <c r="FG27" s="15"/>
      <c r="FH27" s="1" t="str">
        <f t="shared" si="4"/>
        <v>710P038555014702080087</v>
      </c>
      <c r="FI27" s="1" t="str">
        <f t="shared" si="5"/>
        <v>PRLS/25/12930</v>
      </c>
      <c r="FJ27" s="38" t="e">
        <f>VLOOKUP(FH27,[1]Sheet3!$A:$D,4,0)</f>
        <v>#N/A</v>
      </c>
      <c r="FL27" s="13"/>
    </row>
    <row r="28" spans="1:168" ht="21" hidden="1" x14ac:dyDescent="0.25">
      <c r="A28" s="15" t="s">
        <v>543</v>
      </c>
      <c r="B28" s="15" t="s">
        <v>149</v>
      </c>
      <c r="C28" s="15" t="s">
        <v>489</v>
      </c>
      <c r="D28" s="15">
        <v>4702080087</v>
      </c>
      <c r="E28" s="15" t="s">
        <v>196</v>
      </c>
      <c r="F28" s="15" t="s">
        <v>181</v>
      </c>
      <c r="G28" s="15"/>
      <c r="H28" s="15" t="s">
        <v>544</v>
      </c>
      <c r="I28" s="15" t="s">
        <v>440</v>
      </c>
      <c r="J28" s="15" t="s">
        <v>539</v>
      </c>
      <c r="K28" s="15" t="s">
        <v>185</v>
      </c>
      <c r="L28" s="15" t="s">
        <v>247</v>
      </c>
      <c r="M28" s="15" t="s">
        <v>545</v>
      </c>
      <c r="N28" s="63">
        <v>12</v>
      </c>
      <c r="O28" s="15"/>
      <c r="P28" s="15">
        <v>13.05</v>
      </c>
      <c r="Q28" s="15" t="s">
        <v>546</v>
      </c>
      <c r="R28" s="15"/>
      <c r="S28" s="15" t="s">
        <v>235</v>
      </c>
      <c r="T28" s="15"/>
      <c r="U28" s="15"/>
      <c r="V28" s="15"/>
      <c r="W28" s="15"/>
      <c r="X28" s="15"/>
      <c r="Y28" s="15" t="s">
        <v>320</v>
      </c>
      <c r="Z28" s="15" t="s">
        <v>191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204</v>
      </c>
      <c r="AL28" s="15"/>
      <c r="AM28" s="15">
        <v>12</v>
      </c>
      <c r="AN28" s="15"/>
      <c r="AO28" s="15"/>
      <c r="AP28" s="15"/>
      <c r="AQ28" s="15"/>
      <c r="AR28" s="15"/>
      <c r="AS28" s="15" t="s">
        <v>170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61">
        <v>46042</v>
      </c>
      <c r="BE28" s="61" t="s">
        <v>192</v>
      </c>
      <c r="BF28" s="15" t="s">
        <v>219</v>
      </c>
      <c r="BG28" s="15" t="s">
        <v>219</v>
      </c>
      <c r="BH28" s="15" t="s">
        <v>219</v>
      </c>
      <c r="BI28" s="15" t="s">
        <v>199</v>
      </c>
      <c r="BJ28" s="15"/>
      <c r="BK28" s="15"/>
      <c r="BL28" s="15"/>
      <c r="BM28" s="15"/>
      <c r="BN28" s="15"/>
      <c r="BO28" s="64"/>
      <c r="BP28" s="64">
        <v>46107</v>
      </c>
      <c r="BQ28" s="15"/>
      <c r="BR28" s="15">
        <v>47</v>
      </c>
      <c r="BS28" s="64">
        <v>46089</v>
      </c>
      <c r="BT28" s="64">
        <v>46117</v>
      </c>
      <c r="BU28" s="64">
        <v>46188</v>
      </c>
      <c r="BV28" s="15"/>
      <c r="BW28" s="64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15"/>
      <c r="CL28" s="68">
        <v>12</v>
      </c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  <c r="EQ28" s="65">
        <f t="shared" si="3"/>
        <v>12</v>
      </c>
      <c r="ER28" s="6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 t="s">
        <v>176</v>
      </c>
      <c r="FF28" s="15"/>
      <c r="FG28" s="15"/>
      <c r="FH28" s="1" t="str">
        <f t="shared" si="4"/>
        <v>710P038555024702080087</v>
      </c>
      <c r="FI28" s="1" t="str">
        <f t="shared" si="5"/>
        <v>PRLS/25/12931</v>
      </c>
      <c r="FJ28" s="38" t="e">
        <f>VLOOKUP(FH28,[1]Sheet3!$A:$D,4,0)</f>
        <v>#N/A</v>
      </c>
      <c r="FL28" s="13"/>
    </row>
    <row r="29" spans="1:168" ht="21" hidden="1" x14ac:dyDescent="0.25">
      <c r="A29" s="15" t="s">
        <v>547</v>
      </c>
      <c r="B29" s="15" t="s">
        <v>149</v>
      </c>
      <c r="C29" s="15" t="s">
        <v>489</v>
      </c>
      <c r="D29" s="15">
        <v>4702080087</v>
      </c>
      <c r="E29" s="15" t="s">
        <v>196</v>
      </c>
      <c r="F29" s="15" t="s">
        <v>181</v>
      </c>
      <c r="G29" s="15"/>
      <c r="H29" s="15" t="s">
        <v>548</v>
      </c>
      <c r="I29" s="15" t="s">
        <v>440</v>
      </c>
      <c r="J29" s="15" t="s">
        <v>539</v>
      </c>
      <c r="K29" s="15" t="s">
        <v>185</v>
      </c>
      <c r="L29" s="15" t="s">
        <v>247</v>
      </c>
      <c r="M29" s="15" t="s">
        <v>549</v>
      </c>
      <c r="N29" s="63">
        <v>12</v>
      </c>
      <c r="O29" s="15"/>
      <c r="P29" s="15">
        <v>13.05</v>
      </c>
      <c r="Q29" s="15" t="s">
        <v>550</v>
      </c>
      <c r="R29" s="15"/>
      <c r="S29" s="15" t="s">
        <v>235</v>
      </c>
      <c r="T29" s="15"/>
      <c r="U29" s="15"/>
      <c r="V29" s="15"/>
      <c r="W29" s="15"/>
      <c r="X29" s="15"/>
      <c r="Y29" s="15" t="s">
        <v>320</v>
      </c>
      <c r="Z29" s="15" t="s">
        <v>191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204</v>
      </c>
      <c r="AL29" s="15"/>
      <c r="AM29" s="15">
        <v>12</v>
      </c>
      <c r="AN29" s="15"/>
      <c r="AO29" s="15"/>
      <c r="AP29" s="15"/>
      <c r="AQ29" s="15"/>
      <c r="AR29" s="15"/>
      <c r="AS29" s="15" t="s">
        <v>170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61">
        <v>46041</v>
      </c>
      <c r="BE29" s="61" t="s">
        <v>192</v>
      </c>
      <c r="BF29" s="15" t="s">
        <v>219</v>
      </c>
      <c r="BG29" s="15" t="s">
        <v>219</v>
      </c>
      <c r="BH29" s="15" t="s">
        <v>219</v>
      </c>
      <c r="BI29" s="15" t="s">
        <v>199</v>
      </c>
      <c r="BJ29" s="15"/>
      <c r="BK29" s="15"/>
      <c r="BL29" s="15"/>
      <c r="BM29" s="15"/>
      <c r="BN29" s="15"/>
      <c r="BO29" s="64"/>
      <c r="BP29" s="64">
        <v>46107</v>
      </c>
      <c r="BQ29" s="15"/>
      <c r="BR29" s="15">
        <v>48</v>
      </c>
      <c r="BS29" s="64">
        <v>46089</v>
      </c>
      <c r="BT29" s="64">
        <v>46117</v>
      </c>
      <c r="BU29" s="64">
        <v>46188</v>
      </c>
      <c r="BV29" s="15"/>
      <c r="BW29" s="64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15"/>
      <c r="CL29" s="68">
        <v>12</v>
      </c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  <c r="EQ29" s="65">
        <f t="shared" si="3"/>
        <v>12</v>
      </c>
      <c r="ER29" s="6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 t="s">
        <v>176</v>
      </c>
      <c r="FF29" s="15"/>
      <c r="FG29" s="15"/>
      <c r="FH29" s="1" t="str">
        <f t="shared" si="4"/>
        <v>710P038555034702080087</v>
      </c>
      <c r="FI29" s="1" t="str">
        <f t="shared" si="5"/>
        <v>PRLS/25/12932</v>
      </c>
      <c r="FJ29" s="38" t="e">
        <f>VLOOKUP(FH29,[1]Sheet3!$A:$D,4,0)</f>
        <v>#N/A</v>
      </c>
      <c r="FL29" s="13"/>
    </row>
    <row r="30" spans="1:168" ht="21" hidden="1" x14ac:dyDescent="0.25">
      <c r="A30" s="15" t="s">
        <v>551</v>
      </c>
      <c r="B30" s="15" t="s">
        <v>149</v>
      </c>
      <c r="C30" s="15" t="s">
        <v>489</v>
      </c>
      <c r="D30" s="15">
        <v>4702080087</v>
      </c>
      <c r="E30" s="15" t="s">
        <v>196</v>
      </c>
      <c r="F30" s="15" t="s">
        <v>181</v>
      </c>
      <c r="G30" s="15"/>
      <c r="H30" s="15" t="s">
        <v>552</v>
      </c>
      <c r="I30" s="15" t="s">
        <v>440</v>
      </c>
      <c r="J30" s="15" t="s">
        <v>539</v>
      </c>
      <c r="K30" s="15" t="s">
        <v>185</v>
      </c>
      <c r="L30" s="15" t="s">
        <v>247</v>
      </c>
      <c r="M30" s="15" t="s">
        <v>553</v>
      </c>
      <c r="N30" s="63">
        <v>12</v>
      </c>
      <c r="O30" s="15"/>
      <c r="P30" s="15">
        <v>13.05</v>
      </c>
      <c r="Q30" s="15" t="s">
        <v>554</v>
      </c>
      <c r="R30" s="15"/>
      <c r="S30" s="15" t="s">
        <v>235</v>
      </c>
      <c r="T30" s="15"/>
      <c r="U30" s="15"/>
      <c r="V30" s="15"/>
      <c r="W30" s="15"/>
      <c r="X30" s="15"/>
      <c r="Y30" s="15" t="s">
        <v>320</v>
      </c>
      <c r="Z30" s="15" t="s">
        <v>191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204</v>
      </c>
      <c r="AL30" s="15"/>
      <c r="AM30" s="15">
        <v>12</v>
      </c>
      <c r="AN30" s="15"/>
      <c r="AO30" s="15"/>
      <c r="AP30" s="15"/>
      <c r="AQ30" s="15"/>
      <c r="AR30" s="15"/>
      <c r="AS30" s="15" t="s">
        <v>170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61">
        <v>46035</v>
      </c>
      <c r="BE30" s="61" t="s">
        <v>192</v>
      </c>
      <c r="BF30" s="15" t="s">
        <v>219</v>
      </c>
      <c r="BG30" s="15" t="s">
        <v>219</v>
      </c>
      <c r="BH30" s="15" t="s">
        <v>219</v>
      </c>
      <c r="BI30" s="15" t="s">
        <v>199</v>
      </c>
      <c r="BJ30" s="15"/>
      <c r="BK30" s="15"/>
      <c r="BL30" s="15"/>
      <c r="BM30" s="15"/>
      <c r="BN30" s="15"/>
      <c r="BO30" s="64"/>
      <c r="BP30" s="64">
        <v>46107</v>
      </c>
      <c r="BQ30" s="15"/>
      <c r="BR30" s="15">
        <v>52</v>
      </c>
      <c r="BS30" s="64">
        <v>46089</v>
      </c>
      <c r="BT30" s="64">
        <v>46117</v>
      </c>
      <c r="BU30" s="64">
        <v>46188</v>
      </c>
      <c r="BV30" s="15"/>
      <c r="BW30" s="64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15"/>
      <c r="CL30" s="68">
        <v>12</v>
      </c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  <c r="EQ30" s="65">
        <f t="shared" si="3"/>
        <v>12</v>
      </c>
      <c r="ER30" s="6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 t="s">
        <v>176</v>
      </c>
      <c r="FF30" s="15"/>
      <c r="FG30" s="15"/>
      <c r="FH30" s="1" t="str">
        <f t="shared" si="4"/>
        <v>710P038555044702080087</v>
      </c>
      <c r="FI30" s="1" t="str">
        <f t="shared" si="5"/>
        <v>PRLS/25/12933</v>
      </c>
      <c r="FJ30" s="38" t="e">
        <f>VLOOKUP(FH30,[1]Sheet3!$A:$D,4,0)</f>
        <v>#N/A</v>
      </c>
      <c r="FL30" s="13"/>
    </row>
    <row r="31" spans="1:168" ht="21" hidden="1" x14ac:dyDescent="0.25">
      <c r="A31" s="15" t="s">
        <v>537</v>
      </c>
      <c r="B31" s="15" t="s">
        <v>149</v>
      </c>
      <c r="C31" s="15" t="s">
        <v>489</v>
      </c>
      <c r="D31" s="15">
        <v>4702080088</v>
      </c>
      <c r="E31" s="15" t="s">
        <v>196</v>
      </c>
      <c r="F31" s="15" t="s">
        <v>181</v>
      </c>
      <c r="G31" s="15"/>
      <c r="H31" s="15" t="s">
        <v>538</v>
      </c>
      <c r="I31" s="15" t="s">
        <v>440</v>
      </c>
      <c r="J31" s="15" t="s">
        <v>539</v>
      </c>
      <c r="K31" s="15" t="s">
        <v>185</v>
      </c>
      <c r="L31" s="15" t="s">
        <v>247</v>
      </c>
      <c r="M31" s="15" t="s">
        <v>540</v>
      </c>
      <c r="N31" s="63">
        <v>24</v>
      </c>
      <c r="O31" s="15"/>
      <c r="P31" s="15">
        <v>13.05</v>
      </c>
      <c r="Q31" s="15" t="s">
        <v>541</v>
      </c>
      <c r="R31" s="15"/>
      <c r="S31" s="15" t="s">
        <v>235</v>
      </c>
      <c r="T31" s="15"/>
      <c r="U31" s="15"/>
      <c r="V31" s="15"/>
      <c r="W31" s="15"/>
      <c r="X31" s="15"/>
      <c r="Y31" s="15" t="s">
        <v>320</v>
      </c>
      <c r="Z31" s="15" t="s">
        <v>191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205</v>
      </c>
      <c r="AL31" s="15"/>
      <c r="AM31" s="15">
        <v>12</v>
      </c>
      <c r="AN31" s="15"/>
      <c r="AO31" s="15"/>
      <c r="AP31" s="15"/>
      <c r="AQ31" s="15"/>
      <c r="AR31" s="15"/>
      <c r="AS31" s="15" t="s">
        <v>170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61">
        <v>46038</v>
      </c>
      <c r="BE31" s="61" t="s">
        <v>192</v>
      </c>
      <c r="BF31" s="15" t="s">
        <v>219</v>
      </c>
      <c r="BG31" s="15" t="s">
        <v>219</v>
      </c>
      <c r="BH31" s="15" t="s">
        <v>219</v>
      </c>
      <c r="BI31" s="15" t="s">
        <v>199</v>
      </c>
      <c r="BJ31" s="15"/>
      <c r="BK31" s="15"/>
      <c r="BL31" s="15"/>
      <c r="BM31" s="15"/>
      <c r="BN31" s="15"/>
      <c r="BO31" s="64"/>
      <c r="BP31" s="64">
        <v>46107</v>
      </c>
      <c r="BQ31" s="15"/>
      <c r="BR31" s="15">
        <v>51</v>
      </c>
      <c r="BS31" s="64">
        <v>46089</v>
      </c>
      <c r="BT31" s="64">
        <v>46117</v>
      </c>
      <c r="BU31" s="64">
        <v>46188</v>
      </c>
      <c r="BV31" s="15"/>
      <c r="BW31" s="64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15"/>
      <c r="CL31" s="68"/>
      <c r="CM31" s="68">
        <v>24</v>
      </c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5">
        <f t="shared" si="3"/>
        <v>24</v>
      </c>
      <c r="ER31" s="6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 t="s">
        <v>176</v>
      </c>
      <c r="FF31" s="15"/>
      <c r="FG31" s="15"/>
      <c r="FH31" s="1" t="str">
        <f t="shared" si="4"/>
        <v>710P038555014702080088</v>
      </c>
      <c r="FI31" s="1" t="str">
        <f t="shared" si="5"/>
        <v>PRLS/25/12930</v>
      </c>
      <c r="FJ31" s="38" t="e">
        <f>VLOOKUP(FH31,[1]Sheet3!$A:$D,4,0)</f>
        <v>#N/A</v>
      </c>
      <c r="FL31" s="13"/>
    </row>
    <row r="32" spans="1:168" ht="21" hidden="1" x14ac:dyDescent="0.25">
      <c r="A32" s="15" t="s">
        <v>543</v>
      </c>
      <c r="B32" s="15" t="s">
        <v>149</v>
      </c>
      <c r="C32" s="15" t="s">
        <v>489</v>
      </c>
      <c r="D32" s="15">
        <v>4702080088</v>
      </c>
      <c r="E32" s="15" t="s">
        <v>196</v>
      </c>
      <c r="F32" s="15" t="s">
        <v>181</v>
      </c>
      <c r="G32" s="15"/>
      <c r="H32" s="15" t="s">
        <v>544</v>
      </c>
      <c r="I32" s="15" t="s">
        <v>440</v>
      </c>
      <c r="J32" s="15" t="s">
        <v>539</v>
      </c>
      <c r="K32" s="15" t="s">
        <v>185</v>
      </c>
      <c r="L32" s="15" t="s">
        <v>247</v>
      </c>
      <c r="M32" s="15" t="s">
        <v>545</v>
      </c>
      <c r="N32" s="63">
        <v>24</v>
      </c>
      <c r="O32" s="15"/>
      <c r="P32" s="15">
        <v>13.05</v>
      </c>
      <c r="Q32" s="15" t="s">
        <v>546</v>
      </c>
      <c r="R32" s="15"/>
      <c r="S32" s="15" t="s">
        <v>235</v>
      </c>
      <c r="T32" s="15"/>
      <c r="U32" s="15"/>
      <c r="V32" s="15"/>
      <c r="W32" s="15"/>
      <c r="X32" s="15"/>
      <c r="Y32" s="15" t="s">
        <v>320</v>
      </c>
      <c r="Z32" s="15" t="s">
        <v>191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205</v>
      </c>
      <c r="AL32" s="15"/>
      <c r="AM32" s="15">
        <v>12</v>
      </c>
      <c r="AN32" s="15"/>
      <c r="AO32" s="15"/>
      <c r="AP32" s="15"/>
      <c r="AQ32" s="15"/>
      <c r="AR32" s="15"/>
      <c r="AS32" s="15" t="s">
        <v>170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61">
        <v>46042</v>
      </c>
      <c r="BE32" s="61" t="s">
        <v>192</v>
      </c>
      <c r="BF32" s="15" t="s">
        <v>219</v>
      </c>
      <c r="BG32" s="15" t="s">
        <v>219</v>
      </c>
      <c r="BH32" s="15" t="s">
        <v>219</v>
      </c>
      <c r="BI32" s="15" t="s">
        <v>199</v>
      </c>
      <c r="BJ32" s="15"/>
      <c r="BK32" s="15"/>
      <c r="BL32" s="15"/>
      <c r="BM32" s="15"/>
      <c r="BN32" s="15"/>
      <c r="BO32" s="64"/>
      <c r="BP32" s="64">
        <v>46107</v>
      </c>
      <c r="BQ32" s="15"/>
      <c r="BR32" s="15">
        <v>47</v>
      </c>
      <c r="BS32" s="64">
        <v>46089</v>
      </c>
      <c r="BT32" s="64">
        <v>46117</v>
      </c>
      <c r="BU32" s="64">
        <v>46188</v>
      </c>
      <c r="BV32" s="15"/>
      <c r="BW32" s="64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15"/>
      <c r="CL32" s="68"/>
      <c r="CM32" s="68">
        <v>24</v>
      </c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5">
        <f t="shared" si="3"/>
        <v>24</v>
      </c>
      <c r="ER32" s="6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 t="s">
        <v>176</v>
      </c>
      <c r="FF32" s="15"/>
      <c r="FG32" s="15"/>
      <c r="FH32" s="1" t="str">
        <f t="shared" si="4"/>
        <v>710P038555024702080088</v>
      </c>
      <c r="FI32" s="1" t="str">
        <f t="shared" si="5"/>
        <v>PRLS/25/12931</v>
      </c>
      <c r="FJ32" s="38" t="e">
        <f>VLOOKUP(FH32,[1]Sheet3!$A:$D,4,0)</f>
        <v>#N/A</v>
      </c>
      <c r="FL32" s="13"/>
    </row>
    <row r="33" spans="1:168" ht="21" hidden="1" x14ac:dyDescent="0.25">
      <c r="A33" s="15" t="s">
        <v>547</v>
      </c>
      <c r="B33" s="15" t="s">
        <v>149</v>
      </c>
      <c r="C33" s="15" t="s">
        <v>489</v>
      </c>
      <c r="D33" s="15">
        <v>4702080088</v>
      </c>
      <c r="E33" s="15" t="s">
        <v>196</v>
      </c>
      <c r="F33" s="15" t="s">
        <v>181</v>
      </c>
      <c r="G33" s="15"/>
      <c r="H33" s="15" t="s">
        <v>548</v>
      </c>
      <c r="I33" s="15" t="s">
        <v>440</v>
      </c>
      <c r="J33" s="15" t="s">
        <v>539</v>
      </c>
      <c r="K33" s="15" t="s">
        <v>185</v>
      </c>
      <c r="L33" s="15" t="s">
        <v>247</v>
      </c>
      <c r="M33" s="15" t="s">
        <v>549</v>
      </c>
      <c r="N33" s="63">
        <v>24</v>
      </c>
      <c r="O33" s="15"/>
      <c r="P33" s="15">
        <v>13.05</v>
      </c>
      <c r="Q33" s="15" t="s">
        <v>550</v>
      </c>
      <c r="R33" s="15"/>
      <c r="S33" s="15" t="s">
        <v>235</v>
      </c>
      <c r="T33" s="15"/>
      <c r="U33" s="15"/>
      <c r="V33" s="15"/>
      <c r="W33" s="15"/>
      <c r="X33" s="15"/>
      <c r="Y33" s="15" t="s">
        <v>320</v>
      </c>
      <c r="Z33" s="15" t="s">
        <v>191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205</v>
      </c>
      <c r="AL33" s="15"/>
      <c r="AM33" s="15">
        <v>12</v>
      </c>
      <c r="AN33" s="15"/>
      <c r="AO33" s="15"/>
      <c r="AP33" s="15"/>
      <c r="AQ33" s="15"/>
      <c r="AR33" s="15"/>
      <c r="AS33" s="15" t="s">
        <v>170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61">
        <v>46041</v>
      </c>
      <c r="BE33" s="61" t="s">
        <v>192</v>
      </c>
      <c r="BF33" s="15" t="s">
        <v>219</v>
      </c>
      <c r="BG33" s="15" t="s">
        <v>219</v>
      </c>
      <c r="BH33" s="15" t="s">
        <v>219</v>
      </c>
      <c r="BI33" s="15" t="s">
        <v>199</v>
      </c>
      <c r="BJ33" s="15"/>
      <c r="BK33" s="15"/>
      <c r="BL33" s="15"/>
      <c r="BM33" s="15"/>
      <c r="BN33" s="15"/>
      <c r="BO33" s="64"/>
      <c r="BP33" s="64">
        <v>46107</v>
      </c>
      <c r="BQ33" s="15"/>
      <c r="BR33" s="15">
        <v>48</v>
      </c>
      <c r="BS33" s="64">
        <v>46089</v>
      </c>
      <c r="BT33" s="64">
        <v>46117</v>
      </c>
      <c r="BU33" s="64">
        <v>46188</v>
      </c>
      <c r="BV33" s="15"/>
      <c r="BW33" s="64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15"/>
      <c r="CL33" s="68"/>
      <c r="CM33" s="68">
        <v>24</v>
      </c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5">
        <f t="shared" si="3"/>
        <v>24</v>
      </c>
      <c r="ER33" s="6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 t="s">
        <v>176</v>
      </c>
      <c r="FF33" s="15"/>
      <c r="FG33" s="15"/>
      <c r="FH33" s="1" t="str">
        <f t="shared" si="4"/>
        <v>710P038555034702080088</v>
      </c>
      <c r="FI33" s="1" t="str">
        <f t="shared" si="5"/>
        <v>PRLS/25/12932</v>
      </c>
      <c r="FJ33" s="38" t="e">
        <f>VLOOKUP(FH33,[1]Sheet3!$A:$D,4,0)</f>
        <v>#N/A</v>
      </c>
      <c r="FL33" s="13"/>
    </row>
    <row r="34" spans="1:168" ht="21" hidden="1" x14ac:dyDescent="0.25">
      <c r="A34" s="15" t="s">
        <v>551</v>
      </c>
      <c r="B34" s="15" t="s">
        <v>149</v>
      </c>
      <c r="C34" s="15" t="s">
        <v>489</v>
      </c>
      <c r="D34" s="15">
        <v>4702080088</v>
      </c>
      <c r="E34" s="15" t="s">
        <v>196</v>
      </c>
      <c r="F34" s="15" t="s">
        <v>181</v>
      </c>
      <c r="G34" s="15"/>
      <c r="H34" s="15" t="s">
        <v>552</v>
      </c>
      <c r="I34" s="15" t="s">
        <v>440</v>
      </c>
      <c r="J34" s="15" t="s">
        <v>539</v>
      </c>
      <c r="K34" s="15" t="s">
        <v>185</v>
      </c>
      <c r="L34" s="15" t="s">
        <v>247</v>
      </c>
      <c r="M34" s="15" t="s">
        <v>553</v>
      </c>
      <c r="N34" s="63">
        <v>24</v>
      </c>
      <c r="O34" s="15"/>
      <c r="P34" s="15">
        <v>13.05</v>
      </c>
      <c r="Q34" s="15" t="s">
        <v>554</v>
      </c>
      <c r="R34" s="15"/>
      <c r="S34" s="15" t="s">
        <v>235</v>
      </c>
      <c r="T34" s="15"/>
      <c r="U34" s="15"/>
      <c r="V34" s="15"/>
      <c r="W34" s="15"/>
      <c r="X34" s="15"/>
      <c r="Y34" s="15" t="s">
        <v>320</v>
      </c>
      <c r="Z34" s="15" t="s">
        <v>191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205</v>
      </c>
      <c r="AL34" s="15"/>
      <c r="AM34" s="15">
        <v>12</v>
      </c>
      <c r="AN34" s="15"/>
      <c r="AO34" s="15"/>
      <c r="AP34" s="15"/>
      <c r="AQ34" s="15"/>
      <c r="AR34" s="15"/>
      <c r="AS34" s="15" t="s">
        <v>170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61">
        <v>46035</v>
      </c>
      <c r="BE34" s="61" t="s">
        <v>192</v>
      </c>
      <c r="BF34" s="15" t="s">
        <v>219</v>
      </c>
      <c r="BG34" s="15" t="s">
        <v>219</v>
      </c>
      <c r="BH34" s="15" t="s">
        <v>219</v>
      </c>
      <c r="BI34" s="15" t="s">
        <v>199</v>
      </c>
      <c r="BJ34" s="15"/>
      <c r="BK34" s="15"/>
      <c r="BL34" s="15"/>
      <c r="BM34" s="15"/>
      <c r="BN34" s="15"/>
      <c r="BO34" s="64"/>
      <c r="BP34" s="64">
        <v>46107</v>
      </c>
      <c r="BQ34" s="15"/>
      <c r="BR34" s="15">
        <v>52</v>
      </c>
      <c r="BS34" s="64">
        <v>46089</v>
      </c>
      <c r="BT34" s="64">
        <v>46117</v>
      </c>
      <c r="BU34" s="64">
        <v>46188</v>
      </c>
      <c r="BV34" s="15"/>
      <c r="BW34" s="64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15"/>
      <c r="CL34" s="68"/>
      <c r="CM34" s="68">
        <v>24</v>
      </c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5">
        <f t="shared" si="3"/>
        <v>24</v>
      </c>
      <c r="ER34" s="6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 t="s">
        <v>176</v>
      </c>
      <c r="FF34" s="15"/>
      <c r="FG34" s="15"/>
      <c r="FH34" s="1" t="str">
        <f t="shared" si="4"/>
        <v>710P038555044702080088</v>
      </c>
      <c r="FI34" s="1" t="str">
        <f t="shared" si="5"/>
        <v>PRLS/25/12933</v>
      </c>
      <c r="FJ34" s="38" t="e">
        <f>VLOOKUP(FH34,[1]Sheet3!$A:$D,4,0)</f>
        <v>#N/A</v>
      </c>
      <c r="FL34" s="13"/>
    </row>
    <row r="35" spans="1:168" ht="21" hidden="1" x14ac:dyDescent="0.25">
      <c r="A35" s="15" t="s">
        <v>537</v>
      </c>
      <c r="B35" s="15" t="s">
        <v>149</v>
      </c>
      <c r="C35" s="15" t="s">
        <v>489</v>
      </c>
      <c r="D35" s="15">
        <v>4702080089</v>
      </c>
      <c r="E35" s="15" t="s">
        <v>196</v>
      </c>
      <c r="F35" s="15" t="s">
        <v>181</v>
      </c>
      <c r="G35" s="15"/>
      <c r="H35" s="15" t="s">
        <v>538</v>
      </c>
      <c r="I35" s="15" t="s">
        <v>440</v>
      </c>
      <c r="J35" s="15" t="s">
        <v>539</v>
      </c>
      <c r="K35" s="15" t="s">
        <v>185</v>
      </c>
      <c r="L35" s="15" t="s">
        <v>247</v>
      </c>
      <c r="M35" s="15" t="s">
        <v>540</v>
      </c>
      <c r="N35" s="63">
        <v>36</v>
      </c>
      <c r="O35" s="15"/>
      <c r="P35" s="15">
        <v>13.05</v>
      </c>
      <c r="Q35" s="15" t="s">
        <v>541</v>
      </c>
      <c r="R35" s="15"/>
      <c r="S35" s="15" t="s">
        <v>235</v>
      </c>
      <c r="T35" s="15"/>
      <c r="U35" s="15"/>
      <c r="V35" s="15"/>
      <c r="W35" s="15"/>
      <c r="X35" s="15"/>
      <c r="Y35" s="15" t="s">
        <v>320</v>
      </c>
      <c r="Z35" s="15" t="s">
        <v>191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206</v>
      </c>
      <c r="AL35" s="15"/>
      <c r="AM35" s="15">
        <v>12</v>
      </c>
      <c r="AN35" s="15"/>
      <c r="AO35" s="15"/>
      <c r="AP35" s="15"/>
      <c r="AQ35" s="15"/>
      <c r="AR35" s="15"/>
      <c r="AS35" s="15" t="s">
        <v>170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61">
        <v>46038</v>
      </c>
      <c r="BE35" s="61" t="s">
        <v>192</v>
      </c>
      <c r="BF35" s="15" t="s">
        <v>219</v>
      </c>
      <c r="BG35" s="15" t="s">
        <v>219</v>
      </c>
      <c r="BH35" s="15" t="s">
        <v>219</v>
      </c>
      <c r="BI35" s="15" t="s">
        <v>199</v>
      </c>
      <c r="BJ35" s="15"/>
      <c r="BK35" s="15"/>
      <c r="BL35" s="15"/>
      <c r="BM35" s="15"/>
      <c r="BN35" s="15"/>
      <c r="BO35" s="64"/>
      <c r="BP35" s="64">
        <v>46107</v>
      </c>
      <c r="BQ35" s="15"/>
      <c r="BR35" s="15">
        <v>51</v>
      </c>
      <c r="BS35" s="64">
        <v>46089</v>
      </c>
      <c r="BT35" s="64">
        <v>46117</v>
      </c>
      <c r="BU35" s="64">
        <v>46188</v>
      </c>
      <c r="BV35" s="15"/>
      <c r="BW35" s="64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15"/>
      <c r="CL35" s="68"/>
      <c r="CM35" s="68"/>
      <c r="CN35" s="68">
        <v>36</v>
      </c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5">
        <f t="shared" si="3"/>
        <v>36</v>
      </c>
      <c r="ER35" s="6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 t="s">
        <v>176</v>
      </c>
      <c r="FF35" s="15"/>
      <c r="FG35" s="15"/>
      <c r="FH35" s="1" t="str">
        <f t="shared" si="4"/>
        <v>710P038555014702080089</v>
      </c>
      <c r="FI35" s="1" t="str">
        <f t="shared" si="5"/>
        <v>PRLS/25/12930</v>
      </c>
      <c r="FJ35" s="38" t="e">
        <f>VLOOKUP(FH35,[1]Sheet3!$A:$D,4,0)</f>
        <v>#N/A</v>
      </c>
      <c r="FL35" s="13"/>
    </row>
    <row r="36" spans="1:168" ht="21" hidden="1" x14ac:dyDescent="0.25">
      <c r="A36" s="15" t="s">
        <v>543</v>
      </c>
      <c r="B36" s="15" t="s">
        <v>149</v>
      </c>
      <c r="C36" s="15" t="s">
        <v>489</v>
      </c>
      <c r="D36" s="15">
        <v>4702080089</v>
      </c>
      <c r="E36" s="15" t="s">
        <v>196</v>
      </c>
      <c r="F36" s="15" t="s">
        <v>181</v>
      </c>
      <c r="G36" s="15"/>
      <c r="H36" s="15" t="s">
        <v>544</v>
      </c>
      <c r="I36" s="15" t="s">
        <v>440</v>
      </c>
      <c r="J36" s="15" t="s">
        <v>539</v>
      </c>
      <c r="K36" s="15" t="s">
        <v>185</v>
      </c>
      <c r="L36" s="15" t="s">
        <v>247</v>
      </c>
      <c r="M36" s="15" t="s">
        <v>545</v>
      </c>
      <c r="N36" s="63">
        <v>24</v>
      </c>
      <c r="O36" s="15"/>
      <c r="P36" s="15">
        <v>13.05</v>
      </c>
      <c r="Q36" s="15" t="s">
        <v>546</v>
      </c>
      <c r="R36" s="15"/>
      <c r="S36" s="15" t="s">
        <v>235</v>
      </c>
      <c r="T36" s="15"/>
      <c r="U36" s="15"/>
      <c r="V36" s="15"/>
      <c r="W36" s="15"/>
      <c r="X36" s="15"/>
      <c r="Y36" s="15" t="s">
        <v>320</v>
      </c>
      <c r="Z36" s="15" t="s">
        <v>191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206</v>
      </c>
      <c r="AL36" s="15"/>
      <c r="AM36" s="15">
        <v>12</v>
      </c>
      <c r="AN36" s="15"/>
      <c r="AO36" s="15"/>
      <c r="AP36" s="15"/>
      <c r="AQ36" s="15"/>
      <c r="AR36" s="15"/>
      <c r="AS36" s="15" t="s">
        <v>170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61">
        <v>46042</v>
      </c>
      <c r="BE36" s="61" t="s">
        <v>192</v>
      </c>
      <c r="BF36" s="15" t="s">
        <v>219</v>
      </c>
      <c r="BG36" s="15" t="s">
        <v>219</v>
      </c>
      <c r="BH36" s="15" t="s">
        <v>219</v>
      </c>
      <c r="BI36" s="15" t="s">
        <v>199</v>
      </c>
      <c r="BJ36" s="15"/>
      <c r="BK36" s="15"/>
      <c r="BL36" s="15"/>
      <c r="BM36" s="15"/>
      <c r="BN36" s="15"/>
      <c r="BO36" s="64"/>
      <c r="BP36" s="64">
        <v>46107</v>
      </c>
      <c r="BQ36" s="15"/>
      <c r="BR36" s="15">
        <v>47</v>
      </c>
      <c r="BS36" s="64">
        <v>46089</v>
      </c>
      <c r="BT36" s="64">
        <v>46117</v>
      </c>
      <c r="BU36" s="64">
        <v>46188</v>
      </c>
      <c r="BV36" s="15"/>
      <c r="BW36" s="64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15"/>
      <c r="CL36" s="68"/>
      <c r="CM36" s="68"/>
      <c r="CN36" s="68">
        <v>24</v>
      </c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  <c r="EQ36" s="65">
        <f t="shared" si="3"/>
        <v>24</v>
      </c>
      <c r="ER36" s="6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 t="s">
        <v>176</v>
      </c>
      <c r="FF36" s="15"/>
      <c r="FG36" s="15"/>
      <c r="FH36" s="1" t="str">
        <f t="shared" si="4"/>
        <v>710P038555024702080089</v>
      </c>
      <c r="FI36" s="1" t="str">
        <f t="shared" si="5"/>
        <v>PRLS/25/12931</v>
      </c>
      <c r="FJ36" s="38" t="e">
        <f>VLOOKUP(FH36,[1]Sheet3!$A:$D,4,0)</f>
        <v>#N/A</v>
      </c>
      <c r="FL36" s="13"/>
    </row>
    <row r="37" spans="1:168" ht="21" hidden="1" x14ac:dyDescent="0.25">
      <c r="A37" s="15" t="s">
        <v>547</v>
      </c>
      <c r="B37" s="15" t="s">
        <v>149</v>
      </c>
      <c r="C37" s="15" t="s">
        <v>489</v>
      </c>
      <c r="D37" s="15">
        <v>4702080089</v>
      </c>
      <c r="E37" s="15" t="s">
        <v>196</v>
      </c>
      <c r="F37" s="15" t="s">
        <v>181</v>
      </c>
      <c r="G37" s="15"/>
      <c r="H37" s="15" t="s">
        <v>548</v>
      </c>
      <c r="I37" s="15" t="s">
        <v>440</v>
      </c>
      <c r="J37" s="15" t="s">
        <v>539</v>
      </c>
      <c r="K37" s="15" t="s">
        <v>185</v>
      </c>
      <c r="L37" s="15" t="s">
        <v>247</v>
      </c>
      <c r="M37" s="15" t="s">
        <v>549</v>
      </c>
      <c r="N37" s="63">
        <v>24</v>
      </c>
      <c r="O37" s="15"/>
      <c r="P37" s="15">
        <v>13.05</v>
      </c>
      <c r="Q37" s="15" t="s">
        <v>550</v>
      </c>
      <c r="R37" s="15"/>
      <c r="S37" s="15" t="s">
        <v>235</v>
      </c>
      <c r="T37" s="15"/>
      <c r="U37" s="15"/>
      <c r="V37" s="15"/>
      <c r="W37" s="15"/>
      <c r="X37" s="15"/>
      <c r="Y37" s="15" t="s">
        <v>320</v>
      </c>
      <c r="Z37" s="15" t="s">
        <v>191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206</v>
      </c>
      <c r="AL37" s="15"/>
      <c r="AM37" s="15">
        <v>12</v>
      </c>
      <c r="AN37" s="15"/>
      <c r="AO37" s="15"/>
      <c r="AP37" s="15"/>
      <c r="AQ37" s="15"/>
      <c r="AR37" s="15"/>
      <c r="AS37" s="15" t="s">
        <v>170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61">
        <v>46041</v>
      </c>
      <c r="BE37" s="61" t="s">
        <v>192</v>
      </c>
      <c r="BF37" s="15" t="s">
        <v>219</v>
      </c>
      <c r="BG37" s="15" t="s">
        <v>219</v>
      </c>
      <c r="BH37" s="15" t="s">
        <v>219</v>
      </c>
      <c r="BI37" s="15" t="s">
        <v>199</v>
      </c>
      <c r="BJ37" s="15"/>
      <c r="BK37" s="15"/>
      <c r="BL37" s="15"/>
      <c r="BM37" s="15"/>
      <c r="BN37" s="15"/>
      <c r="BO37" s="64"/>
      <c r="BP37" s="64">
        <v>46107</v>
      </c>
      <c r="BQ37" s="15"/>
      <c r="BR37" s="15">
        <v>48</v>
      </c>
      <c r="BS37" s="64">
        <v>46089</v>
      </c>
      <c r="BT37" s="64">
        <v>46117</v>
      </c>
      <c r="BU37" s="64">
        <v>46188</v>
      </c>
      <c r="BV37" s="15"/>
      <c r="BW37" s="64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15"/>
      <c r="CL37" s="68"/>
      <c r="CM37" s="68"/>
      <c r="CN37" s="68">
        <v>24</v>
      </c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5">
        <f t="shared" si="3"/>
        <v>24</v>
      </c>
      <c r="ER37" s="6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 t="s">
        <v>176</v>
      </c>
      <c r="FF37" s="15"/>
      <c r="FG37" s="15"/>
      <c r="FH37" s="1" t="str">
        <f t="shared" si="4"/>
        <v>710P038555034702080089</v>
      </c>
      <c r="FI37" s="1" t="str">
        <f t="shared" si="5"/>
        <v>PRLS/25/12932</v>
      </c>
      <c r="FJ37" s="38" t="e">
        <f>VLOOKUP(FH37,[1]Sheet3!$A:$D,4,0)</f>
        <v>#N/A</v>
      </c>
      <c r="FL37" s="13"/>
    </row>
    <row r="38" spans="1:168" ht="21" hidden="1" x14ac:dyDescent="0.25">
      <c r="A38" s="15" t="s">
        <v>551</v>
      </c>
      <c r="B38" s="15" t="s">
        <v>149</v>
      </c>
      <c r="C38" s="15" t="s">
        <v>489</v>
      </c>
      <c r="D38" s="15">
        <v>4702080089</v>
      </c>
      <c r="E38" s="15" t="s">
        <v>196</v>
      </c>
      <c r="F38" s="15" t="s">
        <v>181</v>
      </c>
      <c r="G38" s="15"/>
      <c r="H38" s="15" t="s">
        <v>552</v>
      </c>
      <c r="I38" s="15" t="s">
        <v>440</v>
      </c>
      <c r="J38" s="15" t="s">
        <v>539</v>
      </c>
      <c r="K38" s="15" t="s">
        <v>185</v>
      </c>
      <c r="L38" s="15" t="s">
        <v>247</v>
      </c>
      <c r="M38" s="15" t="s">
        <v>553</v>
      </c>
      <c r="N38" s="63">
        <v>24</v>
      </c>
      <c r="O38" s="15"/>
      <c r="P38" s="15">
        <v>13.05</v>
      </c>
      <c r="Q38" s="15" t="s">
        <v>554</v>
      </c>
      <c r="R38" s="15"/>
      <c r="S38" s="15" t="s">
        <v>235</v>
      </c>
      <c r="T38" s="15"/>
      <c r="U38" s="15"/>
      <c r="V38" s="15"/>
      <c r="W38" s="15"/>
      <c r="X38" s="15"/>
      <c r="Y38" s="15" t="s">
        <v>320</v>
      </c>
      <c r="Z38" s="15" t="s">
        <v>191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206</v>
      </c>
      <c r="AL38" s="15"/>
      <c r="AM38" s="15">
        <v>12</v>
      </c>
      <c r="AN38" s="15"/>
      <c r="AO38" s="15"/>
      <c r="AP38" s="15"/>
      <c r="AQ38" s="15"/>
      <c r="AR38" s="15"/>
      <c r="AS38" s="15" t="s">
        <v>170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61">
        <v>46035</v>
      </c>
      <c r="BE38" s="61" t="s">
        <v>192</v>
      </c>
      <c r="BF38" s="15" t="s">
        <v>219</v>
      </c>
      <c r="BG38" s="15" t="s">
        <v>219</v>
      </c>
      <c r="BH38" s="15" t="s">
        <v>219</v>
      </c>
      <c r="BI38" s="15" t="s">
        <v>199</v>
      </c>
      <c r="BJ38" s="15"/>
      <c r="BK38" s="15"/>
      <c r="BL38" s="15"/>
      <c r="BM38" s="15"/>
      <c r="BN38" s="15"/>
      <c r="BO38" s="64"/>
      <c r="BP38" s="64">
        <v>46107</v>
      </c>
      <c r="BQ38" s="15"/>
      <c r="BR38" s="15">
        <v>52</v>
      </c>
      <c r="BS38" s="64">
        <v>46089</v>
      </c>
      <c r="BT38" s="64">
        <v>46117</v>
      </c>
      <c r="BU38" s="64">
        <v>46188</v>
      </c>
      <c r="BV38" s="15"/>
      <c r="BW38" s="64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15"/>
      <c r="CL38" s="68"/>
      <c r="CM38" s="68"/>
      <c r="CN38" s="68">
        <v>24</v>
      </c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5">
        <f t="shared" si="3"/>
        <v>24</v>
      </c>
      <c r="ER38" s="6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 t="s">
        <v>176</v>
      </c>
      <c r="FF38" s="15"/>
      <c r="FG38" s="15"/>
      <c r="FH38" s="1" t="str">
        <f t="shared" si="4"/>
        <v>710P038555044702080089</v>
      </c>
      <c r="FI38" s="1" t="str">
        <f t="shared" si="5"/>
        <v>PRLS/25/12933</v>
      </c>
      <c r="FJ38" s="38" t="e">
        <f>VLOOKUP(FH38,[1]Sheet3!$A:$D,4,0)</f>
        <v>#N/A</v>
      </c>
      <c r="FL38" s="13"/>
    </row>
    <row r="39" spans="1:168" ht="21" hidden="1" x14ac:dyDescent="0.25">
      <c r="A39" s="15" t="s">
        <v>537</v>
      </c>
      <c r="B39" s="15" t="s">
        <v>149</v>
      </c>
      <c r="C39" s="15" t="s">
        <v>489</v>
      </c>
      <c r="D39" s="15">
        <v>4702080090</v>
      </c>
      <c r="E39" s="15" t="s">
        <v>196</v>
      </c>
      <c r="F39" s="15" t="s">
        <v>181</v>
      </c>
      <c r="G39" s="15"/>
      <c r="H39" s="15" t="s">
        <v>538</v>
      </c>
      <c r="I39" s="15" t="s">
        <v>440</v>
      </c>
      <c r="J39" s="15" t="s">
        <v>539</v>
      </c>
      <c r="K39" s="15" t="s">
        <v>185</v>
      </c>
      <c r="L39" s="15" t="s">
        <v>247</v>
      </c>
      <c r="M39" s="15" t="s">
        <v>540</v>
      </c>
      <c r="N39" s="63">
        <v>24</v>
      </c>
      <c r="O39" s="15"/>
      <c r="P39" s="15">
        <v>13.05</v>
      </c>
      <c r="Q39" s="15" t="s">
        <v>541</v>
      </c>
      <c r="R39" s="15"/>
      <c r="S39" s="15" t="s">
        <v>235</v>
      </c>
      <c r="T39" s="15"/>
      <c r="U39" s="15"/>
      <c r="V39" s="15"/>
      <c r="W39" s="15"/>
      <c r="X39" s="15"/>
      <c r="Y39" s="15" t="s">
        <v>320</v>
      </c>
      <c r="Z39" s="15" t="s">
        <v>191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207</v>
      </c>
      <c r="AL39" s="15"/>
      <c r="AM39" s="15">
        <v>12</v>
      </c>
      <c r="AN39" s="15"/>
      <c r="AO39" s="15"/>
      <c r="AP39" s="15"/>
      <c r="AQ39" s="15"/>
      <c r="AR39" s="15"/>
      <c r="AS39" s="15" t="s">
        <v>170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61">
        <v>46038</v>
      </c>
      <c r="BE39" s="61" t="s">
        <v>192</v>
      </c>
      <c r="BF39" s="15" t="s">
        <v>219</v>
      </c>
      <c r="BG39" s="15" t="s">
        <v>219</v>
      </c>
      <c r="BH39" s="15" t="s">
        <v>219</v>
      </c>
      <c r="BI39" s="15" t="s">
        <v>199</v>
      </c>
      <c r="BJ39" s="15"/>
      <c r="BK39" s="15"/>
      <c r="BL39" s="15"/>
      <c r="BM39" s="15"/>
      <c r="BN39" s="15"/>
      <c r="BO39" s="64"/>
      <c r="BP39" s="64">
        <v>46107</v>
      </c>
      <c r="BQ39" s="15"/>
      <c r="BR39" s="15">
        <v>51</v>
      </c>
      <c r="BS39" s="64">
        <v>46089</v>
      </c>
      <c r="BT39" s="64">
        <v>46117</v>
      </c>
      <c r="BU39" s="64">
        <v>46188</v>
      </c>
      <c r="BV39" s="15"/>
      <c r="BW39" s="64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15"/>
      <c r="CL39" s="68"/>
      <c r="CM39" s="68"/>
      <c r="CN39" s="68"/>
      <c r="CO39" s="68">
        <v>24</v>
      </c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5">
        <f t="shared" si="3"/>
        <v>24</v>
      </c>
      <c r="ER39" s="6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 t="s">
        <v>176</v>
      </c>
      <c r="FF39" s="15"/>
      <c r="FG39" s="15"/>
      <c r="FH39" s="1" t="str">
        <f t="shared" ref="FH39:FH44" si="6">H39&amp;D39</f>
        <v>710P038555014702080090</v>
      </c>
      <c r="FI39" s="1" t="str">
        <f t="shared" ref="FI39:FI44" si="7">A39</f>
        <v>PRLS/25/12930</v>
      </c>
      <c r="FJ39" s="38" t="e">
        <f>VLOOKUP(FH39,[1]Sheet3!$A:$D,4,0)</f>
        <v>#N/A</v>
      </c>
      <c r="FL39" s="13"/>
    </row>
    <row r="40" spans="1:168" ht="21" hidden="1" x14ac:dyDescent="0.25">
      <c r="A40" s="15" t="s">
        <v>543</v>
      </c>
      <c r="B40" s="15" t="s">
        <v>149</v>
      </c>
      <c r="C40" s="15" t="s">
        <v>489</v>
      </c>
      <c r="D40" s="15">
        <v>4702080090</v>
      </c>
      <c r="E40" s="15" t="s">
        <v>196</v>
      </c>
      <c r="F40" s="15" t="s">
        <v>181</v>
      </c>
      <c r="G40" s="15"/>
      <c r="H40" s="15" t="s">
        <v>544</v>
      </c>
      <c r="I40" s="15" t="s">
        <v>440</v>
      </c>
      <c r="J40" s="15" t="s">
        <v>539</v>
      </c>
      <c r="K40" s="15" t="s">
        <v>185</v>
      </c>
      <c r="L40" s="15" t="s">
        <v>247</v>
      </c>
      <c r="M40" s="15" t="s">
        <v>545</v>
      </c>
      <c r="N40" s="63">
        <v>12</v>
      </c>
      <c r="O40" s="15"/>
      <c r="P40" s="15">
        <v>13.05</v>
      </c>
      <c r="Q40" s="15" t="s">
        <v>546</v>
      </c>
      <c r="R40" s="15"/>
      <c r="S40" s="15" t="s">
        <v>235</v>
      </c>
      <c r="T40" s="15"/>
      <c r="U40" s="15"/>
      <c r="V40" s="15"/>
      <c r="W40" s="15"/>
      <c r="X40" s="15"/>
      <c r="Y40" s="15" t="s">
        <v>320</v>
      </c>
      <c r="Z40" s="15" t="s">
        <v>191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207</v>
      </c>
      <c r="AL40" s="15"/>
      <c r="AM40" s="15">
        <v>12</v>
      </c>
      <c r="AN40" s="15"/>
      <c r="AO40" s="15"/>
      <c r="AP40" s="15"/>
      <c r="AQ40" s="15"/>
      <c r="AR40" s="15"/>
      <c r="AS40" s="15" t="s">
        <v>170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61">
        <v>46042</v>
      </c>
      <c r="BE40" s="61" t="s">
        <v>192</v>
      </c>
      <c r="BF40" s="15" t="s">
        <v>219</v>
      </c>
      <c r="BG40" s="15" t="s">
        <v>219</v>
      </c>
      <c r="BH40" s="15" t="s">
        <v>219</v>
      </c>
      <c r="BI40" s="15" t="s">
        <v>199</v>
      </c>
      <c r="BJ40" s="15"/>
      <c r="BK40" s="15"/>
      <c r="BL40" s="15"/>
      <c r="BM40" s="15"/>
      <c r="BN40" s="15"/>
      <c r="BO40" s="64"/>
      <c r="BP40" s="64">
        <v>46107</v>
      </c>
      <c r="BQ40" s="15"/>
      <c r="BR40" s="15">
        <v>47</v>
      </c>
      <c r="BS40" s="64">
        <v>46089</v>
      </c>
      <c r="BT40" s="64">
        <v>46117</v>
      </c>
      <c r="BU40" s="64">
        <v>46188</v>
      </c>
      <c r="BV40" s="15"/>
      <c r="BW40" s="64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15"/>
      <c r="CL40" s="68"/>
      <c r="CM40" s="68"/>
      <c r="CN40" s="68"/>
      <c r="CO40" s="68">
        <v>12</v>
      </c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  <c r="EP40" s="68"/>
      <c r="EQ40" s="65">
        <f>SUM(BX40:EP40)</f>
        <v>12</v>
      </c>
      <c r="ER40" s="6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 t="s">
        <v>176</v>
      </c>
      <c r="FF40" s="15"/>
      <c r="FG40" s="15"/>
      <c r="FH40" s="1" t="str">
        <f t="shared" si="6"/>
        <v>710P038555024702080090</v>
      </c>
      <c r="FI40" s="1" t="str">
        <f t="shared" si="7"/>
        <v>PRLS/25/12931</v>
      </c>
      <c r="FJ40" s="38" t="e">
        <f>VLOOKUP(FH40,[1]Sheet3!$A:$D,4,0)</f>
        <v>#N/A</v>
      </c>
      <c r="FL40" s="13"/>
    </row>
    <row r="41" spans="1:168" ht="21" hidden="1" x14ac:dyDescent="0.25">
      <c r="A41" s="15" t="s">
        <v>547</v>
      </c>
      <c r="B41" s="15" t="s">
        <v>149</v>
      </c>
      <c r="C41" s="15" t="s">
        <v>489</v>
      </c>
      <c r="D41" s="15">
        <v>4702080090</v>
      </c>
      <c r="E41" s="15" t="s">
        <v>196</v>
      </c>
      <c r="F41" s="15" t="s">
        <v>181</v>
      </c>
      <c r="G41" s="15"/>
      <c r="H41" s="15" t="s">
        <v>548</v>
      </c>
      <c r="I41" s="15" t="s">
        <v>440</v>
      </c>
      <c r="J41" s="15" t="s">
        <v>539</v>
      </c>
      <c r="K41" s="15" t="s">
        <v>185</v>
      </c>
      <c r="L41" s="15" t="s">
        <v>247</v>
      </c>
      <c r="M41" s="15" t="s">
        <v>549</v>
      </c>
      <c r="N41" s="63">
        <v>12</v>
      </c>
      <c r="O41" s="15"/>
      <c r="P41" s="15">
        <v>13.05</v>
      </c>
      <c r="Q41" s="15" t="s">
        <v>550</v>
      </c>
      <c r="R41" s="15"/>
      <c r="S41" s="15" t="s">
        <v>235</v>
      </c>
      <c r="T41" s="15"/>
      <c r="U41" s="15"/>
      <c r="V41" s="15"/>
      <c r="W41" s="15"/>
      <c r="X41" s="15"/>
      <c r="Y41" s="15" t="s">
        <v>320</v>
      </c>
      <c r="Z41" s="15" t="s">
        <v>191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207</v>
      </c>
      <c r="AL41" s="15"/>
      <c r="AM41" s="15">
        <v>12</v>
      </c>
      <c r="AN41" s="15"/>
      <c r="AO41" s="15"/>
      <c r="AP41" s="15"/>
      <c r="AQ41" s="15"/>
      <c r="AR41" s="15"/>
      <c r="AS41" s="15" t="s">
        <v>170</v>
      </c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61">
        <v>46041</v>
      </c>
      <c r="BE41" s="61" t="s">
        <v>192</v>
      </c>
      <c r="BF41" s="15" t="s">
        <v>219</v>
      </c>
      <c r="BG41" s="15" t="s">
        <v>219</v>
      </c>
      <c r="BH41" s="15" t="s">
        <v>219</v>
      </c>
      <c r="BI41" s="15" t="s">
        <v>199</v>
      </c>
      <c r="BJ41" s="15"/>
      <c r="BK41" s="15"/>
      <c r="BL41" s="15"/>
      <c r="BM41" s="15"/>
      <c r="BN41" s="15"/>
      <c r="BO41" s="64"/>
      <c r="BP41" s="64">
        <v>46107</v>
      </c>
      <c r="BQ41" s="15"/>
      <c r="BR41" s="15">
        <v>48</v>
      </c>
      <c r="BS41" s="64">
        <v>46089</v>
      </c>
      <c r="BT41" s="64">
        <v>46117</v>
      </c>
      <c r="BU41" s="64">
        <v>46188</v>
      </c>
      <c r="BV41" s="15"/>
      <c r="BW41" s="64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15"/>
      <c r="CL41" s="68"/>
      <c r="CM41" s="68"/>
      <c r="CN41" s="68"/>
      <c r="CO41" s="68">
        <v>12</v>
      </c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5">
        <f>SUM(BX41:EP41)</f>
        <v>12</v>
      </c>
      <c r="ER41" s="6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 t="s">
        <v>176</v>
      </c>
      <c r="FF41" s="15"/>
      <c r="FG41" s="15"/>
      <c r="FH41" s="1" t="str">
        <f t="shared" si="6"/>
        <v>710P038555034702080090</v>
      </c>
      <c r="FI41" s="1" t="str">
        <f t="shared" si="7"/>
        <v>PRLS/25/12932</v>
      </c>
      <c r="FJ41" s="38" t="e">
        <f>VLOOKUP(FH41,[1]Sheet3!$A:$D,4,0)</f>
        <v>#N/A</v>
      </c>
      <c r="FL41" s="13"/>
    </row>
    <row r="42" spans="1:168" ht="21" hidden="1" x14ac:dyDescent="0.25">
      <c r="A42" s="15" t="s">
        <v>551</v>
      </c>
      <c r="B42" s="15" t="s">
        <v>149</v>
      </c>
      <c r="C42" s="15" t="s">
        <v>489</v>
      </c>
      <c r="D42" s="15">
        <v>4702080090</v>
      </c>
      <c r="E42" s="15" t="s">
        <v>196</v>
      </c>
      <c r="F42" s="15" t="s">
        <v>181</v>
      </c>
      <c r="G42" s="15"/>
      <c r="H42" s="15" t="s">
        <v>552</v>
      </c>
      <c r="I42" s="15" t="s">
        <v>440</v>
      </c>
      <c r="J42" s="15" t="s">
        <v>539</v>
      </c>
      <c r="K42" s="15" t="s">
        <v>185</v>
      </c>
      <c r="L42" s="15" t="s">
        <v>247</v>
      </c>
      <c r="M42" s="15" t="s">
        <v>553</v>
      </c>
      <c r="N42" s="63">
        <v>12</v>
      </c>
      <c r="O42" s="15"/>
      <c r="P42" s="15">
        <v>13.05</v>
      </c>
      <c r="Q42" s="15" t="s">
        <v>554</v>
      </c>
      <c r="R42" s="15"/>
      <c r="S42" s="15" t="s">
        <v>235</v>
      </c>
      <c r="T42" s="15"/>
      <c r="U42" s="15"/>
      <c r="V42" s="15"/>
      <c r="W42" s="15"/>
      <c r="X42" s="15"/>
      <c r="Y42" s="15" t="s">
        <v>320</v>
      </c>
      <c r="Z42" s="15" t="s">
        <v>191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207</v>
      </c>
      <c r="AL42" s="15"/>
      <c r="AM42" s="15">
        <v>12</v>
      </c>
      <c r="AN42" s="15"/>
      <c r="AO42" s="15"/>
      <c r="AP42" s="15"/>
      <c r="AQ42" s="15"/>
      <c r="AR42" s="15"/>
      <c r="AS42" s="15" t="s">
        <v>170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61">
        <v>46035</v>
      </c>
      <c r="BE42" s="61" t="s">
        <v>192</v>
      </c>
      <c r="BF42" s="15" t="s">
        <v>219</v>
      </c>
      <c r="BG42" s="15" t="s">
        <v>219</v>
      </c>
      <c r="BH42" s="15" t="s">
        <v>219</v>
      </c>
      <c r="BI42" s="15" t="s">
        <v>199</v>
      </c>
      <c r="BJ42" s="15"/>
      <c r="BK42" s="15"/>
      <c r="BL42" s="15"/>
      <c r="BM42" s="15"/>
      <c r="BN42" s="15"/>
      <c r="BO42" s="64"/>
      <c r="BP42" s="64">
        <v>46107</v>
      </c>
      <c r="BQ42" s="15"/>
      <c r="BR42" s="15">
        <v>52</v>
      </c>
      <c r="BS42" s="64">
        <v>46089</v>
      </c>
      <c r="BT42" s="64">
        <v>46117</v>
      </c>
      <c r="BU42" s="64">
        <v>46188</v>
      </c>
      <c r="BV42" s="15"/>
      <c r="BW42" s="64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15"/>
      <c r="CL42" s="68"/>
      <c r="CM42" s="68"/>
      <c r="CN42" s="68"/>
      <c r="CO42" s="68">
        <v>12</v>
      </c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5">
        <f>SUM(BX42:EP42)</f>
        <v>12</v>
      </c>
      <c r="ER42" s="6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 t="s">
        <v>176</v>
      </c>
      <c r="FF42" s="15"/>
      <c r="FG42" s="15"/>
      <c r="FH42" s="1" t="str">
        <f t="shared" si="6"/>
        <v>710P038555044702080090</v>
      </c>
      <c r="FI42" s="1" t="str">
        <f t="shared" si="7"/>
        <v>PRLS/25/12933</v>
      </c>
      <c r="FJ42" s="38" t="e">
        <f>VLOOKUP(FH42,[1]Sheet3!$A:$D,4,0)</f>
        <v>#N/A</v>
      </c>
      <c r="FL42" s="13"/>
    </row>
    <row r="43" spans="1:168" ht="21" hidden="1" x14ac:dyDescent="0.25">
      <c r="A43" s="15" t="s">
        <v>537</v>
      </c>
      <c r="B43" s="15" t="s">
        <v>149</v>
      </c>
      <c r="C43" s="15" t="s">
        <v>489</v>
      </c>
      <c r="D43" s="15">
        <v>4702080091</v>
      </c>
      <c r="E43" s="15" t="s">
        <v>196</v>
      </c>
      <c r="F43" s="15" t="s">
        <v>181</v>
      </c>
      <c r="G43" s="15"/>
      <c r="H43" s="15" t="s">
        <v>538</v>
      </c>
      <c r="I43" s="15" t="s">
        <v>440</v>
      </c>
      <c r="J43" s="15" t="s">
        <v>539</v>
      </c>
      <c r="K43" s="15" t="s">
        <v>185</v>
      </c>
      <c r="L43" s="15" t="s">
        <v>247</v>
      </c>
      <c r="M43" s="15" t="s">
        <v>540</v>
      </c>
      <c r="N43" s="63">
        <v>12</v>
      </c>
      <c r="O43" s="15"/>
      <c r="P43" s="15">
        <v>13.05</v>
      </c>
      <c r="Q43" s="15" t="s">
        <v>541</v>
      </c>
      <c r="R43" s="15"/>
      <c r="S43" s="15" t="s">
        <v>235</v>
      </c>
      <c r="T43" s="15"/>
      <c r="U43" s="15"/>
      <c r="V43" s="15"/>
      <c r="W43" s="15"/>
      <c r="X43" s="15"/>
      <c r="Y43" s="15" t="s">
        <v>320</v>
      </c>
      <c r="Z43" s="15" t="s">
        <v>191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488</v>
      </c>
      <c r="AL43" s="15"/>
      <c r="AM43" s="15">
        <v>12</v>
      </c>
      <c r="AN43" s="15"/>
      <c r="AO43" s="15"/>
      <c r="AP43" s="15"/>
      <c r="AQ43" s="15"/>
      <c r="AR43" s="15"/>
      <c r="AS43" s="15" t="s">
        <v>170</v>
      </c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61">
        <v>46038</v>
      </c>
      <c r="BE43" s="61" t="s">
        <v>192</v>
      </c>
      <c r="BF43" s="15" t="s">
        <v>219</v>
      </c>
      <c r="BG43" s="15" t="s">
        <v>219</v>
      </c>
      <c r="BH43" s="15" t="s">
        <v>219</v>
      </c>
      <c r="BI43" s="15" t="s">
        <v>199</v>
      </c>
      <c r="BJ43" s="15"/>
      <c r="BK43" s="15"/>
      <c r="BL43" s="15"/>
      <c r="BM43" s="15"/>
      <c r="BN43" s="15"/>
      <c r="BO43" s="64"/>
      <c r="BP43" s="64">
        <v>46107</v>
      </c>
      <c r="BQ43" s="15"/>
      <c r="BR43" s="15">
        <v>51</v>
      </c>
      <c r="BS43" s="64">
        <v>46089</v>
      </c>
      <c r="BT43" s="64">
        <v>46117</v>
      </c>
      <c r="BU43" s="64">
        <v>46188</v>
      </c>
      <c r="BV43" s="15"/>
      <c r="BW43" s="64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15"/>
      <c r="CL43" s="68"/>
      <c r="CM43" s="68"/>
      <c r="CN43" s="68"/>
      <c r="CO43" s="68"/>
      <c r="CP43" s="68">
        <v>12</v>
      </c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5">
        <f>SUM(BX43:EP43)</f>
        <v>12</v>
      </c>
      <c r="ER43" s="6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 t="s">
        <v>176</v>
      </c>
      <c r="FF43" s="15"/>
      <c r="FG43" s="15"/>
      <c r="FH43" s="1" t="str">
        <f t="shared" si="6"/>
        <v>710P038555014702080091</v>
      </c>
      <c r="FI43" s="1" t="str">
        <f t="shared" si="7"/>
        <v>PRLS/25/12930</v>
      </c>
      <c r="FJ43" s="38" t="e">
        <f>VLOOKUP(FH43,[1]Sheet3!$A:$D,4,0)</f>
        <v>#N/A</v>
      </c>
      <c r="FL43" s="13"/>
    </row>
    <row r="44" spans="1:168" ht="21" hidden="1" x14ac:dyDescent="0.25">
      <c r="A44" s="15" t="s">
        <v>177</v>
      </c>
      <c r="B44" s="15" t="s">
        <v>149</v>
      </c>
      <c r="C44" s="15" t="s">
        <v>178</v>
      </c>
      <c r="D44" s="15" t="s">
        <v>179</v>
      </c>
      <c r="E44" s="15" t="s">
        <v>180</v>
      </c>
      <c r="F44" s="15" t="s">
        <v>181</v>
      </c>
      <c r="G44" s="15"/>
      <c r="H44" s="63" t="s">
        <v>182</v>
      </c>
      <c r="I44" s="15" t="s">
        <v>183</v>
      </c>
      <c r="J44" s="15" t="s">
        <v>184</v>
      </c>
      <c r="K44" s="15" t="s">
        <v>185</v>
      </c>
      <c r="L44" s="15" t="s">
        <v>186</v>
      </c>
      <c r="M44" s="15" t="s">
        <v>187</v>
      </c>
      <c r="N44" s="15">
        <v>18</v>
      </c>
      <c r="O44" s="15" t="s">
        <v>159</v>
      </c>
      <c r="P44" s="15">
        <v>49.2</v>
      </c>
      <c r="Q44" s="15" t="s">
        <v>188</v>
      </c>
      <c r="R44" s="15" t="s">
        <v>177</v>
      </c>
      <c r="S44" s="15" t="s">
        <v>189</v>
      </c>
      <c r="T44" s="15" t="s">
        <v>140</v>
      </c>
      <c r="U44" s="15">
        <v>0</v>
      </c>
      <c r="V44" s="15">
        <v>0</v>
      </c>
      <c r="W44" s="15"/>
      <c r="X44" s="15"/>
      <c r="Y44" s="15" t="s">
        <v>190</v>
      </c>
      <c r="Z44" s="15" t="s">
        <v>191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 t="s">
        <v>170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61"/>
      <c r="BE44" s="66" t="s">
        <v>192</v>
      </c>
      <c r="BF44" s="15"/>
      <c r="BG44" s="15"/>
      <c r="BH44" s="15"/>
      <c r="BI44" s="15"/>
      <c r="BJ44" s="15"/>
      <c r="BK44" s="15"/>
      <c r="BL44" s="15"/>
      <c r="BM44" s="15"/>
      <c r="BN44" s="62">
        <v>885.6</v>
      </c>
      <c r="BO44" s="15"/>
      <c r="BP44" s="15"/>
      <c r="BQ44" s="15"/>
      <c r="BR44" s="15"/>
      <c r="BS44" s="64"/>
      <c r="BT44" s="64"/>
      <c r="BU44" s="67">
        <v>-70</v>
      </c>
      <c r="BV44" s="15" t="s">
        <v>193</v>
      </c>
      <c r="BW44" s="15"/>
      <c r="BX44" s="15"/>
      <c r="BY44" s="15">
        <v>8</v>
      </c>
      <c r="BZ44" s="15">
        <v>9</v>
      </c>
      <c r="CA44" s="15">
        <v>22</v>
      </c>
      <c r="CB44" s="15">
        <v>16</v>
      </c>
      <c r="CC44" s="15">
        <v>14</v>
      </c>
      <c r="CD44" s="15">
        <v>8</v>
      </c>
      <c r="CE44" s="15">
        <v>3</v>
      </c>
      <c r="CF44" s="15">
        <v>1</v>
      </c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15"/>
      <c r="EJ44" s="15"/>
      <c r="EK44" s="15"/>
      <c r="EL44" s="15"/>
      <c r="EM44" s="15"/>
      <c r="EN44" s="15"/>
      <c r="EO44" s="15"/>
      <c r="EP44" s="15"/>
      <c r="EQ44" s="65">
        <f>SUM(BX44:EP44)</f>
        <v>81</v>
      </c>
      <c r="ER44" s="15"/>
      <c r="ES44" s="15" t="s">
        <v>194</v>
      </c>
      <c r="ET44" s="15"/>
      <c r="EU44" s="15"/>
      <c r="EV44" s="15"/>
      <c r="EW44" s="15"/>
      <c r="EX44" s="15"/>
      <c r="EY44" s="15"/>
      <c r="EZ44" s="69" t="s">
        <v>195</v>
      </c>
      <c r="FA44" s="15"/>
      <c r="FB44" s="15"/>
      <c r="FC44" s="15"/>
      <c r="FD44" s="15" t="s">
        <v>175</v>
      </c>
      <c r="FE44" s="15" t="s">
        <v>176</v>
      </c>
      <c r="FF44" s="15" t="e">
        <v>#REF!</v>
      </c>
      <c r="FG44" s="15" t="e">
        <v>#N/A</v>
      </c>
      <c r="FH44" s="1" t="str">
        <f t="shared" si="6"/>
        <v>7825815960014701788168</v>
      </c>
      <c r="FI44" s="1" t="str">
        <f t="shared" si="7"/>
        <v>PRLS/23/10141</v>
      </c>
      <c r="FJ44" s="38"/>
      <c r="FL44" s="13"/>
    </row>
    <row r="45" spans="1:168" ht="21" hidden="1" x14ac:dyDescent="0.25">
      <c r="A45" s="15" t="s">
        <v>478</v>
      </c>
      <c r="B45" s="15" t="s">
        <v>149</v>
      </c>
      <c r="C45" s="15" t="s">
        <v>471</v>
      </c>
      <c r="D45" s="15" t="s">
        <v>483</v>
      </c>
      <c r="E45" s="15" t="s">
        <v>180</v>
      </c>
      <c r="F45" s="15" t="s">
        <v>181</v>
      </c>
      <c r="G45" s="15" t="s">
        <v>321</v>
      </c>
      <c r="H45" s="15" t="s">
        <v>316</v>
      </c>
      <c r="I45" s="15" t="s">
        <v>317</v>
      </c>
      <c r="J45" s="15" t="s">
        <v>480</v>
      </c>
      <c r="K45" s="15" t="s">
        <v>185</v>
      </c>
      <c r="L45" s="15" t="s">
        <v>318</v>
      </c>
      <c r="M45" s="15" t="s">
        <v>187</v>
      </c>
      <c r="N45" s="63">
        <v>175</v>
      </c>
      <c r="O45" s="15"/>
      <c r="P45" s="15">
        <v>38.29</v>
      </c>
      <c r="Q45" s="15" t="s">
        <v>319</v>
      </c>
      <c r="R45" s="15"/>
      <c r="S45" s="15" t="s">
        <v>235</v>
      </c>
      <c r="T45" s="15"/>
      <c r="U45" s="15"/>
      <c r="V45" s="15"/>
      <c r="W45" s="15"/>
      <c r="X45" s="15"/>
      <c r="Y45" s="15" t="s">
        <v>320</v>
      </c>
      <c r="Z45" s="15" t="s">
        <v>191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 t="s">
        <v>170</v>
      </c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61">
        <v>46044</v>
      </c>
      <c r="BE45" s="61" t="s">
        <v>192</v>
      </c>
      <c r="BF45" s="15" t="s">
        <v>219</v>
      </c>
      <c r="BG45" s="15" t="s">
        <v>219</v>
      </c>
      <c r="BH45" s="15" t="s">
        <v>219</v>
      </c>
      <c r="BI45" s="15" t="s">
        <v>199</v>
      </c>
      <c r="BJ45" s="15"/>
      <c r="BK45" s="15"/>
      <c r="BL45" s="15"/>
      <c r="BM45" s="15"/>
      <c r="BN45" s="15"/>
      <c r="BO45" s="64"/>
      <c r="BP45" s="15"/>
      <c r="BQ45" s="15"/>
      <c r="BR45" s="15"/>
      <c r="BS45" s="64"/>
      <c r="BT45" s="64">
        <v>46117</v>
      </c>
      <c r="BU45" s="64">
        <v>46188</v>
      </c>
      <c r="BV45" s="15"/>
      <c r="BW45" s="64"/>
      <c r="BX45" s="68">
        <v>1</v>
      </c>
      <c r="BY45" s="68">
        <v>6</v>
      </c>
      <c r="BZ45" s="68">
        <v>15</v>
      </c>
      <c r="CA45" s="68">
        <v>44</v>
      </c>
      <c r="CB45" s="68">
        <v>41</v>
      </c>
      <c r="CC45" s="68">
        <v>36</v>
      </c>
      <c r="CD45" s="68">
        <v>16</v>
      </c>
      <c r="CE45" s="68">
        <v>7</v>
      </c>
      <c r="CF45" s="68">
        <v>9</v>
      </c>
      <c r="CG45" s="68"/>
      <c r="CH45" s="68"/>
      <c r="CI45" s="68"/>
      <c r="CJ45" s="68"/>
      <c r="CK45" s="15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5">
        <f t="shared" ref="EQ45:EQ53" si="8">SUM(BX45:EP45)</f>
        <v>175</v>
      </c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 t="s">
        <v>176</v>
      </c>
      <c r="FF45" s="15"/>
      <c r="FG45" s="15"/>
      <c r="FH45" s="1" t="str">
        <f t="shared" ref="FH45:FH53" si="9">H45&amp;D45</f>
        <v>7825284960014702050918</v>
      </c>
      <c r="FI45" s="1" t="str">
        <f t="shared" ref="FI45:FI53" si="10">A45</f>
        <v>PRLS/25/12780</v>
      </c>
      <c r="FJ45" s="38" t="e">
        <f>VLOOKUP(FH45,[1]Sheet3!$A:$D,4,0)</f>
        <v>#N/A</v>
      </c>
      <c r="FL45" s="13"/>
    </row>
    <row r="46" spans="1:168" ht="21" hidden="1" x14ac:dyDescent="0.25">
      <c r="A46" s="15" t="s">
        <v>478</v>
      </c>
      <c r="B46" s="15" t="s">
        <v>149</v>
      </c>
      <c r="C46" s="15" t="s">
        <v>471</v>
      </c>
      <c r="D46" s="15" t="s">
        <v>482</v>
      </c>
      <c r="E46" s="15" t="s">
        <v>208</v>
      </c>
      <c r="F46" s="15" t="s">
        <v>181</v>
      </c>
      <c r="G46" s="15" t="s">
        <v>321</v>
      </c>
      <c r="H46" s="15" t="s">
        <v>316</v>
      </c>
      <c r="I46" s="15" t="s">
        <v>317</v>
      </c>
      <c r="J46" s="15" t="s">
        <v>480</v>
      </c>
      <c r="K46" s="15" t="s">
        <v>185</v>
      </c>
      <c r="L46" s="15" t="s">
        <v>318</v>
      </c>
      <c r="M46" s="15" t="s">
        <v>187</v>
      </c>
      <c r="N46" s="63">
        <v>18</v>
      </c>
      <c r="O46" s="15"/>
      <c r="P46" s="15">
        <v>38.29</v>
      </c>
      <c r="Q46" s="15" t="s">
        <v>319</v>
      </c>
      <c r="R46" s="15"/>
      <c r="S46" s="15" t="s">
        <v>235</v>
      </c>
      <c r="T46" s="15"/>
      <c r="U46" s="15"/>
      <c r="V46" s="15"/>
      <c r="W46" s="15"/>
      <c r="X46" s="15"/>
      <c r="Y46" s="15" t="s">
        <v>320</v>
      </c>
      <c r="Z46" s="15" t="s">
        <v>191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 t="s">
        <v>170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61">
        <v>46044</v>
      </c>
      <c r="BE46" s="61" t="s">
        <v>192</v>
      </c>
      <c r="BF46" s="15" t="s">
        <v>219</v>
      </c>
      <c r="BG46" s="15" t="s">
        <v>219</v>
      </c>
      <c r="BH46" s="15" t="s">
        <v>219</v>
      </c>
      <c r="BI46" s="15" t="s">
        <v>199</v>
      </c>
      <c r="BJ46" s="15"/>
      <c r="BK46" s="15"/>
      <c r="BL46" s="15"/>
      <c r="BM46" s="15"/>
      <c r="BN46" s="15"/>
      <c r="BO46" s="64"/>
      <c r="BP46" s="15"/>
      <c r="BQ46" s="15"/>
      <c r="BR46" s="15"/>
      <c r="BS46" s="64"/>
      <c r="BT46" s="64">
        <v>46117</v>
      </c>
      <c r="BU46" s="64">
        <v>46188</v>
      </c>
      <c r="BV46" s="15"/>
      <c r="BW46" s="64"/>
      <c r="BX46" s="68"/>
      <c r="BY46" s="68">
        <v>1</v>
      </c>
      <c r="BZ46" s="68">
        <v>2</v>
      </c>
      <c r="CA46" s="68">
        <v>3</v>
      </c>
      <c r="CB46" s="68">
        <v>4</v>
      </c>
      <c r="CC46" s="68">
        <v>3</v>
      </c>
      <c r="CD46" s="68">
        <v>2</v>
      </c>
      <c r="CE46" s="68">
        <v>2</v>
      </c>
      <c r="CF46" s="68">
        <v>1</v>
      </c>
      <c r="CG46" s="68"/>
      <c r="CH46" s="68"/>
      <c r="CI46" s="68"/>
      <c r="CJ46" s="68"/>
      <c r="CK46" s="15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5">
        <f t="shared" si="8"/>
        <v>18</v>
      </c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 t="s">
        <v>176</v>
      </c>
      <c r="FF46" s="15"/>
      <c r="FG46" s="15"/>
      <c r="FH46" s="1" t="str">
        <f t="shared" si="9"/>
        <v>7825284960014702050919</v>
      </c>
      <c r="FI46" s="1" t="str">
        <f t="shared" si="10"/>
        <v>PRLS/25/12780</v>
      </c>
      <c r="FJ46" s="38" t="e">
        <f>VLOOKUP(FH46,[1]Sheet3!$A:$D,4,0)</f>
        <v>#N/A</v>
      </c>
      <c r="FL46" s="13"/>
    </row>
    <row r="47" spans="1:168" ht="21" hidden="1" x14ac:dyDescent="0.25">
      <c r="A47" s="15" t="s">
        <v>478</v>
      </c>
      <c r="B47" s="15" t="s">
        <v>149</v>
      </c>
      <c r="C47" s="15" t="s">
        <v>471</v>
      </c>
      <c r="D47" s="15" t="s">
        <v>479</v>
      </c>
      <c r="E47" s="15" t="s">
        <v>253</v>
      </c>
      <c r="F47" s="15" t="s">
        <v>254</v>
      </c>
      <c r="G47" s="15" t="s">
        <v>322</v>
      </c>
      <c r="H47" s="15" t="s">
        <v>316</v>
      </c>
      <c r="I47" s="15" t="s">
        <v>317</v>
      </c>
      <c r="J47" s="15" t="s">
        <v>480</v>
      </c>
      <c r="K47" s="15" t="s">
        <v>185</v>
      </c>
      <c r="L47" s="15" t="s">
        <v>318</v>
      </c>
      <c r="M47" s="15" t="s">
        <v>187</v>
      </c>
      <c r="N47" s="63">
        <v>30</v>
      </c>
      <c r="O47" s="15"/>
      <c r="P47" s="15">
        <v>38.29</v>
      </c>
      <c r="Q47" s="15" t="s">
        <v>319</v>
      </c>
      <c r="R47" s="15"/>
      <c r="S47" s="15" t="s">
        <v>235</v>
      </c>
      <c r="T47" s="15"/>
      <c r="U47" s="15"/>
      <c r="V47" s="15"/>
      <c r="W47" s="15"/>
      <c r="X47" s="15"/>
      <c r="Y47" s="15" t="s">
        <v>320</v>
      </c>
      <c r="Z47" s="15" t="s">
        <v>191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 t="s">
        <v>170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61">
        <v>46044</v>
      </c>
      <c r="BE47" s="61" t="s">
        <v>192</v>
      </c>
      <c r="BF47" s="15" t="s">
        <v>219</v>
      </c>
      <c r="BG47" s="15" t="s">
        <v>219</v>
      </c>
      <c r="BH47" s="15" t="s">
        <v>219</v>
      </c>
      <c r="BI47" s="15" t="s">
        <v>199</v>
      </c>
      <c r="BJ47" s="15"/>
      <c r="BK47" s="15"/>
      <c r="BL47" s="15"/>
      <c r="BM47" s="15"/>
      <c r="BN47" s="15"/>
      <c r="BO47" s="64"/>
      <c r="BP47" s="15"/>
      <c r="BQ47" s="15"/>
      <c r="BR47" s="15"/>
      <c r="BS47" s="64"/>
      <c r="BT47" s="64">
        <v>46117</v>
      </c>
      <c r="BU47" s="64">
        <v>46188</v>
      </c>
      <c r="BV47" s="15"/>
      <c r="BW47" s="64"/>
      <c r="BX47" s="68"/>
      <c r="BY47" s="68">
        <v>1</v>
      </c>
      <c r="BZ47" s="68">
        <v>2</v>
      </c>
      <c r="CA47" s="68">
        <v>13</v>
      </c>
      <c r="CB47" s="68">
        <v>13</v>
      </c>
      <c r="CC47" s="68">
        <v>1</v>
      </c>
      <c r="CD47" s="68"/>
      <c r="CE47" s="68"/>
      <c r="CF47" s="68"/>
      <c r="CG47" s="68"/>
      <c r="CH47" s="68"/>
      <c r="CI47" s="68"/>
      <c r="CJ47" s="68"/>
      <c r="CK47" s="15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5">
        <f t="shared" si="8"/>
        <v>30</v>
      </c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 t="s">
        <v>176</v>
      </c>
      <c r="FF47" s="15"/>
      <c r="FG47" s="15"/>
      <c r="FH47" s="1" t="str">
        <f t="shared" si="9"/>
        <v>7825284960014702050920</v>
      </c>
      <c r="FI47" s="1" t="str">
        <f t="shared" si="10"/>
        <v>PRLS/25/12780</v>
      </c>
      <c r="FJ47" s="38" t="e">
        <f>VLOOKUP(FH47,[1]Sheet3!$A:$D,4,0)</f>
        <v>#N/A</v>
      </c>
      <c r="FL47" s="13"/>
    </row>
    <row r="48" spans="1:168" ht="21" hidden="1" x14ac:dyDescent="0.25">
      <c r="A48" s="15" t="s">
        <v>478</v>
      </c>
      <c r="B48" s="15" t="s">
        <v>149</v>
      </c>
      <c r="C48" s="15" t="s">
        <v>471</v>
      </c>
      <c r="D48" s="15" t="s">
        <v>481</v>
      </c>
      <c r="E48" s="15" t="s">
        <v>227</v>
      </c>
      <c r="F48" s="15" t="s">
        <v>228</v>
      </c>
      <c r="G48" s="15" t="s">
        <v>322</v>
      </c>
      <c r="H48" s="15" t="s">
        <v>316</v>
      </c>
      <c r="I48" s="15" t="s">
        <v>317</v>
      </c>
      <c r="J48" s="15" t="s">
        <v>480</v>
      </c>
      <c r="K48" s="15" t="s">
        <v>185</v>
      </c>
      <c r="L48" s="15" t="s">
        <v>318</v>
      </c>
      <c r="M48" s="15" t="s">
        <v>187</v>
      </c>
      <c r="N48" s="63">
        <v>30</v>
      </c>
      <c r="O48" s="15"/>
      <c r="P48" s="15">
        <v>38.29</v>
      </c>
      <c r="Q48" s="15" t="s">
        <v>319</v>
      </c>
      <c r="R48" s="15"/>
      <c r="S48" s="15" t="s">
        <v>235</v>
      </c>
      <c r="T48" s="15"/>
      <c r="U48" s="15"/>
      <c r="V48" s="15"/>
      <c r="W48" s="15"/>
      <c r="X48" s="15"/>
      <c r="Y48" s="15" t="s">
        <v>320</v>
      </c>
      <c r="Z48" s="15" t="s">
        <v>191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 t="s">
        <v>170</v>
      </c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61">
        <v>46044</v>
      </c>
      <c r="BE48" s="61" t="s">
        <v>192</v>
      </c>
      <c r="BF48" s="15" t="s">
        <v>219</v>
      </c>
      <c r="BG48" s="15" t="s">
        <v>219</v>
      </c>
      <c r="BH48" s="15" t="s">
        <v>219</v>
      </c>
      <c r="BI48" s="15" t="s">
        <v>199</v>
      </c>
      <c r="BJ48" s="15"/>
      <c r="BK48" s="15"/>
      <c r="BL48" s="15"/>
      <c r="BM48" s="15"/>
      <c r="BN48" s="15"/>
      <c r="BO48" s="64"/>
      <c r="BP48" s="15"/>
      <c r="BQ48" s="15"/>
      <c r="BR48" s="15"/>
      <c r="BS48" s="64"/>
      <c r="BT48" s="64">
        <v>46117</v>
      </c>
      <c r="BU48" s="64">
        <v>46188</v>
      </c>
      <c r="BV48" s="15"/>
      <c r="BW48" s="64"/>
      <c r="BX48" s="68"/>
      <c r="BY48" s="68"/>
      <c r="BZ48" s="68">
        <v>3</v>
      </c>
      <c r="CA48" s="68">
        <v>8</v>
      </c>
      <c r="CB48" s="68">
        <v>17</v>
      </c>
      <c r="CC48" s="68">
        <v>2</v>
      </c>
      <c r="CD48" s="68"/>
      <c r="CE48" s="68"/>
      <c r="CF48" s="68"/>
      <c r="CG48" s="68"/>
      <c r="CH48" s="68"/>
      <c r="CI48" s="68"/>
      <c r="CJ48" s="68"/>
      <c r="CK48" s="15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5">
        <f t="shared" si="8"/>
        <v>30</v>
      </c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 t="s">
        <v>176</v>
      </c>
      <c r="FF48" s="15"/>
      <c r="FG48" s="15"/>
      <c r="FH48" s="1" t="str">
        <f t="shared" si="9"/>
        <v>7825284960014702050921</v>
      </c>
      <c r="FI48" s="1" t="str">
        <f t="shared" si="10"/>
        <v>PRLS/25/12780</v>
      </c>
      <c r="FJ48" s="38" t="e">
        <f>VLOOKUP(FH48,[1]Sheet3!$A:$D,4,0)</f>
        <v>#N/A</v>
      </c>
      <c r="FL48" s="13"/>
    </row>
    <row r="49" spans="1:168" ht="21" hidden="1" x14ac:dyDescent="0.25">
      <c r="A49" s="15" t="s">
        <v>470</v>
      </c>
      <c r="B49" s="15" t="s">
        <v>149</v>
      </c>
      <c r="C49" s="15" t="s">
        <v>471</v>
      </c>
      <c r="D49" s="15" t="s">
        <v>472</v>
      </c>
      <c r="E49" s="15" t="s">
        <v>210</v>
      </c>
      <c r="F49" s="15" t="s">
        <v>152</v>
      </c>
      <c r="G49" s="15" t="s">
        <v>321</v>
      </c>
      <c r="H49" s="15" t="s">
        <v>182</v>
      </c>
      <c r="I49" s="15" t="s">
        <v>183</v>
      </c>
      <c r="J49" s="15" t="s">
        <v>473</v>
      </c>
      <c r="K49" s="15" t="s">
        <v>185</v>
      </c>
      <c r="L49" s="15" t="s">
        <v>186</v>
      </c>
      <c r="M49" s="15" t="s">
        <v>187</v>
      </c>
      <c r="N49" s="63">
        <v>30</v>
      </c>
      <c r="O49" s="15"/>
      <c r="P49" s="15">
        <v>49.18</v>
      </c>
      <c r="Q49" s="15" t="s">
        <v>188</v>
      </c>
      <c r="R49" s="15"/>
      <c r="S49" s="15" t="s">
        <v>217</v>
      </c>
      <c r="T49" s="15"/>
      <c r="U49" s="15"/>
      <c r="V49" s="15"/>
      <c r="W49" s="15"/>
      <c r="X49" s="15"/>
      <c r="Y49" s="15" t="s">
        <v>218</v>
      </c>
      <c r="Z49" s="15" t="s">
        <v>191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 t="s">
        <v>170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61">
        <v>46044</v>
      </c>
      <c r="BE49" s="61" t="s">
        <v>192</v>
      </c>
      <c r="BF49" s="15" t="s">
        <v>219</v>
      </c>
      <c r="BG49" s="15" t="s">
        <v>219</v>
      </c>
      <c r="BH49" s="15" t="s">
        <v>219</v>
      </c>
      <c r="BI49" s="15" t="s">
        <v>199</v>
      </c>
      <c r="BJ49" s="15"/>
      <c r="BK49" s="15"/>
      <c r="BL49" s="15"/>
      <c r="BM49" s="15"/>
      <c r="BN49" s="15"/>
      <c r="BO49" s="64"/>
      <c r="BP49" s="15"/>
      <c r="BQ49" s="15"/>
      <c r="BR49" s="15"/>
      <c r="BS49" s="64"/>
      <c r="BT49" s="64">
        <v>46117</v>
      </c>
      <c r="BU49" s="64">
        <v>46188</v>
      </c>
      <c r="BV49" s="15"/>
      <c r="BW49" s="64"/>
      <c r="BX49" s="68"/>
      <c r="BY49" s="68">
        <v>3</v>
      </c>
      <c r="BZ49" s="68">
        <v>5</v>
      </c>
      <c r="CA49" s="68">
        <v>5</v>
      </c>
      <c r="CB49" s="68">
        <v>3</v>
      </c>
      <c r="CC49" s="68">
        <v>4</v>
      </c>
      <c r="CD49" s="68">
        <v>3</v>
      </c>
      <c r="CE49" s="68">
        <v>5</v>
      </c>
      <c r="CF49" s="68">
        <v>2</v>
      </c>
      <c r="CG49" s="68"/>
      <c r="CH49" s="68"/>
      <c r="CI49" s="68"/>
      <c r="CJ49" s="68"/>
      <c r="CK49" s="15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5">
        <f t="shared" si="8"/>
        <v>30</v>
      </c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 t="s">
        <v>176</v>
      </c>
      <c r="FF49" s="15"/>
      <c r="FG49" s="15"/>
      <c r="FH49" s="1" t="str">
        <f t="shared" si="9"/>
        <v>7825815960014702050922</v>
      </c>
      <c r="FI49" s="1" t="str">
        <f t="shared" si="10"/>
        <v>PRLS/25/12782</v>
      </c>
      <c r="FJ49" s="38" t="e">
        <f>VLOOKUP(FH49,[1]Sheet3!$A:$D,4,0)</f>
        <v>#N/A</v>
      </c>
      <c r="FL49" s="13"/>
    </row>
    <row r="50" spans="1:168" ht="21" hidden="1" x14ac:dyDescent="0.25">
      <c r="A50" s="15" t="s">
        <v>470</v>
      </c>
      <c r="B50" s="15" t="s">
        <v>149</v>
      </c>
      <c r="C50" s="15" t="s">
        <v>471</v>
      </c>
      <c r="D50" s="15" t="s">
        <v>476</v>
      </c>
      <c r="E50" s="15" t="s">
        <v>180</v>
      </c>
      <c r="F50" s="15" t="s">
        <v>181</v>
      </c>
      <c r="G50" s="15" t="s">
        <v>321</v>
      </c>
      <c r="H50" s="15" t="s">
        <v>182</v>
      </c>
      <c r="I50" s="15" t="s">
        <v>183</v>
      </c>
      <c r="J50" s="15" t="s">
        <v>473</v>
      </c>
      <c r="K50" s="15" t="s">
        <v>185</v>
      </c>
      <c r="L50" s="15" t="s">
        <v>186</v>
      </c>
      <c r="M50" s="15" t="s">
        <v>187</v>
      </c>
      <c r="N50" s="63">
        <v>91</v>
      </c>
      <c r="O50" s="15"/>
      <c r="P50" s="15">
        <v>49.18</v>
      </c>
      <c r="Q50" s="15" t="s">
        <v>188</v>
      </c>
      <c r="R50" s="15"/>
      <c r="S50" s="15" t="s">
        <v>217</v>
      </c>
      <c r="T50" s="15"/>
      <c r="U50" s="15"/>
      <c r="V50" s="15"/>
      <c r="W50" s="15"/>
      <c r="X50" s="15"/>
      <c r="Y50" s="15" t="s">
        <v>218</v>
      </c>
      <c r="Z50" s="15" t="s">
        <v>191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 t="s">
        <v>170</v>
      </c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61">
        <v>46044</v>
      </c>
      <c r="BE50" s="61" t="s">
        <v>192</v>
      </c>
      <c r="BF50" s="15" t="s">
        <v>219</v>
      </c>
      <c r="BG50" s="15" t="s">
        <v>219</v>
      </c>
      <c r="BH50" s="15" t="s">
        <v>219</v>
      </c>
      <c r="BI50" s="15" t="s">
        <v>199</v>
      </c>
      <c r="BJ50" s="15"/>
      <c r="BK50" s="15"/>
      <c r="BL50" s="15"/>
      <c r="BM50" s="15"/>
      <c r="BN50" s="15"/>
      <c r="BO50" s="64"/>
      <c r="BP50" s="15"/>
      <c r="BQ50" s="15"/>
      <c r="BR50" s="15"/>
      <c r="BS50" s="64"/>
      <c r="BT50" s="64">
        <v>46117</v>
      </c>
      <c r="BU50" s="64">
        <v>46188</v>
      </c>
      <c r="BV50" s="15"/>
      <c r="BW50" s="64"/>
      <c r="BX50" s="68">
        <v>1</v>
      </c>
      <c r="BY50" s="68">
        <v>3</v>
      </c>
      <c r="BZ50" s="68">
        <v>8</v>
      </c>
      <c r="CA50" s="68">
        <v>25</v>
      </c>
      <c r="CB50" s="68">
        <v>21</v>
      </c>
      <c r="CC50" s="68">
        <v>17</v>
      </c>
      <c r="CD50" s="68">
        <v>9</v>
      </c>
      <c r="CE50" s="68">
        <v>4</v>
      </c>
      <c r="CF50" s="68">
        <v>3</v>
      </c>
      <c r="CG50" s="68"/>
      <c r="CH50" s="68"/>
      <c r="CI50" s="68"/>
      <c r="CJ50" s="68"/>
      <c r="CK50" s="15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5">
        <f t="shared" si="8"/>
        <v>91</v>
      </c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 t="s">
        <v>176</v>
      </c>
      <c r="FF50" s="15"/>
      <c r="FG50" s="15"/>
      <c r="FH50" s="1" t="str">
        <f t="shared" si="9"/>
        <v>7825815960014702050923</v>
      </c>
      <c r="FI50" s="1" t="str">
        <f t="shared" si="10"/>
        <v>PRLS/25/12782</v>
      </c>
      <c r="FJ50" s="38" t="e">
        <f>VLOOKUP(FH50,[1]Sheet3!$A:$D,4,0)</f>
        <v>#N/A</v>
      </c>
      <c r="FL50" s="13"/>
    </row>
    <row r="51" spans="1:168" ht="21" hidden="1" x14ac:dyDescent="0.25">
      <c r="A51" s="15" t="s">
        <v>470</v>
      </c>
      <c r="B51" s="15" t="s">
        <v>149</v>
      </c>
      <c r="C51" s="15" t="s">
        <v>471</v>
      </c>
      <c r="D51" s="15" t="s">
        <v>475</v>
      </c>
      <c r="E51" s="15" t="s">
        <v>208</v>
      </c>
      <c r="F51" s="15" t="s">
        <v>181</v>
      </c>
      <c r="G51" s="15" t="s">
        <v>321</v>
      </c>
      <c r="H51" s="15" t="s">
        <v>182</v>
      </c>
      <c r="I51" s="15" t="s">
        <v>183</v>
      </c>
      <c r="J51" s="15" t="s">
        <v>473</v>
      </c>
      <c r="K51" s="15" t="s">
        <v>185</v>
      </c>
      <c r="L51" s="15" t="s">
        <v>186</v>
      </c>
      <c r="M51" s="15" t="s">
        <v>187</v>
      </c>
      <c r="N51" s="63">
        <v>9</v>
      </c>
      <c r="O51" s="15"/>
      <c r="P51" s="15">
        <v>49.18</v>
      </c>
      <c r="Q51" s="15" t="s">
        <v>188</v>
      </c>
      <c r="R51" s="15"/>
      <c r="S51" s="15" t="s">
        <v>217</v>
      </c>
      <c r="T51" s="15"/>
      <c r="U51" s="15"/>
      <c r="V51" s="15"/>
      <c r="W51" s="15"/>
      <c r="X51" s="15"/>
      <c r="Y51" s="15" t="s">
        <v>218</v>
      </c>
      <c r="Z51" s="15" t="s">
        <v>191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 t="s">
        <v>170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61">
        <v>46044</v>
      </c>
      <c r="BE51" s="61" t="s">
        <v>192</v>
      </c>
      <c r="BF51" s="15" t="s">
        <v>219</v>
      </c>
      <c r="BG51" s="15" t="s">
        <v>219</v>
      </c>
      <c r="BH51" s="15" t="s">
        <v>219</v>
      </c>
      <c r="BI51" s="15" t="s">
        <v>199</v>
      </c>
      <c r="BJ51" s="15"/>
      <c r="BK51" s="15"/>
      <c r="BL51" s="15"/>
      <c r="BM51" s="15"/>
      <c r="BN51" s="15"/>
      <c r="BO51" s="64"/>
      <c r="BP51" s="15"/>
      <c r="BQ51" s="15"/>
      <c r="BR51" s="15"/>
      <c r="BS51" s="64"/>
      <c r="BT51" s="64">
        <v>46117</v>
      </c>
      <c r="BU51" s="64">
        <v>46188</v>
      </c>
      <c r="BV51" s="15"/>
      <c r="BW51" s="64"/>
      <c r="BX51" s="68"/>
      <c r="BY51" s="68"/>
      <c r="BZ51" s="68">
        <v>1</v>
      </c>
      <c r="CA51" s="68">
        <v>2</v>
      </c>
      <c r="CB51" s="68">
        <v>3</v>
      </c>
      <c r="CC51" s="68">
        <v>2</v>
      </c>
      <c r="CD51" s="68">
        <v>1</v>
      </c>
      <c r="CE51" s="68"/>
      <c r="CF51" s="68"/>
      <c r="CG51" s="68"/>
      <c r="CH51" s="68"/>
      <c r="CI51" s="68"/>
      <c r="CJ51" s="68"/>
      <c r="CK51" s="15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5">
        <f t="shared" si="8"/>
        <v>9</v>
      </c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 t="s">
        <v>176</v>
      </c>
      <c r="FF51" s="15"/>
      <c r="FG51" s="15"/>
      <c r="FH51" s="1" t="str">
        <f t="shared" si="9"/>
        <v>7825815960014702050924</v>
      </c>
      <c r="FI51" s="1" t="str">
        <f t="shared" si="10"/>
        <v>PRLS/25/12782</v>
      </c>
      <c r="FJ51" s="38" t="e">
        <f>VLOOKUP(FH51,[1]Sheet3!$A:$D,4,0)</f>
        <v>#N/A</v>
      </c>
      <c r="FL51" s="13"/>
    </row>
    <row r="52" spans="1:168" ht="21" hidden="1" x14ac:dyDescent="0.25">
      <c r="A52" s="15" t="s">
        <v>470</v>
      </c>
      <c r="B52" s="15" t="s">
        <v>149</v>
      </c>
      <c r="C52" s="15" t="s">
        <v>471</v>
      </c>
      <c r="D52" s="15" t="s">
        <v>474</v>
      </c>
      <c r="E52" s="15" t="s">
        <v>253</v>
      </c>
      <c r="F52" s="15" t="s">
        <v>254</v>
      </c>
      <c r="G52" s="15" t="s">
        <v>322</v>
      </c>
      <c r="H52" s="15" t="s">
        <v>182</v>
      </c>
      <c r="I52" s="15" t="s">
        <v>183</v>
      </c>
      <c r="J52" s="15" t="s">
        <v>473</v>
      </c>
      <c r="K52" s="15" t="s">
        <v>185</v>
      </c>
      <c r="L52" s="15" t="s">
        <v>186</v>
      </c>
      <c r="M52" s="15" t="s">
        <v>187</v>
      </c>
      <c r="N52" s="63">
        <v>30</v>
      </c>
      <c r="O52" s="15"/>
      <c r="P52" s="15">
        <v>49.18</v>
      </c>
      <c r="Q52" s="15" t="s">
        <v>188</v>
      </c>
      <c r="R52" s="15"/>
      <c r="S52" s="15" t="s">
        <v>217</v>
      </c>
      <c r="T52" s="15"/>
      <c r="U52" s="15"/>
      <c r="V52" s="15"/>
      <c r="W52" s="15"/>
      <c r="X52" s="15"/>
      <c r="Y52" s="15" t="s">
        <v>218</v>
      </c>
      <c r="Z52" s="15" t="s">
        <v>191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 t="s">
        <v>170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61">
        <v>46044</v>
      </c>
      <c r="BE52" s="61" t="s">
        <v>192</v>
      </c>
      <c r="BF52" s="15" t="s">
        <v>219</v>
      </c>
      <c r="BG52" s="15" t="s">
        <v>219</v>
      </c>
      <c r="BH52" s="15" t="s">
        <v>219</v>
      </c>
      <c r="BI52" s="15" t="s">
        <v>199</v>
      </c>
      <c r="BJ52" s="15"/>
      <c r="BK52" s="15"/>
      <c r="BL52" s="15"/>
      <c r="BM52" s="15"/>
      <c r="BN52" s="15"/>
      <c r="BO52" s="64"/>
      <c r="BP52" s="15"/>
      <c r="BQ52" s="15"/>
      <c r="BR52" s="15"/>
      <c r="BS52" s="64"/>
      <c r="BT52" s="64">
        <v>46117</v>
      </c>
      <c r="BU52" s="64">
        <v>46188</v>
      </c>
      <c r="BV52" s="15"/>
      <c r="BW52" s="64"/>
      <c r="BX52" s="68"/>
      <c r="BY52" s="68"/>
      <c r="BZ52" s="68">
        <v>5</v>
      </c>
      <c r="CA52" s="68">
        <v>6</v>
      </c>
      <c r="CB52" s="68">
        <v>10</v>
      </c>
      <c r="CC52" s="68">
        <v>2</v>
      </c>
      <c r="CD52" s="68">
        <v>6</v>
      </c>
      <c r="CE52" s="68">
        <v>1</v>
      </c>
      <c r="CF52" s="68"/>
      <c r="CG52" s="68"/>
      <c r="CH52" s="68"/>
      <c r="CI52" s="68"/>
      <c r="CJ52" s="68"/>
      <c r="CK52" s="15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5">
        <f t="shared" si="8"/>
        <v>30</v>
      </c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 t="s">
        <v>176</v>
      </c>
      <c r="FF52" s="15"/>
      <c r="FG52" s="15"/>
      <c r="FH52" s="1" t="str">
        <f t="shared" si="9"/>
        <v>7825815960014702050925</v>
      </c>
      <c r="FI52" s="1" t="str">
        <f t="shared" si="10"/>
        <v>PRLS/25/12782</v>
      </c>
      <c r="FJ52" s="38" t="e">
        <f>VLOOKUP(FH52,[1]Sheet3!$A:$D,4,0)</f>
        <v>#N/A</v>
      </c>
      <c r="FL52" s="13"/>
    </row>
    <row r="53" spans="1:168" ht="21" hidden="1" x14ac:dyDescent="0.25">
      <c r="A53" s="15" t="s">
        <v>470</v>
      </c>
      <c r="B53" s="15" t="s">
        <v>149</v>
      </c>
      <c r="C53" s="15" t="s">
        <v>471</v>
      </c>
      <c r="D53" s="15" t="s">
        <v>477</v>
      </c>
      <c r="E53" s="15" t="s">
        <v>227</v>
      </c>
      <c r="F53" s="15" t="s">
        <v>228</v>
      </c>
      <c r="G53" s="15" t="s">
        <v>322</v>
      </c>
      <c r="H53" s="15" t="s">
        <v>182</v>
      </c>
      <c r="I53" s="15" t="s">
        <v>183</v>
      </c>
      <c r="J53" s="15" t="s">
        <v>473</v>
      </c>
      <c r="K53" s="15" t="s">
        <v>185</v>
      </c>
      <c r="L53" s="15" t="s">
        <v>186</v>
      </c>
      <c r="M53" s="15" t="s">
        <v>187</v>
      </c>
      <c r="N53" s="63">
        <v>40</v>
      </c>
      <c r="O53" s="15"/>
      <c r="P53" s="15">
        <v>49.18</v>
      </c>
      <c r="Q53" s="15" t="s">
        <v>188</v>
      </c>
      <c r="R53" s="15"/>
      <c r="S53" s="15" t="s">
        <v>217</v>
      </c>
      <c r="T53" s="15"/>
      <c r="U53" s="15"/>
      <c r="V53" s="15"/>
      <c r="W53" s="15"/>
      <c r="X53" s="15"/>
      <c r="Y53" s="15" t="s">
        <v>218</v>
      </c>
      <c r="Z53" s="15" t="s">
        <v>191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 t="s">
        <v>170</v>
      </c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61">
        <v>46044</v>
      </c>
      <c r="BE53" s="61" t="s">
        <v>192</v>
      </c>
      <c r="BF53" s="15" t="s">
        <v>219</v>
      </c>
      <c r="BG53" s="15" t="s">
        <v>219</v>
      </c>
      <c r="BH53" s="15" t="s">
        <v>219</v>
      </c>
      <c r="BI53" s="15" t="s">
        <v>199</v>
      </c>
      <c r="BJ53" s="15"/>
      <c r="BK53" s="15"/>
      <c r="BL53" s="15"/>
      <c r="BM53" s="15"/>
      <c r="BN53" s="15"/>
      <c r="BO53" s="64"/>
      <c r="BP53" s="15"/>
      <c r="BQ53" s="15"/>
      <c r="BR53" s="15"/>
      <c r="BS53" s="64"/>
      <c r="BT53" s="64">
        <v>46117</v>
      </c>
      <c r="BU53" s="64">
        <v>46188</v>
      </c>
      <c r="BV53" s="15"/>
      <c r="BW53" s="64"/>
      <c r="BX53" s="68"/>
      <c r="BY53" s="68">
        <v>1</v>
      </c>
      <c r="BZ53" s="68">
        <v>2</v>
      </c>
      <c r="CA53" s="68">
        <v>12</v>
      </c>
      <c r="CB53" s="68">
        <v>17</v>
      </c>
      <c r="CC53" s="68">
        <v>7</v>
      </c>
      <c r="CD53" s="68">
        <v>1</v>
      </c>
      <c r="CE53" s="68"/>
      <c r="CF53" s="68"/>
      <c r="CG53" s="68"/>
      <c r="CH53" s="68"/>
      <c r="CI53" s="68"/>
      <c r="CJ53" s="68"/>
      <c r="CK53" s="15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5">
        <f t="shared" si="8"/>
        <v>40</v>
      </c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 t="s">
        <v>176</v>
      </c>
      <c r="FF53" s="15"/>
      <c r="FG53" s="15"/>
      <c r="FH53" s="1" t="str">
        <f t="shared" si="9"/>
        <v>7825815960014702050926</v>
      </c>
      <c r="FI53" s="1" t="str">
        <f t="shared" si="10"/>
        <v>PRLS/25/12782</v>
      </c>
      <c r="FJ53" s="38" t="e">
        <f>VLOOKUP(FH53,[1]Sheet3!$A:$D,4,0)</f>
        <v>#N/A</v>
      </c>
      <c r="FL53" s="13"/>
    </row>
    <row r="54" spans="1:168" ht="21" hidden="1" x14ac:dyDescent="0.25">
      <c r="A54" s="15" t="s">
        <v>140</v>
      </c>
      <c r="B54" s="15">
        <v>999</v>
      </c>
      <c r="C54" s="15" t="s">
        <v>490</v>
      </c>
      <c r="D54" s="15" t="s">
        <v>491</v>
      </c>
      <c r="E54" s="15" t="s">
        <v>180</v>
      </c>
      <c r="F54" s="15" t="s">
        <v>181</v>
      </c>
      <c r="G54" s="15" t="s">
        <v>321</v>
      </c>
      <c r="H54" s="15" t="s">
        <v>406</v>
      </c>
      <c r="I54" s="15" t="s">
        <v>381</v>
      </c>
      <c r="J54" s="15" t="s">
        <v>382</v>
      </c>
      <c r="K54" s="15"/>
      <c r="L54" s="15" t="s">
        <v>383</v>
      </c>
      <c r="M54" s="15" t="s">
        <v>275</v>
      </c>
      <c r="N54" s="60">
        <v>300</v>
      </c>
      <c r="O54" s="15"/>
      <c r="P54" s="15"/>
      <c r="Q54" s="15" t="s">
        <v>407</v>
      </c>
      <c r="R54" s="15"/>
      <c r="S54" s="15" t="s">
        <v>217</v>
      </c>
      <c r="T54" s="15"/>
      <c r="U54" s="15"/>
      <c r="V54" s="15"/>
      <c r="W54" s="15"/>
      <c r="X54" s="15"/>
      <c r="Y54" s="15" t="s">
        <v>190</v>
      </c>
      <c r="Z54" s="15" t="s">
        <v>373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61"/>
      <c r="BE54" s="61"/>
      <c r="BF54" s="15"/>
      <c r="BG54" s="15"/>
      <c r="BH54" s="15"/>
      <c r="BI54" s="15"/>
      <c r="BJ54" s="15"/>
      <c r="BK54" s="15"/>
      <c r="BL54" s="15"/>
      <c r="BM54" s="15"/>
      <c r="BN54" s="15"/>
      <c r="BO54" s="64"/>
      <c r="BP54" s="15"/>
      <c r="BQ54" s="15"/>
      <c r="BR54" s="15"/>
      <c r="BS54" s="64"/>
      <c r="BT54" s="64"/>
      <c r="BU54" s="64">
        <v>46068</v>
      </c>
      <c r="BV54" s="15"/>
      <c r="BW54" s="64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15">
        <v>10</v>
      </c>
      <c r="CL54" s="68">
        <v>70</v>
      </c>
      <c r="CM54" s="68">
        <v>50</v>
      </c>
      <c r="CN54" s="68">
        <v>110</v>
      </c>
      <c r="CO54" s="68">
        <v>50</v>
      </c>
      <c r="CP54" s="68">
        <v>10</v>
      </c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5">
        <f t="shared" ref="EQ54:EQ70" si="11">SUM(BX54:EP54)</f>
        <v>300</v>
      </c>
      <c r="ER54" s="6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 t="s">
        <v>202</v>
      </c>
      <c r="FF54" s="15"/>
      <c r="FG54" s="15"/>
      <c r="FH54" s="1" t="str">
        <f t="shared" ref="FH54:FH70" si="12">H54&amp;D54</f>
        <v>7105490840084702062177</v>
      </c>
      <c r="FI54" s="1" t="str">
        <f t="shared" ref="FI54:FI70" si="13">A54</f>
        <v>TBC</v>
      </c>
      <c r="FJ54" s="38"/>
      <c r="FL54" s="13"/>
    </row>
    <row r="55" spans="1:168" ht="21" hidden="1" x14ac:dyDescent="0.25">
      <c r="A55" s="15" t="s">
        <v>140</v>
      </c>
      <c r="B55" s="15">
        <v>999</v>
      </c>
      <c r="C55" s="15" t="s">
        <v>490</v>
      </c>
      <c r="D55" s="15" t="s">
        <v>493</v>
      </c>
      <c r="E55" s="15" t="s">
        <v>180</v>
      </c>
      <c r="F55" s="15" t="s">
        <v>181</v>
      </c>
      <c r="G55" s="15" t="s">
        <v>321</v>
      </c>
      <c r="H55" s="15" t="s">
        <v>283</v>
      </c>
      <c r="I55" s="15" t="s">
        <v>284</v>
      </c>
      <c r="J55" s="15" t="s">
        <v>213</v>
      </c>
      <c r="K55" s="15"/>
      <c r="L55" s="15" t="s">
        <v>214</v>
      </c>
      <c r="M55" s="15" t="s">
        <v>285</v>
      </c>
      <c r="N55" s="60">
        <v>75</v>
      </c>
      <c r="O55" s="15"/>
      <c r="P55" s="15"/>
      <c r="Q55" s="15" t="s">
        <v>286</v>
      </c>
      <c r="R55" s="15"/>
      <c r="S55" s="15" t="s">
        <v>217</v>
      </c>
      <c r="T55" s="15"/>
      <c r="U55" s="15"/>
      <c r="V55" s="15"/>
      <c r="W55" s="15"/>
      <c r="X55" s="15"/>
      <c r="Y55" s="15" t="s">
        <v>190</v>
      </c>
      <c r="Z55" s="15" t="s">
        <v>373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61"/>
      <c r="BE55" s="61"/>
      <c r="BF55" s="15"/>
      <c r="BG55" s="15"/>
      <c r="BH55" s="15"/>
      <c r="BI55" s="15"/>
      <c r="BJ55" s="15"/>
      <c r="BK55" s="15"/>
      <c r="BL55" s="15"/>
      <c r="BM55" s="15"/>
      <c r="BN55" s="15"/>
      <c r="BO55" s="64"/>
      <c r="BP55" s="15"/>
      <c r="BQ55" s="15"/>
      <c r="BR55" s="15"/>
      <c r="BS55" s="64"/>
      <c r="BT55" s="64"/>
      <c r="BU55" s="64">
        <v>46068</v>
      </c>
      <c r="BV55" s="15"/>
      <c r="BW55" s="64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15"/>
      <c r="CL55" s="68">
        <v>10</v>
      </c>
      <c r="CM55" s="68">
        <v>15</v>
      </c>
      <c r="CN55" s="68">
        <v>15</v>
      </c>
      <c r="CO55" s="68">
        <v>10</v>
      </c>
      <c r="CP55" s="68">
        <v>25</v>
      </c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5">
        <f t="shared" si="11"/>
        <v>75</v>
      </c>
      <c r="ER55" s="6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 t="s">
        <v>202</v>
      </c>
      <c r="FF55" s="15"/>
      <c r="FG55" s="15"/>
      <c r="FH55" s="1" t="str">
        <f t="shared" si="12"/>
        <v>7106319890174702062178</v>
      </c>
      <c r="FI55" s="1" t="str">
        <f t="shared" si="13"/>
        <v>TBC</v>
      </c>
      <c r="FJ55" s="38"/>
      <c r="FL55" s="13"/>
    </row>
    <row r="56" spans="1:168" ht="21" hidden="1" x14ac:dyDescent="0.25">
      <c r="A56" s="15" t="s">
        <v>140</v>
      </c>
      <c r="B56" s="15">
        <v>999</v>
      </c>
      <c r="C56" s="15" t="s">
        <v>490</v>
      </c>
      <c r="D56" s="15" t="s">
        <v>492</v>
      </c>
      <c r="E56" s="15" t="s">
        <v>208</v>
      </c>
      <c r="F56" s="15" t="s">
        <v>181</v>
      </c>
      <c r="G56" s="15" t="s">
        <v>321</v>
      </c>
      <c r="H56" s="15" t="s">
        <v>283</v>
      </c>
      <c r="I56" s="15" t="s">
        <v>284</v>
      </c>
      <c r="J56" s="15" t="s">
        <v>213</v>
      </c>
      <c r="K56" s="15"/>
      <c r="L56" s="15" t="s">
        <v>214</v>
      </c>
      <c r="M56" s="15" t="s">
        <v>285</v>
      </c>
      <c r="N56" s="60">
        <v>1000</v>
      </c>
      <c r="O56" s="15"/>
      <c r="P56" s="15"/>
      <c r="Q56" s="15" t="s">
        <v>286</v>
      </c>
      <c r="R56" s="15"/>
      <c r="S56" s="15" t="s">
        <v>217</v>
      </c>
      <c r="T56" s="15"/>
      <c r="U56" s="15"/>
      <c r="V56" s="15"/>
      <c r="W56" s="15"/>
      <c r="X56" s="15"/>
      <c r="Y56" s="15" t="s">
        <v>190</v>
      </c>
      <c r="Z56" s="15" t="s">
        <v>373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61"/>
      <c r="BE56" s="61"/>
      <c r="BF56" s="15"/>
      <c r="BG56" s="15"/>
      <c r="BH56" s="15"/>
      <c r="BI56" s="15"/>
      <c r="BJ56" s="15"/>
      <c r="BK56" s="15"/>
      <c r="BL56" s="15"/>
      <c r="BM56" s="15"/>
      <c r="BN56" s="15"/>
      <c r="BO56" s="64"/>
      <c r="BP56" s="15"/>
      <c r="BQ56" s="15"/>
      <c r="BR56" s="15"/>
      <c r="BS56" s="64"/>
      <c r="BT56" s="64"/>
      <c r="BU56" s="64">
        <v>46068</v>
      </c>
      <c r="BV56" s="15"/>
      <c r="BW56" s="64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15">
        <v>10</v>
      </c>
      <c r="CL56" s="68">
        <v>86</v>
      </c>
      <c r="CM56" s="68">
        <v>264</v>
      </c>
      <c r="CN56" s="68">
        <v>292</v>
      </c>
      <c r="CO56" s="68">
        <v>219</v>
      </c>
      <c r="CP56" s="68">
        <v>129</v>
      </c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5">
        <f t="shared" si="11"/>
        <v>1000</v>
      </c>
      <c r="ER56" s="6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 t="s">
        <v>202</v>
      </c>
      <c r="FF56" s="15"/>
      <c r="FG56" s="15"/>
      <c r="FH56" s="1" t="str">
        <f t="shared" si="12"/>
        <v>7106319890174702062179</v>
      </c>
      <c r="FI56" s="1" t="str">
        <f t="shared" si="13"/>
        <v>TBC</v>
      </c>
      <c r="FJ56" s="38"/>
      <c r="FL56" s="13"/>
    </row>
    <row r="57" spans="1:168" ht="21" hidden="1" x14ac:dyDescent="0.25">
      <c r="A57" s="15" t="s">
        <v>140</v>
      </c>
      <c r="B57" s="15">
        <v>999</v>
      </c>
      <c r="C57" s="15" t="s">
        <v>490</v>
      </c>
      <c r="D57" s="15" t="s">
        <v>494</v>
      </c>
      <c r="E57" s="15" t="s">
        <v>208</v>
      </c>
      <c r="F57" s="15" t="s">
        <v>181</v>
      </c>
      <c r="G57" s="15" t="s">
        <v>321</v>
      </c>
      <c r="H57" s="15" t="s">
        <v>294</v>
      </c>
      <c r="I57" s="15" t="s">
        <v>288</v>
      </c>
      <c r="J57" s="15" t="s">
        <v>289</v>
      </c>
      <c r="K57" s="15"/>
      <c r="L57" s="15" t="s">
        <v>290</v>
      </c>
      <c r="M57" s="15" t="s">
        <v>275</v>
      </c>
      <c r="N57" s="60">
        <v>752</v>
      </c>
      <c r="O57" s="15"/>
      <c r="P57" s="15"/>
      <c r="Q57" s="15" t="s">
        <v>295</v>
      </c>
      <c r="R57" s="15"/>
      <c r="S57" s="15" t="s">
        <v>217</v>
      </c>
      <c r="T57" s="15"/>
      <c r="U57" s="15"/>
      <c r="V57" s="15"/>
      <c r="W57" s="15"/>
      <c r="X57" s="15"/>
      <c r="Y57" s="15" t="s">
        <v>190</v>
      </c>
      <c r="Z57" s="15" t="s">
        <v>373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61"/>
      <c r="BE57" s="61"/>
      <c r="BF57" s="15"/>
      <c r="BG57" s="15"/>
      <c r="BH57" s="15"/>
      <c r="BI57" s="15"/>
      <c r="BJ57" s="15"/>
      <c r="BK57" s="15"/>
      <c r="BL57" s="15"/>
      <c r="BM57" s="15"/>
      <c r="BN57" s="15"/>
      <c r="BO57" s="64"/>
      <c r="BP57" s="15"/>
      <c r="BQ57" s="15"/>
      <c r="BR57" s="15"/>
      <c r="BS57" s="64"/>
      <c r="BT57" s="64"/>
      <c r="BU57" s="64">
        <v>46068</v>
      </c>
      <c r="BV57" s="15"/>
      <c r="BW57" s="64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15"/>
      <c r="CL57" s="68">
        <v>206</v>
      </c>
      <c r="CM57" s="68">
        <v>233</v>
      </c>
      <c r="CN57" s="68">
        <v>218</v>
      </c>
      <c r="CO57" s="68">
        <v>13</v>
      </c>
      <c r="CP57" s="68">
        <v>82</v>
      </c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5">
        <f t="shared" si="11"/>
        <v>752</v>
      </c>
      <c r="ER57" s="6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 t="s">
        <v>202</v>
      </c>
      <c r="FF57" s="15"/>
      <c r="FG57" s="15"/>
      <c r="FH57" s="1" t="str">
        <f t="shared" si="12"/>
        <v>7107949420034702062180</v>
      </c>
      <c r="FI57" s="1" t="str">
        <f t="shared" si="13"/>
        <v>TBC</v>
      </c>
      <c r="FJ57" s="38"/>
      <c r="FL57" s="13"/>
    </row>
    <row r="58" spans="1:168" ht="21" hidden="1" x14ac:dyDescent="0.25">
      <c r="A58" s="15" t="s">
        <v>140</v>
      </c>
      <c r="B58" s="15">
        <v>999</v>
      </c>
      <c r="C58" s="15" t="s">
        <v>490</v>
      </c>
      <c r="D58" s="15" t="s">
        <v>495</v>
      </c>
      <c r="E58" s="15" t="s">
        <v>180</v>
      </c>
      <c r="F58" s="15" t="s">
        <v>181</v>
      </c>
      <c r="G58" s="15" t="s">
        <v>321</v>
      </c>
      <c r="H58" s="15" t="s">
        <v>385</v>
      </c>
      <c r="I58" s="15" t="s">
        <v>224</v>
      </c>
      <c r="J58" s="15" t="s">
        <v>297</v>
      </c>
      <c r="K58" s="15"/>
      <c r="L58" s="15" t="s">
        <v>225</v>
      </c>
      <c r="M58" s="15" t="s">
        <v>281</v>
      </c>
      <c r="N58" s="60">
        <v>300</v>
      </c>
      <c r="O58" s="15"/>
      <c r="P58" s="15"/>
      <c r="Q58" s="15" t="s">
        <v>386</v>
      </c>
      <c r="R58" s="15"/>
      <c r="S58" s="15" t="s">
        <v>217</v>
      </c>
      <c r="T58" s="15"/>
      <c r="U58" s="15"/>
      <c r="V58" s="15"/>
      <c r="W58" s="15"/>
      <c r="X58" s="15"/>
      <c r="Y58" s="15" t="s">
        <v>190</v>
      </c>
      <c r="Z58" s="15" t="s">
        <v>373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61"/>
      <c r="BE58" s="61"/>
      <c r="BF58" s="15"/>
      <c r="BG58" s="15"/>
      <c r="BH58" s="15"/>
      <c r="BI58" s="15"/>
      <c r="BJ58" s="15"/>
      <c r="BK58" s="15"/>
      <c r="BL58" s="15"/>
      <c r="BM58" s="15"/>
      <c r="BN58" s="15"/>
      <c r="BO58" s="64"/>
      <c r="BP58" s="15"/>
      <c r="BQ58" s="15"/>
      <c r="BR58" s="15"/>
      <c r="BS58" s="64"/>
      <c r="BT58" s="64"/>
      <c r="BU58" s="64">
        <v>46068</v>
      </c>
      <c r="BV58" s="15"/>
      <c r="BW58" s="64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15"/>
      <c r="CL58" s="68"/>
      <c r="CM58" s="68"/>
      <c r="CN58" s="68"/>
      <c r="CO58" s="68"/>
      <c r="CP58" s="68"/>
      <c r="CQ58" s="68"/>
      <c r="CR58" s="68"/>
      <c r="CS58" s="68"/>
      <c r="CT58" s="68">
        <v>20</v>
      </c>
      <c r="CU58" s="68">
        <v>70</v>
      </c>
      <c r="CV58" s="68">
        <v>60</v>
      </c>
      <c r="CW58" s="68">
        <v>15</v>
      </c>
      <c r="CX58" s="68">
        <v>15</v>
      </c>
      <c r="CY58" s="68"/>
      <c r="CZ58" s="68">
        <v>15</v>
      </c>
      <c r="DA58" s="68">
        <v>45</v>
      </c>
      <c r="DB58" s="68">
        <v>30</v>
      </c>
      <c r="DC58" s="68">
        <v>15</v>
      </c>
      <c r="DD58" s="68">
        <v>15</v>
      </c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5">
        <f t="shared" si="11"/>
        <v>300</v>
      </c>
      <c r="ER58" s="6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 t="s">
        <v>202</v>
      </c>
      <c r="FF58" s="15"/>
      <c r="FG58" s="15"/>
      <c r="FH58" s="1" t="str">
        <f t="shared" si="12"/>
        <v>7115485350014702062181</v>
      </c>
      <c r="FI58" s="1" t="str">
        <f t="shared" si="13"/>
        <v>TBC</v>
      </c>
      <c r="FJ58" s="38"/>
      <c r="FL58" s="13"/>
    </row>
    <row r="59" spans="1:168" ht="21" hidden="1" x14ac:dyDescent="0.25">
      <c r="A59" s="15" t="s">
        <v>140</v>
      </c>
      <c r="B59" s="15">
        <v>999</v>
      </c>
      <c r="C59" s="15" t="s">
        <v>490</v>
      </c>
      <c r="D59" s="15" t="s">
        <v>495</v>
      </c>
      <c r="E59" s="15" t="s">
        <v>180</v>
      </c>
      <c r="F59" s="15" t="s">
        <v>181</v>
      </c>
      <c r="G59" s="15" t="s">
        <v>321</v>
      </c>
      <c r="H59" s="15" t="s">
        <v>296</v>
      </c>
      <c r="I59" s="15" t="s">
        <v>224</v>
      </c>
      <c r="J59" s="15" t="s">
        <v>297</v>
      </c>
      <c r="K59" s="15"/>
      <c r="L59" s="15" t="s">
        <v>225</v>
      </c>
      <c r="M59" s="15" t="s">
        <v>268</v>
      </c>
      <c r="N59" s="60">
        <v>33</v>
      </c>
      <c r="O59" s="15"/>
      <c r="P59" s="15"/>
      <c r="Q59" s="15" t="s">
        <v>298</v>
      </c>
      <c r="R59" s="15"/>
      <c r="S59" s="15" t="s">
        <v>217</v>
      </c>
      <c r="T59" s="15"/>
      <c r="U59" s="15"/>
      <c r="V59" s="15"/>
      <c r="W59" s="15"/>
      <c r="X59" s="15"/>
      <c r="Y59" s="15" t="s">
        <v>190</v>
      </c>
      <c r="Z59" s="15" t="s">
        <v>373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61"/>
      <c r="BE59" s="61"/>
      <c r="BF59" s="15"/>
      <c r="BG59" s="15"/>
      <c r="BH59" s="15"/>
      <c r="BI59" s="15"/>
      <c r="BJ59" s="15"/>
      <c r="BK59" s="15"/>
      <c r="BL59" s="15"/>
      <c r="BM59" s="15"/>
      <c r="BN59" s="15"/>
      <c r="BO59" s="64"/>
      <c r="BP59" s="15"/>
      <c r="BQ59" s="15"/>
      <c r="BR59" s="15"/>
      <c r="BS59" s="64"/>
      <c r="BT59" s="64"/>
      <c r="BU59" s="64">
        <v>46068</v>
      </c>
      <c r="BV59" s="15"/>
      <c r="BW59" s="64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15"/>
      <c r="CL59" s="68"/>
      <c r="CM59" s="68"/>
      <c r="CN59" s="68"/>
      <c r="CO59" s="68"/>
      <c r="CP59" s="68"/>
      <c r="CQ59" s="68"/>
      <c r="CR59" s="68"/>
      <c r="CS59" s="68"/>
      <c r="CT59" s="68"/>
      <c r="CU59" s="68">
        <v>26</v>
      </c>
      <c r="CV59" s="68">
        <v>7</v>
      </c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5">
        <f t="shared" si="11"/>
        <v>33</v>
      </c>
      <c r="ER59" s="6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 t="s">
        <v>202</v>
      </c>
      <c r="FF59" s="15"/>
      <c r="FG59" s="15"/>
      <c r="FH59" s="1" t="str">
        <f t="shared" si="12"/>
        <v>7115485350064702062181</v>
      </c>
      <c r="FI59" s="1" t="str">
        <f t="shared" si="13"/>
        <v>TBC</v>
      </c>
      <c r="FJ59" s="38"/>
      <c r="FL59" s="13"/>
    </row>
    <row r="60" spans="1:168" ht="21" hidden="1" x14ac:dyDescent="0.25">
      <c r="A60" s="15" t="s">
        <v>140</v>
      </c>
      <c r="B60" s="15">
        <v>999</v>
      </c>
      <c r="C60" s="15" t="s">
        <v>490</v>
      </c>
      <c r="D60" s="15" t="s">
        <v>496</v>
      </c>
      <c r="E60" s="15" t="s">
        <v>208</v>
      </c>
      <c r="F60" s="15" t="s">
        <v>181</v>
      </c>
      <c r="G60" s="15" t="s">
        <v>321</v>
      </c>
      <c r="H60" s="15" t="s">
        <v>296</v>
      </c>
      <c r="I60" s="15" t="s">
        <v>224</v>
      </c>
      <c r="J60" s="15" t="s">
        <v>297</v>
      </c>
      <c r="K60" s="15"/>
      <c r="L60" s="15" t="s">
        <v>225</v>
      </c>
      <c r="M60" s="15" t="s">
        <v>268</v>
      </c>
      <c r="N60" s="60">
        <v>300</v>
      </c>
      <c r="O60" s="15"/>
      <c r="P60" s="15"/>
      <c r="Q60" s="15" t="s">
        <v>298</v>
      </c>
      <c r="R60" s="15"/>
      <c r="S60" s="15" t="s">
        <v>217</v>
      </c>
      <c r="T60" s="15"/>
      <c r="U60" s="15"/>
      <c r="V60" s="15"/>
      <c r="W60" s="15"/>
      <c r="X60" s="15"/>
      <c r="Y60" s="15" t="s">
        <v>190</v>
      </c>
      <c r="Z60" s="15" t="s">
        <v>373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61"/>
      <c r="BE60" s="61"/>
      <c r="BF60" s="15"/>
      <c r="BG60" s="15"/>
      <c r="BH60" s="15"/>
      <c r="BI60" s="15"/>
      <c r="BJ60" s="15"/>
      <c r="BK60" s="15"/>
      <c r="BL60" s="15"/>
      <c r="BM60" s="15"/>
      <c r="BN60" s="15"/>
      <c r="BO60" s="64"/>
      <c r="BP60" s="15"/>
      <c r="BQ60" s="15"/>
      <c r="BR60" s="15"/>
      <c r="BS60" s="64"/>
      <c r="BT60" s="64"/>
      <c r="BU60" s="64">
        <v>46068</v>
      </c>
      <c r="BV60" s="15"/>
      <c r="BW60" s="64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15"/>
      <c r="CL60" s="68"/>
      <c r="CM60" s="68"/>
      <c r="CN60" s="68"/>
      <c r="CO60" s="68"/>
      <c r="CP60" s="68"/>
      <c r="CQ60" s="68"/>
      <c r="CR60" s="68"/>
      <c r="CS60" s="68"/>
      <c r="CT60" s="68">
        <v>10</v>
      </c>
      <c r="CU60" s="68">
        <v>33</v>
      </c>
      <c r="CV60" s="68">
        <v>44</v>
      </c>
      <c r="CW60" s="68">
        <v>20</v>
      </c>
      <c r="CX60" s="68">
        <v>29</v>
      </c>
      <c r="CY60" s="68"/>
      <c r="CZ60" s="68"/>
      <c r="DA60" s="68">
        <v>80</v>
      </c>
      <c r="DB60" s="68">
        <v>47</v>
      </c>
      <c r="DC60" s="68">
        <v>10</v>
      </c>
      <c r="DD60" s="68">
        <v>27</v>
      </c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5">
        <f t="shared" si="11"/>
        <v>300</v>
      </c>
      <c r="ER60" s="6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 t="s">
        <v>202</v>
      </c>
      <c r="FF60" s="15"/>
      <c r="FG60" s="15"/>
      <c r="FH60" s="1" t="str">
        <f t="shared" si="12"/>
        <v>7115485350064702062182</v>
      </c>
      <c r="FI60" s="1" t="str">
        <f t="shared" si="13"/>
        <v>TBC</v>
      </c>
      <c r="FJ60" s="38"/>
      <c r="FL60" s="13"/>
    </row>
    <row r="61" spans="1:168" ht="21" hidden="1" x14ac:dyDescent="0.25">
      <c r="A61" s="15" t="s">
        <v>140</v>
      </c>
      <c r="B61" s="15">
        <v>999</v>
      </c>
      <c r="C61" s="15" t="s">
        <v>490</v>
      </c>
      <c r="D61" s="15" t="s">
        <v>497</v>
      </c>
      <c r="E61" s="15" t="s">
        <v>270</v>
      </c>
      <c r="F61" s="15" t="s">
        <v>260</v>
      </c>
      <c r="G61" s="15" t="s">
        <v>321</v>
      </c>
      <c r="H61" s="15" t="s">
        <v>296</v>
      </c>
      <c r="I61" s="15" t="s">
        <v>224</v>
      </c>
      <c r="J61" s="15" t="s">
        <v>297</v>
      </c>
      <c r="K61" s="15"/>
      <c r="L61" s="15" t="s">
        <v>225</v>
      </c>
      <c r="M61" s="15" t="s">
        <v>268</v>
      </c>
      <c r="N61" s="60">
        <v>10</v>
      </c>
      <c r="O61" s="15"/>
      <c r="P61" s="15"/>
      <c r="Q61" s="15" t="s">
        <v>298</v>
      </c>
      <c r="R61" s="15"/>
      <c r="S61" s="15" t="s">
        <v>217</v>
      </c>
      <c r="T61" s="15"/>
      <c r="U61" s="15"/>
      <c r="V61" s="15"/>
      <c r="W61" s="15"/>
      <c r="X61" s="15"/>
      <c r="Y61" s="15" t="s">
        <v>190</v>
      </c>
      <c r="Z61" s="15" t="s">
        <v>373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61"/>
      <c r="BE61" s="61"/>
      <c r="BF61" s="15"/>
      <c r="BG61" s="15"/>
      <c r="BH61" s="15"/>
      <c r="BI61" s="15"/>
      <c r="BJ61" s="15"/>
      <c r="BK61" s="15"/>
      <c r="BL61" s="15"/>
      <c r="BM61" s="15"/>
      <c r="BN61" s="15"/>
      <c r="BO61" s="64"/>
      <c r="BP61" s="15"/>
      <c r="BQ61" s="15"/>
      <c r="BR61" s="15"/>
      <c r="BS61" s="64"/>
      <c r="BT61" s="64"/>
      <c r="BU61" s="64">
        <v>46068</v>
      </c>
      <c r="BV61" s="15"/>
      <c r="BW61" s="64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15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>
        <v>5</v>
      </c>
      <c r="DB61" s="68">
        <v>5</v>
      </c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5">
        <f t="shared" si="11"/>
        <v>10</v>
      </c>
      <c r="ER61" s="6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 t="s">
        <v>202</v>
      </c>
      <c r="FF61" s="15"/>
      <c r="FG61" s="15"/>
      <c r="FH61" s="1" t="str">
        <f t="shared" si="12"/>
        <v>7115485350064702062183</v>
      </c>
      <c r="FI61" s="1" t="str">
        <f t="shared" si="13"/>
        <v>TBC</v>
      </c>
      <c r="FJ61" s="38"/>
      <c r="FL61" s="13"/>
    </row>
    <row r="62" spans="1:168" ht="21" hidden="1" x14ac:dyDescent="0.25">
      <c r="A62" s="15" t="s">
        <v>498</v>
      </c>
      <c r="B62" s="15" t="s">
        <v>149</v>
      </c>
      <c r="C62" s="15" t="s">
        <v>489</v>
      </c>
      <c r="D62" s="15" t="s">
        <v>499</v>
      </c>
      <c r="E62" s="15" t="s">
        <v>253</v>
      </c>
      <c r="F62" s="15" t="s">
        <v>254</v>
      </c>
      <c r="G62" s="15" t="s">
        <v>323</v>
      </c>
      <c r="H62" s="15" t="s">
        <v>500</v>
      </c>
      <c r="I62" s="15" t="s">
        <v>501</v>
      </c>
      <c r="J62" s="15" t="s">
        <v>502</v>
      </c>
      <c r="K62" s="15" t="s">
        <v>185</v>
      </c>
      <c r="L62" s="15" t="s">
        <v>332</v>
      </c>
      <c r="M62" s="15" t="s">
        <v>503</v>
      </c>
      <c r="N62" s="63">
        <v>35</v>
      </c>
      <c r="O62" s="15"/>
      <c r="P62" s="15">
        <v>27.94</v>
      </c>
      <c r="Q62" s="15" t="s">
        <v>504</v>
      </c>
      <c r="R62" s="15"/>
      <c r="S62" s="15" t="s">
        <v>200</v>
      </c>
      <c r="T62" s="15"/>
      <c r="U62" s="15"/>
      <c r="V62" s="15"/>
      <c r="W62" s="15"/>
      <c r="X62" s="15"/>
      <c r="Y62" s="15" t="s">
        <v>162</v>
      </c>
      <c r="Z62" s="15" t="s">
        <v>373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 t="s">
        <v>170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61">
        <v>46037</v>
      </c>
      <c r="BE62" s="61" t="s">
        <v>192</v>
      </c>
      <c r="BF62" s="15" t="s">
        <v>219</v>
      </c>
      <c r="BG62" s="15" t="s">
        <v>219</v>
      </c>
      <c r="BH62" s="15" t="s">
        <v>219</v>
      </c>
      <c r="BI62" s="15" t="s">
        <v>199</v>
      </c>
      <c r="BJ62" s="15"/>
      <c r="BK62" s="15"/>
      <c r="BL62" s="15"/>
      <c r="BM62" s="15"/>
      <c r="BN62" s="15"/>
      <c r="BO62" s="64"/>
      <c r="BP62" s="64">
        <v>46107</v>
      </c>
      <c r="BQ62" s="15"/>
      <c r="BR62" s="15">
        <v>66</v>
      </c>
      <c r="BS62" s="64">
        <v>46117</v>
      </c>
      <c r="BT62" s="64">
        <v>46117</v>
      </c>
      <c r="BU62" s="64">
        <v>46157</v>
      </c>
      <c r="BV62" s="15"/>
      <c r="BW62" s="64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15">
        <v>2</v>
      </c>
      <c r="CL62" s="68">
        <v>9</v>
      </c>
      <c r="CM62" s="68">
        <v>13</v>
      </c>
      <c r="CN62" s="68">
        <v>8</v>
      </c>
      <c r="CO62" s="68">
        <v>2</v>
      </c>
      <c r="CP62" s="68">
        <v>1</v>
      </c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5">
        <f t="shared" si="11"/>
        <v>35</v>
      </c>
      <c r="ER62" s="6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 t="s">
        <v>176</v>
      </c>
      <c r="FF62" s="15"/>
      <c r="FG62" s="15"/>
      <c r="FH62" s="1" t="str">
        <f t="shared" si="12"/>
        <v>710B181310014702067318</v>
      </c>
      <c r="FI62" s="1" t="str">
        <f t="shared" si="13"/>
        <v>PRLS/25/12722</v>
      </c>
      <c r="FJ62" s="38" t="e">
        <f>VLOOKUP(FH62,[1]Sheet3!$A:$D,4,0)</f>
        <v>#N/A</v>
      </c>
      <c r="FL62" s="13"/>
    </row>
    <row r="63" spans="1:168" ht="21" hidden="1" x14ac:dyDescent="0.25">
      <c r="A63" s="15" t="s">
        <v>498</v>
      </c>
      <c r="B63" s="15" t="s">
        <v>149</v>
      </c>
      <c r="C63" s="15" t="s">
        <v>489</v>
      </c>
      <c r="D63" s="15" t="s">
        <v>505</v>
      </c>
      <c r="E63" s="15" t="s">
        <v>253</v>
      </c>
      <c r="F63" s="15" t="s">
        <v>254</v>
      </c>
      <c r="G63" s="15" t="s">
        <v>354</v>
      </c>
      <c r="H63" s="15" t="s">
        <v>500</v>
      </c>
      <c r="I63" s="15" t="s">
        <v>501</v>
      </c>
      <c r="J63" s="15" t="s">
        <v>502</v>
      </c>
      <c r="K63" s="15" t="s">
        <v>185</v>
      </c>
      <c r="L63" s="15" t="s">
        <v>332</v>
      </c>
      <c r="M63" s="15" t="s">
        <v>503</v>
      </c>
      <c r="N63" s="63">
        <v>101</v>
      </c>
      <c r="O63" s="15"/>
      <c r="P63" s="15">
        <v>27.94</v>
      </c>
      <c r="Q63" s="15" t="s">
        <v>504</v>
      </c>
      <c r="R63" s="15"/>
      <c r="S63" s="15" t="s">
        <v>200</v>
      </c>
      <c r="T63" s="15"/>
      <c r="U63" s="15"/>
      <c r="V63" s="15"/>
      <c r="W63" s="15"/>
      <c r="X63" s="15"/>
      <c r="Y63" s="15" t="s">
        <v>162</v>
      </c>
      <c r="Z63" s="15" t="s">
        <v>373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 t="s">
        <v>170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61">
        <v>46037</v>
      </c>
      <c r="BE63" s="61" t="s">
        <v>192</v>
      </c>
      <c r="BF63" s="15" t="s">
        <v>219</v>
      </c>
      <c r="BG63" s="15" t="s">
        <v>219</v>
      </c>
      <c r="BH63" s="15" t="s">
        <v>219</v>
      </c>
      <c r="BI63" s="15" t="s">
        <v>199</v>
      </c>
      <c r="BJ63" s="15"/>
      <c r="BK63" s="15"/>
      <c r="BL63" s="15"/>
      <c r="BM63" s="15"/>
      <c r="BN63" s="15"/>
      <c r="BO63" s="64"/>
      <c r="BP63" s="64">
        <v>46107</v>
      </c>
      <c r="BQ63" s="15"/>
      <c r="BR63" s="15">
        <v>66</v>
      </c>
      <c r="BS63" s="64">
        <v>46117</v>
      </c>
      <c r="BT63" s="64">
        <v>46117</v>
      </c>
      <c r="BU63" s="64">
        <v>46157</v>
      </c>
      <c r="BV63" s="15"/>
      <c r="BW63" s="64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15">
        <v>1</v>
      </c>
      <c r="CL63" s="68">
        <v>22</v>
      </c>
      <c r="CM63" s="68">
        <v>37</v>
      </c>
      <c r="CN63" s="68">
        <v>29</v>
      </c>
      <c r="CO63" s="68">
        <v>12</v>
      </c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  <c r="EQ63" s="65">
        <f t="shared" si="11"/>
        <v>101</v>
      </c>
      <c r="ER63" s="6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 t="s">
        <v>176</v>
      </c>
      <c r="FF63" s="15"/>
      <c r="FG63" s="15"/>
      <c r="FH63" s="1" t="str">
        <f t="shared" si="12"/>
        <v>710B181310014702067319</v>
      </c>
      <c r="FI63" s="1" t="str">
        <f t="shared" si="13"/>
        <v>PRLS/25/12722</v>
      </c>
      <c r="FJ63" s="38" t="e">
        <f>VLOOKUP(FH63,[1]Sheet3!$A:$D,4,0)</f>
        <v>#N/A</v>
      </c>
      <c r="FL63" s="13"/>
    </row>
    <row r="64" spans="1:168" ht="21" hidden="1" x14ac:dyDescent="0.25">
      <c r="A64" s="15" t="s">
        <v>498</v>
      </c>
      <c r="B64" s="15" t="s">
        <v>149</v>
      </c>
      <c r="C64" s="15" t="s">
        <v>489</v>
      </c>
      <c r="D64" s="15" t="s">
        <v>506</v>
      </c>
      <c r="E64" s="15" t="s">
        <v>253</v>
      </c>
      <c r="F64" s="15" t="s">
        <v>254</v>
      </c>
      <c r="G64" s="15" t="s">
        <v>322</v>
      </c>
      <c r="H64" s="15" t="s">
        <v>500</v>
      </c>
      <c r="I64" s="15" t="s">
        <v>501</v>
      </c>
      <c r="J64" s="15" t="s">
        <v>502</v>
      </c>
      <c r="K64" s="15" t="s">
        <v>185</v>
      </c>
      <c r="L64" s="15" t="s">
        <v>332</v>
      </c>
      <c r="M64" s="15" t="s">
        <v>503</v>
      </c>
      <c r="N64" s="63">
        <v>105</v>
      </c>
      <c r="O64" s="15"/>
      <c r="P64" s="15">
        <v>27.94</v>
      </c>
      <c r="Q64" s="15" t="s">
        <v>504</v>
      </c>
      <c r="R64" s="15"/>
      <c r="S64" s="15" t="s">
        <v>200</v>
      </c>
      <c r="T64" s="15"/>
      <c r="U64" s="15"/>
      <c r="V64" s="15"/>
      <c r="W64" s="15"/>
      <c r="X64" s="15"/>
      <c r="Y64" s="15" t="s">
        <v>162</v>
      </c>
      <c r="Z64" s="15" t="s">
        <v>373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 t="s">
        <v>170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61">
        <v>46037</v>
      </c>
      <c r="BE64" s="61" t="s">
        <v>192</v>
      </c>
      <c r="BF64" s="15" t="s">
        <v>219</v>
      </c>
      <c r="BG64" s="15" t="s">
        <v>219</v>
      </c>
      <c r="BH64" s="15" t="s">
        <v>219</v>
      </c>
      <c r="BI64" s="15" t="s">
        <v>199</v>
      </c>
      <c r="BJ64" s="15"/>
      <c r="BK64" s="15"/>
      <c r="BL64" s="15"/>
      <c r="BM64" s="15"/>
      <c r="BN64" s="15"/>
      <c r="BO64" s="64"/>
      <c r="BP64" s="64">
        <v>46107</v>
      </c>
      <c r="BQ64" s="15"/>
      <c r="BR64" s="15">
        <v>66</v>
      </c>
      <c r="BS64" s="64">
        <v>46117</v>
      </c>
      <c r="BT64" s="64">
        <v>46117</v>
      </c>
      <c r="BU64" s="64">
        <v>46157</v>
      </c>
      <c r="BV64" s="15"/>
      <c r="BW64" s="64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15">
        <v>5</v>
      </c>
      <c r="CL64" s="68">
        <v>24</v>
      </c>
      <c r="CM64" s="68">
        <v>36</v>
      </c>
      <c r="CN64" s="68">
        <v>26</v>
      </c>
      <c r="CO64" s="68">
        <v>11</v>
      </c>
      <c r="CP64" s="68">
        <v>3</v>
      </c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5">
        <f t="shared" si="11"/>
        <v>105</v>
      </c>
      <c r="ER64" s="6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 t="s">
        <v>176</v>
      </c>
      <c r="FF64" s="15"/>
      <c r="FG64" s="15"/>
      <c r="FH64" s="1" t="str">
        <f t="shared" si="12"/>
        <v>710B181310014702067320</v>
      </c>
      <c r="FI64" s="1" t="str">
        <f t="shared" si="13"/>
        <v>PRLS/25/12722</v>
      </c>
      <c r="FJ64" s="38" t="e">
        <f>VLOOKUP(FH64,[1]Sheet3!$A:$D,4,0)</f>
        <v>#N/A</v>
      </c>
      <c r="FL64" s="13"/>
    </row>
    <row r="65" spans="1:168" ht="21" hidden="1" x14ac:dyDescent="0.25">
      <c r="A65" s="15" t="s">
        <v>507</v>
      </c>
      <c r="B65" s="15" t="s">
        <v>149</v>
      </c>
      <c r="C65" s="15" t="s">
        <v>489</v>
      </c>
      <c r="D65" s="15" t="s">
        <v>514</v>
      </c>
      <c r="E65" s="15" t="s">
        <v>253</v>
      </c>
      <c r="F65" s="15" t="s">
        <v>254</v>
      </c>
      <c r="G65" s="15" t="s">
        <v>323</v>
      </c>
      <c r="H65" s="15" t="s">
        <v>509</v>
      </c>
      <c r="I65" s="15" t="s">
        <v>510</v>
      </c>
      <c r="J65" s="15" t="s">
        <v>511</v>
      </c>
      <c r="K65" s="15" t="s">
        <v>185</v>
      </c>
      <c r="L65" s="15" t="s">
        <v>375</v>
      </c>
      <c r="M65" s="15" t="s">
        <v>512</v>
      </c>
      <c r="N65" s="63">
        <v>290</v>
      </c>
      <c r="O65" s="15"/>
      <c r="P65" s="15">
        <v>23.95</v>
      </c>
      <c r="Q65" s="15" t="s">
        <v>513</v>
      </c>
      <c r="R65" s="15"/>
      <c r="S65" s="15" t="s">
        <v>200</v>
      </c>
      <c r="T65" s="15"/>
      <c r="U65" s="15"/>
      <c r="V65" s="15"/>
      <c r="W65" s="15"/>
      <c r="X65" s="15"/>
      <c r="Y65" s="15" t="s">
        <v>162</v>
      </c>
      <c r="Z65" s="15" t="s">
        <v>373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 t="s">
        <v>170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61">
        <v>46037</v>
      </c>
      <c r="BE65" s="61" t="s">
        <v>192</v>
      </c>
      <c r="BF65" s="15" t="s">
        <v>219</v>
      </c>
      <c r="BG65" s="15" t="s">
        <v>219</v>
      </c>
      <c r="BH65" s="15" t="s">
        <v>219</v>
      </c>
      <c r="BI65" s="15" t="s">
        <v>199</v>
      </c>
      <c r="BJ65" s="15"/>
      <c r="BK65" s="15"/>
      <c r="BL65" s="15"/>
      <c r="BM65" s="15"/>
      <c r="BN65" s="15"/>
      <c r="BO65" s="64"/>
      <c r="BP65" s="64">
        <v>46107</v>
      </c>
      <c r="BQ65" s="15"/>
      <c r="BR65" s="15">
        <v>80</v>
      </c>
      <c r="BS65" s="64">
        <v>46117</v>
      </c>
      <c r="BT65" s="64">
        <v>46117</v>
      </c>
      <c r="BU65" s="64">
        <v>46157</v>
      </c>
      <c r="BV65" s="15"/>
      <c r="BW65" s="64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15">
        <v>17</v>
      </c>
      <c r="CL65" s="68">
        <v>75</v>
      </c>
      <c r="CM65" s="68">
        <v>107</v>
      </c>
      <c r="CN65" s="68">
        <v>64</v>
      </c>
      <c r="CO65" s="68">
        <v>20</v>
      </c>
      <c r="CP65" s="68">
        <v>7</v>
      </c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  <c r="EQ65" s="65">
        <f t="shared" si="11"/>
        <v>290</v>
      </c>
      <c r="ER65" s="6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 t="s">
        <v>176</v>
      </c>
      <c r="FF65" s="15"/>
      <c r="FG65" s="15" t="e">
        <v>#N/A</v>
      </c>
      <c r="FH65" s="1" t="str">
        <f t="shared" si="12"/>
        <v>710B182740014702067324</v>
      </c>
      <c r="FI65" s="1" t="str">
        <f t="shared" si="13"/>
        <v>PRLS/25/12723</v>
      </c>
      <c r="FJ65" s="38" t="e">
        <f>VLOOKUP(FH65,[1]Sheet3!$A:$D,4,0)</f>
        <v>#N/A</v>
      </c>
      <c r="FL65" s="13"/>
    </row>
    <row r="66" spans="1:168" ht="21" hidden="1" x14ac:dyDescent="0.25">
      <c r="A66" s="15" t="s">
        <v>507</v>
      </c>
      <c r="B66" s="15" t="s">
        <v>149</v>
      </c>
      <c r="C66" s="15" t="s">
        <v>489</v>
      </c>
      <c r="D66" s="15" t="s">
        <v>508</v>
      </c>
      <c r="E66" s="15" t="s">
        <v>253</v>
      </c>
      <c r="F66" s="15" t="s">
        <v>254</v>
      </c>
      <c r="G66" s="15" t="s">
        <v>354</v>
      </c>
      <c r="H66" s="15" t="s">
        <v>509</v>
      </c>
      <c r="I66" s="15" t="s">
        <v>510</v>
      </c>
      <c r="J66" s="15" t="s">
        <v>511</v>
      </c>
      <c r="K66" s="15" t="s">
        <v>185</v>
      </c>
      <c r="L66" s="15" t="s">
        <v>375</v>
      </c>
      <c r="M66" s="15" t="s">
        <v>512</v>
      </c>
      <c r="N66" s="63">
        <v>149</v>
      </c>
      <c r="O66" s="15"/>
      <c r="P66" s="15">
        <v>23.95</v>
      </c>
      <c r="Q66" s="15" t="s">
        <v>513</v>
      </c>
      <c r="R66" s="15"/>
      <c r="S66" s="15" t="s">
        <v>200</v>
      </c>
      <c r="T66" s="15"/>
      <c r="U66" s="15"/>
      <c r="V66" s="15"/>
      <c r="W66" s="15"/>
      <c r="X66" s="15"/>
      <c r="Y66" s="15" t="s">
        <v>162</v>
      </c>
      <c r="Z66" s="15" t="s">
        <v>373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 t="s">
        <v>170</v>
      </c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61">
        <v>46037</v>
      </c>
      <c r="BE66" s="61" t="s">
        <v>192</v>
      </c>
      <c r="BF66" s="15" t="s">
        <v>219</v>
      </c>
      <c r="BG66" s="15" t="s">
        <v>219</v>
      </c>
      <c r="BH66" s="15" t="s">
        <v>219</v>
      </c>
      <c r="BI66" s="15" t="s">
        <v>199</v>
      </c>
      <c r="BJ66" s="15"/>
      <c r="BK66" s="15"/>
      <c r="BL66" s="15"/>
      <c r="BM66" s="15"/>
      <c r="BN66" s="15"/>
      <c r="BO66" s="64"/>
      <c r="BP66" s="64">
        <v>46107</v>
      </c>
      <c r="BQ66" s="15"/>
      <c r="BR66" s="15">
        <v>80</v>
      </c>
      <c r="BS66" s="64">
        <v>46117</v>
      </c>
      <c r="BT66" s="64">
        <v>46117</v>
      </c>
      <c r="BU66" s="64">
        <v>46157</v>
      </c>
      <c r="BV66" s="15"/>
      <c r="BW66" s="64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15">
        <v>3</v>
      </c>
      <c r="CL66" s="68">
        <v>31</v>
      </c>
      <c r="CM66" s="68">
        <v>56</v>
      </c>
      <c r="CN66" s="68">
        <v>45</v>
      </c>
      <c r="CO66" s="68">
        <v>13</v>
      </c>
      <c r="CP66" s="68">
        <v>1</v>
      </c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  <c r="EQ66" s="65">
        <f t="shared" si="11"/>
        <v>149</v>
      </c>
      <c r="ER66" s="6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 t="s">
        <v>176</v>
      </c>
      <c r="FF66" s="15"/>
      <c r="FG66" s="15" t="e">
        <v>#N/A</v>
      </c>
      <c r="FH66" s="1" t="str">
        <f t="shared" si="12"/>
        <v>710B182740014702067325</v>
      </c>
      <c r="FI66" s="1" t="str">
        <f t="shared" si="13"/>
        <v>PRLS/25/12723</v>
      </c>
      <c r="FJ66" s="38" t="e">
        <f>VLOOKUP(FH66,[1]Sheet3!$A:$D,4,0)</f>
        <v>#N/A</v>
      </c>
      <c r="FL66" s="13"/>
    </row>
    <row r="67" spans="1:168" ht="21" hidden="1" x14ac:dyDescent="0.25">
      <c r="A67" s="15" t="s">
        <v>507</v>
      </c>
      <c r="B67" s="15" t="s">
        <v>149</v>
      </c>
      <c r="C67" s="15" t="s">
        <v>489</v>
      </c>
      <c r="D67" s="15" t="s">
        <v>515</v>
      </c>
      <c r="E67" s="15" t="s">
        <v>253</v>
      </c>
      <c r="F67" s="15" t="s">
        <v>254</v>
      </c>
      <c r="G67" s="15" t="s">
        <v>322</v>
      </c>
      <c r="H67" s="15" t="s">
        <v>509</v>
      </c>
      <c r="I67" s="15" t="s">
        <v>510</v>
      </c>
      <c r="J67" s="15" t="s">
        <v>511</v>
      </c>
      <c r="K67" s="15" t="s">
        <v>185</v>
      </c>
      <c r="L67" s="15" t="s">
        <v>375</v>
      </c>
      <c r="M67" s="15" t="s">
        <v>512</v>
      </c>
      <c r="N67" s="63">
        <v>765</v>
      </c>
      <c r="O67" s="15"/>
      <c r="P67" s="15">
        <v>23.95</v>
      </c>
      <c r="Q67" s="15" t="s">
        <v>513</v>
      </c>
      <c r="R67" s="15"/>
      <c r="S67" s="15" t="s">
        <v>200</v>
      </c>
      <c r="T67" s="15"/>
      <c r="U67" s="15"/>
      <c r="V67" s="15"/>
      <c r="W67" s="15"/>
      <c r="X67" s="15"/>
      <c r="Y67" s="15" t="s">
        <v>162</v>
      </c>
      <c r="Z67" s="15" t="s">
        <v>373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 t="s">
        <v>170</v>
      </c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61">
        <v>46037</v>
      </c>
      <c r="BE67" s="61" t="s">
        <v>192</v>
      </c>
      <c r="BF67" s="15" t="s">
        <v>219</v>
      </c>
      <c r="BG67" s="15" t="s">
        <v>219</v>
      </c>
      <c r="BH67" s="15" t="s">
        <v>219</v>
      </c>
      <c r="BI67" s="15" t="s">
        <v>199</v>
      </c>
      <c r="BJ67" s="15"/>
      <c r="BK67" s="15"/>
      <c r="BL67" s="15"/>
      <c r="BM67" s="15"/>
      <c r="BN67" s="15"/>
      <c r="BO67" s="64"/>
      <c r="BP67" s="64">
        <v>46107</v>
      </c>
      <c r="BQ67" s="15"/>
      <c r="BR67" s="15">
        <v>80</v>
      </c>
      <c r="BS67" s="64">
        <v>46117</v>
      </c>
      <c r="BT67" s="64">
        <v>46117</v>
      </c>
      <c r="BU67" s="64">
        <v>46157</v>
      </c>
      <c r="BV67" s="15"/>
      <c r="BW67" s="64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15">
        <v>27</v>
      </c>
      <c r="CL67" s="68">
        <v>148</v>
      </c>
      <c r="CM67" s="68">
        <v>256</v>
      </c>
      <c r="CN67" s="68">
        <v>206</v>
      </c>
      <c r="CO67" s="68">
        <v>94</v>
      </c>
      <c r="CP67" s="68">
        <v>34</v>
      </c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  <c r="EQ67" s="65">
        <f t="shared" si="11"/>
        <v>765</v>
      </c>
      <c r="ER67" s="6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 t="s">
        <v>176</v>
      </c>
      <c r="FF67" s="15"/>
      <c r="FG67" s="15" t="e">
        <v>#N/A</v>
      </c>
      <c r="FH67" s="1" t="str">
        <f t="shared" si="12"/>
        <v>710B182740014702067326</v>
      </c>
      <c r="FI67" s="1" t="str">
        <f t="shared" si="13"/>
        <v>PRLS/25/12723</v>
      </c>
      <c r="FJ67" s="38" t="e">
        <f>VLOOKUP(FH67,[1]Sheet3!$A:$D,4,0)</f>
        <v>#N/A</v>
      </c>
      <c r="FL67" s="13"/>
    </row>
    <row r="68" spans="1:168" ht="21" hidden="1" x14ac:dyDescent="0.25">
      <c r="A68" s="15" t="s">
        <v>516</v>
      </c>
      <c r="B68" s="15" t="s">
        <v>149</v>
      </c>
      <c r="C68" s="15" t="s">
        <v>489</v>
      </c>
      <c r="D68" s="15" t="s">
        <v>517</v>
      </c>
      <c r="E68" s="15" t="s">
        <v>253</v>
      </c>
      <c r="F68" s="15" t="s">
        <v>254</v>
      </c>
      <c r="G68" s="15" t="s">
        <v>354</v>
      </c>
      <c r="H68" s="15" t="s">
        <v>518</v>
      </c>
      <c r="I68" s="15" t="s">
        <v>519</v>
      </c>
      <c r="J68" s="15" t="s">
        <v>520</v>
      </c>
      <c r="K68" s="15" t="s">
        <v>185</v>
      </c>
      <c r="L68" s="15" t="s">
        <v>262</v>
      </c>
      <c r="M68" s="15" t="s">
        <v>521</v>
      </c>
      <c r="N68" s="63">
        <v>141</v>
      </c>
      <c r="O68" s="15"/>
      <c r="P68" s="15">
        <v>18.18</v>
      </c>
      <c r="Q68" s="15" t="s">
        <v>522</v>
      </c>
      <c r="R68" s="15"/>
      <c r="S68" s="15" t="s">
        <v>200</v>
      </c>
      <c r="T68" s="15"/>
      <c r="U68" s="15"/>
      <c r="V68" s="15"/>
      <c r="W68" s="15"/>
      <c r="X68" s="15"/>
      <c r="Y68" s="15" t="s">
        <v>162</v>
      </c>
      <c r="Z68" s="15" t="s">
        <v>373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 t="s">
        <v>170</v>
      </c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61">
        <v>46037</v>
      </c>
      <c r="BE68" s="61" t="s">
        <v>192</v>
      </c>
      <c r="BF68" s="15" t="s">
        <v>219</v>
      </c>
      <c r="BG68" s="15" t="s">
        <v>219</v>
      </c>
      <c r="BH68" s="15" t="s">
        <v>219</v>
      </c>
      <c r="BI68" s="15" t="s">
        <v>199</v>
      </c>
      <c r="BJ68" s="15"/>
      <c r="BK68" s="15"/>
      <c r="BL68" s="15"/>
      <c r="BM68" s="15"/>
      <c r="BN68" s="15"/>
      <c r="BO68" s="64"/>
      <c r="BP68" s="64">
        <v>46107</v>
      </c>
      <c r="BQ68" s="15"/>
      <c r="BR68" s="15">
        <v>80</v>
      </c>
      <c r="BS68" s="64">
        <v>46117</v>
      </c>
      <c r="BT68" s="64">
        <v>46117</v>
      </c>
      <c r="BU68" s="64">
        <v>46157</v>
      </c>
      <c r="BV68" s="15"/>
      <c r="BW68" s="64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15">
        <v>1</v>
      </c>
      <c r="CL68" s="68">
        <v>28</v>
      </c>
      <c r="CM68" s="68">
        <v>50</v>
      </c>
      <c r="CN68" s="68">
        <v>41</v>
      </c>
      <c r="CO68" s="68">
        <v>20</v>
      </c>
      <c r="CP68" s="68">
        <v>1</v>
      </c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  <c r="EK68" s="68"/>
      <c r="EL68" s="68"/>
      <c r="EM68" s="68"/>
      <c r="EN68" s="68"/>
      <c r="EO68" s="68"/>
      <c r="EP68" s="68"/>
      <c r="EQ68" s="65">
        <f t="shared" si="11"/>
        <v>141</v>
      </c>
      <c r="ER68" s="6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 t="s">
        <v>176</v>
      </c>
      <c r="FF68" s="15"/>
      <c r="FG68" s="15" t="e">
        <v>#N/A</v>
      </c>
      <c r="FH68" s="1" t="str">
        <f t="shared" si="12"/>
        <v>710B225880014702067333</v>
      </c>
      <c r="FI68" s="1" t="str">
        <f t="shared" si="13"/>
        <v>PRLS/25/12732</v>
      </c>
      <c r="FJ68" s="38" t="e">
        <f>VLOOKUP(FH68,[1]Sheet3!$A:$D,4,0)</f>
        <v>#N/A</v>
      </c>
      <c r="FL68" s="13"/>
    </row>
    <row r="69" spans="1:168" ht="21" hidden="1" x14ac:dyDescent="0.25">
      <c r="A69" s="15" t="s">
        <v>523</v>
      </c>
      <c r="B69" s="15" t="s">
        <v>149</v>
      </c>
      <c r="C69" s="15" t="s">
        <v>489</v>
      </c>
      <c r="D69" s="15" t="s">
        <v>517</v>
      </c>
      <c r="E69" s="15" t="s">
        <v>253</v>
      </c>
      <c r="F69" s="15" t="s">
        <v>254</v>
      </c>
      <c r="G69" s="15" t="s">
        <v>354</v>
      </c>
      <c r="H69" s="15" t="s">
        <v>524</v>
      </c>
      <c r="I69" s="15" t="s">
        <v>519</v>
      </c>
      <c r="J69" s="15" t="s">
        <v>520</v>
      </c>
      <c r="K69" s="15" t="s">
        <v>185</v>
      </c>
      <c r="L69" s="15" t="s">
        <v>262</v>
      </c>
      <c r="M69" s="15" t="s">
        <v>525</v>
      </c>
      <c r="N69" s="63">
        <v>211</v>
      </c>
      <c r="O69" s="15"/>
      <c r="P69" s="15">
        <v>18.18</v>
      </c>
      <c r="Q69" s="15" t="s">
        <v>526</v>
      </c>
      <c r="R69" s="15"/>
      <c r="S69" s="15" t="s">
        <v>200</v>
      </c>
      <c r="T69" s="15"/>
      <c r="U69" s="15"/>
      <c r="V69" s="15"/>
      <c r="W69" s="15"/>
      <c r="X69" s="15"/>
      <c r="Y69" s="15" t="s">
        <v>162</v>
      </c>
      <c r="Z69" s="15" t="s">
        <v>373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 t="s">
        <v>170</v>
      </c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61">
        <v>46037</v>
      </c>
      <c r="BE69" s="61" t="s">
        <v>192</v>
      </c>
      <c r="BF69" s="15" t="s">
        <v>219</v>
      </c>
      <c r="BG69" s="15" t="s">
        <v>219</v>
      </c>
      <c r="BH69" s="15" t="s">
        <v>219</v>
      </c>
      <c r="BI69" s="15" t="s">
        <v>199</v>
      </c>
      <c r="BJ69" s="15"/>
      <c r="BK69" s="15"/>
      <c r="BL69" s="15"/>
      <c r="BM69" s="15"/>
      <c r="BN69" s="15"/>
      <c r="BO69" s="64"/>
      <c r="BP69" s="64">
        <v>46107</v>
      </c>
      <c r="BQ69" s="15"/>
      <c r="BR69" s="15">
        <v>80</v>
      </c>
      <c r="BS69" s="64">
        <v>46117</v>
      </c>
      <c r="BT69" s="64">
        <v>46117</v>
      </c>
      <c r="BU69" s="64">
        <v>46157</v>
      </c>
      <c r="BV69" s="15"/>
      <c r="BW69" s="64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15"/>
      <c r="CL69" s="68">
        <v>42</v>
      </c>
      <c r="CM69" s="68">
        <v>81</v>
      </c>
      <c r="CN69" s="68">
        <v>62</v>
      </c>
      <c r="CO69" s="68">
        <v>24</v>
      </c>
      <c r="CP69" s="68">
        <v>2</v>
      </c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5">
        <f t="shared" si="11"/>
        <v>211</v>
      </c>
      <c r="ER69" s="6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 t="s">
        <v>176</v>
      </c>
      <c r="FF69" s="15"/>
      <c r="FG69" s="15" t="e">
        <v>#N/A</v>
      </c>
      <c r="FH69" s="1" t="str">
        <f t="shared" si="12"/>
        <v>710B225880024702067333</v>
      </c>
      <c r="FI69" s="1" t="str">
        <f t="shared" si="13"/>
        <v>PRLS/25/12734</v>
      </c>
      <c r="FJ69" s="38" t="e">
        <f>VLOOKUP(FH69,[1]Sheet3!$A:$D,4,0)</f>
        <v>#N/A</v>
      </c>
      <c r="FL69" s="13"/>
    </row>
    <row r="70" spans="1:168" ht="21" hidden="1" x14ac:dyDescent="0.25">
      <c r="A70" s="15" t="s">
        <v>527</v>
      </c>
      <c r="B70" s="15" t="s">
        <v>149</v>
      </c>
      <c r="C70" s="15" t="s">
        <v>489</v>
      </c>
      <c r="D70" s="15" t="s">
        <v>517</v>
      </c>
      <c r="E70" s="15" t="s">
        <v>253</v>
      </c>
      <c r="F70" s="15" t="s">
        <v>254</v>
      </c>
      <c r="G70" s="15" t="s">
        <v>354</v>
      </c>
      <c r="H70" s="15" t="s">
        <v>528</v>
      </c>
      <c r="I70" s="15" t="s">
        <v>519</v>
      </c>
      <c r="J70" s="15" t="s">
        <v>520</v>
      </c>
      <c r="K70" s="15" t="s">
        <v>185</v>
      </c>
      <c r="L70" s="15" t="s">
        <v>262</v>
      </c>
      <c r="M70" s="15" t="s">
        <v>529</v>
      </c>
      <c r="N70" s="63">
        <v>90</v>
      </c>
      <c r="O70" s="15"/>
      <c r="P70" s="15">
        <v>18.18</v>
      </c>
      <c r="Q70" s="15" t="s">
        <v>530</v>
      </c>
      <c r="R70" s="15"/>
      <c r="S70" s="15" t="s">
        <v>200</v>
      </c>
      <c r="T70" s="15"/>
      <c r="U70" s="15"/>
      <c r="V70" s="15"/>
      <c r="W70" s="15"/>
      <c r="X70" s="15"/>
      <c r="Y70" s="15" t="s">
        <v>162</v>
      </c>
      <c r="Z70" s="15" t="s">
        <v>373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 t="s">
        <v>170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61">
        <v>46037</v>
      </c>
      <c r="BE70" s="61" t="s">
        <v>192</v>
      </c>
      <c r="BF70" s="15" t="s">
        <v>219</v>
      </c>
      <c r="BG70" s="15" t="s">
        <v>219</v>
      </c>
      <c r="BH70" s="15" t="s">
        <v>219</v>
      </c>
      <c r="BI70" s="15" t="s">
        <v>199</v>
      </c>
      <c r="BJ70" s="15"/>
      <c r="BK70" s="15"/>
      <c r="BL70" s="15"/>
      <c r="BM70" s="15"/>
      <c r="BN70" s="15"/>
      <c r="BO70" s="64"/>
      <c r="BP70" s="64">
        <v>46107</v>
      </c>
      <c r="BQ70" s="15"/>
      <c r="BR70" s="15">
        <v>83</v>
      </c>
      <c r="BS70" s="64">
        <v>46117</v>
      </c>
      <c r="BT70" s="64">
        <v>46117</v>
      </c>
      <c r="BU70" s="64">
        <v>46157</v>
      </c>
      <c r="BV70" s="15"/>
      <c r="BW70" s="64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15"/>
      <c r="CL70" s="68">
        <v>10</v>
      </c>
      <c r="CM70" s="68">
        <v>26</v>
      </c>
      <c r="CN70" s="68">
        <v>26</v>
      </c>
      <c r="CO70" s="68">
        <v>20</v>
      </c>
      <c r="CP70" s="68">
        <v>8</v>
      </c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  <c r="EE70" s="68"/>
      <c r="EF70" s="68"/>
      <c r="EG70" s="68"/>
      <c r="EH70" s="68"/>
      <c r="EI70" s="68"/>
      <c r="EJ70" s="68"/>
      <c r="EK70" s="68"/>
      <c r="EL70" s="68"/>
      <c r="EM70" s="68"/>
      <c r="EN70" s="68"/>
      <c r="EO70" s="68"/>
      <c r="EP70" s="68"/>
      <c r="EQ70" s="65">
        <f t="shared" si="11"/>
        <v>90</v>
      </c>
      <c r="ER70" s="6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 t="s">
        <v>176</v>
      </c>
      <c r="FF70" s="15"/>
      <c r="FG70" s="15" t="e">
        <v>#N/A</v>
      </c>
      <c r="FH70" s="1" t="str">
        <f t="shared" si="12"/>
        <v>710B225880034702067333</v>
      </c>
      <c r="FI70" s="1" t="str">
        <f t="shared" si="13"/>
        <v>PRLS/25/12736</v>
      </c>
      <c r="FJ70" s="38" t="e">
        <f>VLOOKUP(FH70,[1]Sheet3!$A:$D,4,0)</f>
        <v>#N/A</v>
      </c>
      <c r="FL70" s="13"/>
    </row>
    <row r="71" spans="1:168" ht="21" hidden="1" x14ac:dyDescent="0.25">
      <c r="A71" s="15" t="s">
        <v>531</v>
      </c>
      <c r="B71" s="15" t="s">
        <v>149</v>
      </c>
      <c r="C71" s="15" t="s">
        <v>489</v>
      </c>
      <c r="D71" s="15" t="s">
        <v>532</v>
      </c>
      <c r="E71" s="15" t="s">
        <v>253</v>
      </c>
      <c r="F71" s="15" t="s">
        <v>254</v>
      </c>
      <c r="G71" s="15" t="s">
        <v>354</v>
      </c>
      <c r="H71" s="15" t="s">
        <v>533</v>
      </c>
      <c r="I71" s="15" t="s">
        <v>534</v>
      </c>
      <c r="J71" s="15" t="s">
        <v>520</v>
      </c>
      <c r="K71" s="15" t="s">
        <v>185</v>
      </c>
      <c r="L71" s="15" t="s">
        <v>157</v>
      </c>
      <c r="M71" s="15" t="s">
        <v>535</v>
      </c>
      <c r="N71" s="63">
        <v>35</v>
      </c>
      <c r="O71" s="15"/>
      <c r="P71" s="15">
        <v>18.18</v>
      </c>
      <c r="Q71" s="15" t="s">
        <v>536</v>
      </c>
      <c r="R71" s="15"/>
      <c r="S71" s="15" t="s">
        <v>200</v>
      </c>
      <c r="T71" s="15"/>
      <c r="U71" s="15"/>
      <c r="V71" s="15"/>
      <c r="W71" s="15"/>
      <c r="X71" s="15"/>
      <c r="Y71" s="15" t="s">
        <v>162</v>
      </c>
      <c r="Z71" s="15" t="s">
        <v>373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 t="s">
        <v>170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61">
        <v>46034</v>
      </c>
      <c r="BE71" s="61" t="s">
        <v>192</v>
      </c>
      <c r="BF71" s="15" t="s">
        <v>219</v>
      </c>
      <c r="BG71" s="15" t="s">
        <v>219</v>
      </c>
      <c r="BH71" s="15" t="s">
        <v>219</v>
      </c>
      <c r="BI71" s="15" t="s">
        <v>199</v>
      </c>
      <c r="BJ71" s="15"/>
      <c r="BK71" s="15"/>
      <c r="BL71" s="15"/>
      <c r="BM71" s="15"/>
      <c r="BN71" s="15"/>
      <c r="BO71" s="64"/>
      <c r="BP71" s="64">
        <v>46107</v>
      </c>
      <c r="BQ71" s="15"/>
      <c r="BR71" s="15">
        <v>80</v>
      </c>
      <c r="BS71" s="64">
        <v>46117</v>
      </c>
      <c r="BT71" s="64">
        <v>46117</v>
      </c>
      <c r="BU71" s="64">
        <v>46157</v>
      </c>
      <c r="BV71" s="15"/>
      <c r="BW71" s="64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15"/>
      <c r="CL71" s="68">
        <v>12</v>
      </c>
      <c r="CM71" s="68">
        <v>14</v>
      </c>
      <c r="CN71" s="68">
        <v>6</v>
      </c>
      <c r="CO71" s="68">
        <v>3</v>
      </c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  <c r="EE71" s="68"/>
      <c r="EF71" s="68"/>
      <c r="EG71" s="68"/>
      <c r="EH71" s="68"/>
      <c r="EI71" s="68"/>
      <c r="EJ71" s="68"/>
      <c r="EK71" s="68"/>
      <c r="EL71" s="68"/>
      <c r="EM71" s="68"/>
      <c r="EN71" s="68"/>
      <c r="EO71" s="68"/>
      <c r="EP71" s="68"/>
      <c r="EQ71" s="65">
        <f t="shared" ref="EQ71:EQ81" si="14">SUM(BX71:EP71)</f>
        <v>35</v>
      </c>
      <c r="ER71" s="6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 t="s">
        <v>176</v>
      </c>
      <c r="FF71" s="15"/>
      <c r="FG71" s="15" t="e">
        <v>#N/A</v>
      </c>
      <c r="FH71" s="1" t="str">
        <f t="shared" ref="FH71:FH81" si="15">H71&amp;D71</f>
        <v>710B225890024702067336</v>
      </c>
      <c r="FI71" s="1" t="str">
        <f t="shared" ref="FI71:FI81" si="16">A71</f>
        <v>PRLS/25/12740</v>
      </c>
      <c r="FJ71" s="38" t="e">
        <f>VLOOKUP(FH71,[1]Sheet3!$A:$D,4,0)</f>
        <v>#N/A</v>
      </c>
      <c r="FL71" s="13"/>
    </row>
    <row r="72" spans="1:168" ht="21" hidden="1" x14ac:dyDescent="0.25">
      <c r="A72" s="15" t="s">
        <v>748</v>
      </c>
      <c r="B72" s="15" t="s">
        <v>149</v>
      </c>
      <c r="C72" s="15" t="s">
        <v>471</v>
      </c>
      <c r="D72" s="15" t="s">
        <v>564</v>
      </c>
      <c r="E72" s="15" t="s">
        <v>210</v>
      </c>
      <c r="F72" s="15" t="s">
        <v>152</v>
      </c>
      <c r="G72" s="15" t="s">
        <v>321</v>
      </c>
      <c r="H72" s="15" t="s">
        <v>556</v>
      </c>
      <c r="I72" s="15" t="s">
        <v>557</v>
      </c>
      <c r="J72" s="15" t="s">
        <v>558</v>
      </c>
      <c r="K72" s="15" t="s">
        <v>185</v>
      </c>
      <c r="L72" s="15"/>
      <c r="M72" s="15" t="s">
        <v>559</v>
      </c>
      <c r="N72" s="63">
        <v>20</v>
      </c>
      <c r="O72" s="15"/>
      <c r="P72" s="15">
        <v>46.81</v>
      </c>
      <c r="Q72" s="15" t="s">
        <v>560</v>
      </c>
      <c r="R72" s="15"/>
      <c r="S72" s="15"/>
      <c r="T72" s="15"/>
      <c r="U72" s="15"/>
      <c r="V72" s="15"/>
      <c r="W72" s="15"/>
      <c r="X72" s="15"/>
      <c r="Y72" s="15" t="s">
        <v>218</v>
      </c>
      <c r="Z72" s="15" t="s">
        <v>191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 t="s">
        <v>448</v>
      </c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61">
        <v>46092</v>
      </c>
      <c r="BE72" s="61" t="s">
        <v>192</v>
      </c>
      <c r="BF72" s="15" t="s">
        <v>219</v>
      </c>
      <c r="BG72" s="15" t="s">
        <v>219</v>
      </c>
      <c r="BH72" s="15" t="s">
        <v>219</v>
      </c>
      <c r="BI72" s="15" t="s">
        <v>199</v>
      </c>
      <c r="BJ72" s="15"/>
      <c r="BK72" s="15" t="s">
        <v>171</v>
      </c>
      <c r="BL72" s="15"/>
      <c r="BM72" s="15"/>
      <c r="BN72" s="15"/>
      <c r="BO72" s="64"/>
      <c r="BP72" s="15"/>
      <c r="BQ72" s="15"/>
      <c r="BR72" s="15"/>
      <c r="BS72" s="64"/>
      <c r="BT72" s="64">
        <v>46159</v>
      </c>
      <c r="BU72" s="64">
        <v>46228</v>
      </c>
      <c r="BV72" s="15"/>
      <c r="BW72" s="64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15"/>
      <c r="CL72" s="68">
        <v>2</v>
      </c>
      <c r="CM72" s="68">
        <v>6</v>
      </c>
      <c r="CN72" s="68">
        <v>7</v>
      </c>
      <c r="CO72" s="68">
        <v>4</v>
      </c>
      <c r="CP72" s="68">
        <v>1</v>
      </c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  <c r="EK72" s="68"/>
      <c r="EL72" s="68"/>
      <c r="EM72" s="68"/>
      <c r="EN72" s="68"/>
      <c r="EO72" s="68"/>
      <c r="EP72" s="68"/>
      <c r="EQ72" s="65">
        <f t="shared" si="14"/>
        <v>20</v>
      </c>
      <c r="ER72" s="6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 t="s">
        <v>176</v>
      </c>
      <c r="FF72" s="15"/>
      <c r="FG72" s="15"/>
      <c r="FH72" s="1" t="str">
        <f t="shared" si="15"/>
        <v>782P149040014702080249</v>
      </c>
      <c r="FI72" s="1" t="str">
        <f t="shared" si="16"/>
        <v>PRLS/25/13287</v>
      </c>
      <c r="FJ72" s="38" t="e">
        <f>VLOOKUP(FH72,[1]Sheet3!$A:$D,4,0)</f>
        <v>#N/A</v>
      </c>
      <c r="FL72" s="13"/>
    </row>
    <row r="73" spans="1:168" ht="21" hidden="1" x14ac:dyDescent="0.25">
      <c r="A73" s="15" t="s">
        <v>748</v>
      </c>
      <c r="B73" s="15" t="s">
        <v>149</v>
      </c>
      <c r="C73" s="15" t="s">
        <v>471</v>
      </c>
      <c r="D73" s="15" t="s">
        <v>563</v>
      </c>
      <c r="E73" s="15" t="s">
        <v>180</v>
      </c>
      <c r="F73" s="15" t="s">
        <v>181</v>
      </c>
      <c r="G73" s="15" t="s">
        <v>321</v>
      </c>
      <c r="H73" s="15" t="s">
        <v>556</v>
      </c>
      <c r="I73" s="15" t="s">
        <v>557</v>
      </c>
      <c r="J73" s="15" t="s">
        <v>558</v>
      </c>
      <c r="K73" s="15" t="s">
        <v>185</v>
      </c>
      <c r="L73" s="15"/>
      <c r="M73" s="15" t="s">
        <v>559</v>
      </c>
      <c r="N73" s="63">
        <v>124</v>
      </c>
      <c r="O73" s="15"/>
      <c r="P73" s="15">
        <v>46.81</v>
      </c>
      <c r="Q73" s="15" t="s">
        <v>560</v>
      </c>
      <c r="R73" s="15"/>
      <c r="S73" s="15"/>
      <c r="T73" s="15"/>
      <c r="U73" s="15"/>
      <c r="V73" s="15"/>
      <c r="W73" s="15"/>
      <c r="X73" s="15"/>
      <c r="Y73" s="15" t="s">
        <v>218</v>
      </c>
      <c r="Z73" s="15" t="s">
        <v>191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 t="s">
        <v>448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61">
        <v>46092</v>
      </c>
      <c r="BE73" s="61" t="s">
        <v>192</v>
      </c>
      <c r="BF73" s="15" t="s">
        <v>219</v>
      </c>
      <c r="BG73" s="15" t="s">
        <v>219</v>
      </c>
      <c r="BH73" s="15" t="s">
        <v>219</v>
      </c>
      <c r="BI73" s="15" t="s">
        <v>199</v>
      </c>
      <c r="BJ73" s="15"/>
      <c r="BK73" s="15" t="s">
        <v>171</v>
      </c>
      <c r="BL73" s="15"/>
      <c r="BM73" s="15"/>
      <c r="BN73" s="15"/>
      <c r="BO73" s="64"/>
      <c r="BP73" s="15"/>
      <c r="BQ73" s="15"/>
      <c r="BR73" s="15"/>
      <c r="BS73" s="64"/>
      <c r="BT73" s="64">
        <v>46159</v>
      </c>
      <c r="BU73" s="64">
        <v>46228</v>
      </c>
      <c r="BV73" s="15"/>
      <c r="BW73" s="64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15">
        <v>3</v>
      </c>
      <c r="CL73" s="68">
        <v>10</v>
      </c>
      <c r="CM73" s="68">
        <v>35</v>
      </c>
      <c r="CN73" s="68">
        <v>40</v>
      </c>
      <c r="CO73" s="68">
        <v>23</v>
      </c>
      <c r="CP73" s="68">
        <v>13</v>
      </c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8"/>
      <c r="EO73" s="68"/>
      <c r="EP73" s="68"/>
      <c r="EQ73" s="65">
        <f t="shared" si="14"/>
        <v>124</v>
      </c>
      <c r="ER73" s="6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 t="s">
        <v>176</v>
      </c>
      <c r="FF73" s="15"/>
      <c r="FG73" s="15"/>
      <c r="FH73" s="1" t="str">
        <f t="shared" si="15"/>
        <v>782P149040014702080250</v>
      </c>
      <c r="FI73" s="1" t="str">
        <f t="shared" si="16"/>
        <v>PRLS/25/13287</v>
      </c>
      <c r="FJ73" s="38" t="e">
        <f>VLOOKUP(FH73,[1]Sheet3!$A:$D,4,0)</f>
        <v>#N/A</v>
      </c>
      <c r="FL73" s="13"/>
    </row>
    <row r="74" spans="1:168" ht="21" hidden="1" x14ac:dyDescent="0.25">
      <c r="A74" s="15" t="s">
        <v>748</v>
      </c>
      <c r="B74" s="15" t="s">
        <v>149</v>
      </c>
      <c r="C74" s="15" t="s">
        <v>471</v>
      </c>
      <c r="D74" s="15" t="s">
        <v>562</v>
      </c>
      <c r="E74" s="15" t="s">
        <v>253</v>
      </c>
      <c r="F74" s="15" t="s">
        <v>254</v>
      </c>
      <c r="G74" s="15" t="s">
        <v>322</v>
      </c>
      <c r="H74" s="15" t="s">
        <v>556</v>
      </c>
      <c r="I74" s="15" t="s">
        <v>557</v>
      </c>
      <c r="J74" s="15" t="s">
        <v>558</v>
      </c>
      <c r="K74" s="15" t="s">
        <v>185</v>
      </c>
      <c r="L74" s="15"/>
      <c r="M74" s="15" t="s">
        <v>559</v>
      </c>
      <c r="N74" s="63">
        <v>17</v>
      </c>
      <c r="O74" s="15"/>
      <c r="P74" s="15">
        <v>46.81</v>
      </c>
      <c r="Q74" s="15" t="s">
        <v>560</v>
      </c>
      <c r="R74" s="15"/>
      <c r="S74" s="15"/>
      <c r="T74" s="15"/>
      <c r="U74" s="15"/>
      <c r="V74" s="15"/>
      <c r="W74" s="15"/>
      <c r="X74" s="15"/>
      <c r="Y74" s="15" t="s">
        <v>218</v>
      </c>
      <c r="Z74" s="15" t="s">
        <v>191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 t="s">
        <v>448</v>
      </c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61">
        <v>46092</v>
      </c>
      <c r="BE74" s="61" t="s">
        <v>192</v>
      </c>
      <c r="BF74" s="15" t="s">
        <v>219</v>
      </c>
      <c r="BG74" s="15" t="s">
        <v>219</v>
      </c>
      <c r="BH74" s="15" t="s">
        <v>219</v>
      </c>
      <c r="BI74" s="15" t="s">
        <v>199</v>
      </c>
      <c r="BJ74" s="15"/>
      <c r="BK74" s="15" t="s">
        <v>171</v>
      </c>
      <c r="BL74" s="15"/>
      <c r="BM74" s="15"/>
      <c r="BN74" s="15"/>
      <c r="BO74" s="64"/>
      <c r="BP74" s="15"/>
      <c r="BQ74" s="15"/>
      <c r="BR74" s="15"/>
      <c r="BS74" s="64"/>
      <c r="BT74" s="64">
        <v>46159</v>
      </c>
      <c r="BU74" s="64">
        <v>46228</v>
      </c>
      <c r="BV74" s="15"/>
      <c r="BW74" s="64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15">
        <v>1</v>
      </c>
      <c r="CL74" s="68">
        <v>3</v>
      </c>
      <c r="CM74" s="68">
        <v>5</v>
      </c>
      <c r="CN74" s="68">
        <v>4</v>
      </c>
      <c r="CO74" s="68">
        <v>3</v>
      </c>
      <c r="CP74" s="68">
        <v>1</v>
      </c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5">
        <f t="shared" si="14"/>
        <v>17</v>
      </c>
      <c r="ER74" s="6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 t="s">
        <v>176</v>
      </c>
      <c r="FF74" s="15"/>
      <c r="FG74" s="15"/>
      <c r="FH74" s="1" t="str">
        <f t="shared" si="15"/>
        <v>782P149040014702080251</v>
      </c>
      <c r="FI74" s="1" t="str">
        <f t="shared" si="16"/>
        <v>PRLS/25/13287</v>
      </c>
      <c r="FJ74" s="38" t="e">
        <f>VLOOKUP(FH74,[1]Sheet3!$A:$D,4,0)</f>
        <v>#N/A</v>
      </c>
      <c r="FL74" s="13"/>
    </row>
    <row r="75" spans="1:168" ht="21" hidden="1" x14ac:dyDescent="0.25">
      <c r="A75" s="15" t="s">
        <v>748</v>
      </c>
      <c r="B75" s="15" t="s">
        <v>149</v>
      </c>
      <c r="C75" s="15" t="s">
        <v>471</v>
      </c>
      <c r="D75" s="15" t="s">
        <v>561</v>
      </c>
      <c r="E75" s="15" t="s">
        <v>227</v>
      </c>
      <c r="F75" s="15" t="s">
        <v>228</v>
      </c>
      <c r="G75" s="15" t="s">
        <v>322</v>
      </c>
      <c r="H75" s="15" t="s">
        <v>556</v>
      </c>
      <c r="I75" s="15" t="s">
        <v>557</v>
      </c>
      <c r="J75" s="15" t="s">
        <v>558</v>
      </c>
      <c r="K75" s="15" t="s">
        <v>185</v>
      </c>
      <c r="L75" s="15"/>
      <c r="M75" s="15" t="s">
        <v>559</v>
      </c>
      <c r="N75" s="63">
        <v>8</v>
      </c>
      <c r="O75" s="15"/>
      <c r="P75" s="15">
        <v>46.81</v>
      </c>
      <c r="Q75" s="15" t="s">
        <v>560</v>
      </c>
      <c r="R75" s="15"/>
      <c r="S75" s="15"/>
      <c r="T75" s="15"/>
      <c r="U75" s="15"/>
      <c r="V75" s="15"/>
      <c r="W75" s="15"/>
      <c r="X75" s="15"/>
      <c r="Y75" s="15" t="s">
        <v>218</v>
      </c>
      <c r="Z75" s="15" t="s">
        <v>191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 t="s">
        <v>448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61">
        <v>46092</v>
      </c>
      <c r="BE75" s="61" t="s">
        <v>192</v>
      </c>
      <c r="BF75" s="15" t="s">
        <v>219</v>
      </c>
      <c r="BG75" s="15" t="s">
        <v>219</v>
      </c>
      <c r="BH75" s="15" t="s">
        <v>219</v>
      </c>
      <c r="BI75" s="15" t="s">
        <v>199</v>
      </c>
      <c r="BJ75" s="15"/>
      <c r="BK75" s="15" t="s">
        <v>171</v>
      </c>
      <c r="BL75" s="15"/>
      <c r="BM75" s="15"/>
      <c r="BN75" s="15"/>
      <c r="BO75" s="64"/>
      <c r="BP75" s="15"/>
      <c r="BQ75" s="15"/>
      <c r="BR75" s="15"/>
      <c r="BS75" s="64"/>
      <c r="BT75" s="64">
        <v>46159</v>
      </c>
      <c r="BU75" s="64">
        <v>46228</v>
      </c>
      <c r="BV75" s="15"/>
      <c r="BW75" s="64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15"/>
      <c r="CL75" s="68">
        <v>1</v>
      </c>
      <c r="CM75" s="68">
        <v>2</v>
      </c>
      <c r="CN75" s="68">
        <v>3</v>
      </c>
      <c r="CO75" s="68">
        <v>1</v>
      </c>
      <c r="CP75" s="68">
        <v>1</v>
      </c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5">
        <f t="shared" si="14"/>
        <v>8</v>
      </c>
      <c r="ER75" s="6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 t="s">
        <v>176</v>
      </c>
      <c r="FF75" s="15"/>
      <c r="FG75" s="15"/>
      <c r="FH75" s="1" t="str">
        <f t="shared" si="15"/>
        <v>782P149040014702080252</v>
      </c>
      <c r="FI75" s="1" t="str">
        <f t="shared" si="16"/>
        <v>PRLS/25/13287</v>
      </c>
      <c r="FJ75" s="38" t="e">
        <f>VLOOKUP(FH75,[1]Sheet3!$A:$D,4,0)</f>
        <v>#N/A</v>
      </c>
      <c r="FL75" s="13"/>
    </row>
    <row r="76" spans="1:168" ht="21" hidden="1" x14ac:dyDescent="0.25">
      <c r="A76" s="15" t="s">
        <v>748</v>
      </c>
      <c r="B76" s="15" t="s">
        <v>149</v>
      </c>
      <c r="C76" s="15" t="s">
        <v>471</v>
      </c>
      <c r="D76" s="15" t="s">
        <v>555</v>
      </c>
      <c r="E76" s="15" t="s">
        <v>237</v>
      </c>
      <c r="F76" s="15" t="s">
        <v>238</v>
      </c>
      <c r="G76" s="15" t="s">
        <v>322</v>
      </c>
      <c r="H76" s="15" t="s">
        <v>556</v>
      </c>
      <c r="I76" s="15" t="s">
        <v>557</v>
      </c>
      <c r="J76" s="15" t="s">
        <v>558</v>
      </c>
      <c r="K76" s="15" t="s">
        <v>185</v>
      </c>
      <c r="L76" s="15"/>
      <c r="M76" s="15" t="s">
        <v>559</v>
      </c>
      <c r="N76" s="63">
        <v>31</v>
      </c>
      <c r="O76" s="15"/>
      <c r="P76" s="15">
        <v>46.81</v>
      </c>
      <c r="Q76" s="15" t="s">
        <v>560</v>
      </c>
      <c r="R76" s="15"/>
      <c r="S76" s="15"/>
      <c r="T76" s="15"/>
      <c r="U76" s="15"/>
      <c r="V76" s="15"/>
      <c r="W76" s="15"/>
      <c r="X76" s="15"/>
      <c r="Y76" s="15" t="s">
        <v>218</v>
      </c>
      <c r="Z76" s="15" t="s">
        <v>191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 t="s">
        <v>448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61">
        <v>46092</v>
      </c>
      <c r="BE76" s="61" t="s">
        <v>192</v>
      </c>
      <c r="BF76" s="15" t="s">
        <v>219</v>
      </c>
      <c r="BG76" s="15" t="s">
        <v>219</v>
      </c>
      <c r="BH76" s="15" t="s">
        <v>219</v>
      </c>
      <c r="BI76" s="15" t="s">
        <v>199</v>
      </c>
      <c r="BJ76" s="15"/>
      <c r="BK76" s="15" t="s">
        <v>171</v>
      </c>
      <c r="BL76" s="15"/>
      <c r="BM76" s="15"/>
      <c r="BN76" s="15"/>
      <c r="BO76" s="64"/>
      <c r="BP76" s="15"/>
      <c r="BQ76" s="15"/>
      <c r="BR76" s="15"/>
      <c r="BS76" s="64"/>
      <c r="BT76" s="64">
        <v>46159</v>
      </c>
      <c r="BU76" s="64">
        <v>46228</v>
      </c>
      <c r="BV76" s="15"/>
      <c r="BW76" s="64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15">
        <v>2</v>
      </c>
      <c r="CL76" s="68">
        <v>8</v>
      </c>
      <c r="CM76" s="68">
        <v>11</v>
      </c>
      <c r="CN76" s="68">
        <v>7</v>
      </c>
      <c r="CO76" s="68">
        <v>2</v>
      </c>
      <c r="CP76" s="68">
        <v>1</v>
      </c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5">
        <f t="shared" si="14"/>
        <v>31</v>
      </c>
      <c r="ER76" s="6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 t="s">
        <v>176</v>
      </c>
      <c r="FF76" s="15"/>
      <c r="FG76" s="15"/>
      <c r="FH76" s="1" t="str">
        <f t="shared" si="15"/>
        <v>782P149040014702080253</v>
      </c>
      <c r="FI76" s="1" t="str">
        <f t="shared" si="16"/>
        <v>PRLS/25/13287</v>
      </c>
      <c r="FJ76" s="38" t="e">
        <f>VLOOKUP(FH76,[1]Sheet3!$A:$D,4,0)</f>
        <v>#N/A</v>
      </c>
      <c r="FL76" s="13"/>
    </row>
    <row r="77" spans="1:168" ht="21" hidden="1" x14ac:dyDescent="0.25">
      <c r="A77" s="15" t="s">
        <v>749</v>
      </c>
      <c r="B77" s="15" t="s">
        <v>149</v>
      </c>
      <c r="C77" s="15" t="s">
        <v>471</v>
      </c>
      <c r="D77" s="15" t="s">
        <v>574</v>
      </c>
      <c r="E77" s="15" t="s">
        <v>210</v>
      </c>
      <c r="F77" s="15" t="s">
        <v>152</v>
      </c>
      <c r="G77" s="15" t="s">
        <v>321</v>
      </c>
      <c r="H77" s="15" t="s">
        <v>566</v>
      </c>
      <c r="I77" s="15" t="s">
        <v>567</v>
      </c>
      <c r="J77" s="15" t="s">
        <v>568</v>
      </c>
      <c r="K77" s="15" t="s">
        <v>185</v>
      </c>
      <c r="L77" s="15"/>
      <c r="M77" s="15" t="s">
        <v>569</v>
      </c>
      <c r="N77" s="63">
        <v>30</v>
      </c>
      <c r="O77" s="15"/>
      <c r="P77" s="15">
        <v>45.11</v>
      </c>
      <c r="Q77" s="15" t="s">
        <v>570</v>
      </c>
      <c r="R77" s="15"/>
      <c r="S77" s="15"/>
      <c r="T77" s="15"/>
      <c r="U77" s="15"/>
      <c r="V77" s="15"/>
      <c r="W77" s="15"/>
      <c r="X77" s="15"/>
      <c r="Y77" s="15" t="s">
        <v>218</v>
      </c>
      <c r="Z77" s="15" t="s">
        <v>191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 t="s">
        <v>448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61">
        <v>46092</v>
      </c>
      <c r="BE77" s="61" t="s">
        <v>192</v>
      </c>
      <c r="BF77" s="15" t="s">
        <v>219</v>
      </c>
      <c r="BG77" s="15" t="s">
        <v>219</v>
      </c>
      <c r="BH77" s="15" t="s">
        <v>219</v>
      </c>
      <c r="BI77" s="15" t="s">
        <v>199</v>
      </c>
      <c r="BJ77" s="15"/>
      <c r="BK77" s="15" t="s">
        <v>171</v>
      </c>
      <c r="BL77" s="15"/>
      <c r="BM77" s="15"/>
      <c r="BN77" s="15"/>
      <c r="BO77" s="64"/>
      <c r="BP77" s="15"/>
      <c r="BQ77" s="15"/>
      <c r="BR77" s="15"/>
      <c r="BS77" s="64"/>
      <c r="BT77" s="64">
        <v>46159</v>
      </c>
      <c r="BU77" s="64">
        <v>46228</v>
      </c>
      <c r="BV77" s="15"/>
      <c r="BW77" s="64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15"/>
      <c r="CL77" s="68">
        <v>3</v>
      </c>
      <c r="CM77" s="68">
        <v>9</v>
      </c>
      <c r="CN77" s="68">
        <v>10</v>
      </c>
      <c r="CO77" s="68">
        <v>6</v>
      </c>
      <c r="CP77" s="68">
        <v>2</v>
      </c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5">
        <f t="shared" si="14"/>
        <v>30</v>
      </c>
      <c r="ER77" s="6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 t="s">
        <v>176</v>
      </c>
      <c r="FF77" s="15"/>
      <c r="FG77" s="15"/>
      <c r="FH77" s="1" t="str">
        <f t="shared" si="15"/>
        <v>782P149080014702080254</v>
      </c>
      <c r="FI77" s="1" t="str">
        <f t="shared" si="16"/>
        <v>PRLS/25/13291</v>
      </c>
      <c r="FJ77" s="38" t="e">
        <f>VLOOKUP(FH77,[1]Sheet3!$A:$D,4,0)</f>
        <v>#N/A</v>
      </c>
      <c r="FL77" s="13"/>
    </row>
    <row r="78" spans="1:168" ht="21" hidden="1" x14ac:dyDescent="0.25">
      <c r="A78" s="15" t="s">
        <v>749</v>
      </c>
      <c r="B78" s="15" t="s">
        <v>149</v>
      </c>
      <c r="C78" s="15" t="s">
        <v>471</v>
      </c>
      <c r="D78" s="15" t="s">
        <v>573</v>
      </c>
      <c r="E78" s="15" t="s">
        <v>180</v>
      </c>
      <c r="F78" s="15" t="s">
        <v>181</v>
      </c>
      <c r="G78" s="15" t="s">
        <v>321</v>
      </c>
      <c r="H78" s="15" t="s">
        <v>566</v>
      </c>
      <c r="I78" s="15" t="s">
        <v>567</v>
      </c>
      <c r="J78" s="15" t="s">
        <v>568</v>
      </c>
      <c r="K78" s="15" t="s">
        <v>185</v>
      </c>
      <c r="L78" s="15"/>
      <c r="M78" s="15" t="s">
        <v>569</v>
      </c>
      <c r="N78" s="63">
        <v>114</v>
      </c>
      <c r="O78" s="15"/>
      <c r="P78" s="15">
        <v>45.11</v>
      </c>
      <c r="Q78" s="15" t="s">
        <v>570</v>
      </c>
      <c r="R78" s="15"/>
      <c r="S78" s="15"/>
      <c r="T78" s="15"/>
      <c r="U78" s="15"/>
      <c r="V78" s="15"/>
      <c r="W78" s="15"/>
      <c r="X78" s="15"/>
      <c r="Y78" s="15" t="s">
        <v>218</v>
      </c>
      <c r="Z78" s="15" t="s">
        <v>191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 t="s">
        <v>448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61">
        <v>46092</v>
      </c>
      <c r="BE78" s="61" t="s">
        <v>192</v>
      </c>
      <c r="BF78" s="15" t="s">
        <v>219</v>
      </c>
      <c r="BG78" s="15" t="s">
        <v>219</v>
      </c>
      <c r="BH78" s="15" t="s">
        <v>219</v>
      </c>
      <c r="BI78" s="15" t="s">
        <v>199</v>
      </c>
      <c r="BJ78" s="15"/>
      <c r="BK78" s="15" t="s">
        <v>171</v>
      </c>
      <c r="BL78" s="15"/>
      <c r="BM78" s="15"/>
      <c r="BN78" s="15"/>
      <c r="BO78" s="64"/>
      <c r="BP78" s="15"/>
      <c r="BQ78" s="15"/>
      <c r="BR78" s="15"/>
      <c r="BS78" s="64"/>
      <c r="BT78" s="64">
        <v>46159</v>
      </c>
      <c r="BU78" s="64">
        <v>46228</v>
      </c>
      <c r="BV78" s="15"/>
      <c r="BW78" s="64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15">
        <v>3</v>
      </c>
      <c r="CL78" s="68">
        <v>9</v>
      </c>
      <c r="CM78" s="68">
        <v>32</v>
      </c>
      <c r="CN78" s="68">
        <v>37</v>
      </c>
      <c r="CO78" s="68">
        <v>21</v>
      </c>
      <c r="CP78" s="68">
        <v>12</v>
      </c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5">
        <f t="shared" si="14"/>
        <v>114</v>
      </c>
      <c r="ER78" s="6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 t="s">
        <v>176</v>
      </c>
      <c r="FF78" s="15"/>
      <c r="FG78" s="15"/>
      <c r="FH78" s="1" t="str">
        <f t="shared" si="15"/>
        <v>782P149080014702080255</v>
      </c>
      <c r="FI78" s="1" t="str">
        <f t="shared" si="16"/>
        <v>PRLS/25/13291</v>
      </c>
      <c r="FJ78" s="38" t="e">
        <f>VLOOKUP(FH78,[1]Sheet3!$A:$D,4,0)</f>
        <v>#N/A</v>
      </c>
      <c r="FL78" s="13"/>
    </row>
    <row r="79" spans="1:168" ht="21" hidden="1" x14ac:dyDescent="0.25">
      <c r="A79" s="15" t="s">
        <v>749</v>
      </c>
      <c r="B79" s="15" t="s">
        <v>149</v>
      </c>
      <c r="C79" s="15" t="s">
        <v>471</v>
      </c>
      <c r="D79" s="15" t="s">
        <v>572</v>
      </c>
      <c r="E79" s="15" t="s">
        <v>253</v>
      </c>
      <c r="F79" s="15" t="s">
        <v>254</v>
      </c>
      <c r="G79" s="15" t="s">
        <v>322</v>
      </c>
      <c r="H79" s="15" t="s">
        <v>566</v>
      </c>
      <c r="I79" s="15" t="s">
        <v>567</v>
      </c>
      <c r="J79" s="15" t="s">
        <v>568</v>
      </c>
      <c r="K79" s="15" t="s">
        <v>185</v>
      </c>
      <c r="L79" s="15"/>
      <c r="M79" s="15" t="s">
        <v>569</v>
      </c>
      <c r="N79" s="63">
        <v>50</v>
      </c>
      <c r="O79" s="15"/>
      <c r="P79" s="15">
        <v>45.11</v>
      </c>
      <c r="Q79" s="15" t="s">
        <v>570</v>
      </c>
      <c r="R79" s="15"/>
      <c r="S79" s="15"/>
      <c r="T79" s="15"/>
      <c r="U79" s="15"/>
      <c r="V79" s="15"/>
      <c r="W79" s="15"/>
      <c r="X79" s="15"/>
      <c r="Y79" s="15" t="s">
        <v>218</v>
      </c>
      <c r="Z79" s="15" t="s">
        <v>191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 t="s">
        <v>448</v>
      </c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61">
        <v>46092</v>
      </c>
      <c r="BE79" s="61" t="s">
        <v>192</v>
      </c>
      <c r="BF79" s="15" t="s">
        <v>219</v>
      </c>
      <c r="BG79" s="15" t="s">
        <v>219</v>
      </c>
      <c r="BH79" s="15" t="s">
        <v>219</v>
      </c>
      <c r="BI79" s="15" t="s">
        <v>199</v>
      </c>
      <c r="BJ79" s="15"/>
      <c r="BK79" s="15" t="s">
        <v>171</v>
      </c>
      <c r="BL79" s="15"/>
      <c r="BM79" s="15"/>
      <c r="BN79" s="15"/>
      <c r="BO79" s="64"/>
      <c r="BP79" s="15"/>
      <c r="BQ79" s="15"/>
      <c r="BR79" s="15"/>
      <c r="BS79" s="64"/>
      <c r="BT79" s="64">
        <v>46159</v>
      </c>
      <c r="BU79" s="64">
        <v>46228</v>
      </c>
      <c r="BV79" s="15"/>
      <c r="BW79" s="64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15">
        <v>1</v>
      </c>
      <c r="CL79" s="68">
        <v>8</v>
      </c>
      <c r="CM79" s="68">
        <v>16</v>
      </c>
      <c r="CN79" s="68">
        <v>16</v>
      </c>
      <c r="CO79" s="68">
        <v>8</v>
      </c>
      <c r="CP79" s="68">
        <v>1</v>
      </c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5">
        <f t="shared" si="14"/>
        <v>50</v>
      </c>
      <c r="ER79" s="6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 t="s">
        <v>176</v>
      </c>
      <c r="FF79" s="15"/>
      <c r="FG79" s="15"/>
      <c r="FH79" s="1" t="str">
        <f t="shared" si="15"/>
        <v>782P149080014702080256</v>
      </c>
      <c r="FI79" s="1" t="str">
        <f t="shared" si="16"/>
        <v>PRLS/25/13291</v>
      </c>
      <c r="FJ79" s="38" t="e">
        <f>VLOOKUP(FH79,[1]Sheet3!$A:$D,4,0)</f>
        <v>#N/A</v>
      </c>
      <c r="FL79" s="13"/>
    </row>
    <row r="80" spans="1:168" ht="21" hidden="1" x14ac:dyDescent="0.25">
      <c r="A80" s="15" t="s">
        <v>749</v>
      </c>
      <c r="B80" s="15" t="s">
        <v>149</v>
      </c>
      <c r="C80" s="15" t="s">
        <v>471</v>
      </c>
      <c r="D80" s="15" t="s">
        <v>571</v>
      </c>
      <c r="E80" s="15" t="s">
        <v>227</v>
      </c>
      <c r="F80" s="15" t="s">
        <v>228</v>
      </c>
      <c r="G80" s="15" t="s">
        <v>322</v>
      </c>
      <c r="H80" s="15" t="s">
        <v>566</v>
      </c>
      <c r="I80" s="15" t="s">
        <v>567</v>
      </c>
      <c r="J80" s="15" t="s">
        <v>568</v>
      </c>
      <c r="K80" s="15" t="s">
        <v>185</v>
      </c>
      <c r="L80" s="15"/>
      <c r="M80" s="15" t="s">
        <v>569</v>
      </c>
      <c r="N80" s="63">
        <v>18</v>
      </c>
      <c r="O80" s="15"/>
      <c r="P80" s="15">
        <v>45.11</v>
      </c>
      <c r="Q80" s="15" t="s">
        <v>570</v>
      </c>
      <c r="R80" s="15"/>
      <c r="S80" s="15"/>
      <c r="T80" s="15"/>
      <c r="U80" s="15"/>
      <c r="V80" s="15"/>
      <c r="W80" s="15"/>
      <c r="X80" s="15"/>
      <c r="Y80" s="15" t="s">
        <v>218</v>
      </c>
      <c r="Z80" s="15" t="s">
        <v>191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 t="s">
        <v>448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61">
        <v>46092</v>
      </c>
      <c r="BE80" s="61" t="s">
        <v>192</v>
      </c>
      <c r="BF80" s="15" t="s">
        <v>219</v>
      </c>
      <c r="BG80" s="15" t="s">
        <v>219</v>
      </c>
      <c r="BH80" s="15" t="s">
        <v>219</v>
      </c>
      <c r="BI80" s="15" t="s">
        <v>199</v>
      </c>
      <c r="BJ80" s="15"/>
      <c r="BK80" s="15" t="s">
        <v>171</v>
      </c>
      <c r="BL80" s="15"/>
      <c r="BM80" s="15"/>
      <c r="BN80" s="15"/>
      <c r="BO80" s="64"/>
      <c r="BP80" s="15"/>
      <c r="BQ80" s="15"/>
      <c r="BR80" s="15"/>
      <c r="BS80" s="64"/>
      <c r="BT80" s="64">
        <v>46159</v>
      </c>
      <c r="BU80" s="64">
        <v>46228</v>
      </c>
      <c r="BV80" s="15"/>
      <c r="BW80" s="64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15"/>
      <c r="CL80" s="68">
        <v>2</v>
      </c>
      <c r="CM80" s="68">
        <v>6</v>
      </c>
      <c r="CN80" s="68">
        <v>7</v>
      </c>
      <c r="CO80" s="68">
        <v>2</v>
      </c>
      <c r="CP80" s="68">
        <v>1</v>
      </c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5">
        <f t="shared" si="14"/>
        <v>18</v>
      </c>
      <c r="ER80" s="6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 t="s">
        <v>176</v>
      </c>
      <c r="FF80" s="15"/>
      <c r="FG80" s="15"/>
      <c r="FH80" s="1" t="str">
        <f t="shared" si="15"/>
        <v>782P149080014702080257</v>
      </c>
      <c r="FI80" s="1" t="str">
        <f t="shared" si="16"/>
        <v>PRLS/25/13291</v>
      </c>
      <c r="FJ80" s="38" t="e">
        <f>VLOOKUP(FH80,[1]Sheet3!$A:$D,4,0)</f>
        <v>#N/A</v>
      </c>
      <c r="FL80" s="13"/>
    </row>
    <row r="81" spans="1:168" ht="21" hidden="1" x14ac:dyDescent="0.25">
      <c r="A81" s="15" t="s">
        <v>749</v>
      </c>
      <c r="B81" s="15" t="s">
        <v>149</v>
      </c>
      <c r="C81" s="15" t="s">
        <v>471</v>
      </c>
      <c r="D81" s="15" t="s">
        <v>565</v>
      </c>
      <c r="E81" s="15" t="s">
        <v>237</v>
      </c>
      <c r="F81" s="15" t="s">
        <v>238</v>
      </c>
      <c r="G81" s="15" t="s">
        <v>322</v>
      </c>
      <c r="H81" s="15" t="s">
        <v>566</v>
      </c>
      <c r="I81" s="15" t="s">
        <v>567</v>
      </c>
      <c r="J81" s="15" t="s">
        <v>568</v>
      </c>
      <c r="K81" s="15" t="s">
        <v>185</v>
      </c>
      <c r="L81" s="15"/>
      <c r="M81" s="15" t="s">
        <v>569</v>
      </c>
      <c r="N81" s="63">
        <v>40</v>
      </c>
      <c r="O81" s="15"/>
      <c r="P81" s="15">
        <v>45.11</v>
      </c>
      <c r="Q81" s="15" t="s">
        <v>570</v>
      </c>
      <c r="R81" s="15"/>
      <c r="S81" s="15"/>
      <c r="T81" s="15"/>
      <c r="U81" s="15"/>
      <c r="V81" s="15"/>
      <c r="W81" s="15"/>
      <c r="X81" s="15"/>
      <c r="Y81" s="15" t="s">
        <v>218</v>
      </c>
      <c r="Z81" s="15" t="s">
        <v>191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 t="s">
        <v>448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61">
        <v>46092</v>
      </c>
      <c r="BE81" s="61" t="s">
        <v>192</v>
      </c>
      <c r="BF81" s="15" t="s">
        <v>219</v>
      </c>
      <c r="BG81" s="15" t="s">
        <v>219</v>
      </c>
      <c r="BH81" s="15" t="s">
        <v>219</v>
      </c>
      <c r="BI81" s="15" t="s">
        <v>199</v>
      </c>
      <c r="BJ81" s="15"/>
      <c r="BK81" s="15" t="s">
        <v>171</v>
      </c>
      <c r="BL81" s="15"/>
      <c r="BM81" s="15"/>
      <c r="BN81" s="15"/>
      <c r="BO81" s="64"/>
      <c r="BP81" s="15"/>
      <c r="BQ81" s="15"/>
      <c r="BR81" s="15"/>
      <c r="BS81" s="64"/>
      <c r="BT81" s="64">
        <v>46159</v>
      </c>
      <c r="BU81" s="64">
        <v>46228</v>
      </c>
      <c r="BV81" s="15"/>
      <c r="BW81" s="64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15">
        <v>4</v>
      </c>
      <c r="CL81" s="68">
        <v>9</v>
      </c>
      <c r="CM81" s="68">
        <v>14</v>
      </c>
      <c r="CN81" s="68">
        <v>8</v>
      </c>
      <c r="CO81" s="68">
        <v>4</v>
      </c>
      <c r="CP81" s="68">
        <v>1</v>
      </c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5">
        <f t="shared" si="14"/>
        <v>40</v>
      </c>
      <c r="ER81" s="6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 t="s">
        <v>176</v>
      </c>
      <c r="FF81" s="15"/>
      <c r="FG81" s="15"/>
      <c r="FH81" s="1" t="str">
        <f t="shared" si="15"/>
        <v>782P149080014702080258</v>
      </c>
      <c r="FI81" s="1" t="str">
        <f t="shared" si="16"/>
        <v>PRLS/25/13291</v>
      </c>
      <c r="FJ81" s="38" t="e">
        <f>VLOOKUP(FH81,[1]Sheet3!$A:$D,4,0)</f>
        <v>#N/A</v>
      </c>
      <c r="FL81" s="13"/>
    </row>
    <row r="82" spans="1:168" ht="21" hidden="1" x14ac:dyDescent="0.25">
      <c r="A82" s="15" t="s">
        <v>753</v>
      </c>
      <c r="B82" s="15" t="s">
        <v>149</v>
      </c>
      <c r="C82" s="15" t="s">
        <v>471</v>
      </c>
      <c r="D82" s="15" t="s">
        <v>603</v>
      </c>
      <c r="E82" s="15" t="s">
        <v>210</v>
      </c>
      <c r="F82" s="61" t="s">
        <v>152</v>
      </c>
      <c r="G82" s="15" t="s">
        <v>321</v>
      </c>
      <c r="H82" s="15" t="s">
        <v>600</v>
      </c>
      <c r="I82" s="15" t="s">
        <v>619</v>
      </c>
      <c r="J82" s="15" t="s">
        <v>601</v>
      </c>
      <c r="K82" s="15" t="s">
        <v>185</v>
      </c>
      <c r="L82" s="15"/>
      <c r="M82" s="15" t="s">
        <v>602</v>
      </c>
      <c r="N82" s="63">
        <v>38</v>
      </c>
      <c r="O82" s="15"/>
      <c r="P82" s="15">
        <v>46.97</v>
      </c>
      <c r="Q82" s="15"/>
      <c r="R82" s="15"/>
      <c r="S82" s="15"/>
      <c r="T82" s="15"/>
      <c r="U82" s="15"/>
      <c r="V82" s="15"/>
      <c r="W82" s="15"/>
      <c r="X82" s="15"/>
      <c r="Y82" s="15" t="s">
        <v>218</v>
      </c>
      <c r="Z82" s="15" t="s">
        <v>191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 t="s">
        <v>448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61">
        <v>46092</v>
      </c>
      <c r="BE82" s="61" t="s">
        <v>192</v>
      </c>
      <c r="BF82" s="15" t="s">
        <v>219</v>
      </c>
      <c r="BG82" s="15" t="s">
        <v>219</v>
      </c>
      <c r="BH82" s="15" t="s">
        <v>219</v>
      </c>
      <c r="BI82" s="15" t="s">
        <v>199</v>
      </c>
      <c r="BJ82" s="15"/>
      <c r="BK82" s="15" t="s">
        <v>171</v>
      </c>
      <c r="BL82" s="15"/>
      <c r="BM82" s="15"/>
      <c r="BN82" s="15"/>
      <c r="BO82" s="64"/>
      <c r="BP82" s="15"/>
      <c r="BQ82" s="15"/>
      <c r="BR82" s="15"/>
      <c r="BS82" s="64"/>
      <c r="BT82" s="64">
        <v>46159</v>
      </c>
      <c r="BU82" s="64">
        <v>46228</v>
      </c>
      <c r="BV82" s="15"/>
      <c r="BW82" s="64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15"/>
      <c r="CL82" s="68">
        <v>4</v>
      </c>
      <c r="CM82" s="68">
        <v>10</v>
      </c>
      <c r="CN82" s="68">
        <v>14</v>
      </c>
      <c r="CO82" s="68">
        <v>8</v>
      </c>
      <c r="CP82" s="68">
        <v>2</v>
      </c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5">
        <f t="shared" ref="EQ82:EQ116" si="17">SUM(BX82:EP82)</f>
        <v>38</v>
      </c>
      <c r="ER82" s="6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 t="s">
        <v>176</v>
      </c>
      <c r="FF82" s="15"/>
      <c r="FG82" s="15"/>
      <c r="FH82" s="1" t="str">
        <f t="shared" ref="FH82:FH115" si="18">H82&amp;D82</f>
        <v>782P149060014702084864</v>
      </c>
      <c r="FI82" s="1" t="str">
        <f t="shared" ref="FI82:FI115" si="19">A82</f>
        <v>PRLS/25/13289</v>
      </c>
      <c r="FJ82" s="38" t="e">
        <f>VLOOKUP(FH82,[1]Sheet3!$A:$D,4,0)</f>
        <v>#N/A</v>
      </c>
      <c r="FL82" s="13"/>
    </row>
    <row r="83" spans="1:168" ht="21" hidden="1" x14ac:dyDescent="0.25">
      <c r="A83" s="15" t="s">
        <v>753</v>
      </c>
      <c r="B83" s="15" t="s">
        <v>149</v>
      </c>
      <c r="C83" s="15" t="s">
        <v>471</v>
      </c>
      <c r="D83" s="15" t="s">
        <v>604</v>
      </c>
      <c r="E83" s="15" t="s">
        <v>180</v>
      </c>
      <c r="F83" s="61" t="s">
        <v>181</v>
      </c>
      <c r="G83" s="15" t="s">
        <v>321</v>
      </c>
      <c r="H83" s="15" t="s">
        <v>600</v>
      </c>
      <c r="I83" s="15" t="s">
        <v>619</v>
      </c>
      <c r="J83" s="15" t="s">
        <v>601</v>
      </c>
      <c r="K83" s="15" t="s">
        <v>185</v>
      </c>
      <c r="L83" s="15"/>
      <c r="M83" s="15" t="s">
        <v>602</v>
      </c>
      <c r="N83" s="63">
        <v>124</v>
      </c>
      <c r="O83" s="15"/>
      <c r="P83" s="15">
        <v>46.97</v>
      </c>
      <c r="Q83" s="15"/>
      <c r="R83" s="15"/>
      <c r="S83" s="15"/>
      <c r="T83" s="15"/>
      <c r="U83" s="15"/>
      <c r="V83" s="15"/>
      <c r="W83" s="15"/>
      <c r="X83" s="15"/>
      <c r="Y83" s="15" t="s">
        <v>218</v>
      </c>
      <c r="Z83" s="15" t="s">
        <v>191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 t="s">
        <v>448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61">
        <v>46092</v>
      </c>
      <c r="BE83" s="61" t="s">
        <v>192</v>
      </c>
      <c r="BF83" s="15" t="s">
        <v>219</v>
      </c>
      <c r="BG83" s="15" t="s">
        <v>219</v>
      </c>
      <c r="BH83" s="15" t="s">
        <v>219</v>
      </c>
      <c r="BI83" s="15" t="s">
        <v>199</v>
      </c>
      <c r="BJ83" s="15"/>
      <c r="BK83" s="15" t="s">
        <v>171</v>
      </c>
      <c r="BL83" s="15"/>
      <c r="BM83" s="15"/>
      <c r="BN83" s="15"/>
      <c r="BO83" s="64"/>
      <c r="BP83" s="15"/>
      <c r="BQ83" s="15"/>
      <c r="BR83" s="15"/>
      <c r="BS83" s="64"/>
      <c r="BT83" s="64">
        <v>46159</v>
      </c>
      <c r="BU83" s="64">
        <v>46228</v>
      </c>
      <c r="BV83" s="15"/>
      <c r="BW83" s="64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15">
        <v>3</v>
      </c>
      <c r="CL83" s="68">
        <v>10</v>
      </c>
      <c r="CM83" s="68">
        <v>34</v>
      </c>
      <c r="CN83" s="68">
        <v>40</v>
      </c>
      <c r="CO83" s="68">
        <v>24</v>
      </c>
      <c r="CP83" s="68">
        <v>13</v>
      </c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5">
        <f t="shared" si="17"/>
        <v>124</v>
      </c>
      <c r="ER83" s="6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 t="s">
        <v>176</v>
      </c>
      <c r="FF83" s="15"/>
      <c r="FG83" s="15"/>
      <c r="FH83" s="1" t="str">
        <f t="shared" si="18"/>
        <v>782P149060014702084865</v>
      </c>
      <c r="FI83" s="1" t="str">
        <f t="shared" si="19"/>
        <v>PRLS/25/13289</v>
      </c>
      <c r="FJ83" s="38" t="e">
        <f>VLOOKUP(FH83,[1]Sheet3!$A:$D,4,0)</f>
        <v>#N/A</v>
      </c>
      <c r="FL83" s="13"/>
    </row>
    <row r="84" spans="1:168" ht="21" hidden="1" x14ac:dyDescent="0.25">
      <c r="A84" s="15" t="s">
        <v>753</v>
      </c>
      <c r="B84" s="15" t="s">
        <v>149</v>
      </c>
      <c r="C84" s="15" t="s">
        <v>471</v>
      </c>
      <c r="D84" s="15" t="s">
        <v>599</v>
      </c>
      <c r="E84" s="15" t="s">
        <v>253</v>
      </c>
      <c r="F84" s="61" t="s">
        <v>254</v>
      </c>
      <c r="G84" s="15" t="s">
        <v>322</v>
      </c>
      <c r="H84" s="15" t="s">
        <v>600</v>
      </c>
      <c r="I84" s="15" t="s">
        <v>619</v>
      </c>
      <c r="J84" s="15" t="s">
        <v>601</v>
      </c>
      <c r="K84" s="15" t="s">
        <v>185</v>
      </c>
      <c r="L84" s="15"/>
      <c r="M84" s="15" t="s">
        <v>602</v>
      </c>
      <c r="N84" s="63">
        <v>50</v>
      </c>
      <c r="O84" s="15"/>
      <c r="P84" s="15">
        <v>46.97</v>
      </c>
      <c r="Q84" s="15"/>
      <c r="R84" s="15"/>
      <c r="S84" s="15"/>
      <c r="T84" s="15"/>
      <c r="U84" s="15"/>
      <c r="V84" s="15"/>
      <c r="W84" s="15"/>
      <c r="X84" s="15"/>
      <c r="Y84" s="15" t="s">
        <v>218</v>
      </c>
      <c r="Z84" s="15" t="s">
        <v>191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 t="s">
        <v>448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61">
        <v>46092</v>
      </c>
      <c r="BE84" s="61" t="s">
        <v>192</v>
      </c>
      <c r="BF84" s="15" t="s">
        <v>219</v>
      </c>
      <c r="BG84" s="15" t="s">
        <v>219</v>
      </c>
      <c r="BH84" s="15" t="s">
        <v>219</v>
      </c>
      <c r="BI84" s="15" t="s">
        <v>199</v>
      </c>
      <c r="BJ84" s="15"/>
      <c r="BK84" s="15" t="s">
        <v>171</v>
      </c>
      <c r="BL84" s="15"/>
      <c r="BM84" s="15"/>
      <c r="BN84" s="15"/>
      <c r="BO84" s="64"/>
      <c r="BP84" s="15"/>
      <c r="BQ84" s="15"/>
      <c r="BR84" s="15"/>
      <c r="BS84" s="64"/>
      <c r="BT84" s="64">
        <v>46159</v>
      </c>
      <c r="BU84" s="64">
        <v>46228</v>
      </c>
      <c r="BV84" s="15"/>
      <c r="BW84" s="64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15">
        <v>1</v>
      </c>
      <c r="CL84" s="68">
        <v>8</v>
      </c>
      <c r="CM84" s="68">
        <v>16</v>
      </c>
      <c r="CN84" s="68">
        <v>16</v>
      </c>
      <c r="CO84" s="68">
        <v>8</v>
      </c>
      <c r="CP84" s="68">
        <v>1</v>
      </c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5">
        <f t="shared" si="17"/>
        <v>50</v>
      </c>
      <c r="ER84" s="6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 t="s">
        <v>176</v>
      </c>
      <c r="FF84" s="15"/>
      <c r="FG84" s="15"/>
      <c r="FH84" s="1" t="str">
        <f t="shared" si="18"/>
        <v>782P149060014702084866</v>
      </c>
      <c r="FI84" s="1" t="str">
        <f t="shared" si="19"/>
        <v>PRLS/25/13289</v>
      </c>
      <c r="FJ84" s="38" t="e">
        <f>VLOOKUP(FH84,[1]Sheet3!$A:$D,4,0)</f>
        <v>#N/A</v>
      </c>
      <c r="FL84" s="13"/>
    </row>
    <row r="85" spans="1:168" ht="21" hidden="1" x14ac:dyDescent="0.25">
      <c r="A85" s="15" t="s">
        <v>753</v>
      </c>
      <c r="B85" s="15" t="s">
        <v>149</v>
      </c>
      <c r="C85" s="15" t="s">
        <v>471</v>
      </c>
      <c r="D85" s="15" t="s">
        <v>606</v>
      </c>
      <c r="E85" s="15" t="s">
        <v>227</v>
      </c>
      <c r="F85" s="61" t="s">
        <v>228</v>
      </c>
      <c r="G85" s="15" t="s">
        <v>322</v>
      </c>
      <c r="H85" s="15" t="s">
        <v>600</v>
      </c>
      <c r="I85" s="15" t="s">
        <v>619</v>
      </c>
      <c r="J85" s="15" t="s">
        <v>601</v>
      </c>
      <c r="K85" s="15" t="s">
        <v>185</v>
      </c>
      <c r="L85" s="15"/>
      <c r="M85" s="15" t="s">
        <v>602</v>
      </c>
      <c r="N85" s="63">
        <v>18</v>
      </c>
      <c r="O85" s="15"/>
      <c r="P85" s="15">
        <v>46.97</v>
      </c>
      <c r="Q85" s="15"/>
      <c r="R85" s="15"/>
      <c r="S85" s="15"/>
      <c r="T85" s="15"/>
      <c r="U85" s="15"/>
      <c r="V85" s="15"/>
      <c r="W85" s="15"/>
      <c r="X85" s="15"/>
      <c r="Y85" s="15" t="s">
        <v>218</v>
      </c>
      <c r="Z85" s="15" t="s">
        <v>191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 t="s">
        <v>448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61">
        <v>46092</v>
      </c>
      <c r="BE85" s="61" t="s">
        <v>192</v>
      </c>
      <c r="BF85" s="15" t="s">
        <v>219</v>
      </c>
      <c r="BG85" s="15" t="s">
        <v>219</v>
      </c>
      <c r="BH85" s="15" t="s">
        <v>219</v>
      </c>
      <c r="BI85" s="15" t="s">
        <v>199</v>
      </c>
      <c r="BJ85" s="15"/>
      <c r="BK85" s="15" t="s">
        <v>171</v>
      </c>
      <c r="BL85" s="15"/>
      <c r="BM85" s="15"/>
      <c r="BN85" s="15"/>
      <c r="BO85" s="64"/>
      <c r="BP85" s="15"/>
      <c r="BQ85" s="15"/>
      <c r="BR85" s="15"/>
      <c r="BS85" s="64"/>
      <c r="BT85" s="64">
        <v>46159</v>
      </c>
      <c r="BU85" s="64">
        <v>46228</v>
      </c>
      <c r="BV85" s="15"/>
      <c r="BW85" s="64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15"/>
      <c r="CL85" s="68">
        <v>2</v>
      </c>
      <c r="CM85" s="68">
        <v>6</v>
      </c>
      <c r="CN85" s="68">
        <v>7</v>
      </c>
      <c r="CO85" s="68">
        <v>2</v>
      </c>
      <c r="CP85" s="68">
        <v>1</v>
      </c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  <c r="EQ85" s="65">
        <f t="shared" si="17"/>
        <v>18</v>
      </c>
      <c r="ER85" s="6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 t="s">
        <v>176</v>
      </c>
      <c r="FF85" s="15"/>
      <c r="FG85" s="15"/>
      <c r="FH85" s="1" t="str">
        <f t="shared" si="18"/>
        <v>782P149060014702084867</v>
      </c>
      <c r="FI85" s="1" t="str">
        <f t="shared" si="19"/>
        <v>PRLS/25/13289</v>
      </c>
      <c r="FJ85" s="38" t="e">
        <f>VLOOKUP(FH85,[1]Sheet3!$A:$D,4,0)</f>
        <v>#N/A</v>
      </c>
      <c r="FL85" s="13"/>
    </row>
    <row r="86" spans="1:168" ht="21" hidden="1" x14ac:dyDescent="0.25">
      <c r="A86" s="15" t="s">
        <v>753</v>
      </c>
      <c r="B86" s="15" t="s">
        <v>149</v>
      </c>
      <c r="C86" s="15" t="s">
        <v>471</v>
      </c>
      <c r="D86" s="15" t="s">
        <v>605</v>
      </c>
      <c r="E86" s="15" t="s">
        <v>237</v>
      </c>
      <c r="F86" s="61" t="s">
        <v>238</v>
      </c>
      <c r="G86" s="15" t="s">
        <v>322</v>
      </c>
      <c r="H86" s="15" t="s">
        <v>600</v>
      </c>
      <c r="I86" s="15" t="s">
        <v>619</v>
      </c>
      <c r="J86" s="15" t="s">
        <v>601</v>
      </c>
      <c r="K86" s="15" t="s">
        <v>185</v>
      </c>
      <c r="L86" s="15"/>
      <c r="M86" s="15" t="s">
        <v>602</v>
      </c>
      <c r="N86" s="63">
        <v>44</v>
      </c>
      <c r="O86" s="15"/>
      <c r="P86" s="15">
        <v>46.97</v>
      </c>
      <c r="Q86" s="15"/>
      <c r="R86" s="15"/>
      <c r="S86" s="15"/>
      <c r="T86" s="15"/>
      <c r="U86" s="15"/>
      <c r="V86" s="15"/>
      <c r="W86" s="15"/>
      <c r="X86" s="15"/>
      <c r="Y86" s="15" t="s">
        <v>218</v>
      </c>
      <c r="Z86" s="15" t="s">
        <v>191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 t="s">
        <v>448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61">
        <v>46092</v>
      </c>
      <c r="BE86" s="61" t="s">
        <v>192</v>
      </c>
      <c r="BF86" s="15" t="s">
        <v>219</v>
      </c>
      <c r="BG86" s="15" t="s">
        <v>219</v>
      </c>
      <c r="BH86" s="15" t="s">
        <v>219</v>
      </c>
      <c r="BI86" s="15" t="s">
        <v>199</v>
      </c>
      <c r="BJ86" s="15"/>
      <c r="BK86" s="15" t="s">
        <v>171</v>
      </c>
      <c r="BL86" s="15"/>
      <c r="BM86" s="15"/>
      <c r="BN86" s="15"/>
      <c r="BO86" s="64"/>
      <c r="BP86" s="15"/>
      <c r="BQ86" s="15"/>
      <c r="BR86" s="15"/>
      <c r="BS86" s="64"/>
      <c r="BT86" s="64">
        <v>46159</v>
      </c>
      <c r="BU86" s="64">
        <v>46228</v>
      </c>
      <c r="BV86" s="15"/>
      <c r="BW86" s="64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15">
        <v>3</v>
      </c>
      <c r="CL86" s="68">
        <v>11</v>
      </c>
      <c r="CM86" s="68">
        <v>15</v>
      </c>
      <c r="CN86" s="68">
        <v>9</v>
      </c>
      <c r="CO86" s="68">
        <v>5</v>
      </c>
      <c r="CP86" s="68">
        <v>1</v>
      </c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5">
        <f t="shared" si="17"/>
        <v>44</v>
      </c>
      <c r="ER86" s="6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 t="s">
        <v>176</v>
      </c>
      <c r="FF86" s="15"/>
      <c r="FG86" s="15"/>
      <c r="FH86" s="1" t="str">
        <f t="shared" si="18"/>
        <v>782P149060014702084868</v>
      </c>
      <c r="FI86" s="1" t="str">
        <f t="shared" si="19"/>
        <v>PRLS/25/13289</v>
      </c>
      <c r="FJ86" s="38" t="e">
        <f>VLOOKUP(FH86,[1]Sheet3!$A:$D,4,0)</f>
        <v>#N/A</v>
      </c>
      <c r="FL86" s="13"/>
    </row>
    <row r="87" spans="1:168" ht="21" hidden="1" x14ac:dyDescent="0.25">
      <c r="A87" s="15" t="s">
        <v>752</v>
      </c>
      <c r="B87" s="15" t="s">
        <v>149</v>
      </c>
      <c r="C87" s="15" t="s">
        <v>471</v>
      </c>
      <c r="D87" s="15" t="s">
        <v>596</v>
      </c>
      <c r="E87" s="15" t="s">
        <v>180</v>
      </c>
      <c r="F87" s="61" t="s">
        <v>181</v>
      </c>
      <c r="G87" s="15" t="s">
        <v>321</v>
      </c>
      <c r="H87" s="15" t="s">
        <v>593</v>
      </c>
      <c r="I87" s="15" t="s">
        <v>618</v>
      </c>
      <c r="J87" s="15" t="s">
        <v>594</v>
      </c>
      <c r="K87" s="15" t="s">
        <v>185</v>
      </c>
      <c r="L87" s="15"/>
      <c r="M87" s="15" t="s">
        <v>595</v>
      </c>
      <c r="N87" s="63">
        <v>118</v>
      </c>
      <c r="O87" s="15"/>
      <c r="P87" s="15">
        <v>43.6</v>
      </c>
      <c r="Q87" s="15"/>
      <c r="R87" s="15"/>
      <c r="S87" s="15"/>
      <c r="T87" s="15"/>
      <c r="U87" s="15"/>
      <c r="V87" s="15"/>
      <c r="W87" s="15"/>
      <c r="X87" s="15"/>
      <c r="Y87" s="15" t="s">
        <v>218</v>
      </c>
      <c r="Z87" s="15" t="s">
        <v>191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 t="s">
        <v>448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61">
        <v>46092</v>
      </c>
      <c r="BE87" s="61" t="s">
        <v>192</v>
      </c>
      <c r="BF87" s="15" t="s">
        <v>219</v>
      </c>
      <c r="BG87" s="15" t="s">
        <v>219</v>
      </c>
      <c r="BH87" s="15" t="s">
        <v>219</v>
      </c>
      <c r="BI87" s="15" t="s">
        <v>199</v>
      </c>
      <c r="BJ87" s="15"/>
      <c r="BK87" s="15" t="s">
        <v>171</v>
      </c>
      <c r="BL87" s="15"/>
      <c r="BM87" s="15"/>
      <c r="BN87" s="15"/>
      <c r="BO87" s="64"/>
      <c r="BP87" s="15"/>
      <c r="BQ87" s="15"/>
      <c r="BR87" s="15"/>
      <c r="BS87" s="64"/>
      <c r="BT87" s="64">
        <v>46159</v>
      </c>
      <c r="BU87" s="64">
        <v>46228</v>
      </c>
      <c r="BV87" s="15"/>
      <c r="BW87" s="64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15">
        <v>2</v>
      </c>
      <c r="CL87" s="68">
        <v>9</v>
      </c>
      <c r="CM87" s="68">
        <v>34</v>
      </c>
      <c r="CN87" s="68">
        <v>38</v>
      </c>
      <c r="CO87" s="68">
        <v>23</v>
      </c>
      <c r="CP87" s="68">
        <v>12</v>
      </c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5">
        <f t="shared" si="17"/>
        <v>118</v>
      </c>
      <c r="ER87" s="6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 t="s">
        <v>176</v>
      </c>
      <c r="FF87" s="15"/>
      <c r="FG87" s="15"/>
      <c r="FH87" s="1" t="str">
        <f t="shared" si="18"/>
        <v>782P149050014702087841</v>
      </c>
      <c r="FI87" s="1" t="str">
        <f t="shared" si="19"/>
        <v>PRLS/25/13288</v>
      </c>
      <c r="FJ87" s="38" t="e">
        <f>VLOOKUP(FH87,[1]Sheet3!$A:$D,4,0)</f>
        <v>#N/A</v>
      </c>
      <c r="FL87" s="13"/>
    </row>
    <row r="88" spans="1:168" ht="21" hidden="1" x14ac:dyDescent="0.25">
      <c r="A88" s="15" t="s">
        <v>752</v>
      </c>
      <c r="B88" s="15" t="s">
        <v>149</v>
      </c>
      <c r="C88" s="15" t="s">
        <v>471</v>
      </c>
      <c r="D88" s="15" t="s">
        <v>597</v>
      </c>
      <c r="E88" s="15" t="s">
        <v>253</v>
      </c>
      <c r="F88" s="61" t="s">
        <v>254</v>
      </c>
      <c r="G88" s="15" t="s">
        <v>322</v>
      </c>
      <c r="H88" s="15" t="s">
        <v>593</v>
      </c>
      <c r="I88" s="15" t="s">
        <v>618</v>
      </c>
      <c r="J88" s="15" t="s">
        <v>594</v>
      </c>
      <c r="K88" s="15" t="s">
        <v>185</v>
      </c>
      <c r="L88" s="15"/>
      <c r="M88" s="15" t="s">
        <v>595</v>
      </c>
      <c r="N88" s="63">
        <v>27</v>
      </c>
      <c r="O88" s="15"/>
      <c r="P88" s="15">
        <v>43.6</v>
      </c>
      <c r="Q88" s="15"/>
      <c r="R88" s="15"/>
      <c r="S88" s="15"/>
      <c r="T88" s="15"/>
      <c r="U88" s="15"/>
      <c r="V88" s="15"/>
      <c r="W88" s="15"/>
      <c r="X88" s="15"/>
      <c r="Y88" s="15" t="s">
        <v>218</v>
      </c>
      <c r="Z88" s="15" t="s">
        <v>191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 t="s">
        <v>448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61">
        <v>46092</v>
      </c>
      <c r="BE88" s="61" t="s">
        <v>192</v>
      </c>
      <c r="BF88" s="15" t="s">
        <v>219</v>
      </c>
      <c r="BG88" s="15" t="s">
        <v>219</v>
      </c>
      <c r="BH88" s="15" t="s">
        <v>219</v>
      </c>
      <c r="BI88" s="15" t="s">
        <v>199</v>
      </c>
      <c r="BJ88" s="15"/>
      <c r="BK88" s="15" t="s">
        <v>171</v>
      </c>
      <c r="BL88" s="15"/>
      <c r="BM88" s="15"/>
      <c r="BN88" s="15"/>
      <c r="BO88" s="64"/>
      <c r="BP88" s="15"/>
      <c r="BQ88" s="15"/>
      <c r="BR88" s="15"/>
      <c r="BS88" s="64"/>
      <c r="BT88" s="64">
        <v>46159</v>
      </c>
      <c r="BU88" s="64">
        <v>46228</v>
      </c>
      <c r="BV88" s="15"/>
      <c r="BW88" s="64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15">
        <v>1</v>
      </c>
      <c r="CL88" s="68">
        <v>3</v>
      </c>
      <c r="CM88" s="68">
        <v>10</v>
      </c>
      <c r="CN88" s="68">
        <v>9</v>
      </c>
      <c r="CO88" s="68">
        <v>3</v>
      </c>
      <c r="CP88" s="68">
        <v>1</v>
      </c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5">
        <f t="shared" si="17"/>
        <v>27</v>
      </c>
      <c r="ER88" s="6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 t="s">
        <v>176</v>
      </c>
      <c r="FF88" s="15"/>
      <c r="FG88" s="15"/>
      <c r="FH88" s="1" t="str">
        <f t="shared" si="18"/>
        <v>782P149050014702087842</v>
      </c>
      <c r="FI88" s="1" t="str">
        <f t="shared" si="19"/>
        <v>PRLS/25/13288</v>
      </c>
      <c r="FJ88" s="38" t="e">
        <f>VLOOKUP(FH88,[1]Sheet3!$A:$D,4,0)</f>
        <v>#N/A</v>
      </c>
      <c r="FL88" s="13"/>
    </row>
    <row r="89" spans="1:168" ht="21" hidden="1" x14ac:dyDescent="0.25">
      <c r="A89" s="15" t="s">
        <v>752</v>
      </c>
      <c r="B89" s="15" t="s">
        <v>149</v>
      </c>
      <c r="C89" s="15" t="s">
        <v>471</v>
      </c>
      <c r="D89" s="15" t="s">
        <v>592</v>
      </c>
      <c r="E89" s="15" t="s">
        <v>227</v>
      </c>
      <c r="F89" s="61" t="s">
        <v>228</v>
      </c>
      <c r="G89" s="15" t="s">
        <v>322</v>
      </c>
      <c r="H89" s="15" t="s">
        <v>593</v>
      </c>
      <c r="I89" s="15" t="s">
        <v>618</v>
      </c>
      <c r="J89" s="15" t="s">
        <v>594</v>
      </c>
      <c r="K89" s="15" t="s">
        <v>185</v>
      </c>
      <c r="L89" s="15"/>
      <c r="M89" s="15" t="s">
        <v>595</v>
      </c>
      <c r="N89" s="63">
        <v>8</v>
      </c>
      <c r="O89" s="15"/>
      <c r="P89" s="15">
        <v>43.6</v>
      </c>
      <c r="Q89" s="15"/>
      <c r="R89" s="15"/>
      <c r="S89" s="15"/>
      <c r="T89" s="15"/>
      <c r="U89" s="15"/>
      <c r="V89" s="15"/>
      <c r="W89" s="15"/>
      <c r="X89" s="15"/>
      <c r="Y89" s="15" t="s">
        <v>218</v>
      </c>
      <c r="Z89" s="15" t="s">
        <v>191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 t="s">
        <v>448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61">
        <v>46092</v>
      </c>
      <c r="BE89" s="61" t="s">
        <v>192</v>
      </c>
      <c r="BF89" s="15" t="s">
        <v>219</v>
      </c>
      <c r="BG89" s="15" t="s">
        <v>219</v>
      </c>
      <c r="BH89" s="15" t="s">
        <v>219</v>
      </c>
      <c r="BI89" s="15" t="s">
        <v>199</v>
      </c>
      <c r="BJ89" s="15"/>
      <c r="BK89" s="15" t="s">
        <v>171</v>
      </c>
      <c r="BL89" s="15"/>
      <c r="BM89" s="15"/>
      <c r="BN89" s="15"/>
      <c r="BO89" s="64"/>
      <c r="BP89" s="15"/>
      <c r="BQ89" s="15"/>
      <c r="BR89" s="15"/>
      <c r="BS89" s="64"/>
      <c r="BT89" s="64">
        <v>46159</v>
      </c>
      <c r="BU89" s="64">
        <v>46228</v>
      </c>
      <c r="BV89" s="15"/>
      <c r="BW89" s="64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15"/>
      <c r="CL89" s="68">
        <v>1</v>
      </c>
      <c r="CM89" s="68">
        <v>2</v>
      </c>
      <c r="CN89" s="68">
        <v>3</v>
      </c>
      <c r="CO89" s="68">
        <v>1</v>
      </c>
      <c r="CP89" s="68">
        <v>1</v>
      </c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5">
        <f t="shared" si="17"/>
        <v>8</v>
      </c>
      <c r="ER89" s="6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 t="s">
        <v>176</v>
      </c>
      <c r="FF89" s="15"/>
      <c r="FG89" s="15"/>
      <c r="FH89" s="1" t="str">
        <f t="shared" si="18"/>
        <v>782P149050014702087843</v>
      </c>
      <c r="FI89" s="1" t="str">
        <f t="shared" si="19"/>
        <v>PRLS/25/13288</v>
      </c>
      <c r="FJ89" s="38" t="e">
        <f>VLOOKUP(FH89,[1]Sheet3!$A:$D,4,0)</f>
        <v>#N/A</v>
      </c>
      <c r="FL89" s="13"/>
    </row>
    <row r="90" spans="1:168" ht="21" hidden="1" x14ac:dyDescent="0.25">
      <c r="A90" s="15" t="s">
        <v>752</v>
      </c>
      <c r="B90" s="15" t="s">
        <v>149</v>
      </c>
      <c r="C90" s="15" t="s">
        <v>471</v>
      </c>
      <c r="D90" s="15" t="s">
        <v>598</v>
      </c>
      <c r="E90" s="15" t="s">
        <v>237</v>
      </c>
      <c r="F90" s="61" t="s">
        <v>238</v>
      </c>
      <c r="G90" s="15" t="s">
        <v>322</v>
      </c>
      <c r="H90" s="15" t="s">
        <v>593</v>
      </c>
      <c r="I90" s="15" t="s">
        <v>618</v>
      </c>
      <c r="J90" s="15" t="s">
        <v>594</v>
      </c>
      <c r="K90" s="15" t="s">
        <v>185</v>
      </c>
      <c r="L90" s="15"/>
      <c r="M90" s="15" t="s">
        <v>595</v>
      </c>
      <c r="N90" s="63">
        <v>47</v>
      </c>
      <c r="O90" s="15"/>
      <c r="P90" s="15">
        <v>43.6</v>
      </c>
      <c r="Q90" s="15"/>
      <c r="R90" s="15"/>
      <c r="S90" s="15"/>
      <c r="T90" s="15"/>
      <c r="U90" s="15"/>
      <c r="V90" s="15"/>
      <c r="W90" s="15"/>
      <c r="X90" s="15"/>
      <c r="Y90" s="15" t="s">
        <v>218</v>
      </c>
      <c r="Z90" s="15" t="s">
        <v>191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 t="s">
        <v>448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61">
        <v>46092</v>
      </c>
      <c r="BE90" s="61" t="s">
        <v>192</v>
      </c>
      <c r="BF90" s="15" t="s">
        <v>219</v>
      </c>
      <c r="BG90" s="15" t="s">
        <v>219</v>
      </c>
      <c r="BH90" s="15" t="s">
        <v>219</v>
      </c>
      <c r="BI90" s="15" t="s">
        <v>199</v>
      </c>
      <c r="BJ90" s="15"/>
      <c r="BK90" s="15" t="s">
        <v>171</v>
      </c>
      <c r="BL90" s="15"/>
      <c r="BM90" s="15"/>
      <c r="BN90" s="15"/>
      <c r="BO90" s="64"/>
      <c r="BP90" s="15"/>
      <c r="BQ90" s="15"/>
      <c r="BR90" s="15"/>
      <c r="BS90" s="64"/>
      <c r="BT90" s="64">
        <v>46159</v>
      </c>
      <c r="BU90" s="64">
        <v>46228</v>
      </c>
      <c r="BV90" s="15"/>
      <c r="BW90" s="64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15">
        <v>4</v>
      </c>
      <c r="CL90" s="68">
        <v>11</v>
      </c>
      <c r="CM90" s="68">
        <v>16</v>
      </c>
      <c r="CN90" s="68">
        <v>10</v>
      </c>
      <c r="CO90" s="68">
        <v>5</v>
      </c>
      <c r="CP90" s="68">
        <v>1</v>
      </c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5">
        <f t="shared" si="17"/>
        <v>47</v>
      </c>
      <c r="ER90" s="6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 t="s">
        <v>176</v>
      </c>
      <c r="FF90" s="15"/>
      <c r="FG90" s="15"/>
      <c r="FH90" s="1" t="str">
        <f t="shared" si="18"/>
        <v>782P149050014702087844</v>
      </c>
      <c r="FI90" s="1" t="str">
        <f t="shared" si="19"/>
        <v>PRLS/25/13288</v>
      </c>
      <c r="FJ90" s="38" t="e">
        <f>VLOOKUP(FH90,[1]Sheet3!$A:$D,4,0)</f>
        <v>#N/A</v>
      </c>
      <c r="FL90" s="13"/>
    </row>
    <row r="91" spans="1:168" ht="21" hidden="1" x14ac:dyDescent="0.25">
      <c r="A91" s="15" t="s">
        <v>750</v>
      </c>
      <c r="B91" s="15" t="s">
        <v>149</v>
      </c>
      <c r="C91" s="15" t="s">
        <v>471</v>
      </c>
      <c r="D91" s="15" t="s">
        <v>580</v>
      </c>
      <c r="E91" s="15" t="s">
        <v>210</v>
      </c>
      <c r="F91" s="61" t="s">
        <v>152</v>
      </c>
      <c r="G91" s="15" t="s">
        <v>321</v>
      </c>
      <c r="H91" s="15" t="s">
        <v>576</v>
      </c>
      <c r="I91" s="15" t="s">
        <v>616</v>
      </c>
      <c r="J91" s="15" t="s">
        <v>577</v>
      </c>
      <c r="K91" s="15" t="s">
        <v>185</v>
      </c>
      <c r="L91" s="15"/>
      <c r="M91" s="15" t="s">
        <v>578</v>
      </c>
      <c r="N91" s="63">
        <v>28</v>
      </c>
      <c r="O91" s="15"/>
      <c r="P91" s="15">
        <v>46</v>
      </c>
      <c r="Q91" s="15"/>
      <c r="R91" s="15"/>
      <c r="S91" s="15"/>
      <c r="T91" s="15"/>
      <c r="U91" s="15"/>
      <c r="V91" s="15"/>
      <c r="W91" s="15"/>
      <c r="X91" s="15"/>
      <c r="Y91" s="15" t="s">
        <v>218</v>
      </c>
      <c r="Z91" s="15" t="s">
        <v>191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 t="s">
        <v>448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61">
        <v>46092</v>
      </c>
      <c r="BE91" s="61" t="s">
        <v>192</v>
      </c>
      <c r="BF91" s="15" t="s">
        <v>219</v>
      </c>
      <c r="BG91" s="15" t="s">
        <v>219</v>
      </c>
      <c r="BH91" s="15" t="s">
        <v>219</v>
      </c>
      <c r="BI91" s="15" t="s">
        <v>199</v>
      </c>
      <c r="BJ91" s="15"/>
      <c r="BK91" s="15" t="s">
        <v>171</v>
      </c>
      <c r="BL91" s="15"/>
      <c r="BM91" s="15"/>
      <c r="BN91" s="15"/>
      <c r="BO91" s="64"/>
      <c r="BP91" s="15"/>
      <c r="BQ91" s="15"/>
      <c r="BR91" s="15"/>
      <c r="BS91" s="64"/>
      <c r="BT91" s="64">
        <v>46159</v>
      </c>
      <c r="BU91" s="64">
        <v>46228</v>
      </c>
      <c r="BV91" s="15"/>
      <c r="BW91" s="64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15"/>
      <c r="CL91" s="68">
        <v>3</v>
      </c>
      <c r="CM91" s="68">
        <v>8</v>
      </c>
      <c r="CN91" s="68">
        <v>10</v>
      </c>
      <c r="CO91" s="68">
        <v>6</v>
      </c>
      <c r="CP91" s="68">
        <v>1</v>
      </c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5">
        <f t="shared" si="17"/>
        <v>28</v>
      </c>
      <c r="ER91" s="6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 t="s">
        <v>176</v>
      </c>
      <c r="FF91" s="15"/>
      <c r="FG91" s="15"/>
      <c r="FH91" s="1" t="str">
        <f t="shared" si="18"/>
        <v>782P149070014702087845</v>
      </c>
      <c r="FI91" s="1" t="str">
        <f t="shared" si="19"/>
        <v>PRLS/25/13290</v>
      </c>
      <c r="FJ91" s="38" t="e">
        <f>VLOOKUP(FH91,[1]Sheet3!$A:$D,4,0)</f>
        <v>#N/A</v>
      </c>
      <c r="FL91" s="13"/>
    </row>
    <row r="92" spans="1:168" ht="21" hidden="1" x14ac:dyDescent="0.25">
      <c r="A92" s="15" t="s">
        <v>750</v>
      </c>
      <c r="B92" s="15" t="s">
        <v>149</v>
      </c>
      <c r="C92" s="15" t="s">
        <v>471</v>
      </c>
      <c r="D92" s="15" t="s">
        <v>575</v>
      </c>
      <c r="E92" s="15" t="s">
        <v>180</v>
      </c>
      <c r="F92" s="61" t="s">
        <v>181</v>
      </c>
      <c r="G92" s="61" t="s">
        <v>321</v>
      </c>
      <c r="H92" s="15" t="s">
        <v>576</v>
      </c>
      <c r="I92" s="15" t="s">
        <v>616</v>
      </c>
      <c r="J92" s="15" t="s">
        <v>577</v>
      </c>
      <c r="K92" s="15" t="s">
        <v>185</v>
      </c>
      <c r="L92" s="15"/>
      <c r="M92" s="15" t="s">
        <v>578</v>
      </c>
      <c r="N92" s="63">
        <v>106</v>
      </c>
      <c r="O92" s="15"/>
      <c r="P92" s="15">
        <v>46</v>
      </c>
      <c r="Q92" s="15"/>
      <c r="R92" s="15"/>
      <c r="S92" s="15"/>
      <c r="T92" s="15"/>
      <c r="U92" s="15"/>
      <c r="V92" s="15"/>
      <c r="W92" s="15"/>
      <c r="X92" s="15"/>
      <c r="Y92" s="15" t="s">
        <v>218</v>
      </c>
      <c r="Z92" s="15" t="s">
        <v>191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 t="s">
        <v>448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61">
        <v>46092</v>
      </c>
      <c r="BE92" s="61" t="s">
        <v>192</v>
      </c>
      <c r="BF92" s="15" t="s">
        <v>219</v>
      </c>
      <c r="BG92" s="15" t="s">
        <v>219</v>
      </c>
      <c r="BH92" s="15" t="s">
        <v>219</v>
      </c>
      <c r="BI92" s="15" t="s">
        <v>199</v>
      </c>
      <c r="BJ92" s="15"/>
      <c r="BK92" s="15" t="s">
        <v>171</v>
      </c>
      <c r="BL92" s="15"/>
      <c r="BM92" s="15"/>
      <c r="BN92" s="15"/>
      <c r="BO92" s="64"/>
      <c r="BP92" s="15"/>
      <c r="BQ92" s="15"/>
      <c r="BR92" s="15"/>
      <c r="BS92" s="64"/>
      <c r="BT92" s="64">
        <v>46159</v>
      </c>
      <c r="BU92" s="64">
        <v>46228</v>
      </c>
      <c r="BV92" s="15"/>
      <c r="BW92" s="64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15">
        <v>3</v>
      </c>
      <c r="CL92" s="68">
        <v>8</v>
      </c>
      <c r="CM92" s="68">
        <v>30</v>
      </c>
      <c r="CN92" s="68">
        <v>34</v>
      </c>
      <c r="CO92" s="68">
        <v>20</v>
      </c>
      <c r="CP92" s="68">
        <v>11</v>
      </c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5">
        <f t="shared" si="17"/>
        <v>106</v>
      </c>
      <c r="ER92" s="6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 t="s">
        <v>176</v>
      </c>
      <c r="FF92" s="15"/>
      <c r="FG92" s="15"/>
      <c r="FH92" s="1" t="str">
        <f t="shared" si="18"/>
        <v>782P149070014702087846</v>
      </c>
      <c r="FI92" s="1" t="str">
        <f t="shared" si="19"/>
        <v>PRLS/25/13290</v>
      </c>
      <c r="FJ92" s="38" t="e">
        <f>VLOOKUP(FH92,[1]Sheet3!$A:$D,4,0)</f>
        <v>#N/A</v>
      </c>
      <c r="FL92" s="13"/>
    </row>
    <row r="93" spans="1:168" ht="21" hidden="1" x14ac:dyDescent="0.25">
      <c r="A93" s="15" t="s">
        <v>750</v>
      </c>
      <c r="B93" s="15" t="s">
        <v>149</v>
      </c>
      <c r="C93" s="15" t="s">
        <v>471</v>
      </c>
      <c r="D93" s="15" t="s">
        <v>581</v>
      </c>
      <c r="E93" s="15" t="s">
        <v>253</v>
      </c>
      <c r="F93" s="61" t="s">
        <v>254</v>
      </c>
      <c r="G93" s="15" t="s">
        <v>322</v>
      </c>
      <c r="H93" s="15" t="s">
        <v>576</v>
      </c>
      <c r="I93" s="15" t="s">
        <v>616</v>
      </c>
      <c r="J93" s="15" t="s">
        <v>577</v>
      </c>
      <c r="K93" s="15" t="s">
        <v>185</v>
      </c>
      <c r="L93" s="15"/>
      <c r="M93" s="15" t="s">
        <v>578</v>
      </c>
      <c r="N93" s="63">
        <v>50</v>
      </c>
      <c r="O93" s="15"/>
      <c r="P93" s="15">
        <v>46</v>
      </c>
      <c r="Q93" s="15"/>
      <c r="R93" s="15"/>
      <c r="S93" s="15"/>
      <c r="T93" s="15"/>
      <c r="U93" s="15"/>
      <c r="V93" s="15"/>
      <c r="W93" s="15"/>
      <c r="X93" s="15"/>
      <c r="Y93" s="15" t="s">
        <v>218</v>
      </c>
      <c r="Z93" s="15" t="s">
        <v>191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 t="s">
        <v>448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61">
        <v>46092</v>
      </c>
      <c r="BE93" s="61" t="s">
        <v>192</v>
      </c>
      <c r="BF93" s="15" t="s">
        <v>219</v>
      </c>
      <c r="BG93" s="15" t="s">
        <v>219</v>
      </c>
      <c r="BH93" s="15" t="s">
        <v>219</v>
      </c>
      <c r="BI93" s="15" t="s">
        <v>199</v>
      </c>
      <c r="BJ93" s="15"/>
      <c r="BK93" s="15" t="s">
        <v>171</v>
      </c>
      <c r="BL93" s="15"/>
      <c r="BM93" s="15"/>
      <c r="BN93" s="15"/>
      <c r="BO93" s="64"/>
      <c r="BP93" s="15"/>
      <c r="BQ93" s="15"/>
      <c r="BR93" s="15"/>
      <c r="BS93" s="64"/>
      <c r="BT93" s="64">
        <v>46159</v>
      </c>
      <c r="BU93" s="64">
        <v>46228</v>
      </c>
      <c r="BV93" s="15"/>
      <c r="BW93" s="64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15">
        <v>1</v>
      </c>
      <c r="CL93" s="68">
        <v>8</v>
      </c>
      <c r="CM93" s="68">
        <v>16</v>
      </c>
      <c r="CN93" s="68">
        <v>16</v>
      </c>
      <c r="CO93" s="68">
        <v>8</v>
      </c>
      <c r="CP93" s="68">
        <v>1</v>
      </c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5">
        <f t="shared" si="17"/>
        <v>50</v>
      </c>
      <c r="ER93" s="6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 t="s">
        <v>176</v>
      </c>
      <c r="FF93" s="15"/>
      <c r="FG93" s="15"/>
      <c r="FH93" s="1" t="str">
        <f t="shared" si="18"/>
        <v>782P149070014702087847</v>
      </c>
      <c r="FI93" s="1" t="str">
        <f t="shared" si="19"/>
        <v>PRLS/25/13290</v>
      </c>
      <c r="FJ93" s="38" t="e">
        <f>VLOOKUP(FH93,[1]Sheet3!$A:$D,4,0)</f>
        <v>#N/A</v>
      </c>
      <c r="FL93" s="13"/>
    </row>
    <row r="94" spans="1:168" ht="21" hidden="1" x14ac:dyDescent="0.25">
      <c r="A94" s="15" t="s">
        <v>750</v>
      </c>
      <c r="B94" s="15" t="s">
        <v>149</v>
      </c>
      <c r="C94" s="15" t="s">
        <v>471</v>
      </c>
      <c r="D94" s="15" t="s">
        <v>582</v>
      </c>
      <c r="E94" s="15" t="s">
        <v>227</v>
      </c>
      <c r="F94" s="61" t="s">
        <v>228</v>
      </c>
      <c r="G94" s="15" t="s">
        <v>322</v>
      </c>
      <c r="H94" s="15" t="s">
        <v>576</v>
      </c>
      <c r="I94" s="15" t="s">
        <v>616</v>
      </c>
      <c r="J94" s="15" t="s">
        <v>577</v>
      </c>
      <c r="K94" s="15" t="s">
        <v>185</v>
      </c>
      <c r="L94" s="15"/>
      <c r="M94" s="15" t="s">
        <v>578</v>
      </c>
      <c r="N94" s="63">
        <v>18</v>
      </c>
      <c r="O94" s="15"/>
      <c r="P94" s="15">
        <v>46</v>
      </c>
      <c r="Q94" s="15"/>
      <c r="R94" s="15"/>
      <c r="S94" s="15"/>
      <c r="T94" s="15"/>
      <c r="U94" s="15"/>
      <c r="V94" s="15"/>
      <c r="W94" s="15"/>
      <c r="X94" s="15"/>
      <c r="Y94" s="15" t="s">
        <v>218</v>
      </c>
      <c r="Z94" s="15" t="s">
        <v>191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 t="s">
        <v>448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61">
        <v>46092</v>
      </c>
      <c r="BE94" s="61" t="s">
        <v>192</v>
      </c>
      <c r="BF94" s="15" t="s">
        <v>219</v>
      </c>
      <c r="BG94" s="15" t="s">
        <v>219</v>
      </c>
      <c r="BH94" s="15" t="s">
        <v>219</v>
      </c>
      <c r="BI94" s="15" t="s">
        <v>199</v>
      </c>
      <c r="BJ94" s="15"/>
      <c r="BK94" s="15" t="s">
        <v>171</v>
      </c>
      <c r="BL94" s="15"/>
      <c r="BM94" s="15"/>
      <c r="BN94" s="15"/>
      <c r="BO94" s="64"/>
      <c r="BP94" s="15"/>
      <c r="BQ94" s="15"/>
      <c r="BR94" s="15"/>
      <c r="BS94" s="64"/>
      <c r="BT94" s="64">
        <v>46159</v>
      </c>
      <c r="BU94" s="64">
        <v>46228</v>
      </c>
      <c r="BV94" s="15"/>
      <c r="BW94" s="64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15"/>
      <c r="CL94" s="68">
        <v>2</v>
      </c>
      <c r="CM94" s="68">
        <v>6</v>
      </c>
      <c r="CN94" s="68">
        <v>7</v>
      </c>
      <c r="CO94" s="68">
        <v>2</v>
      </c>
      <c r="CP94" s="68">
        <v>1</v>
      </c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5">
        <f t="shared" si="17"/>
        <v>18</v>
      </c>
      <c r="ER94" s="6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 t="s">
        <v>176</v>
      </c>
      <c r="FF94" s="15"/>
      <c r="FG94" s="15"/>
      <c r="FH94" s="1" t="str">
        <f t="shared" si="18"/>
        <v>782P149070014702087848</v>
      </c>
      <c r="FI94" s="1" t="str">
        <f t="shared" si="19"/>
        <v>PRLS/25/13290</v>
      </c>
      <c r="FJ94" s="38" t="e">
        <f>VLOOKUP(FH94,[1]Sheet3!$A:$D,4,0)</f>
        <v>#N/A</v>
      </c>
      <c r="FL94" s="13"/>
    </row>
    <row r="95" spans="1:168" ht="21" hidden="1" x14ac:dyDescent="0.25">
      <c r="A95" s="15" t="s">
        <v>750</v>
      </c>
      <c r="B95" s="15" t="s">
        <v>149</v>
      </c>
      <c r="C95" s="15" t="s">
        <v>471</v>
      </c>
      <c r="D95" s="15" t="s">
        <v>579</v>
      </c>
      <c r="E95" s="15" t="s">
        <v>237</v>
      </c>
      <c r="F95" s="61" t="s">
        <v>238</v>
      </c>
      <c r="G95" s="15" t="s">
        <v>322</v>
      </c>
      <c r="H95" s="15" t="s">
        <v>576</v>
      </c>
      <c r="I95" s="15" t="s">
        <v>616</v>
      </c>
      <c r="J95" s="15" t="s">
        <v>577</v>
      </c>
      <c r="K95" s="15" t="s">
        <v>185</v>
      </c>
      <c r="L95" s="15"/>
      <c r="M95" s="15" t="s">
        <v>578</v>
      </c>
      <c r="N95" s="63">
        <v>44</v>
      </c>
      <c r="O95" s="15"/>
      <c r="P95" s="15">
        <v>46</v>
      </c>
      <c r="Q95" s="15"/>
      <c r="R95" s="15"/>
      <c r="S95" s="15"/>
      <c r="T95" s="15"/>
      <c r="U95" s="15"/>
      <c r="V95" s="15"/>
      <c r="W95" s="15"/>
      <c r="X95" s="15"/>
      <c r="Y95" s="15" t="s">
        <v>218</v>
      </c>
      <c r="Z95" s="15" t="s">
        <v>191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 t="s">
        <v>448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61">
        <v>46092</v>
      </c>
      <c r="BE95" s="61" t="s">
        <v>192</v>
      </c>
      <c r="BF95" s="15" t="s">
        <v>219</v>
      </c>
      <c r="BG95" s="15" t="s">
        <v>219</v>
      </c>
      <c r="BH95" s="15" t="s">
        <v>219</v>
      </c>
      <c r="BI95" s="15" t="s">
        <v>199</v>
      </c>
      <c r="BJ95" s="15"/>
      <c r="BK95" s="15" t="s">
        <v>171</v>
      </c>
      <c r="BL95" s="15"/>
      <c r="BM95" s="15"/>
      <c r="BN95" s="15"/>
      <c r="BO95" s="64"/>
      <c r="BP95" s="15"/>
      <c r="BQ95" s="15"/>
      <c r="BR95" s="15"/>
      <c r="BS95" s="64"/>
      <c r="BT95" s="64">
        <v>46159</v>
      </c>
      <c r="BU95" s="64">
        <v>46228</v>
      </c>
      <c r="BV95" s="15"/>
      <c r="BW95" s="64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15">
        <v>3</v>
      </c>
      <c r="CL95" s="68">
        <v>11</v>
      </c>
      <c r="CM95" s="68">
        <v>15</v>
      </c>
      <c r="CN95" s="68">
        <v>9</v>
      </c>
      <c r="CO95" s="68">
        <v>5</v>
      </c>
      <c r="CP95" s="68">
        <v>1</v>
      </c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5">
        <f t="shared" si="17"/>
        <v>44</v>
      </c>
      <c r="ER95" s="6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 t="s">
        <v>176</v>
      </c>
      <c r="FF95" s="15"/>
      <c r="FG95" s="15"/>
      <c r="FH95" s="1" t="str">
        <f t="shared" si="18"/>
        <v>782P149070014702087849</v>
      </c>
      <c r="FI95" s="1" t="str">
        <f t="shared" si="19"/>
        <v>PRLS/25/13290</v>
      </c>
      <c r="FJ95" s="38" t="e">
        <f>VLOOKUP(FH95,[1]Sheet3!$A:$D,4,0)</f>
        <v>#N/A</v>
      </c>
      <c r="FL95" s="13"/>
    </row>
    <row r="96" spans="1:168" ht="21" hidden="1" x14ac:dyDescent="0.25">
      <c r="A96" s="15" t="s">
        <v>751</v>
      </c>
      <c r="B96" s="15" t="s">
        <v>149</v>
      </c>
      <c r="C96" s="15" t="s">
        <v>471</v>
      </c>
      <c r="D96" s="15" t="s">
        <v>589</v>
      </c>
      <c r="E96" s="15" t="s">
        <v>210</v>
      </c>
      <c r="F96" s="61" t="s">
        <v>152</v>
      </c>
      <c r="G96" s="15" t="s">
        <v>321</v>
      </c>
      <c r="H96" s="15" t="s">
        <v>584</v>
      </c>
      <c r="I96" s="15" t="s">
        <v>617</v>
      </c>
      <c r="J96" s="15" t="s">
        <v>585</v>
      </c>
      <c r="K96" s="15" t="s">
        <v>185</v>
      </c>
      <c r="L96" s="15"/>
      <c r="M96" s="15" t="s">
        <v>586</v>
      </c>
      <c r="N96" s="63">
        <v>36</v>
      </c>
      <c r="O96" s="15"/>
      <c r="P96" s="15">
        <v>43.81</v>
      </c>
      <c r="Q96" s="15"/>
      <c r="R96" s="15"/>
      <c r="S96" s="15"/>
      <c r="T96" s="15"/>
      <c r="U96" s="15"/>
      <c r="V96" s="15"/>
      <c r="W96" s="15"/>
      <c r="X96" s="15"/>
      <c r="Y96" s="15" t="s">
        <v>218</v>
      </c>
      <c r="Z96" s="15" t="s">
        <v>191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 t="s">
        <v>448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61">
        <v>46092</v>
      </c>
      <c r="BE96" s="61" t="s">
        <v>192</v>
      </c>
      <c r="BF96" s="15" t="s">
        <v>219</v>
      </c>
      <c r="BG96" s="15" t="s">
        <v>219</v>
      </c>
      <c r="BH96" s="15" t="s">
        <v>219</v>
      </c>
      <c r="BI96" s="15" t="s">
        <v>199</v>
      </c>
      <c r="BJ96" s="15"/>
      <c r="BK96" s="15" t="s">
        <v>171</v>
      </c>
      <c r="BL96" s="15"/>
      <c r="BM96" s="15"/>
      <c r="BN96" s="15"/>
      <c r="BO96" s="64"/>
      <c r="BP96" s="15"/>
      <c r="BQ96" s="15"/>
      <c r="BR96" s="15"/>
      <c r="BS96" s="64"/>
      <c r="BT96" s="64">
        <v>46159</v>
      </c>
      <c r="BU96" s="64">
        <v>46228</v>
      </c>
      <c r="BV96" s="15"/>
      <c r="BW96" s="64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15"/>
      <c r="CL96" s="68">
        <v>4</v>
      </c>
      <c r="CM96" s="68">
        <v>10</v>
      </c>
      <c r="CN96" s="68">
        <v>13</v>
      </c>
      <c r="CO96" s="68">
        <v>7</v>
      </c>
      <c r="CP96" s="68">
        <v>2</v>
      </c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5">
        <f t="shared" si="17"/>
        <v>36</v>
      </c>
      <c r="ER96" s="6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 t="s">
        <v>176</v>
      </c>
      <c r="FF96" s="15"/>
      <c r="FG96" s="15"/>
      <c r="FH96" s="1" t="str">
        <f t="shared" si="18"/>
        <v>782P149090014702087850</v>
      </c>
      <c r="FI96" s="1" t="str">
        <f t="shared" si="19"/>
        <v>PRLS/25/13292</v>
      </c>
      <c r="FJ96" s="38" t="e">
        <f>VLOOKUP(FH96,[1]Sheet3!$A:$D,4,0)</f>
        <v>#N/A</v>
      </c>
      <c r="FL96" s="13"/>
    </row>
    <row r="97" spans="1:168" ht="21" hidden="1" x14ac:dyDescent="0.25">
      <c r="A97" s="15" t="s">
        <v>751</v>
      </c>
      <c r="B97" s="15" t="s">
        <v>149</v>
      </c>
      <c r="C97" s="15" t="s">
        <v>471</v>
      </c>
      <c r="D97" s="15" t="s">
        <v>590</v>
      </c>
      <c r="E97" s="15" t="s">
        <v>180</v>
      </c>
      <c r="F97" s="61" t="s">
        <v>181</v>
      </c>
      <c r="G97" s="15" t="s">
        <v>321</v>
      </c>
      <c r="H97" s="15" t="s">
        <v>584</v>
      </c>
      <c r="I97" s="15" t="s">
        <v>617</v>
      </c>
      <c r="J97" s="15" t="s">
        <v>585</v>
      </c>
      <c r="K97" s="15" t="s">
        <v>185</v>
      </c>
      <c r="L97" s="15"/>
      <c r="M97" s="15" t="s">
        <v>586</v>
      </c>
      <c r="N97" s="63">
        <v>128</v>
      </c>
      <c r="O97" s="15"/>
      <c r="P97" s="15">
        <v>43.81</v>
      </c>
      <c r="Q97" s="15"/>
      <c r="R97" s="15"/>
      <c r="S97" s="15"/>
      <c r="T97" s="15"/>
      <c r="U97" s="15"/>
      <c r="V97" s="15"/>
      <c r="W97" s="15"/>
      <c r="X97" s="15"/>
      <c r="Y97" s="15" t="s">
        <v>218</v>
      </c>
      <c r="Z97" s="15" t="s">
        <v>191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 t="s">
        <v>448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61">
        <v>46092</v>
      </c>
      <c r="BE97" s="61" t="s">
        <v>192</v>
      </c>
      <c r="BF97" s="15" t="s">
        <v>219</v>
      </c>
      <c r="BG97" s="15" t="s">
        <v>219</v>
      </c>
      <c r="BH97" s="15" t="s">
        <v>219</v>
      </c>
      <c r="BI97" s="15" t="s">
        <v>199</v>
      </c>
      <c r="BJ97" s="15"/>
      <c r="BK97" s="15" t="s">
        <v>171</v>
      </c>
      <c r="BL97" s="15"/>
      <c r="BM97" s="15"/>
      <c r="BN97" s="15"/>
      <c r="BO97" s="64"/>
      <c r="BP97" s="15"/>
      <c r="BQ97" s="15"/>
      <c r="BR97" s="15"/>
      <c r="BS97" s="64"/>
      <c r="BT97" s="64">
        <v>46159</v>
      </c>
      <c r="BU97" s="64">
        <v>46228</v>
      </c>
      <c r="BV97" s="15"/>
      <c r="BW97" s="64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15">
        <v>3</v>
      </c>
      <c r="CL97" s="68">
        <v>11</v>
      </c>
      <c r="CM97" s="68">
        <v>36</v>
      </c>
      <c r="CN97" s="68">
        <v>40</v>
      </c>
      <c r="CO97" s="68">
        <v>24</v>
      </c>
      <c r="CP97" s="68">
        <v>14</v>
      </c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5">
        <f t="shared" si="17"/>
        <v>128</v>
      </c>
      <c r="ER97" s="6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 t="s">
        <v>176</v>
      </c>
      <c r="FF97" s="15"/>
      <c r="FG97" s="15"/>
      <c r="FH97" s="1" t="str">
        <f t="shared" si="18"/>
        <v>782P149090014702087851</v>
      </c>
      <c r="FI97" s="1" t="str">
        <f t="shared" si="19"/>
        <v>PRLS/25/13292</v>
      </c>
      <c r="FJ97" s="38" t="e">
        <f>VLOOKUP(FH97,[1]Sheet3!$A:$D,4,0)</f>
        <v>#N/A</v>
      </c>
      <c r="FL97" s="13"/>
    </row>
    <row r="98" spans="1:168" ht="21" hidden="1" x14ac:dyDescent="0.25">
      <c r="A98" s="15" t="s">
        <v>751</v>
      </c>
      <c r="B98" s="15" t="s">
        <v>149</v>
      </c>
      <c r="C98" s="15" t="s">
        <v>471</v>
      </c>
      <c r="D98" s="15" t="s">
        <v>591</v>
      </c>
      <c r="E98" s="15" t="s">
        <v>208</v>
      </c>
      <c r="F98" s="61" t="s">
        <v>181</v>
      </c>
      <c r="G98" s="15" t="s">
        <v>321</v>
      </c>
      <c r="H98" s="15" t="s">
        <v>584</v>
      </c>
      <c r="I98" s="15" t="s">
        <v>617</v>
      </c>
      <c r="J98" s="15" t="s">
        <v>585</v>
      </c>
      <c r="K98" s="15" t="s">
        <v>185</v>
      </c>
      <c r="L98" s="15"/>
      <c r="M98" s="15" t="s">
        <v>586</v>
      </c>
      <c r="N98" s="63">
        <v>5</v>
      </c>
      <c r="O98" s="15"/>
      <c r="P98" s="15">
        <v>43.81</v>
      </c>
      <c r="Q98" s="15"/>
      <c r="R98" s="15"/>
      <c r="S98" s="15"/>
      <c r="T98" s="15"/>
      <c r="U98" s="15"/>
      <c r="V98" s="15"/>
      <c r="W98" s="15"/>
      <c r="X98" s="15"/>
      <c r="Y98" s="15" t="s">
        <v>218</v>
      </c>
      <c r="Z98" s="15" t="s">
        <v>191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 t="s">
        <v>448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61">
        <v>46092</v>
      </c>
      <c r="BE98" s="61" t="s">
        <v>192</v>
      </c>
      <c r="BF98" s="15" t="s">
        <v>219</v>
      </c>
      <c r="BG98" s="15" t="s">
        <v>219</v>
      </c>
      <c r="BH98" s="15" t="s">
        <v>219</v>
      </c>
      <c r="BI98" s="15" t="s">
        <v>199</v>
      </c>
      <c r="BJ98" s="15"/>
      <c r="BK98" s="15" t="s">
        <v>171</v>
      </c>
      <c r="BL98" s="15"/>
      <c r="BM98" s="15"/>
      <c r="BN98" s="15"/>
      <c r="BO98" s="64"/>
      <c r="BP98" s="15"/>
      <c r="BQ98" s="15"/>
      <c r="BR98" s="15"/>
      <c r="BS98" s="64"/>
      <c r="BT98" s="64">
        <v>46159</v>
      </c>
      <c r="BU98" s="64">
        <v>46228</v>
      </c>
      <c r="BV98" s="15"/>
      <c r="BW98" s="64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15"/>
      <c r="CL98" s="68"/>
      <c r="CM98" s="68">
        <v>1</v>
      </c>
      <c r="CN98" s="68">
        <v>2</v>
      </c>
      <c r="CO98" s="68">
        <v>2</v>
      </c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5">
        <f t="shared" si="17"/>
        <v>5</v>
      </c>
      <c r="ER98" s="6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 t="s">
        <v>176</v>
      </c>
      <c r="FF98" s="15"/>
      <c r="FG98" s="15"/>
      <c r="FH98" s="1" t="str">
        <f t="shared" si="18"/>
        <v>782P149090014702087852</v>
      </c>
      <c r="FI98" s="1" t="str">
        <f t="shared" si="19"/>
        <v>PRLS/25/13292</v>
      </c>
      <c r="FJ98" s="38" t="e">
        <f>VLOOKUP(FH98,[1]Sheet3!$A:$D,4,0)</f>
        <v>#N/A</v>
      </c>
      <c r="FL98" s="13"/>
    </row>
    <row r="99" spans="1:168" ht="21" hidden="1" x14ac:dyDescent="0.25">
      <c r="A99" s="15" t="s">
        <v>751</v>
      </c>
      <c r="B99" s="15" t="s">
        <v>149</v>
      </c>
      <c r="C99" s="15" t="s">
        <v>471</v>
      </c>
      <c r="D99" s="15" t="s">
        <v>588</v>
      </c>
      <c r="E99" s="15" t="s">
        <v>253</v>
      </c>
      <c r="F99" s="61" t="s">
        <v>254</v>
      </c>
      <c r="G99" s="15" t="s">
        <v>322</v>
      </c>
      <c r="H99" s="15" t="s">
        <v>584</v>
      </c>
      <c r="I99" s="15" t="s">
        <v>617</v>
      </c>
      <c r="J99" s="15" t="s">
        <v>585</v>
      </c>
      <c r="K99" s="15" t="s">
        <v>185</v>
      </c>
      <c r="L99" s="15"/>
      <c r="M99" s="15" t="s">
        <v>586</v>
      </c>
      <c r="N99" s="63">
        <v>16</v>
      </c>
      <c r="O99" s="15"/>
      <c r="P99" s="15">
        <v>43.81</v>
      </c>
      <c r="Q99" s="15"/>
      <c r="R99" s="15"/>
      <c r="S99" s="15"/>
      <c r="T99" s="15"/>
      <c r="U99" s="15"/>
      <c r="V99" s="15"/>
      <c r="W99" s="15"/>
      <c r="X99" s="15"/>
      <c r="Y99" s="15" t="s">
        <v>218</v>
      </c>
      <c r="Z99" s="15" t="s">
        <v>191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 t="s">
        <v>448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61">
        <v>46092</v>
      </c>
      <c r="BE99" s="61" t="s">
        <v>192</v>
      </c>
      <c r="BF99" s="15" t="s">
        <v>219</v>
      </c>
      <c r="BG99" s="15" t="s">
        <v>219</v>
      </c>
      <c r="BH99" s="15" t="s">
        <v>219</v>
      </c>
      <c r="BI99" s="15" t="s">
        <v>199</v>
      </c>
      <c r="BJ99" s="15"/>
      <c r="BK99" s="15" t="s">
        <v>171</v>
      </c>
      <c r="BL99" s="15"/>
      <c r="BM99" s="15"/>
      <c r="BN99" s="15"/>
      <c r="BO99" s="64"/>
      <c r="BP99" s="15"/>
      <c r="BQ99" s="15"/>
      <c r="BR99" s="15"/>
      <c r="BS99" s="64"/>
      <c r="BT99" s="64">
        <v>46159</v>
      </c>
      <c r="BU99" s="64">
        <v>46228</v>
      </c>
      <c r="BV99" s="15"/>
      <c r="BW99" s="64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15">
        <v>1</v>
      </c>
      <c r="CL99" s="68">
        <v>3</v>
      </c>
      <c r="CM99" s="68">
        <v>4</v>
      </c>
      <c r="CN99" s="68">
        <v>4</v>
      </c>
      <c r="CO99" s="68">
        <v>3</v>
      </c>
      <c r="CP99" s="68">
        <v>1</v>
      </c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5">
        <f t="shared" si="17"/>
        <v>16</v>
      </c>
      <c r="ER99" s="6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 t="s">
        <v>176</v>
      </c>
      <c r="FF99" s="15"/>
      <c r="FG99" s="15"/>
      <c r="FH99" s="1" t="str">
        <f t="shared" si="18"/>
        <v>782P149090014702087853</v>
      </c>
      <c r="FI99" s="1" t="str">
        <f t="shared" si="19"/>
        <v>PRLS/25/13292</v>
      </c>
      <c r="FJ99" s="38" t="e">
        <f>VLOOKUP(FH99,[1]Sheet3!$A:$D,4,0)</f>
        <v>#N/A</v>
      </c>
      <c r="FL99" s="13"/>
    </row>
    <row r="100" spans="1:168" ht="21" hidden="1" x14ac:dyDescent="0.25">
      <c r="A100" s="15" t="s">
        <v>751</v>
      </c>
      <c r="B100" s="15" t="s">
        <v>149</v>
      </c>
      <c r="C100" s="15" t="s">
        <v>471</v>
      </c>
      <c r="D100" s="15" t="s">
        <v>583</v>
      </c>
      <c r="E100" s="15" t="s">
        <v>227</v>
      </c>
      <c r="F100" s="61" t="s">
        <v>228</v>
      </c>
      <c r="G100" s="15" t="s">
        <v>322</v>
      </c>
      <c r="H100" s="15" t="s">
        <v>584</v>
      </c>
      <c r="I100" s="15" t="s">
        <v>617</v>
      </c>
      <c r="J100" s="15" t="s">
        <v>585</v>
      </c>
      <c r="K100" s="15" t="s">
        <v>185</v>
      </c>
      <c r="L100" s="15"/>
      <c r="M100" s="15" t="s">
        <v>586</v>
      </c>
      <c r="N100" s="63">
        <v>8</v>
      </c>
      <c r="O100" s="15"/>
      <c r="P100" s="15">
        <v>43.81</v>
      </c>
      <c r="Q100" s="15"/>
      <c r="R100" s="15"/>
      <c r="S100" s="15"/>
      <c r="T100" s="15"/>
      <c r="U100" s="15"/>
      <c r="V100" s="15"/>
      <c r="W100" s="15"/>
      <c r="X100" s="15"/>
      <c r="Y100" s="15" t="s">
        <v>218</v>
      </c>
      <c r="Z100" s="15" t="s">
        <v>191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 t="s">
        <v>448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61">
        <v>46092</v>
      </c>
      <c r="BE100" s="61" t="s">
        <v>192</v>
      </c>
      <c r="BF100" s="15" t="s">
        <v>219</v>
      </c>
      <c r="BG100" s="15" t="s">
        <v>219</v>
      </c>
      <c r="BH100" s="15" t="s">
        <v>219</v>
      </c>
      <c r="BI100" s="15" t="s">
        <v>199</v>
      </c>
      <c r="BJ100" s="15"/>
      <c r="BK100" s="15" t="s">
        <v>171</v>
      </c>
      <c r="BL100" s="15"/>
      <c r="BM100" s="15"/>
      <c r="BN100" s="15"/>
      <c r="BO100" s="64"/>
      <c r="BP100" s="15"/>
      <c r="BQ100" s="15"/>
      <c r="BR100" s="15"/>
      <c r="BS100" s="64"/>
      <c r="BT100" s="64">
        <v>46159</v>
      </c>
      <c r="BU100" s="64">
        <v>46228</v>
      </c>
      <c r="BV100" s="15"/>
      <c r="BW100" s="64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15"/>
      <c r="CL100" s="68">
        <v>1</v>
      </c>
      <c r="CM100" s="68">
        <v>2</v>
      </c>
      <c r="CN100" s="68">
        <v>3</v>
      </c>
      <c r="CO100" s="68">
        <v>1</v>
      </c>
      <c r="CP100" s="68">
        <v>1</v>
      </c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  <c r="EK100" s="68"/>
      <c r="EL100" s="68"/>
      <c r="EM100" s="68"/>
      <c r="EN100" s="68"/>
      <c r="EO100" s="68"/>
      <c r="EP100" s="68"/>
      <c r="EQ100" s="65">
        <f t="shared" si="17"/>
        <v>8</v>
      </c>
      <c r="ER100" s="6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 t="s">
        <v>176</v>
      </c>
      <c r="FF100" s="15"/>
      <c r="FG100" s="15"/>
      <c r="FH100" s="1" t="str">
        <f t="shared" si="18"/>
        <v>782P149090014702087854</v>
      </c>
      <c r="FI100" s="1" t="str">
        <f t="shared" si="19"/>
        <v>PRLS/25/13292</v>
      </c>
      <c r="FJ100" s="38" t="e">
        <f>VLOOKUP(FH100,[1]Sheet3!$A:$D,4,0)</f>
        <v>#N/A</v>
      </c>
      <c r="FL100" s="13"/>
    </row>
    <row r="101" spans="1:168" ht="21" hidden="1" x14ac:dyDescent="0.25">
      <c r="A101" s="15" t="s">
        <v>751</v>
      </c>
      <c r="B101" s="15" t="s">
        <v>149</v>
      </c>
      <c r="C101" s="15" t="s">
        <v>471</v>
      </c>
      <c r="D101" s="15" t="s">
        <v>587</v>
      </c>
      <c r="E101" s="15" t="s">
        <v>237</v>
      </c>
      <c r="F101" s="61" t="s">
        <v>238</v>
      </c>
      <c r="G101" s="15" t="s">
        <v>322</v>
      </c>
      <c r="H101" s="15" t="s">
        <v>584</v>
      </c>
      <c r="I101" s="15" t="s">
        <v>617</v>
      </c>
      <c r="J101" s="15" t="s">
        <v>585</v>
      </c>
      <c r="K101" s="15" t="s">
        <v>185</v>
      </c>
      <c r="L101" s="15"/>
      <c r="M101" s="15" t="s">
        <v>586</v>
      </c>
      <c r="N101" s="63">
        <v>22</v>
      </c>
      <c r="O101" s="15"/>
      <c r="P101" s="15">
        <v>43.81</v>
      </c>
      <c r="Q101" s="15"/>
      <c r="R101" s="15"/>
      <c r="S101" s="15"/>
      <c r="T101" s="15"/>
      <c r="U101" s="15"/>
      <c r="V101" s="15"/>
      <c r="W101" s="15"/>
      <c r="X101" s="15"/>
      <c r="Y101" s="15" t="s">
        <v>218</v>
      </c>
      <c r="Z101" s="15" t="s">
        <v>191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 t="s">
        <v>448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61">
        <v>46092</v>
      </c>
      <c r="BE101" s="61" t="s">
        <v>192</v>
      </c>
      <c r="BF101" s="15" t="s">
        <v>219</v>
      </c>
      <c r="BG101" s="15" t="s">
        <v>219</v>
      </c>
      <c r="BH101" s="15" t="s">
        <v>219</v>
      </c>
      <c r="BI101" s="15" t="s">
        <v>199</v>
      </c>
      <c r="BJ101" s="15"/>
      <c r="BK101" s="15" t="s">
        <v>171</v>
      </c>
      <c r="BL101" s="15"/>
      <c r="BM101" s="15"/>
      <c r="BN101" s="15"/>
      <c r="BO101" s="64"/>
      <c r="BP101" s="15"/>
      <c r="BQ101" s="15"/>
      <c r="BR101" s="15"/>
      <c r="BS101" s="64"/>
      <c r="BT101" s="64">
        <v>46159</v>
      </c>
      <c r="BU101" s="64">
        <v>46228</v>
      </c>
      <c r="BV101" s="15"/>
      <c r="BW101" s="64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15">
        <v>2</v>
      </c>
      <c r="CL101" s="68">
        <v>5</v>
      </c>
      <c r="CM101" s="68">
        <v>8</v>
      </c>
      <c r="CN101" s="68">
        <v>4</v>
      </c>
      <c r="CO101" s="68">
        <v>2</v>
      </c>
      <c r="CP101" s="68">
        <v>1</v>
      </c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  <c r="EK101" s="68"/>
      <c r="EL101" s="68"/>
      <c r="EM101" s="68"/>
      <c r="EN101" s="68"/>
      <c r="EO101" s="68"/>
      <c r="EP101" s="68"/>
      <c r="EQ101" s="65">
        <f t="shared" si="17"/>
        <v>22</v>
      </c>
      <c r="ER101" s="6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 t="s">
        <v>176</v>
      </c>
      <c r="FF101" s="15"/>
      <c r="FG101" s="15"/>
      <c r="FH101" s="1" t="str">
        <f t="shared" si="18"/>
        <v>782P149090014702087855</v>
      </c>
      <c r="FI101" s="1" t="str">
        <f t="shared" si="19"/>
        <v>PRLS/25/13292</v>
      </c>
      <c r="FJ101" s="38" t="e">
        <f>VLOOKUP(FH101,[1]Sheet3!$A:$D,4,0)</f>
        <v>#N/A</v>
      </c>
      <c r="FL101" s="13"/>
    </row>
    <row r="102" spans="1:168" ht="21" hidden="1" x14ac:dyDescent="0.25">
      <c r="A102" s="15" t="s">
        <v>754</v>
      </c>
      <c r="B102" s="15" t="s">
        <v>149</v>
      </c>
      <c r="C102" s="15" t="s">
        <v>471</v>
      </c>
      <c r="D102" s="15" t="s">
        <v>681</v>
      </c>
      <c r="E102" s="15" t="s">
        <v>210</v>
      </c>
      <c r="F102" s="15" t="s">
        <v>152</v>
      </c>
      <c r="G102" s="15" t="s">
        <v>321</v>
      </c>
      <c r="H102" s="15" t="s">
        <v>680</v>
      </c>
      <c r="I102" s="15" t="s">
        <v>721</v>
      </c>
      <c r="J102" s="15" t="s">
        <v>687</v>
      </c>
      <c r="K102" s="15" t="s">
        <v>185</v>
      </c>
      <c r="L102" s="15"/>
      <c r="M102" s="15" t="s">
        <v>688</v>
      </c>
      <c r="N102" s="63">
        <v>30</v>
      </c>
      <c r="O102" s="15"/>
      <c r="P102" s="15">
        <v>57.68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61">
        <v>46146</v>
      </c>
      <c r="BE102" s="61"/>
      <c r="BF102" s="15"/>
      <c r="BG102" s="15"/>
      <c r="BH102" s="15"/>
      <c r="BI102" s="15"/>
      <c r="BJ102" s="15"/>
      <c r="BK102" s="15"/>
      <c r="BL102" s="15"/>
      <c r="BM102" s="15"/>
      <c r="BN102" s="15"/>
      <c r="BO102" s="64"/>
      <c r="BP102" s="15"/>
      <c r="BQ102" s="15"/>
      <c r="BR102" s="15"/>
      <c r="BS102" s="64"/>
      <c r="BT102" s="64">
        <v>46236</v>
      </c>
      <c r="BU102" s="64">
        <v>46310</v>
      </c>
      <c r="BV102" s="15"/>
      <c r="BW102" s="64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15"/>
      <c r="CL102" s="68">
        <v>3</v>
      </c>
      <c r="CM102" s="68">
        <v>9</v>
      </c>
      <c r="CN102" s="68">
        <v>9</v>
      </c>
      <c r="CO102" s="68">
        <v>6</v>
      </c>
      <c r="CP102" s="68">
        <v>3</v>
      </c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  <c r="EK102" s="68"/>
      <c r="EL102" s="68"/>
      <c r="EM102" s="68"/>
      <c r="EN102" s="68"/>
      <c r="EO102" s="68"/>
      <c r="EP102" s="68"/>
      <c r="EQ102" s="65">
        <f t="shared" si="17"/>
        <v>30</v>
      </c>
      <c r="ER102" s="6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 t="s">
        <v>176</v>
      </c>
      <c r="FF102" s="15"/>
      <c r="FG102" s="15"/>
      <c r="FH102" s="1" t="str">
        <f t="shared" si="18"/>
        <v>782P149190014702092402</v>
      </c>
      <c r="FI102" s="1" t="str">
        <f t="shared" si="19"/>
        <v>PRLS/25/13293</v>
      </c>
      <c r="FJ102" s="38"/>
      <c r="FL102" s="13"/>
    </row>
    <row r="103" spans="1:168" ht="21" hidden="1" x14ac:dyDescent="0.25">
      <c r="A103" s="15" t="s">
        <v>754</v>
      </c>
      <c r="B103" s="15" t="s">
        <v>149</v>
      </c>
      <c r="C103" s="15" t="s">
        <v>471</v>
      </c>
      <c r="D103" s="15" t="s">
        <v>682</v>
      </c>
      <c r="E103" s="15" t="s">
        <v>180</v>
      </c>
      <c r="F103" s="15" t="s">
        <v>181</v>
      </c>
      <c r="G103" s="15" t="s">
        <v>321</v>
      </c>
      <c r="H103" s="15" t="s">
        <v>680</v>
      </c>
      <c r="I103" s="15" t="s">
        <v>721</v>
      </c>
      <c r="J103" s="15" t="s">
        <v>687</v>
      </c>
      <c r="K103" s="15" t="s">
        <v>185</v>
      </c>
      <c r="L103" s="15"/>
      <c r="M103" s="15" t="s">
        <v>688</v>
      </c>
      <c r="N103" s="63">
        <v>148</v>
      </c>
      <c r="O103" s="15"/>
      <c r="P103" s="15">
        <v>57.68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61">
        <v>46146</v>
      </c>
      <c r="BE103" s="61"/>
      <c r="BF103" s="15"/>
      <c r="BG103" s="15"/>
      <c r="BH103" s="15"/>
      <c r="BI103" s="15"/>
      <c r="BJ103" s="15"/>
      <c r="BK103" s="15"/>
      <c r="BL103" s="15"/>
      <c r="BM103" s="15"/>
      <c r="BN103" s="15"/>
      <c r="BO103" s="64"/>
      <c r="BP103" s="15"/>
      <c r="BQ103" s="15"/>
      <c r="BR103" s="15"/>
      <c r="BS103" s="64"/>
      <c r="BT103" s="64">
        <v>46236</v>
      </c>
      <c r="BU103" s="64">
        <v>46310</v>
      </c>
      <c r="BV103" s="15"/>
      <c r="BW103" s="64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15">
        <v>3</v>
      </c>
      <c r="CL103" s="68">
        <v>12</v>
      </c>
      <c r="CM103" s="68">
        <v>42</v>
      </c>
      <c r="CN103" s="68">
        <v>48</v>
      </c>
      <c r="CO103" s="68">
        <v>28</v>
      </c>
      <c r="CP103" s="68">
        <v>15</v>
      </c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  <c r="EQ103" s="65">
        <f t="shared" si="17"/>
        <v>148</v>
      </c>
      <c r="ER103" s="6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 t="s">
        <v>176</v>
      </c>
      <c r="FF103" s="15"/>
      <c r="FG103" s="15"/>
      <c r="FH103" s="1" t="str">
        <f t="shared" si="18"/>
        <v>782P149190014702092403</v>
      </c>
      <c r="FI103" s="1" t="str">
        <f t="shared" si="19"/>
        <v>PRLS/25/13293</v>
      </c>
      <c r="FJ103" s="38"/>
      <c r="FL103" s="13"/>
    </row>
    <row r="104" spans="1:168" ht="21" hidden="1" x14ac:dyDescent="0.25">
      <c r="A104" s="15" t="s">
        <v>754</v>
      </c>
      <c r="B104" s="15" t="s">
        <v>149</v>
      </c>
      <c r="C104" s="15" t="s">
        <v>471</v>
      </c>
      <c r="D104" s="15" t="s">
        <v>685</v>
      </c>
      <c r="E104" s="15" t="s">
        <v>208</v>
      </c>
      <c r="F104" s="15" t="s">
        <v>181</v>
      </c>
      <c r="G104" s="15" t="s">
        <v>321</v>
      </c>
      <c r="H104" s="15" t="s">
        <v>680</v>
      </c>
      <c r="I104" s="15" t="s">
        <v>721</v>
      </c>
      <c r="J104" s="15" t="s">
        <v>687</v>
      </c>
      <c r="K104" s="15" t="s">
        <v>185</v>
      </c>
      <c r="L104" s="15"/>
      <c r="M104" s="15" t="s">
        <v>688</v>
      </c>
      <c r="N104" s="63">
        <v>49</v>
      </c>
      <c r="O104" s="15"/>
      <c r="P104" s="15">
        <v>57.68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61">
        <v>46146</v>
      </c>
      <c r="BE104" s="61"/>
      <c r="BF104" s="15"/>
      <c r="BG104" s="15"/>
      <c r="BH104" s="15"/>
      <c r="BI104" s="15"/>
      <c r="BJ104" s="15"/>
      <c r="BK104" s="15"/>
      <c r="BL104" s="15"/>
      <c r="BM104" s="15"/>
      <c r="BN104" s="15"/>
      <c r="BO104" s="64"/>
      <c r="BP104" s="15"/>
      <c r="BQ104" s="15"/>
      <c r="BR104" s="15"/>
      <c r="BS104" s="64"/>
      <c r="BT104" s="64">
        <v>46236</v>
      </c>
      <c r="BU104" s="64">
        <v>46310</v>
      </c>
      <c r="BV104" s="15"/>
      <c r="BW104" s="64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15"/>
      <c r="CL104" s="68">
        <v>5</v>
      </c>
      <c r="CM104" s="68">
        <v>15</v>
      </c>
      <c r="CN104" s="68">
        <v>18</v>
      </c>
      <c r="CO104" s="68">
        <v>9</v>
      </c>
      <c r="CP104" s="68">
        <v>2</v>
      </c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  <c r="EK104" s="68"/>
      <c r="EL104" s="68"/>
      <c r="EM104" s="68"/>
      <c r="EN104" s="68"/>
      <c r="EO104" s="68"/>
      <c r="EP104" s="68"/>
      <c r="EQ104" s="65">
        <f t="shared" si="17"/>
        <v>49</v>
      </c>
      <c r="ER104" s="6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 t="s">
        <v>176</v>
      </c>
      <c r="FF104" s="15"/>
      <c r="FG104" s="15"/>
      <c r="FH104" s="1" t="str">
        <f t="shared" si="18"/>
        <v>782P149190014702092404</v>
      </c>
      <c r="FI104" s="1" t="str">
        <f t="shared" si="19"/>
        <v>PRLS/25/13293</v>
      </c>
      <c r="FJ104" s="38"/>
      <c r="FL104" s="13"/>
    </row>
    <row r="105" spans="1:168" ht="21" hidden="1" x14ac:dyDescent="0.25">
      <c r="A105" s="15" t="s">
        <v>754</v>
      </c>
      <c r="B105" s="15" t="s">
        <v>149</v>
      </c>
      <c r="C105" s="15" t="s">
        <v>471</v>
      </c>
      <c r="D105" s="15" t="s">
        <v>686</v>
      </c>
      <c r="E105" s="15" t="s">
        <v>253</v>
      </c>
      <c r="F105" s="15" t="s">
        <v>254</v>
      </c>
      <c r="G105" s="15" t="s">
        <v>322</v>
      </c>
      <c r="H105" s="15" t="s">
        <v>680</v>
      </c>
      <c r="I105" s="15" t="s">
        <v>721</v>
      </c>
      <c r="J105" s="15" t="s">
        <v>687</v>
      </c>
      <c r="K105" s="15" t="s">
        <v>185</v>
      </c>
      <c r="L105" s="15"/>
      <c r="M105" s="15" t="s">
        <v>688</v>
      </c>
      <c r="N105" s="63">
        <v>60</v>
      </c>
      <c r="O105" s="15"/>
      <c r="P105" s="15">
        <v>57.68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61">
        <v>46146</v>
      </c>
      <c r="BE105" s="61"/>
      <c r="BF105" s="15"/>
      <c r="BG105" s="15"/>
      <c r="BH105" s="15"/>
      <c r="BI105" s="15"/>
      <c r="BJ105" s="15"/>
      <c r="BK105" s="15"/>
      <c r="BL105" s="15"/>
      <c r="BM105" s="15"/>
      <c r="BN105" s="15"/>
      <c r="BO105" s="64"/>
      <c r="BP105" s="15"/>
      <c r="BQ105" s="15"/>
      <c r="BR105" s="15"/>
      <c r="BS105" s="64"/>
      <c r="BT105" s="64">
        <v>46237</v>
      </c>
      <c r="BU105" s="64">
        <v>46310</v>
      </c>
      <c r="BV105" s="15"/>
      <c r="BW105" s="64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15">
        <v>2</v>
      </c>
      <c r="CL105" s="68">
        <v>10</v>
      </c>
      <c r="CM105" s="68">
        <v>19</v>
      </c>
      <c r="CN105" s="68">
        <v>17</v>
      </c>
      <c r="CO105" s="68">
        <v>10</v>
      </c>
      <c r="CP105" s="68">
        <v>2</v>
      </c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  <c r="EK105" s="68"/>
      <c r="EL105" s="68"/>
      <c r="EM105" s="68"/>
      <c r="EN105" s="68"/>
      <c r="EO105" s="68"/>
      <c r="EP105" s="68"/>
      <c r="EQ105" s="65">
        <f t="shared" si="17"/>
        <v>60</v>
      </c>
      <c r="ER105" s="6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 t="s">
        <v>176</v>
      </c>
      <c r="FF105" s="15"/>
      <c r="FG105" s="15"/>
      <c r="FH105" s="1" t="str">
        <f t="shared" si="18"/>
        <v>782P149190014702092405</v>
      </c>
      <c r="FI105" s="1" t="str">
        <f t="shared" si="19"/>
        <v>PRLS/25/13293</v>
      </c>
      <c r="FJ105" s="38"/>
      <c r="FL105" s="13"/>
    </row>
    <row r="106" spans="1:168" ht="21" hidden="1" x14ac:dyDescent="0.25">
      <c r="A106" s="15" t="s">
        <v>754</v>
      </c>
      <c r="B106" s="15" t="s">
        <v>149</v>
      </c>
      <c r="C106" s="15" t="s">
        <v>471</v>
      </c>
      <c r="D106" s="15" t="s">
        <v>683</v>
      </c>
      <c r="E106" s="15" t="s">
        <v>227</v>
      </c>
      <c r="F106" s="15" t="s">
        <v>228</v>
      </c>
      <c r="G106" s="15" t="s">
        <v>322</v>
      </c>
      <c r="H106" s="15" t="s">
        <v>680</v>
      </c>
      <c r="I106" s="15" t="s">
        <v>721</v>
      </c>
      <c r="J106" s="15" t="s">
        <v>687</v>
      </c>
      <c r="K106" s="15" t="s">
        <v>185</v>
      </c>
      <c r="L106" s="15"/>
      <c r="M106" s="15" t="s">
        <v>688</v>
      </c>
      <c r="N106" s="63">
        <v>33</v>
      </c>
      <c r="O106" s="15"/>
      <c r="P106" s="15">
        <v>57.68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61">
        <v>46146</v>
      </c>
      <c r="BE106" s="61"/>
      <c r="BF106" s="15"/>
      <c r="BG106" s="15"/>
      <c r="BH106" s="15"/>
      <c r="BI106" s="15"/>
      <c r="BJ106" s="15"/>
      <c r="BK106" s="15"/>
      <c r="BL106" s="15"/>
      <c r="BM106" s="15"/>
      <c r="BN106" s="15"/>
      <c r="BO106" s="64"/>
      <c r="BP106" s="15"/>
      <c r="BQ106" s="15"/>
      <c r="BR106" s="15"/>
      <c r="BS106" s="64"/>
      <c r="BT106" s="64">
        <v>46237</v>
      </c>
      <c r="BU106" s="64">
        <v>46310</v>
      </c>
      <c r="BV106" s="15"/>
      <c r="BW106" s="64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15">
        <v>1</v>
      </c>
      <c r="CL106" s="68">
        <v>5</v>
      </c>
      <c r="CM106" s="68">
        <v>10</v>
      </c>
      <c r="CN106" s="68">
        <v>10</v>
      </c>
      <c r="CO106" s="68">
        <v>6</v>
      </c>
      <c r="CP106" s="68">
        <v>1</v>
      </c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  <c r="EK106" s="68"/>
      <c r="EL106" s="68"/>
      <c r="EM106" s="68"/>
      <c r="EN106" s="68"/>
      <c r="EO106" s="68"/>
      <c r="EP106" s="68"/>
      <c r="EQ106" s="65">
        <f t="shared" si="17"/>
        <v>33</v>
      </c>
      <c r="ER106" s="6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 t="s">
        <v>176</v>
      </c>
      <c r="FF106" s="15"/>
      <c r="FG106" s="15"/>
      <c r="FH106" s="1" t="str">
        <f t="shared" si="18"/>
        <v>782P149190014702092406</v>
      </c>
      <c r="FI106" s="1" t="str">
        <f t="shared" si="19"/>
        <v>PRLS/25/13293</v>
      </c>
      <c r="FJ106" s="38"/>
      <c r="FL106" s="13"/>
    </row>
    <row r="107" spans="1:168" ht="21" hidden="1" x14ac:dyDescent="0.25">
      <c r="A107" s="15" t="s">
        <v>754</v>
      </c>
      <c r="B107" s="15" t="s">
        <v>149</v>
      </c>
      <c r="C107" s="15" t="s">
        <v>471</v>
      </c>
      <c r="D107" s="15" t="s">
        <v>684</v>
      </c>
      <c r="E107" s="15" t="s">
        <v>237</v>
      </c>
      <c r="F107" s="15" t="s">
        <v>238</v>
      </c>
      <c r="G107" s="15" t="s">
        <v>322</v>
      </c>
      <c r="H107" s="15" t="s">
        <v>680</v>
      </c>
      <c r="I107" s="15" t="s">
        <v>721</v>
      </c>
      <c r="J107" s="15" t="s">
        <v>687</v>
      </c>
      <c r="K107" s="15" t="s">
        <v>185</v>
      </c>
      <c r="L107" s="15"/>
      <c r="M107" s="15" t="s">
        <v>688</v>
      </c>
      <c r="N107" s="63">
        <v>70</v>
      </c>
      <c r="O107" s="15"/>
      <c r="P107" s="15">
        <v>57.68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61">
        <v>46146</v>
      </c>
      <c r="BE107" s="61"/>
      <c r="BF107" s="15"/>
      <c r="BG107" s="15"/>
      <c r="BH107" s="15"/>
      <c r="BI107" s="15"/>
      <c r="BJ107" s="15"/>
      <c r="BK107" s="15"/>
      <c r="BL107" s="15"/>
      <c r="BM107" s="15"/>
      <c r="BN107" s="15"/>
      <c r="BO107" s="64"/>
      <c r="BP107" s="15"/>
      <c r="BQ107" s="15"/>
      <c r="BR107" s="15"/>
      <c r="BS107" s="64"/>
      <c r="BT107" s="64">
        <v>46237</v>
      </c>
      <c r="BU107" s="64">
        <v>46310</v>
      </c>
      <c r="BV107" s="15"/>
      <c r="BW107" s="64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15">
        <v>4</v>
      </c>
      <c r="CL107" s="68">
        <v>12</v>
      </c>
      <c r="CM107" s="68">
        <v>25</v>
      </c>
      <c r="CN107" s="68">
        <v>19</v>
      </c>
      <c r="CO107" s="68">
        <v>8</v>
      </c>
      <c r="CP107" s="68">
        <v>2</v>
      </c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  <c r="EQ107" s="65">
        <f t="shared" si="17"/>
        <v>70</v>
      </c>
      <c r="ER107" s="6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 t="s">
        <v>176</v>
      </c>
      <c r="FF107" s="15"/>
      <c r="FG107" s="15"/>
      <c r="FH107" s="1" t="str">
        <f t="shared" si="18"/>
        <v>782P149190014702092407</v>
      </c>
      <c r="FI107" s="1" t="str">
        <f t="shared" si="19"/>
        <v>PRLS/25/13293</v>
      </c>
      <c r="FJ107" s="38"/>
      <c r="FL107" s="13"/>
    </row>
    <row r="108" spans="1:168" ht="21" hidden="1" x14ac:dyDescent="0.25">
      <c r="A108" s="15" t="s">
        <v>691</v>
      </c>
      <c r="B108" s="15" t="s">
        <v>149</v>
      </c>
      <c r="C108" s="15" t="s">
        <v>660</v>
      </c>
      <c r="D108" s="15" t="s">
        <v>675</v>
      </c>
      <c r="E108" s="15" t="s">
        <v>259</v>
      </c>
      <c r="F108" s="15" t="s">
        <v>260</v>
      </c>
      <c r="G108" s="15" t="s">
        <v>321</v>
      </c>
      <c r="H108" s="15" t="s">
        <v>669</v>
      </c>
      <c r="I108" s="15" t="s">
        <v>719</v>
      </c>
      <c r="J108" s="15" t="s">
        <v>390</v>
      </c>
      <c r="K108" s="15" t="s">
        <v>258</v>
      </c>
      <c r="L108" s="15" t="s">
        <v>247</v>
      </c>
      <c r="M108" s="15" t="s">
        <v>677</v>
      </c>
      <c r="N108" s="63">
        <v>280</v>
      </c>
      <c r="O108" s="15"/>
      <c r="P108" s="15">
        <v>8.43</v>
      </c>
      <c r="Q108" s="15"/>
      <c r="R108" s="15"/>
      <c r="S108" s="15" t="s">
        <v>235</v>
      </c>
      <c r="T108" s="15"/>
      <c r="U108" s="15"/>
      <c r="V108" s="15"/>
      <c r="W108" s="15"/>
      <c r="X108" s="15"/>
      <c r="Y108" s="15" t="s">
        <v>320</v>
      </c>
      <c r="Z108" s="15" t="s">
        <v>191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 t="s">
        <v>170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61">
        <v>46065</v>
      </c>
      <c r="BE108" s="61" t="s">
        <v>192</v>
      </c>
      <c r="BF108" s="15" t="s">
        <v>219</v>
      </c>
      <c r="BG108" s="15" t="s">
        <v>219</v>
      </c>
      <c r="BH108" s="15" t="s">
        <v>219</v>
      </c>
      <c r="BI108" s="15" t="s">
        <v>199</v>
      </c>
      <c r="BJ108" s="15"/>
      <c r="BK108" s="15"/>
      <c r="BL108" s="15"/>
      <c r="BM108" s="15"/>
      <c r="BN108" s="15"/>
      <c r="BO108" s="64"/>
      <c r="BP108" s="64">
        <v>46107</v>
      </c>
      <c r="BQ108" s="15"/>
      <c r="BR108" s="15"/>
      <c r="BS108" s="64"/>
      <c r="BT108" s="64">
        <v>46117</v>
      </c>
      <c r="BU108" s="64">
        <v>46188</v>
      </c>
      <c r="BV108" s="15"/>
      <c r="BW108" s="64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15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>
        <v>34</v>
      </c>
      <c r="EH108" s="68">
        <v>45</v>
      </c>
      <c r="EI108" s="68">
        <v>49</v>
      </c>
      <c r="EJ108" s="68">
        <v>50</v>
      </c>
      <c r="EK108" s="68">
        <v>50</v>
      </c>
      <c r="EL108" s="68">
        <v>52</v>
      </c>
      <c r="EM108" s="68"/>
      <c r="EN108" s="68"/>
      <c r="EO108" s="68"/>
      <c r="EP108" s="68"/>
      <c r="EQ108" s="65">
        <f t="shared" si="17"/>
        <v>280</v>
      </c>
      <c r="ER108" s="6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 t="s">
        <v>202</v>
      </c>
      <c r="FF108" s="15"/>
      <c r="FG108" s="15"/>
      <c r="FH108" s="1" t="str">
        <f t="shared" si="18"/>
        <v>322B296460014702095326</v>
      </c>
      <c r="FI108" s="1" t="str">
        <f t="shared" si="19"/>
        <v>PRLS/25/13150</v>
      </c>
      <c r="FJ108" s="38" t="e">
        <f>VLOOKUP(FH108,[1]Sheet3!$A:$D,4,0)</f>
        <v>#N/A</v>
      </c>
      <c r="FL108" s="13"/>
    </row>
    <row r="109" spans="1:168" ht="21" hidden="1" x14ac:dyDescent="0.25">
      <c r="A109" s="15" t="s">
        <v>692</v>
      </c>
      <c r="B109" s="15" t="s">
        <v>149</v>
      </c>
      <c r="C109" s="15" t="s">
        <v>660</v>
      </c>
      <c r="D109" s="15" t="s">
        <v>675</v>
      </c>
      <c r="E109" s="15" t="s">
        <v>259</v>
      </c>
      <c r="F109" s="15" t="s">
        <v>260</v>
      </c>
      <c r="G109" s="15" t="s">
        <v>321</v>
      </c>
      <c r="H109" s="15" t="s">
        <v>670</v>
      </c>
      <c r="I109" s="15" t="s">
        <v>719</v>
      </c>
      <c r="J109" s="15" t="s">
        <v>390</v>
      </c>
      <c r="K109" s="15" t="s">
        <v>258</v>
      </c>
      <c r="L109" s="15" t="s">
        <v>247</v>
      </c>
      <c r="M109" s="15" t="s">
        <v>678</v>
      </c>
      <c r="N109" s="63">
        <v>221</v>
      </c>
      <c r="O109" s="15"/>
      <c r="P109" s="15">
        <v>8.43</v>
      </c>
      <c r="Q109" s="15"/>
      <c r="R109" s="15"/>
      <c r="S109" s="15" t="s">
        <v>235</v>
      </c>
      <c r="T109" s="15"/>
      <c r="U109" s="15"/>
      <c r="V109" s="15"/>
      <c r="W109" s="15"/>
      <c r="X109" s="15"/>
      <c r="Y109" s="15" t="s">
        <v>320</v>
      </c>
      <c r="Z109" s="15" t="s">
        <v>191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 t="s">
        <v>170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61">
        <v>46069</v>
      </c>
      <c r="BE109" s="61" t="s">
        <v>192</v>
      </c>
      <c r="BF109" s="15" t="s">
        <v>219</v>
      </c>
      <c r="BG109" s="15" t="s">
        <v>219</v>
      </c>
      <c r="BH109" s="15" t="s">
        <v>219</v>
      </c>
      <c r="BI109" s="15" t="s">
        <v>199</v>
      </c>
      <c r="BJ109" s="15"/>
      <c r="BK109" s="15"/>
      <c r="BL109" s="15"/>
      <c r="BM109" s="15"/>
      <c r="BN109" s="15"/>
      <c r="BO109" s="64"/>
      <c r="BP109" s="64">
        <v>46107</v>
      </c>
      <c r="BQ109" s="15"/>
      <c r="BR109" s="15"/>
      <c r="BS109" s="64"/>
      <c r="BT109" s="64">
        <v>46117</v>
      </c>
      <c r="BU109" s="64">
        <v>46188</v>
      </c>
      <c r="BV109" s="15"/>
      <c r="BW109" s="64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15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>
        <v>26</v>
      </c>
      <c r="EH109" s="68">
        <v>35</v>
      </c>
      <c r="EI109" s="68">
        <v>39</v>
      </c>
      <c r="EJ109" s="68">
        <v>40</v>
      </c>
      <c r="EK109" s="68">
        <v>40</v>
      </c>
      <c r="EL109" s="68">
        <v>41</v>
      </c>
      <c r="EM109" s="68"/>
      <c r="EN109" s="68"/>
      <c r="EO109" s="68"/>
      <c r="EP109" s="68"/>
      <c r="EQ109" s="65">
        <f t="shared" si="17"/>
        <v>221</v>
      </c>
      <c r="ER109" s="6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 t="s">
        <v>202</v>
      </c>
      <c r="FF109" s="15"/>
      <c r="FG109" s="15"/>
      <c r="FH109" s="1" t="str">
        <f t="shared" si="18"/>
        <v>322B296460024702095326</v>
      </c>
      <c r="FI109" s="1" t="str">
        <f t="shared" si="19"/>
        <v>PRLS/25/13151</v>
      </c>
      <c r="FJ109" s="38" t="e">
        <f>VLOOKUP(FH109,[1]Sheet3!$A:$D,4,0)</f>
        <v>#N/A</v>
      </c>
      <c r="FL109" s="13"/>
    </row>
    <row r="110" spans="1:168" ht="21" hidden="1" x14ac:dyDescent="0.25">
      <c r="A110" s="15" t="s">
        <v>693</v>
      </c>
      <c r="B110" s="15" t="s">
        <v>149</v>
      </c>
      <c r="C110" s="15" t="s">
        <v>660</v>
      </c>
      <c r="D110" s="15" t="s">
        <v>675</v>
      </c>
      <c r="E110" s="15" t="s">
        <v>259</v>
      </c>
      <c r="F110" s="15" t="s">
        <v>260</v>
      </c>
      <c r="G110" s="15" t="s">
        <v>321</v>
      </c>
      <c r="H110" s="15" t="s">
        <v>671</v>
      </c>
      <c r="I110" s="15" t="s">
        <v>719</v>
      </c>
      <c r="J110" s="15" t="s">
        <v>390</v>
      </c>
      <c r="K110" s="15" t="s">
        <v>258</v>
      </c>
      <c r="L110" s="15" t="s">
        <v>247</v>
      </c>
      <c r="M110" s="15" t="s">
        <v>679</v>
      </c>
      <c r="N110" s="63">
        <v>90</v>
      </c>
      <c r="O110" s="15"/>
      <c r="P110" s="15">
        <v>8.43</v>
      </c>
      <c r="Q110" s="15"/>
      <c r="R110" s="15"/>
      <c r="S110" s="15" t="s">
        <v>235</v>
      </c>
      <c r="T110" s="15"/>
      <c r="U110" s="15"/>
      <c r="V110" s="15"/>
      <c r="W110" s="15"/>
      <c r="X110" s="15"/>
      <c r="Y110" s="15" t="s">
        <v>320</v>
      </c>
      <c r="Z110" s="15" t="s">
        <v>191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 t="s">
        <v>170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61">
        <v>46069</v>
      </c>
      <c r="BE110" s="61" t="s">
        <v>192</v>
      </c>
      <c r="BF110" s="15" t="s">
        <v>219</v>
      </c>
      <c r="BG110" s="15" t="s">
        <v>219</v>
      </c>
      <c r="BH110" s="15" t="s">
        <v>219</v>
      </c>
      <c r="BI110" s="15" t="s">
        <v>199</v>
      </c>
      <c r="BJ110" s="15"/>
      <c r="BK110" s="15"/>
      <c r="BL110" s="15"/>
      <c r="BM110" s="15"/>
      <c r="BN110" s="15"/>
      <c r="BO110" s="64"/>
      <c r="BP110" s="64">
        <v>46107</v>
      </c>
      <c r="BQ110" s="15"/>
      <c r="BR110" s="15"/>
      <c r="BS110" s="64"/>
      <c r="BT110" s="64">
        <v>46117</v>
      </c>
      <c r="BU110" s="64">
        <v>46188</v>
      </c>
      <c r="BV110" s="15"/>
      <c r="BW110" s="64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15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>
        <v>11</v>
      </c>
      <c r="EH110" s="68">
        <v>14</v>
      </c>
      <c r="EI110" s="68">
        <v>16</v>
      </c>
      <c r="EJ110" s="68">
        <v>16</v>
      </c>
      <c r="EK110" s="68">
        <v>16</v>
      </c>
      <c r="EL110" s="68">
        <v>17</v>
      </c>
      <c r="EM110" s="68"/>
      <c r="EN110" s="68"/>
      <c r="EO110" s="68"/>
      <c r="EP110" s="68"/>
      <c r="EQ110" s="65">
        <f t="shared" si="17"/>
        <v>90</v>
      </c>
      <c r="ER110" s="6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 t="s">
        <v>202</v>
      </c>
      <c r="FF110" s="15"/>
      <c r="FG110" s="15"/>
      <c r="FH110" s="1" t="str">
        <f t="shared" si="18"/>
        <v>322B296460034702095326</v>
      </c>
      <c r="FI110" s="1" t="str">
        <f t="shared" si="19"/>
        <v>PRLS/25/13152</v>
      </c>
      <c r="FJ110" s="38" t="e">
        <f>VLOOKUP(FH110,[1]Sheet3!$A:$D,4,0)</f>
        <v>#N/A</v>
      </c>
      <c r="FL110" s="13"/>
    </row>
    <row r="111" spans="1:168" ht="21" hidden="1" x14ac:dyDescent="0.25">
      <c r="A111" s="15" t="s">
        <v>696</v>
      </c>
      <c r="B111" s="15" t="s">
        <v>149</v>
      </c>
      <c r="C111" s="15" t="s">
        <v>660</v>
      </c>
      <c r="D111" s="15" t="s">
        <v>676</v>
      </c>
      <c r="E111" s="15" t="s">
        <v>259</v>
      </c>
      <c r="F111" s="15" t="s">
        <v>260</v>
      </c>
      <c r="G111" s="15" t="s">
        <v>321</v>
      </c>
      <c r="H111" s="15" t="s">
        <v>672</v>
      </c>
      <c r="I111" s="15" t="s">
        <v>720</v>
      </c>
      <c r="J111" s="15" t="s">
        <v>390</v>
      </c>
      <c r="K111" s="15" t="s">
        <v>258</v>
      </c>
      <c r="L111" s="15" t="s">
        <v>247</v>
      </c>
      <c r="M111" s="15" t="s">
        <v>677</v>
      </c>
      <c r="N111" s="63">
        <v>280</v>
      </c>
      <c r="O111" s="15"/>
      <c r="P111" s="15">
        <v>9.42</v>
      </c>
      <c r="Q111" s="15"/>
      <c r="R111" s="15"/>
      <c r="S111" s="15" t="s">
        <v>235</v>
      </c>
      <c r="T111" s="15"/>
      <c r="U111" s="15"/>
      <c r="V111" s="15"/>
      <c r="W111" s="15"/>
      <c r="X111" s="15"/>
      <c r="Y111" s="15" t="s">
        <v>320</v>
      </c>
      <c r="Z111" s="15" t="s">
        <v>191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 t="s">
        <v>170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61">
        <v>46065</v>
      </c>
      <c r="BE111" s="61" t="s">
        <v>192</v>
      </c>
      <c r="BF111" s="15" t="s">
        <v>219</v>
      </c>
      <c r="BG111" s="15" t="s">
        <v>219</v>
      </c>
      <c r="BH111" s="15" t="s">
        <v>219</v>
      </c>
      <c r="BI111" s="15" t="s">
        <v>199</v>
      </c>
      <c r="BJ111" s="15"/>
      <c r="BK111" s="15"/>
      <c r="BL111" s="15"/>
      <c r="BM111" s="15"/>
      <c r="BN111" s="15"/>
      <c r="BO111" s="64"/>
      <c r="BP111" s="64">
        <v>46107</v>
      </c>
      <c r="BQ111" s="15"/>
      <c r="BR111" s="15"/>
      <c r="BS111" s="64"/>
      <c r="BT111" s="64">
        <v>46117</v>
      </c>
      <c r="BU111" s="64">
        <v>46188</v>
      </c>
      <c r="BV111" s="15"/>
      <c r="BW111" s="64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15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>
        <v>39</v>
      </c>
      <c r="EN111" s="68">
        <v>60</v>
      </c>
      <c r="EO111" s="68">
        <v>98</v>
      </c>
      <c r="EP111" s="68">
        <v>83</v>
      </c>
      <c r="EQ111" s="65">
        <f t="shared" si="17"/>
        <v>280</v>
      </c>
      <c r="ER111" s="6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 t="s">
        <v>202</v>
      </c>
      <c r="FF111" s="15"/>
      <c r="FG111" s="15"/>
      <c r="FH111" s="1" t="str">
        <f t="shared" si="18"/>
        <v>323B296460014702095329</v>
      </c>
      <c r="FI111" s="1" t="str">
        <f t="shared" si="19"/>
        <v>PRLS/25/13153</v>
      </c>
      <c r="FJ111" s="38" t="e">
        <f>VLOOKUP(FH111,[1]Sheet3!$A:$D,4,0)</f>
        <v>#N/A</v>
      </c>
      <c r="FL111" s="13"/>
    </row>
    <row r="112" spans="1:168" ht="21" hidden="1" x14ac:dyDescent="0.25">
      <c r="A112" s="15" t="s">
        <v>697</v>
      </c>
      <c r="B112" s="15" t="s">
        <v>149</v>
      </c>
      <c r="C112" s="15" t="s">
        <v>660</v>
      </c>
      <c r="D112" s="15" t="s">
        <v>676</v>
      </c>
      <c r="E112" s="15" t="s">
        <v>259</v>
      </c>
      <c r="F112" s="15" t="s">
        <v>260</v>
      </c>
      <c r="G112" s="15" t="s">
        <v>321</v>
      </c>
      <c r="H112" s="15" t="s">
        <v>673</v>
      </c>
      <c r="I112" s="15" t="s">
        <v>720</v>
      </c>
      <c r="J112" s="15" t="s">
        <v>390</v>
      </c>
      <c r="K112" s="15" t="s">
        <v>258</v>
      </c>
      <c r="L112" s="15" t="s">
        <v>247</v>
      </c>
      <c r="M112" s="15" t="s">
        <v>679</v>
      </c>
      <c r="N112" s="63">
        <v>101</v>
      </c>
      <c r="O112" s="15"/>
      <c r="P112" s="15">
        <v>9.42</v>
      </c>
      <c r="Q112" s="15"/>
      <c r="R112" s="15"/>
      <c r="S112" s="15" t="s">
        <v>235</v>
      </c>
      <c r="T112" s="15"/>
      <c r="U112" s="15"/>
      <c r="V112" s="15"/>
      <c r="W112" s="15"/>
      <c r="X112" s="15"/>
      <c r="Y112" s="15" t="s">
        <v>320</v>
      </c>
      <c r="Z112" s="15" t="s">
        <v>191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 t="s">
        <v>170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61">
        <v>46069</v>
      </c>
      <c r="BE112" s="61" t="s">
        <v>192</v>
      </c>
      <c r="BF112" s="15" t="s">
        <v>219</v>
      </c>
      <c r="BG112" s="15" t="s">
        <v>219</v>
      </c>
      <c r="BH112" s="15" t="s">
        <v>199</v>
      </c>
      <c r="BI112" s="15" t="s">
        <v>199</v>
      </c>
      <c r="BJ112" s="15"/>
      <c r="BK112" s="15"/>
      <c r="BL112" s="15"/>
      <c r="BM112" s="15"/>
      <c r="BN112" s="15"/>
      <c r="BO112" s="64"/>
      <c r="BP112" s="64">
        <v>46107</v>
      </c>
      <c r="BQ112" s="15"/>
      <c r="BR112" s="15"/>
      <c r="BS112" s="64"/>
      <c r="BT112" s="64">
        <v>46117</v>
      </c>
      <c r="BU112" s="64">
        <v>46188</v>
      </c>
      <c r="BV112" s="15"/>
      <c r="BW112" s="64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15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>
        <v>14</v>
      </c>
      <c r="EN112" s="68">
        <v>22</v>
      </c>
      <c r="EO112" s="68">
        <v>35</v>
      </c>
      <c r="EP112" s="68">
        <v>30</v>
      </c>
      <c r="EQ112" s="65">
        <f t="shared" si="17"/>
        <v>101</v>
      </c>
      <c r="ER112" s="6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 t="s">
        <v>202</v>
      </c>
      <c r="FF112" s="15"/>
      <c r="FG112" s="15"/>
      <c r="FH112" s="1" t="str">
        <f t="shared" si="18"/>
        <v>323B296460024702095329</v>
      </c>
      <c r="FI112" s="1" t="str">
        <f t="shared" si="19"/>
        <v>PRLS/25/13154</v>
      </c>
      <c r="FJ112" s="38" t="e">
        <f>VLOOKUP(FH112,[1]Sheet3!$A:$D,4,0)</f>
        <v>#N/A</v>
      </c>
      <c r="FL112" s="13"/>
    </row>
    <row r="113" spans="1:168" ht="21" hidden="1" x14ac:dyDescent="0.25">
      <c r="A113" s="15" t="s">
        <v>698</v>
      </c>
      <c r="B113" s="15" t="s">
        <v>149</v>
      </c>
      <c r="C113" s="15" t="s">
        <v>660</v>
      </c>
      <c r="D113" s="15" t="s">
        <v>676</v>
      </c>
      <c r="E113" s="15" t="s">
        <v>259</v>
      </c>
      <c r="F113" s="15" t="s">
        <v>260</v>
      </c>
      <c r="G113" s="15" t="s">
        <v>321</v>
      </c>
      <c r="H113" s="15" t="s">
        <v>674</v>
      </c>
      <c r="I113" s="15" t="s">
        <v>720</v>
      </c>
      <c r="J113" s="15" t="s">
        <v>390</v>
      </c>
      <c r="K113" s="15" t="s">
        <v>258</v>
      </c>
      <c r="L113" s="15" t="s">
        <v>247</v>
      </c>
      <c r="M113" s="15" t="s">
        <v>678</v>
      </c>
      <c r="N113" s="63">
        <v>251</v>
      </c>
      <c r="O113" s="15"/>
      <c r="P113" s="15">
        <v>9.42</v>
      </c>
      <c r="Q113" s="15"/>
      <c r="R113" s="15"/>
      <c r="S113" s="15" t="s">
        <v>235</v>
      </c>
      <c r="T113" s="15"/>
      <c r="U113" s="15"/>
      <c r="V113" s="15"/>
      <c r="W113" s="15"/>
      <c r="X113" s="15"/>
      <c r="Y113" s="15" t="s">
        <v>320</v>
      </c>
      <c r="Z113" s="15" t="s">
        <v>191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 t="s">
        <v>170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61">
        <v>46069</v>
      </c>
      <c r="BE113" s="61" t="s">
        <v>192</v>
      </c>
      <c r="BF113" s="15" t="s">
        <v>219</v>
      </c>
      <c r="BG113" s="15" t="s">
        <v>219</v>
      </c>
      <c r="BH113" s="15" t="s">
        <v>199</v>
      </c>
      <c r="BI113" s="15" t="s">
        <v>199</v>
      </c>
      <c r="BJ113" s="15"/>
      <c r="BK113" s="15"/>
      <c r="BL113" s="15"/>
      <c r="BM113" s="15"/>
      <c r="BN113" s="15"/>
      <c r="BO113" s="64"/>
      <c r="BP113" s="64">
        <v>46107</v>
      </c>
      <c r="BQ113" s="15"/>
      <c r="BR113" s="15"/>
      <c r="BS113" s="64"/>
      <c r="BT113" s="64">
        <v>46117</v>
      </c>
      <c r="BU113" s="64">
        <v>46188</v>
      </c>
      <c r="BV113" s="15"/>
      <c r="BW113" s="64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15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K113" s="68"/>
      <c r="EL113" s="68"/>
      <c r="EM113" s="68">
        <v>35</v>
      </c>
      <c r="EN113" s="68">
        <v>54</v>
      </c>
      <c r="EO113" s="68">
        <v>88</v>
      </c>
      <c r="EP113" s="68">
        <v>74</v>
      </c>
      <c r="EQ113" s="65">
        <f t="shared" si="17"/>
        <v>251</v>
      </c>
      <c r="ER113" s="6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 t="s">
        <v>202</v>
      </c>
      <c r="FF113" s="15"/>
      <c r="FG113" s="15"/>
      <c r="FH113" s="1" t="str">
        <f t="shared" si="18"/>
        <v>323B296460034702095329</v>
      </c>
      <c r="FI113" s="1" t="str">
        <f t="shared" si="19"/>
        <v>PRLS/25/13155</v>
      </c>
      <c r="FJ113" s="38" t="e">
        <f>VLOOKUP(FH113,[1]Sheet3!$A:$D,4,0)</f>
        <v>#N/A</v>
      </c>
      <c r="FL113" s="13"/>
    </row>
    <row r="114" spans="1:168" ht="21" hidden="1" x14ac:dyDescent="0.25">
      <c r="A114" s="15" t="s">
        <v>755</v>
      </c>
      <c r="B114" s="15" t="s">
        <v>149</v>
      </c>
      <c r="C114" s="15" t="s">
        <v>660</v>
      </c>
      <c r="D114" s="15" t="s">
        <v>648</v>
      </c>
      <c r="E114" s="15" t="s">
        <v>151</v>
      </c>
      <c r="F114" s="15" t="s">
        <v>469</v>
      </c>
      <c r="G114" s="15" t="s">
        <v>321</v>
      </c>
      <c r="H114" s="15" t="s">
        <v>642</v>
      </c>
      <c r="I114" s="15" t="s">
        <v>717</v>
      </c>
      <c r="J114" s="15" t="s">
        <v>661</v>
      </c>
      <c r="K114" s="15" t="s">
        <v>258</v>
      </c>
      <c r="L114" s="15" t="s">
        <v>247</v>
      </c>
      <c r="M114" s="15" t="s">
        <v>357</v>
      </c>
      <c r="N114" s="63">
        <v>182</v>
      </c>
      <c r="O114" s="15"/>
      <c r="P114" s="15">
        <v>6.48</v>
      </c>
      <c r="Q114" s="15"/>
      <c r="R114" s="15"/>
      <c r="S114" s="15" t="s">
        <v>422</v>
      </c>
      <c r="T114" s="15"/>
      <c r="U114" s="15"/>
      <c r="V114" s="15"/>
      <c r="W114" s="15"/>
      <c r="X114" s="15"/>
      <c r="Y114" s="15" t="s">
        <v>218</v>
      </c>
      <c r="Z114" s="15" t="s">
        <v>348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 t="s">
        <v>439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61">
        <v>46052</v>
      </c>
      <c r="BE114" s="61" t="s">
        <v>192</v>
      </c>
      <c r="BF114" s="15" t="s">
        <v>219</v>
      </c>
      <c r="BG114" s="15" t="s">
        <v>219</v>
      </c>
      <c r="BH114" s="15" t="s">
        <v>219</v>
      </c>
      <c r="BI114" s="15" t="s">
        <v>199</v>
      </c>
      <c r="BJ114" s="15"/>
      <c r="BK114" s="15"/>
      <c r="BL114" s="15"/>
      <c r="BM114" s="15"/>
      <c r="BN114" s="15"/>
      <c r="BO114" s="64"/>
      <c r="BP114" s="64">
        <v>46114</v>
      </c>
      <c r="BQ114" s="15"/>
      <c r="BR114" s="15"/>
      <c r="BS114" s="64"/>
      <c r="BT114" s="64">
        <v>46124</v>
      </c>
      <c r="BU114" s="64">
        <v>46188</v>
      </c>
      <c r="BV114" s="15"/>
      <c r="BW114" s="64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15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  <c r="EE114" s="68"/>
      <c r="EF114" s="68"/>
      <c r="EG114" s="68">
        <v>26</v>
      </c>
      <c r="EH114" s="68">
        <v>30</v>
      </c>
      <c r="EI114" s="68">
        <v>34</v>
      </c>
      <c r="EJ114" s="68">
        <v>36</v>
      </c>
      <c r="EK114" s="68">
        <v>32</v>
      </c>
      <c r="EL114" s="68">
        <v>24</v>
      </c>
      <c r="EM114" s="68"/>
      <c r="EN114" s="68"/>
      <c r="EO114" s="68"/>
      <c r="EP114" s="68"/>
      <c r="EQ114" s="65">
        <f t="shared" si="17"/>
        <v>182</v>
      </c>
      <c r="ER114" s="6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 t="s">
        <v>202</v>
      </c>
      <c r="FF114" s="15"/>
      <c r="FG114" s="15"/>
      <c r="FH114" s="1" t="str">
        <f t="shared" si="18"/>
        <v>3229038305004702095349</v>
      </c>
      <c r="FI114" s="1" t="str">
        <f t="shared" si="19"/>
        <v>PRLS/25/13294</v>
      </c>
      <c r="FJ114" s="38" t="e">
        <f>VLOOKUP(FH114,[1]Sheet3!$A:$D,4,0)</f>
        <v>#N/A</v>
      </c>
      <c r="FL114" s="13"/>
    </row>
    <row r="115" spans="1:168" ht="21" hidden="1" x14ac:dyDescent="0.25">
      <c r="A115" s="15" t="s">
        <v>689</v>
      </c>
      <c r="B115" s="15" t="s">
        <v>149</v>
      </c>
      <c r="C115" s="15" t="s">
        <v>660</v>
      </c>
      <c r="D115" s="15" t="s">
        <v>648</v>
      </c>
      <c r="E115" s="15" t="s">
        <v>151</v>
      </c>
      <c r="F115" s="15" t="s">
        <v>469</v>
      </c>
      <c r="G115" s="15" t="s">
        <v>321</v>
      </c>
      <c r="H115" s="15" t="s">
        <v>643</v>
      </c>
      <c r="I115" s="15" t="s">
        <v>717</v>
      </c>
      <c r="J115" s="15" t="s">
        <v>661</v>
      </c>
      <c r="K115" s="15" t="s">
        <v>258</v>
      </c>
      <c r="L115" s="15" t="s">
        <v>247</v>
      </c>
      <c r="M115" s="15" t="s">
        <v>358</v>
      </c>
      <c r="N115" s="63">
        <v>300</v>
      </c>
      <c r="O115" s="15"/>
      <c r="P115" s="15">
        <v>6.48</v>
      </c>
      <c r="Q115" s="15"/>
      <c r="R115" s="15"/>
      <c r="S115" s="15" t="s">
        <v>422</v>
      </c>
      <c r="T115" s="15"/>
      <c r="U115" s="15"/>
      <c r="V115" s="15"/>
      <c r="W115" s="15"/>
      <c r="X115" s="15"/>
      <c r="Y115" s="15" t="s">
        <v>218</v>
      </c>
      <c r="Z115" s="15" t="s">
        <v>348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 t="s">
        <v>439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61">
        <v>46052</v>
      </c>
      <c r="BE115" s="61" t="s">
        <v>192</v>
      </c>
      <c r="BF115" s="15" t="s">
        <v>219</v>
      </c>
      <c r="BG115" s="15" t="s">
        <v>219</v>
      </c>
      <c r="BH115" s="15" t="s">
        <v>219</v>
      </c>
      <c r="BI115" s="15" t="s">
        <v>199</v>
      </c>
      <c r="BJ115" s="15"/>
      <c r="BK115" s="15"/>
      <c r="BL115" s="15"/>
      <c r="BM115" s="15"/>
      <c r="BN115" s="15"/>
      <c r="BO115" s="64"/>
      <c r="BP115" s="64">
        <v>46114</v>
      </c>
      <c r="BQ115" s="15"/>
      <c r="BR115" s="15"/>
      <c r="BS115" s="64"/>
      <c r="BT115" s="64">
        <v>46124</v>
      </c>
      <c r="BU115" s="64">
        <v>46188</v>
      </c>
      <c r="BV115" s="15"/>
      <c r="BW115" s="64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15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>
        <v>45</v>
      </c>
      <c r="EH115" s="68">
        <v>53</v>
      </c>
      <c r="EI115" s="68">
        <v>53</v>
      </c>
      <c r="EJ115" s="68">
        <v>55</v>
      </c>
      <c r="EK115" s="68">
        <v>50</v>
      </c>
      <c r="EL115" s="68">
        <v>44</v>
      </c>
      <c r="EM115" s="68"/>
      <c r="EN115" s="68"/>
      <c r="EO115" s="68"/>
      <c r="EP115" s="68"/>
      <c r="EQ115" s="65">
        <f t="shared" si="17"/>
        <v>300</v>
      </c>
      <c r="ER115" s="6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 t="s">
        <v>202</v>
      </c>
      <c r="FF115" s="15"/>
      <c r="FG115" s="15"/>
      <c r="FH115" s="1" t="str">
        <f t="shared" si="18"/>
        <v>3229038305014702095349</v>
      </c>
      <c r="FI115" s="1" t="str">
        <f t="shared" si="19"/>
        <v>PRLS/25/13140</v>
      </c>
      <c r="FJ115" s="38" t="e">
        <f>VLOOKUP(FH115,[1]Sheet3!$A:$D,4,0)</f>
        <v>#N/A</v>
      </c>
      <c r="FL115" s="13"/>
    </row>
    <row r="116" spans="1:168" ht="21" hidden="1" x14ac:dyDescent="0.25">
      <c r="A116" s="15" t="s">
        <v>690</v>
      </c>
      <c r="B116" s="15" t="s">
        <v>149</v>
      </c>
      <c r="C116" s="15" t="s">
        <v>660</v>
      </c>
      <c r="D116" s="15" t="s">
        <v>648</v>
      </c>
      <c r="E116" s="15" t="s">
        <v>151</v>
      </c>
      <c r="F116" s="15" t="s">
        <v>469</v>
      </c>
      <c r="G116" s="15" t="s">
        <v>321</v>
      </c>
      <c r="H116" s="15" t="s">
        <v>644</v>
      </c>
      <c r="I116" s="15" t="s">
        <v>717</v>
      </c>
      <c r="J116" s="15" t="s">
        <v>661</v>
      </c>
      <c r="K116" s="15" t="s">
        <v>258</v>
      </c>
      <c r="L116" s="15" t="s">
        <v>247</v>
      </c>
      <c r="M116" s="15" t="s">
        <v>359</v>
      </c>
      <c r="N116" s="63">
        <v>370</v>
      </c>
      <c r="O116" s="15"/>
      <c r="P116" s="15">
        <v>6.48</v>
      </c>
      <c r="Q116" s="15"/>
      <c r="R116" s="15"/>
      <c r="S116" s="15" t="s">
        <v>422</v>
      </c>
      <c r="T116" s="15"/>
      <c r="U116" s="15"/>
      <c r="V116" s="15"/>
      <c r="W116" s="15"/>
      <c r="X116" s="15"/>
      <c r="Y116" s="15" t="s">
        <v>218</v>
      </c>
      <c r="Z116" s="15" t="s">
        <v>348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 t="s">
        <v>439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61">
        <v>46052</v>
      </c>
      <c r="BE116" s="61" t="s">
        <v>192</v>
      </c>
      <c r="BF116" s="15" t="s">
        <v>219</v>
      </c>
      <c r="BG116" s="15" t="s">
        <v>219</v>
      </c>
      <c r="BH116" s="15" t="s">
        <v>219</v>
      </c>
      <c r="BI116" s="15" t="s">
        <v>199</v>
      </c>
      <c r="BJ116" s="15"/>
      <c r="BK116" s="15"/>
      <c r="BL116" s="15"/>
      <c r="BM116" s="15"/>
      <c r="BN116" s="15"/>
      <c r="BO116" s="64"/>
      <c r="BP116" s="64">
        <v>46114</v>
      </c>
      <c r="BQ116" s="15"/>
      <c r="BR116" s="15"/>
      <c r="BS116" s="64"/>
      <c r="BT116" s="64">
        <v>46124</v>
      </c>
      <c r="BU116" s="64">
        <v>46188</v>
      </c>
      <c r="BV116" s="15"/>
      <c r="BW116" s="64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15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>
        <v>57</v>
      </c>
      <c r="EH116" s="68">
        <v>66</v>
      </c>
      <c r="EI116" s="68">
        <v>65</v>
      </c>
      <c r="EJ116" s="68">
        <v>66</v>
      </c>
      <c r="EK116" s="68">
        <v>62</v>
      </c>
      <c r="EL116" s="68">
        <v>54</v>
      </c>
      <c r="EM116" s="68"/>
      <c r="EN116" s="68"/>
      <c r="EO116" s="68"/>
      <c r="EP116" s="68"/>
      <c r="EQ116" s="65">
        <f t="shared" si="17"/>
        <v>370</v>
      </c>
      <c r="ER116" s="6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 t="s">
        <v>202</v>
      </c>
      <c r="FF116" s="15"/>
      <c r="FG116" s="15"/>
      <c r="FH116" s="1" t="str">
        <f t="shared" ref="FH116:FH164" si="20">H116&amp;D116</f>
        <v>3229038305024702095349</v>
      </c>
      <c r="FI116" s="1" t="str">
        <f t="shared" ref="FI116:FI164" si="21">A116</f>
        <v>PRLS/25/13141</v>
      </c>
      <c r="FJ116" s="38" t="e">
        <f>VLOOKUP(FH116,[1]Sheet3!$A:$D,4,0)</f>
        <v>#N/A</v>
      </c>
      <c r="FL116" s="13"/>
    </row>
    <row r="117" spans="1:168" ht="21" hidden="1" x14ac:dyDescent="0.25">
      <c r="A117" s="15" t="s">
        <v>690</v>
      </c>
      <c r="B117" s="15" t="s">
        <v>149</v>
      </c>
      <c r="C117" s="15" t="s">
        <v>660</v>
      </c>
      <c r="D117" s="15" t="s">
        <v>658</v>
      </c>
      <c r="E117" s="15" t="s">
        <v>259</v>
      </c>
      <c r="F117" s="15" t="s">
        <v>260</v>
      </c>
      <c r="G117" s="15" t="s">
        <v>321</v>
      </c>
      <c r="H117" s="15" t="s">
        <v>644</v>
      </c>
      <c r="I117" s="15" t="s">
        <v>717</v>
      </c>
      <c r="J117" s="15" t="s">
        <v>661</v>
      </c>
      <c r="K117" s="15" t="s">
        <v>258</v>
      </c>
      <c r="L117" s="15" t="s">
        <v>247</v>
      </c>
      <c r="M117" s="15" t="s">
        <v>359</v>
      </c>
      <c r="N117" s="63">
        <v>90</v>
      </c>
      <c r="O117" s="15"/>
      <c r="P117" s="15">
        <v>6.48</v>
      </c>
      <c r="Q117" s="15"/>
      <c r="R117" s="15"/>
      <c r="S117" s="15" t="s">
        <v>422</v>
      </c>
      <c r="T117" s="15"/>
      <c r="U117" s="15"/>
      <c r="V117" s="15"/>
      <c r="W117" s="15"/>
      <c r="X117" s="15"/>
      <c r="Y117" s="15" t="s">
        <v>218</v>
      </c>
      <c r="Z117" s="15" t="s">
        <v>348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 t="s">
        <v>170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61">
        <v>46052</v>
      </c>
      <c r="BE117" s="61" t="s">
        <v>192</v>
      </c>
      <c r="BF117" s="15" t="s">
        <v>219</v>
      </c>
      <c r="BG117" s="15" t="s">
        <v>219</v>
      </c>
      <c r="BH117" s="15" t="s">
        <v>219</v>
      </c>
      <c r="BI117" s="15" t="s">
        <v>199</v>
      </c>
      <c r="BJ117" s="15"/>
      <c r="BK117" s="15"/>
      <c r="BL117" s="15"/>
      <c r="BM117" s="15"/>
      <c r="BN117" s="15"/>
      <c r="BO117" s="64"/>
      <c r="BP117" s="64">
        <v>46107</v>
      </c>
      <c r="BQ117" s="15"/>
      <c r="BR117" s="15"/>
      <c r="BS117" s="64"/>
      <c r="BT117" s="64">
        <v>46117</v>
      </c>
      <c r="BU117" s="64">
        <v>46188</v>
      </c>
      <c r="BV117" s="15"/>
      <c r="BW117" s="64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15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>
        <v>11</v>
      </c>
      <c r="EH117" s="68">
        <v>14</v>
      </c>
      <c r="EI117" s="68">
        <v>16</v>
      </c>
      <c r="EJ117" s="68">
        <v>16</v>
      </c>
      <c r="EK117" s="68">
        <v>16</v>
      </c>
      <c r="EL117" s="68">
        <v>17</v>
      </c>
      <c r="EM117" s="68"/>
      <c r="EN117" s="68"/>
      <c r="EO117" s="68"/>
      <c r="EP117" s="68"/>
      <c r="EQ117" s="65">
        <f t="shared" ref="EQ117:EQ165" si="22">SUM(BX117:EP117)</f>
        <v>90</v>
      </c>
      <c r="ER117" s="6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 t="s">
        <v>202</v>
      </c>
      <c r="FF117" s="15"/>
      <c r="FG117" s="15"/>
      <c r="FH117" s="1" t="str">
        <f t="shared" si="20"/>
        <v>3229038305024702095352</v>
      </c>
      <c r="FI117" s="1" t="str">
        <f t="shared" si="21"/>
        <v>PRLS/25/13141</v>
      </c>
      <c r="FJ117" s="38" t="e">
        <f>VLOOKUP(FH117,[1]Sheet3!$A:$D,4,0)</f>
        <v>#N/A</v>
      </c>
      <c r="FL117" s="13"/>
    </row>
    <row r="118" spans="1:168" ht="21" hidden="1" x14ac:dyDescent="0.25">
      <c r="A118" s="15" t="s">
        <v>755</v>
      </c>
      <c r="B118" s="15" t="s">
        <v>149</v>
      </c>
      <c r="C118" s="15" t="s">
        <v>660</v>
      </c>
      <c r="D118" s="15" t="s">
        <v>650</v>
      </c>
      <c r="E118" s="15" t="s">
        <v>253</v>
      </c>
      <c r="F118" s="15" t="s">
        <v>254</v>
      </c>
      <c r="G118" s="15" t="s">
        <v>368</v>
      </c>
      <c r="H118" s="15" t="s">
        <v>642</v>
      </c>
      <c r="I118" s="15" t="s">
        <v>717</v>
      </c>
      <c r="J118" s="15" t="s">
        <v>661</v>
      </c>
      <c r="K118" s="15" t="s">
        <v>258</v>
      </c>
      <c r="L118" s="15" t="s">
        <v>247</v>
      </c>
      <c r="M118" s="15" t="s">
        <v>357</v>
      </c>
      <c r="N118" s="63">
        <v>160</v>
      </c>
      <c r="O118" s="15"/>
      <c r="P118" s="15">
        <v>6.48</v>
      </c>
      <c r="Q118" s="15"/>
      <c r="R118" s="15"/>
      <c r="S118" s="15" t="s">
        <v>422</v>
      </c>
      <c r="T118" s="15"/>
      <c r="U118" s="15"/>
      <c r="V118" s="15"/>
      <c r="W118" s="15"/>
      <c r="X118" s="15"/>
      <c r="Y118" s="15" t="s">
        <v>218</v>
      </c>
      <c r="Z118" s="15" t="s">
        <v>348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 t="s">
        <v>952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61">
        <v>46052</v>
      </c>
      <c r="BE118" s="61" t="s">
        <v>192</v>
      </c>
      <c r="BF118" s="15" t="s">
        <v>219</v>
      </c>
      <c r="BG118" s="15"/>
      <c r="BH118" s="15"/>
      <c r="BI118" s="15" t="s">
        <v>199</v>
      </c>
      <c r="BJ118" s="15"/>
      <c r="BK118" s="15"/>
      <c r="BL118" s="15"/>
      <c r="BM118" s="15"/>
      <c r="BN118" s="15"/>
      <c r="BO118" s="64"/>
      <c r="BP118" s="64">
        <v>46135</v>
      </c>
      <c r="BQ118" s="15"/>
      <c r="BR118" s="15"/>
      <c r="BS118" s="64"/>
      <c r="BT118" s="64">
        <v>46145</v>
      </c>
      <c r="BU118" s="64">
        <v>46188</v>
      </c>
      <c r="BV118" s="15"/>
      <c r="BW118" s="64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15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>
        <v>14</v>
      </c>
      <c r="EH118" s="68">
        <v>24</v>
      </c>
      <c r="EI118" s="68">
        <v>29</v>
      </c>
      <c r="EJ118" s="68">
        <v>26</v>
      </c>
      <c r="EK118" s="68">
        <v>29</v>
      </c>
      <c r="EL118" s="68">
        <v>38</v>
      </c>
      <c r="EM118" s="68"/>
      <c r="EN118" s="68"/>
      <c r="EO118" s="68"/>
      <c r="EP118" s="68"/>
      <c r="EQ118" s="65">
        <f t="shared" si="22"/>
        <v>160</v>
      </c>
      <c r="ER118" s="6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 t="s">
        <v>202</v>
      </c>
      <c r="FF118" s="15"/>
      <c r="FG118" s="15"/>
      <c r="FH118" s="1" t="str">
        <f t="shared" si="20"/>
        <v>3229038305004702095353</v>
      </c>
      <c r="FI118" s="1" t="str">
        <f t="shared" si="21"/>
        <v>PRLS/25/13294</v>
      </c>
      <c r="FJ118" s="38" t="e">
        <f>VLOOKUP(FH118,[1]Sheet3!$A:$D,4,0)</f>
        <v>#N/A</v>
      </c>
      <c r="FL118" s="13"/>
    </row>
    <row r="119" spans="1:168" ht="21" hidden="1" x14ac:dyDescent="0.25">
      <c r="A119" s="15" t="s">
        <v>690</v>
      </c>
      <c r="B119" s="15" t="s">
        <v>149</v>
      </c>
      <c r="C119" s="15" t="s">
        <v>660</v>
      </c>
      <c r="D119" s="15" t="s">
        <v>650</v>
      </c>
      <c r="E119" s="15" t="s">
        <v>253</v>
      </c>
      <c r="F119" s="15" t="s">
        <v>254</v>
      </c>
      <c r="G119" s="15" t="s">
        <v>368</v>
      </c>
      <c r="H119" s="15" t="s">
        <v>644</v>
      </c>
      <c r="I119" s="15" t="s">
        <v>717</v>
      </c>
      <c r="J119" s="15" t="s">
        <v>661</v>
      </c>
      <c r="K119" s="15" t="s">
        <v>258</v>
      </c>
      <c r="L119" s="15" t="s">
        <v>247</v>
      </c>
      <c r="M119" s="15" t="s">
        <v>359</v>
      </c>
      <c r="N119" s="63">
        <v>160</v>
      </c>
      <c r="O119" s="15"/>
      <c r="P119" s="15">
        <v>6.48</v>
      </c>
      <c r="Q119" s="15"/>
      <c r="R119" s="15"/>
      <c r="S119" s="15" t="s">
        <v>422</v>
      </c>
      <c r="T119" s="15"/>
      <c r="U119" s="15"/>
      <c r="V119" s="15"/>
      <c r="W119" s="15"/>
      <c r="X119" s="15"/>
      <c r="Y119" s="15" t="s">
        <v>218</v>
      </c>
      <c r="Z119" s="15" t="s">
        <v>348</v>
      </c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 t="s">
        <v>864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61">
        <v>46052</v>
      </c>
      <c r="BE119" s="61" t="s">
        <v>192</v>
      </c>
      <c r="BF119" s="15" t="s">
        <v>219</v>
      </c>
      <c r="BG119" s="15"/>
      <c r="BH119" s="15"/>
      <c r="BI119" s="15" t="s">
        <v>199</v>
      </c>
      <c r="BJ119" s="15"/>
      <c r="BK119" s="15"/>
      <c r="BL119" s="15"/>
      <c r="BM119" s="15"/>
      <c r="BN119" s="15"/>
      <c r="BO119" s="64"/>
      <c r="BP119" s="64">
        <v>46135</v>
      </c>
      <c r="BQ119" s="15"/>
      <c r="BR119" s="15"/>
      <c r="BS119" s="64"/>
      <c r="BT119" s="64">
        <v>46145</v>
      </c>
      <c r="BU119" s="64">
        <v>46188</v>
      </c>
      <c r="BV119" s="15"/>
      <c r="BW119" s="64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15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  <c r="EE119" s="68"/>
      <c r="EF119" s="68"/>
      <c r="EG119" s="68">
        <v>14</v>
      </c>
      <c r="EH119" s="68">
        <v>24</v>
      </c>
      <c r="EI119" s="68">
        <v>29</v>
      </c>
      <c r="EJ119" s="68">
        <v>26</v>
      </c>
      <c r="EK119" s="68">
        <v>29</v>
      </c>
      <c r="EL119" s="68">
        <v>38</v>
      </c>
      <c r="EM119" s="68"/>
      <c r="EN119" s="68"/>
      <c r="EO119" s="68"/>
      <c r="EP119" s="68"/>
      <c r="EQ119" s="65">
        <f t="shared" si="22"/>
        <v>160</v>
      </c>
      <c r="ER119" s="6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 t="s">
        <v>202</v>
      </c>
      <c r="FF119" s="15"/>
      <c r="FG119" s="15"/>
      <c r="FH119" s="1" t="str">
        <f t="shared" si="20"/>
        <v>3229038305024702095353</v>
      </c>
      <c r="FI119" s="1" t="str">
        <f t="shared" si="21"/>
        <v>PRLS/25/13141</v>
      </c>
      <c r="FJ119" s="38" t="e">
        <f>VLOOKUP(FH119,[1]Sheet3!$A:$D,4,0)</f>
        <v>#N/A</v>
      </c>
      <c r="FL119" s="13"/>
    </row>
    <row r="120" spans="1:168" ht="21" hidden="1" x14ac:dyDescent="0.25">
      <c r="A120" s="15" t="s">
        <v>755</v>
      </c>
      <c r="B120" s="15" t="s">
        <v>149</v>
      </c>
      <c r="C120" s="15" t="s">
        <v>660</v>
      </c>
      <c r="D120" s="15" t="s">
        <v>652</v>
      </c>
      <c r="E120" s="15" t="s">
        <v>253</v>
      </c>
      <c r="F120" s="15" t="s">
        <v>254</v>
      </c>
      <c r="G120" s="15" t="s">
        <v>367</v>
      </c>
      <c r="H120" s="15" t="s">
        <v>642</v>
      </c>
      <c r="I120" s="15" t="s">
        <v>717</v>
      </c>
      <c r="J120" s="15" t="s">
        <v>661</v>
      </c>
      <c r="K120" s="15" t="s">
        <v>258</v>
      </c>
      <c r="L120" s="15" t="s">
        <v>247</v>
      </c>
      <c r="M120" s="15" t="s">
        <v>357</v>
      </c>
      <c r="N120" s="63">
        <v>244</v>
      </c>
      <c r="O120" s="15"/>
      <c r="P120" s="15">
        <v>6.48</v>
      </c>
      <c r="Q120" s="15"/>
      <c r="R120" s="15"/>
      <c r="S120" s="15" t="s">
        <v>422</v>
      </c>
      <c r="T120" s="15"/>
      <c r="U120" s="15"/>
      <c r="V120" s="15"/>
      <c r="W120" s="15"/>
      <c r="X120" s="15"/>
      <c r="Y120" s="15" t="s">
        <v>218</v>
      </c>
      <c r="Z120" s="15" t="s">
        <v>348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 t="s">
        <v>952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61">
        <v>46052</v>
      </c>
      <c r="BE120" s="61" t="s">
        <v>192</v>
      </c>
      <c r="BF120" s="15" t="s">
        <v>219</v>
      </c>
      <c r="BG120" s="15"/>
      <c r="BH120" s="15"/>
      <c r="BI120" s="15" t="s">
        <v>199</v>
      </c>
      <c r="BJ120" s="15"/>
      <c r="BK120" s="15"/>
      <c r="BL120" s="15"/>
      <c r="BM120" s="15"/>
      <c r="BN120" s="15"/>
      <c r="BO120" s="64"/>
      <c r="BP120" s="64">
        <v>46135</v>
      </c>
      <c r="BQ120" s="15"/>
      <c r="BR120" s="15"/>
      <c r="BS120" s="64"/>
      <c r="BT120" s="64">
        <v>46145</v>
      </c>
      <c r="BU120" s="64">
        <v>46188</v>
      </c>
      <c r="BV120" s="15"/>
      <c r="BW120" s="64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15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>
        <v>34</v>
      </c>
      <c r="EH120" s="68">
        <v>44</v>
      </c>
      <c r="EI120" s="68">
        <v>39</v>
      </c>
      <c r="EJ120" s="68">
        <v>44</v>
      </c>
      <c r="EK120" s="68">
        <v>37</v>
      </c>
      <c r="EL120" s="68">
        <v>46</v>
      </c>
      <c r="EM120" s="68"/>
      <c r="EN120" s="68"/>
      <c r="EO120" s="68"/>
      <c r="EP120" s="68"/>
      <c r="EQ120" s="65">
        <f t="shared" si="22"/>
        <v>244</v>
      </c>
      <c r="ER120" s="6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 t="s">
        <v>202</v>
      </c>
      <c r="FF120" s="15"/>
      <c r="FG120" s="15"/>
      <c r="FH120" s="1" t="str">
        <f t="shared" si="20"/>
        <v>3229038305004702095354</v>
      </c>
      <c r="FI120" s="1" t="str">
        <f t="shared" si="21"/>
        <v>PRLS/25/13294</v>
      </c>
      <c r="FJ120" s="38" t="e">
        <f>VLOOKUP(FH120,[1]Sheet3!$A:$D,4,0)</f>
        <v>#N/A</v>
      </c>
      <c r="FL120" s="13"/>
    </row>
    <row r="121" spans="1:168" ht="21" hidden="1" x14ac:dyDescent="0.25">
      <c r="A121" s="15" t="s">
        <v>690</v>
      </c>
      <c r="B121" s="15" t="s">
        <v>149</v>
      </c>
      <c r="C121" s="15" t="s">
        <v>660</v>
      </c>
      <c r="D121" s="15" t="s">
        <v>652</v>
      </c>
      <c r="E121" s="15" t="s">
        <v>253</v>
      </c>
      <c r="F121" s="15" t="s">
        <v>254</v>
      </c>
      <c r="G121" s="15" t="s">
        <v>367</v>
      </c>
      <c r="H121" s="15" t="s">
        <v>644</v>
      </c>
      <c r="I121" s="15" t="s">
        <v>717</v>
      </c>
      <c r="J121" s="15" t="s">
        <v>661</v>
      </c>
      <c r="K121" s="15" t="s">
        <v>258</v>
      </c>
      <c r="L121" s="15" t="s">
        <v>247</v>
      </c>
      <c r="M121" s="15" t="s">
        <v>359</v>
      </c>
      <c r="N121" s="63">
        <v>260</v>
      </c>
      <c r="O121" s="15"/>
      <c r="P121" s="15">
        <v>6.48</v>
      </c>
      <c r="Q121" s="15"/>
      <c r="R121" s="15"/>
      <c r="S121" s="15" t="s">
        <v>422</v>
      </c>
      <c r="T121" s="15"/>
      <c r="U121" s="15"/>
      <c r="V121" s="15"/>
      <c r="W121" s="15"/>
      <c r="X121" s="15"/>
      <c r="Y121" s="15" t="s">
        <v>218</v>
      </c>
      <c r="Z121" s="15" t="s">
        <v>348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 t="s">
        <v>864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61">
        <v>46052</v>
      </c>
      <c r="BE121" s="61" t="s">
        <v>192</v>
      </c>
      <c r="BF121" s="15" t="s">
        <v>219</v>
      </c>
      <c r="BG121" s="15"/>
      <c r="BH121" s="15"/>
      <c r="BI121" s="15" t="s">
        <v>199</v>
      </c>
      <c r="BJ121" s="15"/>
      <c r="BK121" s="15"/>
      <c r="BL121" s="15"/>
      <c r="BM121" s="15"/>
      <c r="BN121" s="15"/>
      <c r="BO121" s="64"/>
      <c r="BP121" s="64">
        <v>46135</v>
      </c>
      <c r="BQ121" s="15"/>
      <c r="BR121" s="15"/>
      <c r="BS121" s="64"/>
      <c r="BT121" s="64">
        <v>46145</v>
      </c>
      <c r="BU121" s="64">
        <v>46188</v>
      </c>
      <c r="BV121" s="15"/>
      <c r="BW121" s="64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15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>
        <v>36</v>
      </c>
      <c r="EH121" s="68">
        <v>47</v>
      </c>
      <c r="EI121" s="68">
        <v>42</v>
      </c>
      <c r="EJ121" s="68">
        <v>47</v>
      </c>
      <c r="EK121" s="68">
        <v>39</v>
      </c>
      <c r="EL121" s="68">
        <v>49</v>
      </c>
      <c r="EM121" s="68"/>
      <c r="EN121" s="68"/>
      <c r="EO121" s="68"/>
      <c r="EP121" s="68"/>
      <c r="EQ121" s="65">
        <f t="shared" si="22"/>
        <v>260</v>
      </c>
      <c r="ER121" s="6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 t="s">
        <v>202</v>
      </c>
      <c r="FF121" s="15"/>
      <c r="FG121" s="15"/>
      <c r="FH121" s="1" t="str">
        <f t="shared" si="20"/>
        <v>3229038305024702095354</v>
      </c>
      <c r="FI121" s="1" t="str">
        <f t="shared" si="21"/>
        <v>PRLS/25/13141</v>
      </c>
      <c r="FJ121" s="38" t="e">
        <f>VLOOKUP(FH121,[1]Sheet3!$A:$D,4,0)</f>
        <v>#N/A</v>
      </c>
      <c r="FL121" s="13"/>
    </row>
    <row r="122" spans="1:168" ht="21" hidden="1" x14ac:dyDescent="0.25">
      <c r="A122" s="15" t="s">
        <v>755</v>
      </c>
      <c r="B122" s="15" t="s">
        <v>149</v>
      </c>
      <c r="C122" s="15" t="s">
        <v>660</v>
      </c>
      <c r="D122" s="15" t="s">
        <v>651</v>
      </c>
      <c r="E122" s="15" t="s">
        <v>227</v>
      </c>
      <c r="F122" s="15" t="s">
        <v>228</v>
      </c>
      <c r="G122" s="15" t="s">
        <v>366</v>
      </c>
      <c r="H122" s="15" t="s">
        <v>642</v>
      </c>
      <c r="I122" s="15" t="s">
        <v>717</v>
      </c>
      <c r="J122" s="15" t="s">
        <v>661</v>
      </c>
      <c r="K122" s="15" t="s">
        <v>258</v>
      </c>
      <c r="L122" s="15" t="s">
        <v>247</v>
      </c>
      <c r="M122" s="15" t="s">
        <v>357</v>
      </c>
      <c r="N122" s="63">
        <v>110</v>
      </c>
      <c r="O122" s="15"/>
      <c r="P122" s="15">
        <v>6.48</v>
      </c>
      <c r="Q122" s="15"/>
      <c r="R122" s="15"/>
      <c r="S122" s="15" t="s">
        <v>422</v>
      </c>
      <c r="T122" s="15"/>
      <c r="U122" s="15"/>
      <c r="V122" s="15"/>
      <c r="W122" s="15"/>
      <c r="X122" s="15"/>
      <c r="Y122" s="15" t="s">
        <v>218</v>
      </c>
      <c r="Z122" s="15" t="s">
        <v>348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 t="s">
        <v>952</v>
      </c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61">
        <v>46052</v>
      </c>
      <c r="BE122" s="61" t="s">
        <v>192</v>
      </c>
      <c r="BF122" s="15" t="s">
        <v>219</v>
      </c>
      <c r="BG122" s="15"/>
      <c r="BH122" s="15"/>
      <c r="BI122" s="15" t="s">
        <v>199</v>
      </c>
      <c r="BJ122" s="15"/>
      <c r="BK122" s="15"/>
      <c r="BL122" s="15"/>
      <c r="BM122" s="15"/>
      <c r="BN122" s="15"/>
      <c r="BO122" s="64"/>
      <c r="BP122" s="64">
        <v>46135</v>
      </c>
      <c r="BQ122" s="15"/>
      <c r="BR122" s="15"/>
      <c r="BS122" s="64"/>
      <c r="BT122" s="64">
        <v>46145</v>
      </c>
      <c r="BU122" s="64">
        <v>46188</v>
      </c>
      <c r="BV122" s="15"/>
      <c r="BW122" s="64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15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>
        <v>12</v>
      </c>
      <c r="EH122" s="68">
        <v>20</v>
      </c>
      <c r="EI122" s="68">
        <v>20</v>
      </c>
      <c r="EJ122" s="68">
        <v>18</v>
      </c>
      <c r="EK122" s="68">
        <v>19</v>
      </c>
      <c r="EL122" s="68">
        <v>21</v>
      </c>
      <c r="EM122" s="68"/>
      <c r="EN122" s="68"/>
      <c r="EO122" s="68"/>
      <c r="EP122" s="68"/>
      <c r="EQ122" s="65">
        <f t="shared" si="22"/>
        <v>110</v>
      </c>
      <c r="ER122" s="6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 t="s">
        <v>202</v>
      </c>
      <c r="FF122" s="15"/>
      <c r="FG122" s="15"/>
      <c r="FH122" s="1" t="str">
        <f t="shared" si="20"/>
        <v>3229038305004702095355</v>
      </c>
      <c r="FI122" s="1" t="str">
        <f t="shared" si="21"/>
        <v>PRLS/25/13294</v>
      </c>
      <c r="FJ122" s="38" t="e">
        <f>VLOOKUP(FH122,[1]Sheet3!$A:$D,4,0)</f>
        <v>#N/A</v>
      </c>
      <c r="FL122" s="13"/>
    </row>
    <row r="123" spans="1:168" ht="21" hidden="1" x14ac:dyDescent="0.25">
      <c r="A123" s="15" t="s">
        <v>690</v>
      </c>
      <c r="B123" s="15" t="s">
        <v>149</v>
      </c>
      <c r="C123" s="15" t="s">
        <v>660</v>
      </c>
      <c r="D123" s="15" t="s">
        <v>651</v>
      </c>
      <c r="E123" s="15" t="s">
        <v>227</v>
      </c>
      <c r="F123" s="15" t="s">
        <v>228</v>
      </c>
      <c r="G123" s="15" t="s">
        <v>366</v>
      </c>
      <c r="H123" s="15" t="s">
        <v>644</v>
      </c>
      <c r="I123" s="15" t="s">
        <v>717</v>
      </c>
      <c r="J123" s="15" t="s">
        <v>661</v>
      </c>
      <c r="K123" s="15" t="s">
        <v>258</v>
      </c>
      <c r="L123" s="15" t="s">
        <v>247</v>
      </c>
      <c r="M123" s="15" t="s">
        <v>359</v>
      </c>
      <c r="N123" s="63">
        <v>110</v>
      </c>
      <c r="O123" s="15"/>
      <c r="P123" s="15">
        <v>6.48</v>
      </c>
      <c r="Q123" s="15"/>
      <c r="R123" s="15"/>
      <c r="S123" s="15" t="s">
        <v>422</v>
      </c>
      <c r="T123" s="15"/>
      <c r="U123" s="15"/>
      <c r="V123" s="15"/>
      <c r="W123" s="15"/>
      <c r="X123" s="15"/>
      <c r="Y123" s="15" t="s">
        <v>218</v>
      </c>
      <c r="Z123" s="15" t="s">
        <v>348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 t="s">
        <v>864</v>
      </c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61">
        <v>46052</v>
      </c>
      <c r="BE123" s="61" t="s">
        <v>192</v>
      </c>
      <c r="BF123" s="15" t="s">
        <v>219</v>
      </c>
      <c r="BG123" s="15"/>
      <c r="BH123" s="15"/>
      <c r="BI123" s="15" t="s">
        <v>199</v>
      </c>
      <c r="BJ123" s="15"/>
      <c r="BK123" s="15"/>
      <c r="BL123" s="15"/>
      <c r="BM123" s="15"/>
      <c r="BN123" s="15"/>
      <c r="BO123" s="64"/>
      <c r="BP123" s="64">
        <v>46135</v>
      </c>
      <c r="BQ123" s="15"/>
      <c r="BR123" s="15"/>
      <c r="BS123" s="64"/>
      <c r="BT123" s="64">
        <v>46145</v>
      </c>
      <c r="BU123" s="64">
        <v>46188</v>
      </c>
      <c r="BV123" s="15"/>
      <c r="BW123" s="64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15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>
        <v>12</v>
      </c>
      <c r="EH123" s="68">
        <v>20</v>
      </c>
      <c r="EI123" s="68">
        <v>20</v>
      </c>
      <c r="EJ123" s="68">
        <v>18</v>
      </c>
      <c r="EK123" s="68">
        <v>19</v>
      </c>
      <c r="EL123" s="68">
        <v>21</v>
      </c>
      <c r="EM123" s="68"/>
      <c r="EN123" s="68"/>
      <c r="EO123" s="68"/>
      <c r="EP123" s="68"/>
      <c r="EQ123" s="65">
        <f t="shared" si="22"/>
        <v>110</v>
      </c>
      <c r="ER123" s="6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 t="s">
        <v>202</v>
      </c>
      <c r="FF123" s="15"/>
      <c r="FG123" s="15"/>
      <c r="FH123" s="1" t="str">
        <f t="shared" si="20"/>
        <v>3229038305024702095355</v>
      </c>
      <c r="FI123" s="1" t="str">
        <f t="shared" si="21"/>
        <v>PRLS/25/13141</v>
      </c>
      <c r="FJ123" s="38" t="e">
        <f>VLOOKUP(FH123,[1]Sheet3!$A:$D,4,0)</f>
        <v>#N/A</v>
      </c>
      <c r="FL123" s="13"/>
    </row>
    <row r="124" spans="1:168" ht="21" hidden="1" x14ac:dyDescent="0.25">
      <c r="A124" s="15" t="s">
        <v>755</v>
      </c>
      <c r="B124" s="15" t="s">
        <v>149</v>
      </c>
      <c r="C124" s="15" t="s">
        <v>660</v>
      </c>
      <c r="D124" s="15" t="s">
        <v>656</v>
      </c>
      <c r="E124" s="15" t="s">
        <v>237</v>
      </c>
      <c r="F124" s="15" t="s">
        <v>238</v>
      </c>
      <c r="G124" s="15" t="s">
        <v>365</v>
      </c>
      <c r="H124" s="15" t="s">
        <v>642</v>
      </c>
      <c r="I124" s="15" t="s">
        <v>717</v>
      </c>
      <c r="J124" s="15" t="s">
        <v>661</v>
      </c>
      <c r="K124" s="15" t="s">
        <v>258</v>
      </c>
      <c r="L124" s="15" t="s">
        <v>247</v>
      </c>
      <c r="M124" s="15" t="s">
        <v>357</v>
      </c>
      <c r="N124" s="63">
        <v>260</v>
      </c>
      <c r="O124" s="15"/>
      <c r="P124" s="15">
        <v>6.48</v>
      </c>
      <c r="Q124" s="15"/>
      <c r="R124" s="15"/>
      <c r="S124" s="15" t="s">
        <v>422</v>
      </c>
      <c r="T124" s="15"/>
      <c r="U124" s="15"/>
      <c r="V124" s="15"/>
      <c r="W124" s="15"/>
      <c r="X124" s="15"/>
      <c r="Y124" s="15" t="s">
        <v>218</v>
      </c>
      <c r="Z124" s="15" t="s">
        <v>348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 t="s">
        <v>439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61">
        <v>46052</v>
      </c>
      <c r="BE124" s="61" t="s">
        <v>192</v>
      </c>
      <c r="BF124" s="15" t="s">
        <v>219</v>
      </c>
      <c r="BG124" s="15" t="s">
        <v>199</v>
      </c>
      <c r="BH124" s="15" t="s">
        <v>199</v>
      </c>
      <c r="BI124" s="15" t="s">
        <v>199</v>
      </c>
      <c r="BJ124" s="15"/>
      <c r="BK124" s="15"/>
      <c r="BL124" s="15"/>
      <c r="BM124" s="15"/>
      <c r="BN124" s="15"/>
      <c r="BO124" s="64"/>
      <c r="BP124" s="64">
        <v>46128</v>
      </c>
      <c r="BQ124" s="15"/>
      <c r="BR124" s="15"/>
      <c r="BS124" s="64"/>
      <c r="BT124" s="64">
        <v>46138</v>
      </c>
      <c r="BU124" s="64">
        <v>46188</v>
      </c>
      <c r="BV124" s="15"/>
      <c r="BW124" s="64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15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  <c r="EE124" s="68"/>
      <c r="EF124" s="68"/>
      <c r="EG124" s="68">
        <v>47</v>
      </c>
      <c r="EH124" s="68">
        <v>49</v>
      </c>
      <c r="EI124" s="68">
        <v>44</v>
      </c>
      <c r="EJ124" s="68">
        <v>31</v>
      </c>
      <c r="EK124" s="68">
        <v>42</v>
      </c>
      <c r="EL124" s="68">
        <v>47</v>
      </c>
      <c r="EM124" s="68"/>
      <c r="EN124" s="68"/>
      <c r="EO124" s="68"/>
      <c r="EP124" s="68"/>
      <c r="EQ124" s="65">
        <f t="shared" si="22"/>
        <v>260</v>
      </c>
      <c r="ER124" s="6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 t="s">
        <v>202</v>
      </c>
      <c r="FF124" s="15"/>
      <c r="FG124" s="15"/>
      <c r="FH124" s="1" t="str">
        <f t="shared" si="20"/>
        <v>3229038305004702095356</v>
      </c>
      <c r="FI124" s="1" t="str">
        <f t="shared" si="21"/>
        <v>PRLS/25/13294</v>
      </c>
      <c r="FJ124" s="38" t="e">
        <f>VLOOKUP(FH124,[1]Sheet3!$A:$D,4,0)</f>
        <v>#N/A</v>
      </c>
      <c r="FL124" s="13"/>
    </row>
    <row r="125" spans="1:168" ht="21" hidden="1" x14ac:dyDescent="0.25">
      <c r="A125" s="15" t="s">
        <v>690</v>
      </c>
      <c r="B125" s="15" t="s">
        <v>149</v>
      </c>
      <c r="C125" s="15" t="s">
        <v>660</v>
      </c>
      <c r="D125" s="15" t="s">
        <v>656</v>
      </c>
      <c r="E125" s="15" t="s">
        <v>237</v>
      </c>
      <c r="F125" s="15" t="s">
        <v>238</v>
      </c>
      <c r="G125" s="15" t="s">
        <v>365</v>
      </c>
      <c r="H125" s="15" t="s">
        <v>644</v>
      </c>
      <c r="I125" s="15" t="s">
        <v>717</v>
      </c>
      <c r="J125" s="15" t="s">
        <v>661</v>
      </c>
      <c r="K125" s="15" t="s">
        <v>258</v>
      </c>
      <c r="L125" s="15" t="s">
        <v>247</v>
      </c>
      <c r="M125" s="15" t="s">
        <v>359</v>
      </c>
      <c r="N125" s="63">
        <v>280</v>
      </c>
      <c r="O125" s="15"/>
      <c r="P125" s="15">
        <v>6.48</v>
      </c>
      <c r="Q125" s="15"/>
      <c r="R125" s="15"/>
      <c r="S125" s="15" t="s">
        <v>422</v>
      </c>
      <c r="T125" s="15"/>
      <c r="U125" s="15"/>
      <c r="V125" s="15"/>
      <c r="W125" s="15"/>
      <c r="X125" s="15"/>
      <c r="Y125" s="15" t="s">
        <v>218</v>
      </c>
      <c r="Z125" s="15" t="s">
        <v>348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 t="s">
        <v>439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61">
        <v>46052</v>
      </c>
      <c r="BE125" s="61" t="s">
        <v>192</v>
      </c>
      <c r="BF125" s="15" t="s">
        <v>219</v>
      </c>
      <c r="BG125" s="15" t="s">
        <v>199</v>
      </c>
      <c r="BH125" s="15" t="s">
        <v>199</v>
      </c>
      <c r="BI125" s="15" t="s">
        <v>199</v>
      </c>
      <c r="BJ125" s="15"/>
      <c r="BK125" s="15"/>
      <c r="BL125" s="15"/>
      <c r="BM125" s="15"/>
      <c r="BN125" s="15"/>
      <c r="BO125" s="64"/>
      <c r="BP125" s="64">
        <v>46128</v>
      </c>
      <c r="BQ125" s="15"/>
      <c r="BR125" s="15"/>
      <c r="BS125" s="64"/>
      <c r="BT125" s="64">
        <v>46138</v>
      </c>
      <c r="BU125" s="64">
        <v>46188</v>
      </c>
      <c r="BV125" s="15"/>
      <c r="BW125" s="64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15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  <c r="EE125" s="68"/>
      <c r="EF125" s="68"/>
      <c r="EG125" s="68">
        <v>50</v>
      </c>
      <c r="EH125" s="68">
        <v>53</v>
      </c>
      <c r="EI125" s="68">
        <v>48</v>
      </c>
      <c r="EJ125" s="68">
        <v>34</v>
      </c>
      <c r="EK125" s="68">
        <v>45</v>
      </c>
      <c r="EL125" s="68">
        <v>50</v>
      </c>
      <c r="EM125" s="68"/>
      <c r="EN125" s="68"/>
      <c r="EO125" s="68"/>
      <c r="EP125" s="68"/>
      <c r="EQ125" s="65">
        <f t="shared" si="22"/>
        <v>280</v>
      </c>
      <c r="ER125" s="6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 t="s">
        <v>202</v>
      </c>
      <c r="FF125" s="15"/>
      <c r="FG125" s="15"/>
      <c r="FH125" s="1" t="str">
        <f t="shared" si="20"/>
        <v>3229038305024702095356</v>
      </c>
      <c r="FI125" s="1" t="str">
        <f t="shared" si="21"/>
        <v>PRLS/25/13141</v>
      </c>
      <c r="FJ125" s="38" t="e">
        <f>VLOOKUP(FH125,[1]Sheet3!$A:$D,4,0)</f>
        <v>#N/A</v>
      </c>
      <c r="FL125" s="13"/>
    </row>
    <row r="126" spans="1:168" ht="21" hidden="1" x14ac:dyDescent="0.25">
      <c r="A126" s="15" t="s">
        <v>756</v>
      </c>
      <c r="B126" s="15" t="s">
        <v>149</v>
      </c>
      <c r="C126" s="15" t="s">
        <v>660</v>
      </c>
      <c r="D126" s="15" t="s">
        <v>649</v>
      </c>
      <c r="E126" s="15" t="s">
        <v>151</v>
      </c>
      <c r="F126" s="15" t="s">
        <v>469</v>
      </c>
      <c r="G126" s="15" t="s">
        <v>321</v>
      </c>
      <c r="H126" s="15" t="s">
        <v>645</v>
      </c>
      <c r="I126" s="15" t="s">
        <v>718</v>
      </c>
      <c r="J126" s="15" t="s">
        <v>661</v>
      </c>
      <c r="K126" s="15" t="s">
        <v>258</v>
      </c>
      <c r="L126" s="15" t="s">
        <v>247</v>
      </c>
      <c r="M126" s="15" t="s">
        <v>357</v>
      </c>
      <c r="N126" s="63">
        <v>296</v>
      </c>
      <c r="O126" s="15"/>
      <c r="P126" s="15">
        <v>7.66</v>
      </c>
      <c r="Q126" s="15"/>
      <c r="R126" s="15"/>
      <c r="S126" s="15" t="s">
        <v>422</v>
      </c>
      <c r="T126" s="15"/>
      <c r="U126" s="15"/>
      <c r="V126" s="15"/>
      <c r="W126" s="15"/>
      <c r="X126" s="15"/>
      <c r="Y126" s="15" t="s">
        <v>218</v>
      </c>
      <c r="Z126" s="15" t="s">
        <v>348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 t="s">
        <v>439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61">
        <v>46052</v>
      </c>
      <c r="BE126" s="61" t="s">
        <v>192</v>
      </c>
      <c r="BF126" s="15" t="s">
        <v>219</v>
      </c>
      <c r="BG126" s="15" t="s">
        <v>219</v>
      </c>
      <c r="BH126" s="15" t="s">
        <v>219</v>
      </c>
      <c r="BI126" s="15" t="s">
        <v>199</v>
      </c>
      <c r="BJ126" s="15"/>
      <c r="BK126" s="15"/>
      <c r="BL126" s="15"/>
      <c r="BM126" s="15"/>
      <c r="BN126" s="15"/>
      <c r="BO126" s="64"/>
      <c r="BP126" s="64">
        <v>46114</v>
      </c>
      <c r="BQ126" s="15"/>
      <c r="BR126" s="15"/>
      <c r="BS126" s="64"/>
      <c r="BT126" s="64">
        <v>46124</v>
      </c>
      <c r="BU126" s="64">
        <v>46188</v>
      </c>
      <c r="BV126" s="15"/>
      <c r="BW126" s="64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15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  <c r="EE126" s="68"/>
      <c r="EF126" s="68"/>
      <c r="EG126" s="68"/>
      <c r="EH126" s="68"/>
      <c r="EI126" s="68"/>
      <c r="EJ126" s="68"/>
      <c r="EK126" s="68"/>
      <c r="EL126" s="68"/>
      <c r="EM126" s="68">
        <v>48</v>
      </c>
      <c r="EN126" s="68">
        <v>68</v>
      </c>
      <c r="EO126" s="68">
        <v>93</v>
      </c>
      <c r="EP126" s="68">
        <v>87</v>
      </c>
      <c r="EQ126" s="65">
        <f t="shared" si="22"/>
        <v>296</v>
      </c>
      <c r="ER126" s="6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 t="s">
        <v>202</v>
      </c>
      <c r="FF126" s="15"/>
      <c r="FG126" s="15"/>
      <c r="FH126" s="1" t="str">
        <f t="shared" si="20"/>
        <v>3239038305004702095358</v>
      </c>
      <c r="FI126" s="1" t="str">
        <f t="shared" si="21"/>
        <v>PRLS/25/13295</v>
      </c>
      <c r="FJ126" s="38" t="e">
        <f>VLOOKUP(FH126,[1]Sheet3!$A:$D,4,0)</f>
        <v>#N/A</v>
      </c>
      <c r="FL126" s="13"/>
    </row>
    <row r="127" spans="1:168" ht="21" hidden="1" x14ac:dyDescent="0.25">
      <c r="A127" s="15" t="s">
        <v>694</v>
      </c>
      <c r="B127" s="15" t="s">
        <v>149</v>
      </c>
      <c r="C127" s="15" t="s">
        <v>660</v>
      </c>
      <c r="D127" s="15" t="s">
        <v>649</v>
      </c>
      <c r="E127" s="15" t="s">
        <v>151</v>
      </c>
      <c r="F127" s="15" t="s">
        <v>469</v>
      </c>
      <c r="G127" s="15" t="s">
        <v>321</v>
      </c>
      <c r="H127" s="15" t="s">
        <v>646</v>
      </c>
      <c r="I127" s="15" t="s">
        <v>718</v>
      </c>
      <c r="J127" s="15" t="s">
        <v>661</v>
      </c>
      <c r="K127" s="15" t="s">
        <v>258</v>
      </c>
      <c r="L127" s="15" t="s">
        <v>247</v>
      </c>
      <c r="M127" s="15" t="s">
        <v>359</v>
      </c>
      <c r="N127" s="63">
        <v>550</v>
      </c>
      <c r="O127" s="15"/>
      <c r="P127" s="15">
        <v>7.66</v>
      </c>
      <c r="Q127" s="15"/>
      <c r="R127" s="15"/>
      <c r="S127" s="15" t="s">
        <v>422</v>
      </c>
      <c r="T127" s="15"/>
      <c r="U127" s="15"/>
      <c r="V127" s="15"/>
      <c r="W127" s="15"/>
      <c r="X127" s="15"/>
      <c r="Y127" s="15" t="s">
        <v>218</v>
      </c>
      <c r="Z127" s="15" t="s">
        <v>348</v>
      </c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 t="s">
        <v>439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61">
        <v>46052</v>
      </c>
      <c r="BE127" s="61" t="s">
        <v>192</v>
      </c>
      <c r="BF127" s="15" t="s">
        <v>219</v>
      </c>
      <c r="BG127" s="15" t="s">
        <v>219</v>
      </c>
      <c r="BH127" s="15" t="s">
        <v>219</v>
      </c>
      <c r="BI127" s="15" t="s">
        <v>199</v>
      </c>
      <c r="BJ127" s="15"/>
      <c r="BK127" s="15"/>
      <c r="BL127" s="15"/>
      <c r="BM127" s="15"/>
      <c r="BN127" s="15"/>
      <c r="BO127" s="64"/>
      <c r="BP127" s="64">
        <v>46114</v>
      </c>
      <c r="BQ127" s="15"/>
      <c r="BR127" s="15"/>
      <c r="BS127" s="64"/>
      <c r="BT127" s="64">
        <v>46124</v>
      </c>
      <c r="BU127" s="64">
        <v>46188</v>
      </c>
      <c r="BV127" s="15"/>
      <c r="BW127" s="64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15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  <c r="EE127" s="68"/>
      <c r="EF127" s="68"/>
      <c r="EG127" s="68"/>
      <c r="EH127" s="68"/>
      <c r="EI127" s="68"/>
      <c r="EJ127" s="68"/>
      <c r="EK127" s="68"/>
      <c r="EL127" s="68"/>
      <c r="EM127" s="68">
        <v>82</v>
      </c>
      <c r="EN127" s="68">
        <v>117</v>
      </c>
      <c r="EO127" s="68">
        <v>174</v>
      </c>
      <c r="EP127" s="68">
        <v>177</v>
      </c>
      <c r="EQ127" s="65">
        <f t="shared" si="22"/>
        <v>550</v>
      </c>
      <c r="ER127" s="6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 t="s">
        <v>202</v>
      </c>
      <c r="FF127" s="15"/>
      <c r="FG127" s="15"/>
      <c r="FH127" s="1" t="str">
        <f t="shared" si="20"/>
        <v>3239038305014702095358</v>
      </c>
      <c r="FI127" s="1" t="str">
        <f t="shared" si="21"/>
        <v>PRLS/25/13139</v>
      </c>
      <c r="FJ127" s="38" t="e">
        <f>VLOOKUP(FH127,[1]Sheet3!$A:$D,4,0)</f>
        <v>#N/A</v>
      </c>
      <c r="FL127" s="13"/>
    </row>
    <row r="128" spans="1:168" ht="21" hidden="1" x14ac:dyDescent="0.25">
      <c r="A128" s="15" t="s">
        <v>695</v>
      </c>
      <c r="B128" s="15" t="s">
        <v>149</v>
      </c>
      <c r="C128" s="15" t="s">
        <v>660</v>
      </c>
      <c r="D128" s="15" t="s">
        <v>649</v>
      </c>
      <c r="E128" s="15" t="s">
        <v>151</v>
      </c>
      <c r="F128" s="15" t="s">
        <v>469</v>
      </c>
      <c r="G128" s="15" t="s">
        <v>321</v>
      </c>
      <c r="H128" s="15" t="s">
        <v>647</v>
      </c>
      <c r="I128" s="15" t="s">
        <v>718</v>
      </c>
      <c r="J128" s="15" t="s">
        <v>661</v>
      </c>
      <c r="K128" s="15" t="s">
        <v>258</v>
      </c>
      <c r="L128" s="15" t="s">
        <v>247</v>
      </c>
      <c r="M128" s="15" t="s">
        <v>358</v>
      </c>
      <c r="N128" s="63">
        <v>300</v>
      </c>
      <c r="O128" s="15"/>
      <c r="P128" s="15">
        <v>7.66</v>
      </c>
      <c r="Q128" s="15"/>
      <c r="R128" s="15"/>
      <c r="S128" s="15" t="s">
        <v>422</v>
      </c>
      <c r="T128" s="15"/>
      <c r="U128" s="15"/>
      <c r="V128" s="15"/>
      <c r="W128" s="15"/>
      <c r="X128" s="15"/>
      <c r="Y128" s="15" t="s">
        <v>218</v>
      </c>
      <c r="Z128" s="15" t="s">
        <v>348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 t="s">
        <v>439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61">
        <v>46052</v>
      </c>
      <c r="BE128" s="61" t="s">
        <v>192</v>
      </c>
      <c r="BF128" s="15" t="s">
        <v>219</v>
      </c>
      <c r="BG128" s="15" t="s">
        <v>219</v>
      </c>
      <c r="BH128" s="15" t="s">
        <v>219</v>
      </c>
      <c r="BI128" s="15" t="s">
        <v>199</v>
      </c>
      <c r="BJ128" s="15"/>
      <c r="BK128" s="15"/>
      <c r="BL128" s="15"/>
      <c r="BM128" s="15"/>
      <c r="BN128" s="15"/>
      <c r="BO128" s="64"/>
      <c r="BP128" s="64">
        <v>46114</v>
      </c>
      <c r="BQ128" s="15"/>
      <c r="BR128" s="15"/>
      <c r="BS128" s="64"/>
      <c r="BT128" s="64">
        <v>46124</v>
      </c>
      <c r="BU128" s="64">
        <v>46188</v>
      </c>
      <c r="BV128" s="15"/>
      <c r="BW128" s="64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15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  <c r="EE128" s="68"/>
      <c r="EF128" s="68"/>
      <c r="EG128" s="68"/>
      <c r="EH128" s="68"/>
      <c r="EI128" s="68"/>
      <c r="EJ128" s="68"/>
      <c r="EK128" s="68"/>
      <c r="EL128" s="68"/>
      <c r="EM128" s="68">
        <v>47</v>
      </c>
      <c r="EN128" s="68">
        <v>66</v>
      </c>
      <c r="EO128" s="68">
        <v>96</v>
      </c>
      <c r="EP128" s="68">
        <v>91</v>
      </c>
      <c r="EQ128" s="65">
        <f t="shared" si="22"/>
        <v>300</v>
      </c>
      <c r="ER128" s="6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 t="s">
        <v>202</v>
      </c>
      <c r="FF128" s="15"/>
      <c r="FG128" s="15"/>
      <c r="FH128" s="1" t="str">
        <f t="shared" si="20"/>
        <v>3239038305024702095358</v>
      </c>
      <c r="FI128" s="1" t="str">
        <f t="shared" si="21"/>
        <v>PRLS/25/13142</v>
      </c>
      <c r="FJ128" s="38" t="e">
        <f>VLOOKUP(FH128,[1]Sheet3!$A:$D,4,0)</f>
        <v>#N/A</v>
      </c>
      <c r="FL128" s="13"/>
    </row>
    <row r="129" spans="1:168" ht="21" hidden="1" x14ac:dyDescent="0.25">
      <c r="A129" s="15" t="s">
        <v>694</v>
      </c>
      <c r="B129" s="15" t="s">
        <v>149</v>
      </c>
      <c r="C129" s="15" t="s">
        <v>660</v>
      </c>
      <c r="D129" s="15" t="s">
        <v>659</v>
      </c>
      <c r="E129" s="15" t="s">
        <v>259</v>
      </c>
      <c r="F129" s="15" t="s">
        <v>260</v>
      </c>
      <c r="G129" s="15" t="s">
        <v>321</v>
      </c>
      <c r="H129" s="15" t="s">
        <v>646</v>
      </c>
      <c r="I129" s="15" t="s">
        <v>718</v>
      </c>
      <c r="J129" s="15" t="s">
        <v>661</v>
      </c>
      <c r="K129" s="15" t="s">
        <v>258</v>
      </c>
      <c r="L129" s="15" t="s">
        <v>247</v>
      </c>
      <c r="M129" s="15" t="s">
        <v>359</v>
      </c>
      <c r="N129" s="63">
        <v>101</v>
      </c>
      <c r="O129" s="15"/>
      <c r="P129" s="15">
        <v>7.66</v>
      </c>
      <c r="Q129" s="15"/>
      <c r="R129" s="15"/>
      <c r="S129" s="15" t="s">
        <v>422</v>
      </c>
      <c r="T129" s="15"/>
      <c r="U129" s="15"/>
      <c r="V129" s="15"/>
      <c r="W129" s="15"/>
      <c r="X129" s="15"/>
      <c r="Y129" s="15" t="s">
        <v>218</v>
      </c>
      <c r="Z129" s="15" t="s">
        <v>348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 t="s">
        <v>170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61">
        <v>46052</v>
      </c>
      <c r="BE129" s="61" t="s">
        <v>192</v>
      </c>
      <c r="BF129" s="15" t="s">
        <v>219</v>
      </c>
      <c r="BG129" s="15" t="s">
        <v>219</v>
      </c>
      <c r="BH129" s="15" t="s">
        <v>219</v>
      </c>
      <c r="BI129" s="15" t="s">
        <v>199</v>
      </c>
      <c r="BJ129" s="15"/>
      <c r="BK129" s="15"/>
      <c r="BL129" s="15"/>
      <c r="BM129" s="15"/>
      <c r="BN129" s="15"/>
      <c r="BO129" s="64"/>
      <c r="BP129" s="64">
        <v>46107</v>
      </c>
      <c r="BQ129" s="15"/>
      <c r="BR129" s="15"/>
      <c r="BS129" s="64"/>
      <c r="BT129" s="64">
        <v>46117</v>
      </c>
      <c r="BU129" s="64">
        <v>46188</v>
      </c>
      <c r="BV129" s="15"/>
      <c r="BW129" s="64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15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  <c r="EE129" s="68"/>
      <c r="EF129" s="68"/>
      <c r="EG129" s="68"/>
      <c r="EH129" s="68"/>
      <c r="EI129" s="68"/>
      <c r="EJ129" s="68"/>
      <c r="EK129" s="68"/>
      <c r="EL129" s="68"/>
      <c r="EM129" s="68">
        <v>14</v>
      </c>
      <c r="EN129" s="68">
        <v>22</v>
      </c>
      <c r="EO129" s="68">
        <v>35</v>
      </c>
      <c r="EP129" s="68">
        <v>30</v>
      </c>
      <c r="EQ129" s="65">
        <f t="shared" si="22"/>
        <v>101</v>
      </c>
      <c r="ER129" s="6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 t="s">
        <v>202</v>
      </c>
      <c r="FF129" s="15"/>
      <c r="FG129" s="15"/>
      <c r="FH129" s="1" t="str">
        <f t="shared" si="20"/>
        <v>3239038305014702095361</v>
      </c>
      <c r="FI129" s="1" t="str">
        <f t="shared" si="21"/>
        <v>PRLS/25/13139</v>
      </c>
      <c r="FJ129" s="38" t="e">
        <f>VLOOKUP(FH129,[1]Sheet3!$A:$D,4,0)</f>
        <v>#N/A</v>
      </c>
      <c r="FL129" s="13"/>
    </row>
    <row r="130" spans="1:168" ht="21" hidden="1" x14ac:dyDescent="0.25">
      <c r="A130" s="15" t="s">
        <v>756</v>
      </c>
      <c r="B130" s="15" t="s">
        <v>149</v>
      </c>
      <c r="C130" s="15" t="s">
        <v>660</v>
      </c>
      <c r="D130" s="15" t="s">
        <v>654</v>
      </c>
      <c r="E130" s="15" t="s">
        <v>253</v>
      </c>
      <c r="F130" s="15" t="s">
        <v>254</v>
      </c>
      <c r="G130" s="15" t="s">
        <v>368</v>
      </c>
      <c r="H130" s="15" t="s">
        <v>645</v>
      </c>
      <c r="I130" s="15" t="s">
        <v>718</v>
      </c>
      <c r="J130" s="15" t="s">
        <v>661</v>
      </c>
      <c r="K130" s="15" t="s">
        <v>258</v>
      </c>
      <c r="L130" s="15" t="s">
        <v>247</v>
      </c>
      <c r="M130" s="15" t="s">
        <v>357</v>
      </c>
      <c r="N130" s="63">
        <v>224</v>
      </c>
      <c r="O130" s="15"/>
      <c r="P130" s="15">
        <v>7.66</v>
      </c>
      <c r="Q130" s="15"/>
      <c r="R130" s="15"/>
      <c r="S130" s="15" t="s">
        <v>422</v>
      </c>
      <c r="T130" s="15"/>
      <c r="U130" s="15"/>
      <c r="V130" s="15"/>
      <c r="W130" s="15"/>
      <c r="X130" s="15"/>
      <c r="Y130" s="15" t="s">
        <v>218</v>
      </c>
      <c r="Z130" s="15" t="s">
        <v>348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 t="s">
        <v>864</v>
      </c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61">
        <v>46052</v>
      </c>
      <c r="BE130" s="61" t="s">
        <v>192</v>
      </c>
      <c r="BF130" s="15" t="s">
        <v>219</v>
      </c>
      <c r="BG130" s="15"/>
      <c r="BH130" s="15"/>
      <c r="BI130" s="15" t="s">
        <v>199</v>
      </c>
      <c r="BJ130" s="15"/>
      <c r="BK130" s="15"/>
      <c r="BL130" s="15"/>
      <c r="BM130" s="15"/>
      <c r="BN130" s="15"/>
      <c r="BO130" s="64"/>
      <c r="BP130" s="64">
        <v>46135</v>
      </c>
      <c r="BQ130" s="15"/>
      <c r="BR130" s="15"/>
      <c r="BS130" s="64"/>
      <c r="BT130" s="64">
        <v>46145</v>
      </c>
      <c r="BU130" s="64">
        <v>46188</v>
      </c>
      <c r="BV130" s="15"/>
      <c r="BW130" s="64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15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  <c r="EE130" s="68"/>
      <c r="EF130" s="68"/>
      <c r="EG130" s="68"/>
      <c r="EH130" s="68"/>
      <c r="EI130" s="68"/>
      <c r="EJ130" s="68"/>
      <c r="EK130" s="68"/>
      <c r="EL130" s="68"/>
      <c r="EM130" s="68">
        <v>43</v>
      </c>
      <c r="EN130" s="68">
        <v>58</v>
      </c>
      <c r="EO130" s="68">
        <v>89</v>
      </c>
      <c r="EP130" s="68">
        <v>34</v>
      </c>
      <c r="EQ130" s="65">
        <f t="shared" si="22"/>
        <v>224</v>
      </c>
      <c r="ER130" s="6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 t="s">
        <v>202</v>
      </c>
      <c r="FF130" s="15"/>
      <c r="FG130" s="15"/>
      <c r="FH130" s="1" t="str">
        <f t="shared" si="20"/>
        <v>3239038305004702095362</v>
      </c>
      <c r="FI130" s="1" t="str">
        <f t="shared" si="21"/>
        <v>PRLS/25/13295</v>
      </c>
      <c r="FJ130" s="38" t="e">
        <f>VLOOKUP(FH130,[1]Sheet3!$A:$D,4,0)</f>
        <v>#N/A</v>
      </c>
      <c r="FL130" s="13"/>
    </row>
    <row r="131" spans="1:168" ht="21" hidden="1" x14ac:dyDescent="0.25">
      <c r="A131" s="15" t="s">
        <v>694</v>
      </c>
      <c r="B131" s="15" t="s">
        <v>149</v>
      </c>
      <c r="C131" s="15" t="s">
        <v>660</v>
      </c>
      <c r="D131" s="15" t="s">
        <v>654</v>
      </c>
      <c r="E131" s="15" t="s">
        <v>253</v>
      </c>
      <c r="F131" s="15" t="s">
        <v>254</v>
      </c>
      <c r="G131" s="15" t="s">
        <v>368</v>
      </c>
      <c r="H131" s="15" t="s">
        <v>646</v>
      </c>
      <c r="I131" s="15" t="s">
        <v>718</v>
      </c>
      <c r="J131" s="15" t="s">
        <v>661</v>
      </c>
      <c r="K131" s="15" t="s">
        <v>258</v>
      </c>
      <c r="L131" s="15" t="s">
        <v>247</v>
      </c>
      <c r="M131" s="15" t="s">
        <v>359</v>
      </c>
      <c r="N131" s="63">
        <v>224</v>
      </c>
      <c r="O131" s="15"/>
      <c r="P131" s="15">
        <v>7.66</v>
      </c>
      <c r="Q131" s="15"/>
      <c r="R131" s="15"/>
      <c r="S131" s="15" t="s">
        <v>422</v>
      </c>
      <c r="T131" s="15"/>
      <c r="U131" s="15"/>
      <c r="V131" s="15"/>
      <c r="W131" s="15"/>
      <c r="X131" s="15"/>
      <c r="Y131" s="15" t="s">
        <v>218</v>
      </c>
      <c r="Z131" s="15" t="s">
        <v>348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 t="s">
        <v>864</v>
      </c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61">
        <v>46052</v>
      </c>
      <c r="BE131" s="61" t="s">
        <v>192</v>
      </c>
      <c r="BF131" s="15" t="s">
        <v>219</v>
      </c>
      <c r="BG131" s="15"/>
      <c r="BH131" s="15"/>
      <c r="BI131" s="15" t="s">
        <v>199</v>
      </c>
      <c r="BJ131" s="15"/>
      <c r="BK131" s="15"/>
      <c r="BL131" s="15"/>
      <c r="BM131" s="15"/>
      <c r="BN131" s="15"/>
      <c r="BO131" s="64"/>
      <c r="BP131" s="64">
        <v>46135</v>
      </c>
      <c r="BQ131" s="15"/>
      <c r="BR131" s="15"/>
      <c r="BS131" s="64"/>
      <c r="BT131" s="64">
        <v>46145</v>
      </c>
      <c r="BU131" s="64">
        <v>46188</v>
      </c>
      <c r="BV131" s="15"/>
      <c r="BW131" s="64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15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  <c r="EE131" s="68"/>
      <c r="EF131" s="68"/>
      <c r="EG131" s="68"/>
      <c r="EH131" s="68"/>
      <c r="EI131" s="68"/>
      <c r="EJ131" s="68"/>
      <c r="EK131" s="68"/>
      <c r="EL131" s="68"/>
      <c r="EM131" s="68">
        <v>43</v>
      </c>
      <c r="EN131" s="68">
        <v>58</v>
      </c>
      <c r="EO131" s="68">
        <v>89</v>
      </c>
      <c r="EP131" s="68">
        <v>34</v>
      </c>
      <c r="EQ131" s="65">
        <f t="shared" si="22"/>
        <v>224</v>
      </c>
      <c r="ER131" s="6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 t="s">
        <v>202</v>
      </c>
      <c r="FF131" s="15"/>
      <c r="FG131" s="15"/>
      <c r="FH131" s="1" t="str">
        <f t="shared" si="20"/>
        <v>3239038305014702095362</v>
      </c>
      <c r="FI131" s="1" t="str">
        <f t="shared" si="21"/>
        <v>PRLS/25/13139</v>
      </c>
      <c r="FJ131" s="38" t="e">
        <f>VLOOKUP(FH131,[1]Sheet3!$A:$D,4,0)</f>
        <v>#N/A</v>
      </c>
      <c r="FL131" s="13"/>
    </row>
    <row r="132" spans="1:168" ht="21" hidden="1" x14ac:dyDescent="0.25">
      <c r="A132" s="15" t="s">
        <v>756</v>
      </c>
      <c r="B132" s="15" t="s">
        <v>149</v>
      </c>
      <c r="C132" s="15" t="s">
        <v>660</v>
      </c>
      <c r="D132" s="15" t="s">
        <v>655</v>
      </c>
      <c r="E132" s="15" t="s">
        <v>253</v>
      </c>
      <c r="F132" s="15" t="s">
        <v>254</v>
      </c>
      <c r="G132" s="15" t="s">
        <v>367</v>
      </c>
      <c r="H132" s="15" t="s">
        <v>645</v>
      </c>
      <c r="I132" s="15" t="s">
        <v>718</v>
      </c>
      <c r="J132" s="15" t="s">
        <v>661</v>
      </c>
      <c r="K132" s="15" t="s">
        <v>258</v>
      </c>
      <c r="L132" s="15" t="s">
        <v>247</v>
      </c>
      <c r="M132" s="15" t="s">
        <v>357</v>
      </c>
      <c r="N132" s="63">
        <v>420</v>
      </c>
      <c r="O132" s="15"/>
      <c r="P132" s="15">
        <v>7.66</v>
      </c>
      <c r="Q132" s="15"/>
      <c r="R132" s="15"/>
      <c r="S132" s="15" t="s">
        <v>422</v>
      </c>
      <c r="T132" s="15"/>
      <c r="U132" s="15"/>
      <c r="V132" s="15"/>
      <c r="W132" s="15"/>
      <c r="X132" s="15"/>
      <c r="Y132" s="15" t="s">
        <v>218</v>
      </c>
      <c r="Z132" s="15" t="s">
        <v>348</v>
      </c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 t="s">
        <v>864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61">
        <v>46052</v>
      </c>
      <c r="BE132" s="61" t="s">
        <v>192</v>
      </c>
      <c r="BF132" s="15" t="s">
        <v>219</v>
      </c>
      <c r="BG132" s="15"/>
      <c r="BH132" s="15"/>
      <c r="BI132" s="15" t="s">
        <v>199</v>
      </c>
      <c r="BJ132" s="15"/>
      <c r="BK132" s="15"/>
      <c r="BL132" s="15"/>
      <c r="BM132" s="15"/>
      <c r="BN132" s="15"/>
      <c r="BO132" s="64"/>
      <c r="BP132" s="64">
        <v>46135</v>
      </c>
      <c r="BQ132" s="15"/>
      <c r="BR132" s="15"/>
      <c r="BS132" s="64"/>
      <c r="BT132" s="64">
        <v>46145</v>
      </c>
      <c r="BU132" s="64">
        <v>46188</v>
      </c>
      <c r="BV132" s="15"/>
      <c r="BW132" s="64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15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  <c r="EE132" s="68"/>
      <c r="EF132" s="68"/>
      <c r="EG132" s="68"/>
      <c r="EH132" s="68"/>
      <c r="EI132" s="68"/>
      <c r="EJ132" s="68"/>
      <c r="EK132" s="68"/>
      <c r="EL132" s="68"/>
      <c r="EM132" s="68">
        <v>55</v>
      </c>
      <c r="EN132" s="68">
        <v>109</v>
      </c>
      <c r="EO132" s="68">
        <v>176</v>
      </c>
      <c r="EP132" s="68">
        <v>80</v>
      </c>
      <c r="EQ132" s="65">
        <f t="shared" si="22"/>
        <v>420</v>
      </c>
      <c r="ER132" s="6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 t="s">
        <v>202</v>
      </c>
      <c r="FF132" s="15"/>
      <c r="FG132" s="15"/>
      <c r="FH132" s="1" t="str">
        <f t="shared" si="20"/>
        <v>3239038305004702095363</v>
      </c>
      <c r="FI132" s="1" t="str">
        <f t="shared" si="21"/>
        <v>PRLS/25/13295</v>
      </c>
      <c r="FJ132" s="38" t="e">
        <f>VLOOKUP(FH132,[1]Sheet3!$A:$D,4,0)</f>
        <v>#N/A</v>
      </c>
      <c r="FL132" s="13"/>
    </row>
    <row r="133" spans="1:168" ht="21" hidden="1" x14ac:dyDescent="0.25">
      <c r="A133" s="15" t="s">
        <v>694</v>
      </c>
      <c r="B133" s="15" t="s">
        <v>149</v>
      </c>
      <c r="C133" s="15" t="s">
        <v>660</v>
      </c>
      <c r="D133" s="15" t="s">
        <v>655</v>
      </c>
      <c r="E133" s="15" t="s">
        <v>253</v>
      </c>
      <c r="F133" s="15" t="s">
        <v>254</v>
      </c>
      <c r="G133" s="91" t="s">
        <v>367</v>
      </c>
      <c r="H133" s="15" t="s">
        <v>646</v>
      </c>
      <c r="I133" s="15" t="s">
        <v>718</v>
      </c>
      <c r="J133" s="15" t="s">
        <v>661</v>
      </c>
      <c r="K133" s="15" t="s">
        <v>258</v>
      </c>
      <c r="L133" s="15" t="s">
        <v>247</v>
      </c>
      <c r="M133" s="15" t="s">
        <v>359</v>
      </c>
      <c r="N133" s="63">
        <v>632</v>
      </c>
      <c r="O133" s="15"/>
      <c r="P133" s="15">
        <v>7.66</v>
      </c>
      <c r="Q133" s="15"/>
      <c r="R133" s="15"/>
      <c r="S133" s="15" t="s">
        <v>422</v>
      </c>
      <c r="T133" s="15"/>
      <c r="U133" s="15"/>
      <c r="V133" s="15"/>
      <c r="W133" s="15"/>
      <c r="X133" s="15"/>
      <c r="Y133" s="15" t="s">
        <v>218</v>
      </c>
      <c r="Z133" s="15" t="s">
        <v>348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 t="s">
        <v>864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61">
        <v>46052</v>
      </c>
      <c r="BE133" s="61" t="s">
        <v>192</v>
      </c>
      <c r="BF133" s="15" t="s">
        <v>219</v>
      </c>
      <c r="BG133" s="15"/>
      <c r="BH133" s="15"/>
      <c r="BI133" s="15" t="s">
        <v>199</v>
      </c>
      <c r="BJ133" s="15"/>
      <c r="BK133" s="15"/>
      <c r="BL133" s="15"/>
      <c r="BM133" s="15"/>
      <c r="BN133" s="15"/>
      <c r="BO133" s="64"/>
      <c r="BP133" s="64">
        <v>46135</v>
      </c>
      <c r="BQ133" s="15"/>
      <c r="BR133" s="15"/>
      <c r="BS133" s="64"/>
      <c r="BT133" s="64">
        <v>46145</v>
      </c>
      <c r="BU133" s="64">
        <v>46188</v>
      </c>
      <c r="BV133" s="15"/>
      <c r="BW133" s="64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15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  <c r="EK133" s="68"/>
      <c r="EL133" s="68"/>
      <c r="EM133" s="68">
        <v>82</v>
      </c>
      <c r="EN133" s="68">
        <v>164</v>
      </c>
      <c r="EO133" s="68">
        <v>266</v>
      </c>
      <c r="EP133" s="68">
        <v>120</v>
      </c>
      <c r="EQ133" s="65">
        <f t="shared" si="22"/>
        <v>632</v>
      </c>
      <c r="ER133" s="6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 t="s">
        <v>202</v>
      </c>
      <c r="FF133" s="15"/>
      <c r="FG133" s="15"/>
      <c r="FH133" s="1" t="str">
        <f t="shared" si="20"/>
        <v>3239038305014702095363</v>
      </c>
      <c r="FI133" s="1" t="str">
        <f t="shared" si="21"/>
        <v>PRLS/25/13139</v>
      </c>
      <c r="FJ133" s="38" t="e">
        <f>VLOOKUP(FH133,[1]Sheet3!$A:$D,4,0)</f>
        <v>#N/A</v>
      </c>
      <c r="FL133" s="13"/>
    </row>
    <row r="134" spans="1:168" ht="21" hidden="1" x14ac:dyDescent="0.25">
      <c r="A134" s="15" t="s">
        <v>756</v>
      </c>
      <c r="B134" s="15" t="s">
        <v>149</v>
      </c>
      <c r="C134" s="15" t="s">
        <v>660</v>
      </c>
      <c r="D134" s="15" t="s">
        <v>653</v>
      </c>
      <c r="E134" s="15" t="s">
        <v>227</v>
      </c>
      <c r="F134" s="15" t="s">
        <v>228</v>
      </c>
      <c r="G134" s="72" t="s">
        <v>366</v>
      </c>
      <c r="H134" s="15" t="s">
        <v>645</v>
      </c>
      <c r="I134" s="15" t="s">
        <v>718</v>
      </c>
      <c r="J134" s="15" t="s">
        <v>661</v>
      </c>
      <c r="K134" s="15" t="s">
        <v>258</v>
      </c>
      <c r="L134" s="15" t="s">
        <v>247</v>
      </c>
      <c r="M134" s="15" t="s">
        <v>357</v>
      </c>
      <c r="N134" s="63">
        <v>175</v>
      </c>
      <c r="O134" s="15"/>
      <c r="P134" s="15">
        <v>7.66</v>
      </c>
      <c r="Q134" s="15"/>
      <c r="R134" s="15"/>
      <c r="S134" s="15" t="s">
        <v>422</v>
      </c>
      <c r="T134" s="15"/>
      <c r="U134" s="15"/>
      <c r="V134" s="15"/>
      <c r="W134" s="15"/>
      <c r="X134" s="15"/>
      <c r="Y134" s="15" t="s">
        <v>218</v>
      </c>
      <c r="Z134" s="15" t="s">
        <v>348</v>
      </c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 t="s">
        <v>864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61">
        <v>46052</v>
      </c>
      <c r="BE134" s="61" t="s">
        <v>192</v>
      </c>
      <c r="BF134" s="15" t="s">
        <v>219</v>
      </c>
      <c r="BG134" s="15"/>
      <c r="BH134" s="15"/>
      <c r="BI134" s="15" t="s">
        <v>199</v>
      </c>
      <c r="BJ134" s="15"/>
      <c r="BK134" s="15"/>
      <c r="BL134" s="15"/>
      <c r="BM134" s="15"/>
      <c r="BN134" s="15"/>
      <c r="BO134" s="64"/>
      <c r="BP134" s="64">
        <v>46135</v>
      </c>
      <c r="BQ134" s="15"/>
      <c r="BR134" s="15"/>
      <c r="BS134" s="64"/>
      <c r="BT134" s="64">
        <v>46145</v>
      </c>
      <c r="BU134" s="64">
        <v>46188</v>
      </c>
      <c r="BV134" s="15"/>
      <c r="BW134" s="64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15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68"/>
      <c r="EF134" s="68"/>
      <c r="EG134" s="68"/>
      <c r="EH134" s="68"/>
      <c r="EI134" s="68"/>
      <c r="EJ134" s="68"/>
      <c r="EK134" s="68"/>
      <c r="EL134" s="68"/>
      <c r="EM134" s="68">
        <v>23</v>
      </c>
      <c r="EN134" s="68">
        <v>35</v>
      </c>
      <c r="EO134" s="68">
        <v>78</v>
      </c>
      <c r="EP134" s="68">
        <v>39</v>
      </c>
      <c r="EQ134" s="65">
        <f t="shared" si="22"/>
        <v>175</v>
      </c>
      <c r="ER134" s="6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 t="s">
        <v>202</v>
      </c>
      <c r="FF134" s="15"/>
      <c r="FG134" s="15"/>
      <c r="FH134" s="1" t="str">
        <f t="shared" si="20"/>
        <v>3239038305004702095364</v>
      </c>
      <c r="FI134" s="1" t="str">
        <f t="shared" si="21"/>
        <v>PRLS/25/13295</v>
      </c>
      <c r="FJ134" s="38" t="e">
        <f>VLOOKUP(FH134,[1]Sheet3!$A:$D,4,0)</f>
        <v>#N/A</v>
      </c>
      <c r="FL134" s="13"/>
    </row>
    <row r="135" spans="1:168" ht="21" hidden="1" x14ac:dyDescent="0.25">
      <c r="A135" s="15" t="s">
        <v>694</v>
      </c>
      <c r="B135" s="15" t="s">
        <v>149</v>
      </c>
      <c r="C135" s="15" t="s">
        <v>660</v>
      </c>
      <c r="D135" s="15" t="s">
        <v>653</v>
      </c>
      <c r="E135" s="15" t="s">
        <v>227</v>
      </c>
      <c r="F135" s="15" t="s">
        <v>228</v>
      </c>
      <c r="G135" s="72" t="s">
        <v>366</v>
      </c>
      <c r="H135" s="15" t="s">
        <v>646</v>
      </c>
      <c r="I135" s="15" t="s">
        <v>718</v>
      </c>
      <c r="J135" s="15" t="s">
        <v>661</v>
      </c>
      <c r="K135" s="15" t="s">
        <v>258</v>
      </c>
      <c r="L135" s="15" t="s">
        <v>247</v>
      </c>
      <c r="M135" s="15" t="s">
        <v>359</v>
      </c>
      <c r="N135" s="63">
        <v>720</v>
      </c>
      <c r="O135" s="15"/>
      <c r="P135" s="15">
        <v>7.66</v>
      </c>
      <c r="Q135" s="15"/>
      <c r="R135" s="15"/>
      <c r="S135" s="15" t="s">
        <v>422</v>
      </c>
      <c r="T135" s="15"/>
      <c r="U135" s="15"/>
      <c r="V135" s="15"/>
      <c r="W135" s="15"/>
      <c r="X135" s="15"/>
      <c r="Y135" s="15" t="s">
        <v>218</v>
      </c>
      <c r="Z135" s="15" t="s">
        <v>348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 t="s">
        <v>864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61">
        <v>46052</v>
      </c>
      <c r="BE135" s="61" t="s">
        <v>192</v>
      </c>
      <c r="BF135" s="15" t="s">
        <v>219</v>
      </c>
      <c r="BG135" s="15"/>
      <c r="BH135" s="15"/>
      <c r="BI135" s="15" t="s">
        <v>199</v>
      </c>
      <c r="BJ135" s="15"/>
      <c r="BK135" s="15"/>
      <c r="BL135" s="15"/>
      <c r="BM135" s="15"/>
      <c r="BN135" s="15"/>
      <c r="BO135" s="64"/>
      <c r="BP135" s="64">
        <v>46135</v>
      </c>
      <c r="BQ135" s="15"/>
      <c r="BR135" s="15"/>
      <c r="BS135" s="64"/>
      <c r="BT135" s="64">
        <v>46145</v>
      </c>
      <c r="BU135" s="64">
        <v>46188</v>
      </c>
      <c r="BV135" s="15"/>
      <c r="BW135" s="64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15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  <c r="EK135" s="68"/>
      <c r="EL135" s="68"/>
      <c r="EM135" s="68">
        <v>94</v>
      </c>
      <c r="EN135" s="68">
        <v>144</v>
      </c>
      <c r="EO135" s="68">
        <v>324</v>
      </c>
      <c r="EP135" s="68">
        <v>158</v>
      </c>
      <c r="EQ135" s="65">
        <f t="shared" si="22"/>
        <v>720</v>
      </c>
      <c r="ER135" s="6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 t="s">
        <v>202</v>
      </c>
      <c r="FF135" s="15"/>
      <c r="FG135" s="15"/>
      <c r="FH135" s="1" t="str">
        <f t="shared" si="20"/>
        <v>3239038305014702095364</v>
      </c>
      <c r="FI135" s="1" t="str">
        <f t="shared" si="21"/>
        <v>PRLS/25/13139</v>
      </c>
      <c r="FJ135" s="38" t="e">
        <f>VLOOKUP(FH135,[1]Sheet3!$A:$D,4,0)</f>
        <v>#N/A</v>
      </c>
      <c r="FL135" s="13"/>
    </row>
    <row r="136" spans="1:168" ht="21" hidden="1" x14ac:dyDescent="0.25">
      <c r="A136" s="15" t="s">
        <v>756</v>
      </c>
      <c r="B136" s="15" t="s">
        <v>149</v>
      </c>
      <c r="C136" s="15" t="s">
        <v>660</v>
      </c>
      <c r="D136" s="15" t="s">
        <v>657</v>
      </c>
      <c r="E136" s="15" t="s">
        <v>237</v>
      </c>
      <c r="F136" s="15" t="s">
        <v>238</v>
      </c>
      <c r="G136" s="72" t="s">
        <v>365</v>
      </c>
      <c r="H136" s="15" t="s">
        <v>645</v>
      </c>
      <c r="I136" s="15" t="s">
        <v>718</v>
      </c>
      <c r="J136" s="15" t="s">
        <v>661</v>
      </c>
      <c r="K136" s="15" t="s">
        <v>258</v>
      </c>
      <c r="L136" s="15" t="s">
        <v>247</v>
      </c>
      <c r="M136" s="15" t="s">
        <v>357</v>
      </c>
      <c r="N136" s="63">
        <v>364</v>
      </c>
      <c r="O136" s="15"/>
      <c r="P136" s="15">
        <v>7.66</v>
      </c>
      <c r="Q136" s="15"/>
      <c r="R136" s="15"/>
      <c r="S136" s="15" t="s">
        <v>422</v>
      </c>
      <c r="T136" s="15"/>
      <c r="U136" s="15"/>
      <c r="V136" s="15"/>
      <c r="W136" s="15"/>
      <c r="X136" s="15"/>
      <c r="Y136" s="15" t="s">
        <v>218</v>
      </c>
      <c r="Z136" s="15" t="s">
        <v>348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 t="s">
        <v>439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61">
        <v>46052</v>
      </c>
      <c r="BE136" s="61" t="s">
        <v>192</v>
      </c>
      <c r="BF136" s="15" t="s">
        <v>219</v>
      </c>
      <c r="BG136" s="15" t="s">
        <v>199</v>
      </c>
      <c r="BH136" s="15" t="s">
        <v>199</v>
      </c>
      <c r="BI136" s="15" t="s">
        <v>199</v>
      </c>
      <c r="BJ136" s="15"/>
      <c r="BK136" s="15"/>
      <c r="BL136" s="15"/>
      <c r="BM136" s="15"/>
      <c r="BN136" s="15"/>
      <c r="BO136" s="64"/>
      <c r="BP136" s="64">
        <v>46128</v>
      </c>
      <c r="BQ136" s="15"/>
      <c r="BR136" s="15"/>
      <c r="BS136" s="64"/>
      <c r="BT136" s="64">
        <v>46138</v>
      </c>
      <c r="BU136" s="64">
        <v>46188</v>
      </c>
      <c r="BV136" s="15"/>
      <c r="BW136" s="64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15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  <c r="EE136" s="68"/>
      <c r="EF136" s="68"/>
      <c r="EG136" s="68"/>
      <c r="EH136" s="68"/>
      <c r="EI136" s="68"/>
      <c r="EJ136" s="68"/>
      <c r="EK136" s="68"/>
      <c r="EL136" s="68"/>
      <c r="EM136" s="68">
        <v>40</v>
      </c>
      <c r="EN136" s="68">
        <v>73</v>
      </c>
      <c r="EO136" s="68">
        <v>142</v>
      </c>
      <c r="EP136" s="68">
        <v>109</v>
      </c>
      <c r="EQ136" s="65">
        <f t="shared" si="22"/>
        <v>364</v>
      </c>
      <c r="ER136" s="6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 t="s">
        <v>202</v>
      </c>
      <c r="FF136" s="15"/>
      <c r="FG136" s="15"/>
      <c r="FH136" s="1" t="str">
        <f t="shared" si="20"/>
        <v>3239038305004702095365</v>
      </c>
      <c r="FI136" s="1" t="str">
        <f t="shared" si="21"/>
        <v>PRLS/25/13295</v>
      </c>
      <c r="FJ136" s="38" t="e">
        <f>VLOOKUP(FH136,[1]Sheet3!$A:$D,4,0)</f>
        <v>#N/A</v>
      </c>
      <c r="FL136" s="13"/>
    </row>
    <row r="137" spans="1:168" ht="21" hidden="1" x14ac:dyDescent="0.25">
      <c r="A137" s="15" t="s">
        <v>694</v>
      </c>
      <c r="B137" s="15" t="s">
        <v>149</v>
      </c>
      <c r="C137" s="15" t="s">
        <v>660</v>
      </c>
      <c r="D137" s="15" t="s">
        <v>657</v>
      </c>
      <c r="E137" s="15" t="s">
        <v>237</v>
      </c>
      <c r="F137" s="15" t="s">
        <v>238</v>
      </c>
      <c r="G137" s="72" t="s">
        <v>365</v>
      </c>
      <c r="H137" s="15" t="s">
        <v>646</v>
      </c>
      <c r="I137" s="15" t="s">
        <v>718</v>
      </c>
      <c r="J137" s="15" t="s">
        <v>661</v>
      </c>
      <c r="K137" s="15" t="s">
        <v>258</v>
      </c>
      <c r="L137" s="15" t="s">
        <v>247</v>
      </c>
      <c r="M137" s="15" t="s">
        <v>359</v>
      </c>
      <c r="N137" s="63">
        <v>645</v>
      </c>
      <c r="O137" s="15"/>
      <c r="P137" s="15">
        <v>7.66</v>
      </c>
      <c r="Q137" s="15"/>
      <c r="R137" s="15"/>
      <c r="S137" s="15" t="s">
        <v>422</v>
      </c>
      <c r="T137" s="15"/>
      <c r="U137" s="15"/>
      <c r="V137" s="15"/>
      <c r="W137" s="15"/>
      <c r="X137" s="15"/>
      <c r="Y137" s="15" t="s">
        <v>218</v>
      </c>
      <c r="Z137" s="15" t="s">
        <v>348</v>
      </c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 t="s">
        <v>439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61">
        <v>46052</v>
      </c>
      <c r="BE137" s="61" t="s">
        <v>192</v>
      </c>
      <c r="BF137" s="15" t="s">
        <v>219</v>
      </c>
      <c r="BG137" s="15" t="s">
        <v>199</v>
      </c>
      <c r="BH137" s="15" t="s">
        <v>199</v>
      </c>
      <c r="BI137" s="15" t="s">
        <v>199</v>
      </c>
      <c r="BJ137" s="15"/>
      <c r="BK137" s="15"/>
      <c r="BL137" s="15"/>
      <c r="BM137" s="15"/>
      <c r="BN137" s="15"/>
      <c r="BO137" s="64"/>
      <c r="BP137" s="64">
        <v>46128</v>
      </c>
      <c r="BQ137" s="15"/>
      <c r="BR137" s="15"/>
      <c r="BS137" s="64"/>
      <c r="BT137" s="64">
        <v>46138</v>
      </c>
      <c r="BU137" s="64">
        <v>46188</v>
      </c>
      <c r="BV137" s="15"/>
      <c r="BW137" s="64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15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  <c r="EK137" s="68"/>
      <c r="EL137" s="68"/>
      <c r="EM137" s="68">
        <v>71</v>
      </c>
      <c r="EN137" s="68">
        <v>129</v>
      </c>
      <c r="EO137" s="68">
        <v>251</v>
      </c>
      <c r="EP137" s="68">
        <v>194</v>
      </c>
      <c r="EQ137" s="65">
        <f t="shared" si="22"/>
        <v>645</v>
      </c>
      <c r="ER137" s="6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 t="s">
        <v>202</v>
      </c>
      <c r="FF137" s="15"/>
      <c r="FG137" s="15"/>
      <c r="FH137" s="1" t="str">
        <f t="shared" si="20"/>
        <v>3239038305014702095365</v>
      </c>
      <c r="FI137" s="1" t="str">
        <f t="shared" si="21"/>
        <v>PRLS/25/13139</v>
      </c>
      <c r="FJ137" s="38" t="e">
        <f>VLOOKUP(FH137,[1]Sheet3!$A:$D,4,0)</f>
        <v>#N/A</v>
      </c>
      <c r="FL137" s="13"/>
    </row>
    <row r="138" spans="1:168" ht="21" hidden="1" x14ac:dyDescent="0.25">
      <c r="A138" s="15" t="s">
        <v>699</v>
      </c>
      <c r="B138" s="15" t="s">
        <v>149</v>
      </c>
      <c r="C138" s="15" t="s">
        <v>625</v>
      </c>
      <c r="D138" s="15" t="s">
        <v>632</v>
      </c>
      <c r="E138" s="15" t="s">
        <v>151</v>
      </c>
      <c r="F138" s="15" t="s">
        <v>469</v>
      </c>
      <c r="G138" s="72" t="s">
        <v>321</v>
      </c>
      <c r="H138" s="15" t="s">
        <v>626</v>
      </c>
      <c r="I138" s="15" t="s">
        <v>714</v>
      </c>
      <c r="J138" s="15" t="s">
        <v>629</v>
      </c>
      <c r="K138" s="15" t="s">
        <v>258</v>
      </c>
      <c r="L138" s="15" t="s">
        <v>631</v>
      </c>
      <c r="M138" s="15" t="s">
        <v>417</v>
      </c>
      <c r="N138" s="63">
        <v>842</v>
      </c>
      <c r="O138" s="15"/>
      <c r="P138" s="15">
        <v>15.92</v>
      </c>
      <c r="Q138" s="15"/>
      <c r="R138" s="15"/>
      <c r="S138" s="15" t="s">
        <v>217</v>
      </c>
      <c r="T138" s="15"/>
      <c r="U138" s="15"/>
      <c r="V138" s="15"/>
      <c r="W138" s="15"/>
      <c r="X138" s="15"/>
      <c r="Y138" s="15" t="s">
        <v>190</v>
      </c>
      <c r="Z138" s="15" t="s">
        <v>201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 t="e">
        <v>#N/A</v>
      </c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61">
        <v>46052</v>
      </c>
      <c r="BE138" s="61" t="s">
        <v>192</v>
      </c>
      <c r="BF138" s="15" t="s">
        <v>199</v>
      </c>
      <c r="BG138" s="15" t="s">
        <v>219</v>
      </c>
      <c r="BH138" s="15" t="s">
        <v>219</v>
      </c>
      <c r="BI138" s="15" t="s">
        <v>199</v>
      </c>
      <c r="BJ138" s="15"/>
      <c r="BK138" s="15"/>
      <c r="BL138" s="15"/>
      <c r="BM138" s="15"/>
      <c r="BN138" s="15"/>
      <c r="BO138" s="64"/>
      <c r="BP138" s="64">
        <v>46114</v>
      </c>
      <c r="BQ138" s="15"/>
      <c r="BR138" s="15"/>
      <c r="BS138" s="64"/>
      <c r="BT138" s="64">
        <v>46124</v>
      </c>
      <c r="BU138" s="64">
        <v>46189</v>
      </c>
      <c r="BV138" s="15"/>
      <c r="BW138" s="64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15">
        <v>48</v>
      </c>
      <c r="CL138" s="68">
        <v>111</v>
      </c>
      <c r="CM138" s="68">
        <v>245</v>
      </c>
      <c r="CN138" s="68">
        <v>229</v>
      </c>
      <c r="CO138" s="68">
        <v>126</v>
      </c>
      <c r="CP138" s="68">
        <v>83</v>
      </c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  <c r="EE138" s="68"/>
      <c r="EF138" s="68"/>
      <c r="EG138" s="68"/>
      <c r="EH138" s="68"/>
      <c r="EI138" s="68"/>
      <c r="EJ138" s="68"/>
      <c r="EK138" s="68"/>
      <c r="EL138" s="68"/>
      <c r="EM138" s="68"/>
      <c r="EN138" s="68"/>
      <c r="EO138" s="68"/>
      <c r="EP138" s="68"/>
      <c r="EQ138" s="65">
        <f t="shared" si="22"/>
        <v>842</v>
      </c>
      <c r="ER138" s="6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 t="s">
        <v>176</v>
      </c>
      <c r="FF138" s="15"/>
      <c r="FG138" s="15"/>
      <c r="FH138" s="1" t="str">
        <f t="shared" si="20"/>
        <v>7109427450014702095653</v>
      </c>
      <c r="FI138" s="1" t="str">
        <f t="shared" si="21"/>
        <v>PRLS/25/13146</v>
      </c>
      <c r="FJ138" s="38" t="e">
        <f>VLOOKUP(FH138,[1]Sheet3!$A:$D,4,0)</f>
        <v>#N/A</v>
      </c>
      <c r="FL138" s="13"/>
    </row>
    <row r="139" spans="1:168" ht="21" hidden="1" x14ac:dyDescent="0.25">
      <c r="A139" s="15" t="s">
        <v>759</v>
      </c>
      <c r="B139" s="15" t="s">
        <v>149</v>
      </c>
      <c r="C139" s="15" t="s">
        <v>625</v>
      </c>
      <c r="D139" s="15" t="s">
        <v>633</v>
      </c>
      <c r="E139" s="15" t="s">
        <v>151</v>
      </c>
      <c r="F139" s="15" t="s">
        <v>469</v>
      </c>
      <c r="G139" s="72" t="s">
        <v>321</v>
      </c>
      <c r="H139" s="15" t="s">
        <v>369</v>
      </c>
      <c r="I139" s="15" t="s">
        <v>370</v>
      </c>
      <c r="J139" s="15" t="s">
        <v>371</v>
      </c>
      <c r="K139" s="15" t="s">
        <v>258</v>
      </c>
      <c r="L139" s="15" t="s">
        <v>262</v>
      </c>
      <c r="M139" s="15" t="s">
        <v>372</v>
      </c>
      <c r="N139" s="63">
        <v>600</v>
      </c>
      <c r="O139" s="15"/>
      <c r="P139" s="15">
        <v>18.66</v>
      </c>
      <c r="Q139" s="15"/>
      <c r="R139" s="15"/>
      <c r="S139" s="15" t="s">
        <v>315</v>
      </c>
      <c r="T139" s="15"/>
      <c r="U139" s="15"/>
      <c r="V139" s="15"/>
      <c r="W139" s="15"/>
      <c r="X139" s="15"/>
      <c r="Y139" s="15" t="s">
        <v>218</v>
      </c>
      <c r="Z139" s="15" t="s">
        <v>373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 t="e">
        <v>#N/A</v>
      </c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61">
        <v>46057</v>
      </c>
      <c r="BE139" s="61" t="s">
        <v>192</v>
      </c>
      <c r="BF139" s="15" t="s">
        <v>199</v>
      </c>
      <c r="BG139" s="15" t="s">
        <v>219</v>
      </c>
      <c r="BH139" s="15" t="s">
        <v>219</v>
      </c>
      <c r="BI139" s="15" t="s">
        <v>199</v>
      </c>
      <c r="BJ139" s="15"/>
      <c r="BK139" s="15"/>
      <c r="BL139" s="15"/>
      <c r="BM139" s="15"/>
      <c r="BN139" s="15"/>
      <c r="BO139" s="64"/>
      <c r="BP139" s="64">
        <v>46114</v>
      </c>
      <c r="BQ139" s="15"/>
      <c r="BR139" s="15"/>
      <c r="BS139" s="64"/>
      <c r="BT139" s="64">
        <v>46124</v>
      </c>
      <c r="BU139" s="64">
        <v>46189</v>
      </c>
      <c r="BV139" s="15"/>
      <c r="BW139" s="64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15">
        <v>36</v>
      </c>
      <c r="CL139" s="68">
        <v>54</v>
      </c>
      <c r="CM139" s="68">
        <v>180</v>
      </c>
      <c r="CN139" s="68">
        <v>186</v>
      </c>
      <c r="CO139" s="68">
        <v>90</v>
      </c>
      <c r="CP139" s="68">
        <v>54</v>
      </c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  <c r="EE139" s="68"/>
      <c r="EF139" s="68"/>
      <c r="EG139" s="68"/>
      <c r="EH139" s="68"/>
      <c r="EI139" s="68"/>
      <c r="EJ139" s="68"/>
      <c r="EK139" s="68"/>
      <c r="EL139" s="68"/>
      <c r="EM139" s="68"/>
      <c r="EN139" s="68"/>
      <c r="EO139" s="68"/>
      <c r="EP139" s="68"/>
      <c r="EQ139" s="65">
        <f t="shared" si="22"/>
        <v>600</v>
      </c>
      <c r="ER139" s="6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 t="s">
        <v>176</v>
      </c>
      <c r="FF139" s="15"/>
      <c r="FG139" s="15"/>
      <c r="FH139" s="1" t="str">
        <f t="shared" si="20"/>
        <v>7109533550034702095654</v>
      </c>
      <c r="FI139" s="1" t="str">
        <f t="shared" si="21"/>
        <v>PRLS/25/13273</v>
      </c>
      <c r="FJ139" s="38" t="e">
        <f>VLOOKUP(FH139,[1]Sheet3!$A:$D,4,0)</f>
        <v>#N/A</v>
      </c>
      <c r="FL139" s="13"/>
    </row>
    <row r="140" spans="1:168" ht="21" hidden="1" x14ac:dyDescent="0.25">
      <c r="A140" s="15" t="s">
        <v>704</v>
      </c>
      <c r="B140" s="15" t="s">
        <v>149</v>
      </c>
      <c r="C140" s="15" t="s">
        <v>625</v>
      </c>
      <c r="D140" s="15" t="s">
        <v>637</v>
      </c>
      <c r="E140" s="15" t="s">
        <v>257</v>
      </c>
      <c r="F140" s="15" t="s">
        <v>181</v>
      </c>
      <c r="G140" s="72" t="s">
        <v>321</v>
      </c>
      <c r="H140" s="15" t="s">
        <v>379</v>
      </c>
      <c r="I140" s="15" t="s">
        <v>378</v>
      </c>
      <c r="J140" s="15" t="s">
        <v>314</v>
      </c>
      <c r="K140" s="15" t="s">
        <v>258</v>
      </c>
      <c r="L140" s="15" t="s">
        <v>352</v>
      </c>
      <c r="M140" s="15" t="s">
        <v>198</v>
      </c>
      <c r="N140" s="63">
        <v>2820</v>
      </c>
      <c r="O140" s="15"/>
      <c r="P140" s="15">
        <v>13.65</v>
      </c>
      <c r="Q140" s="15"/>
      <c r="R140" s="15"/>
      <c r="S140" s="15" t="s">
        <v>200</v>
      </c>
      <c r="T140" s="15"/>
      <c r="U140" s="15"/>
      <c r="V140" s="15"/>
      <c r="W140" s="15"/>
      <c r="X140" s="15"/>
      <c r="Y140" s="15" t="s">
        <v>162</v>
      </c>
      <c r="Z140" s="15" t="s">
        <v>373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 t="s">
        <v>170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61">
        <v>46073</v>
      </c>
      <c r="BE140" s="61" t="s">
        <v>192</v>
      </c>
      <c r="BF140" s="15" t="s">
        <v>219</v>
      </c>
      <c r="BG140" s="15" t="s">
        <v>219</v>
      </c>
      <c r="BH140" s="15" t="s">
        <v>199</v>
      </c>
      <c r="BI140" s="15" t="s">
        <v>199</v>
      </c>
      <c r="BJ140" s="15"/>
      <c r="BK140" s="15"/>
      <c r="BL140" s="15"/>
      <c r="BM140" s="15"/>
      <c r="BN140" s="15"/>
      <c r="BO140" s="64"/>
      <c r="BP140" s="64">
        <v>46107</v>
      </c>
      <c r="BQ140" s="15"/>
      <c r="BR140" s="15"/>
      <c r="BS140" s="64"/>
      <c r="BT140" s="64">
        <v>46117</v>
      </c>
      <c r="BU140" s="64">
        <v>46189</v>
      </c>
      <c r="BV140" s="15"/>
      <c r="BW140" s="64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15"/>
      <c r="CL140" s="68">
        <v>181</v>
      </c>
      <c r="CM140" s="68">
        <v>673</v>
      </c>
      <c r="CN140" s="68">
        <v>946</v>
      </c>
      <c r="CO140" s="68">
        <v>653</v>
      </c>
      <c r="CP140" s="68">
        <v>367</v>
      </c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  <c r="EK140" s="68"/>
      <c r="EL140" s="68"/>
      <c r="EM140" s="68"/>
      <c r="EN140" s="68"/>
      <c r="EO140" s="68"/>
      <c r="EP140" s="68"/>
      <c r="EQ140" s="65">
        <f t="shared" si="22"/>
        <v>2820</v>
      </c>
      <c r="ER140" s="6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 t="s">
        <v>176</v>
      </c>
      <c r="FF140" s="15"/>
      <c r="FG140" s="15"/>
      <c r="FH140" s="1" t="str">
        <f t="shared" si="20"/>
        <v>7109678940024702095655</v>
      </c>
      <c r="FI140" s="1" t="str">
        <f t="shared" si="21"/>
        <v>PRLS/25/13166</v>
      </c>
      <c r="FJ140" s="38" t="e">
        <f>VLOOKUP(FH140,[1]Sheet3!$A:$D,4,0)</f>
        <v>#N/A</v>
      </c>
      <c r="FL140" s="13"/>
    </row>
    <row r="141" spans="1:168" ht="21" hidden="1" x14ac:dyDescent="0.25">
      <c r="A141" s="15" t="s">
        <v>705</v>
      </c>
      <c r="B141" s="15" t="s">
        <v>149</v>
      </c>
      <c r="C141" s="15" t="s">
        <v>625</v>
      </c>
      <c r="D141" s="15" t="s">
        <v>637</v>
      </c>
      <c r="E141" s="15" t="s">
        <v>257</v>
      </c>
      <c r="F141" s="15" t="s">
        <v>181</v>
      </c>
      <c r="G141" s="72" t="s">
        <v>321</v>
      </c>
      <c r="H141" s="15" t="s">
        <v>431</v>
      </c>
      <c r="I141" s="15" t="s">
        <v>378</v>
      </c>
      <c r="J141" s="15" t="s">
        <v>314</v>
      </c>
      <c r="K141" s="15" t="s">
        <v>258</v>
      </c>
      <c r="L141" s="15" t="s">
        <v>352</v>
      </c>
      <c r="M141" s="15" t="s">
        <v>233</v>
      </c>
      <c r="N141" s="63">
        <v>1128</v>
      </c>
      <c r="O141" s="15"/>
      <c r="P141" s="15">
        <v>13.65</v>
      </c>
      <c r="Q141" s="15"/>
      <c r="R141" s="15"/>
      <c r="S141" s="15" t="s">
        <v>200</v>
      </c>
      <c r="T141" s="15"/>
      <c r="U141" s="15"/>
      <c r="V141" s="15"/>
      <c r="W141" s="15"/>
      <c r="X141" s="15"/>
      <c r="Y141" s="15" t="s">
        <v>162</v>
      </c>
      <c r="Z141" s="15" t="s">
        <v>373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 t="s">
        <v>170</v>
      </c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61">
        <v>46069</v>
      </c>
      <c r="BE141" s="61" t="s">
        <v>192</v>
      </c>
      <c r="BF141" s="15" t="s">
        <v>219</v>
      </c>
      <c r="BG141" s="15" t="s">
        <v>219</v>
      </c>
      <c r="BH141" s="15" t="s">
        <v>199</v>
      </c>
      <c r="BI141" s="15" t="s">
        <v>199</v>
      </c>
      <c r="BJ141" s="15"/>
      <c r="BK141" s="15"/>
      <c r="BL141" s="15"/>
      <c r="BM141" s="15"/>
      <c r="BN141" s="15"/>
      <c r="BO141" s="64"/>
      <c r="BP141" s="64">
        <v>46107</v>
      </c>
      <c r="BQ141" s="15"/>
      <c r="BR141" s="15"/>
      <c r="BS141" s="64"/>
      <c r="BT141" s="64">
        <v>46117</v>
      </c>
      <c r="BU141" s="64">
        <v>46189</v>
      </c>
      <c r="BV141" s="15"/>
      <c r="BW141" s="64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15"/>
      <c r="CL141" s="68">
        <v>73</v>
      </c>
      <c r="CM141" s="68">
        <v>269</v>
      </c>
      <c r="CN141" s="68">
        <v>378</v>
      </c>
      <c r="CO141" s="68">
        <v>261</v>
      </c>
      <c r="CP141" s="68">
        <v>147</v>
      </c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  <c r="EK141" s="68"/>
      <c r="EL141" s="68"/>
      <c r="EM141" s="68"/>
      <c r="EN141" s="68"/>
      <c r="EO141" s="68"/>
      <c r="EP141" s="68"/>
      <c r="EQ141" s="65">
        <f t="shared" si="22"/>
        <v>1128</v>
      </c>
      <c r="ER141" s="6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 t="s">
        <v>176</v>
      </c>
      <c r="FF141" s="15"/>
      <c r="FG141" s="15"/>
      <c r="FH141" s="1" t="str">
        <f t="shared" si="20"/>
        <v>7109678945004702095655</v>
      </c>
      <c r="FI141" s="1" t="str">
        <f t="shared" si="21"/>
        <v>PRLS/25/13167</v>
      </c>
      <c r="FJ141" s="38" t="e">
        <f>VLOOKUP(FH141,[1]Sheet3!$A:$D,4,0)</f>
        <v>#N/A</v>
      </c>
      <c r="FL141" s="13"/>
    </row>
    <row r="142" spans="1:168" ht="21" hidden="1" x14ac:dyDescent="0.25">
      <c r="A142" s="15" t="s">
        <v>703</v>
      </c>
      <c r="B142" s="15" t="s">
        <v>149</v>
      </c>
      <c r="C142" s="15" t="s">
        <v>625</v>
      </c>
      <c r="D142" s="15" t="s">
        <v>636</v>
      </c>
      <c r="E142" s="15" t="s">
        <v>259</v>
      </c>
      <c r="F142" s="15" t="s">
        <v>468</v>
      </c>
      <c r="G142" s="72" t="s">
        <v>321</v>
      </c>
      <c r="H142" s="15" t="s">
        <v>377</v>
      </c>
      <c r="I142" s="15" t="s">
        <v>378</v>
      </c>
      <c r="J142" s="15" t="s">
        <v>314</v>
      </c>
      <c r="K142" s="15" t="s">
        <v>258</v>
      </c>
      <c r="L142" s="15" t="s">
        <v>352</v>
      </c>
      <c r="M142" s="15" t="s">
        <v>187</v>
      </c>
      <c r="N142" s="63">
        <v>240</v>
      </c>
      <c r="O142" s="15"/>
      <c r="P142" s="15">
        <v>13.65</v>
      </c>
      <c r="Q142" s="15"/>
      <c r="R142" s="15"/>
      <c r="S142" s="15" t="s">
        <v>200</v>
      </c>
      <c r="T142" s="15"/>
      <c r="U142" s="15"/>
      <c r="V142" s="15"/>
      <c r="W142" s="15"/>
      <c r="X142" s="15"/>
      <c r="Y142" s="15" t="s">
        <v>162</v>
      </c>
      <c r="Z142" s="15" t="s">
        <v>373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 t="s">
        <v>170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61">
        <v>46057</v>
      </c>
      <c r="BE142" s="61" t="s">
        <v>192</v>
      </c>
      <c r="BF142" s="15" t="s">
        <v>219</v>
      </c>
      <c r="BG142" s="15" t="s">
        <v>219</v>
      </c>
      <c r="BH142" s="15" t="s">
        <v>219</v>
      </c>
      <c r="BI142" s="15" t="s">
        <v>199</v>
      </c>
      <c r="BJ142" s="15"/>
      <c r="BK142" s="15"/>
      <c r="BL142" s="15"/>
      <c r="BM142" s="15"/>
      <c r="BN142" s="15"/>
      <c r="BO142" s="64"/>
      <c r="BP142" s="64">
        <v>46107</v>
      </c>
      <c r="BQ142" s="15"/>
      <c r="BR142" s="15"/>
      <c r="BS142" s="64"/>
      <c r="BT142" s="64">
        <v>46117</v>
      </c>
      <c r="BU142" s="64">
        <v>46189</v>
      </c>
      <c r="BV142" s="15"/>
      <c r="BW142" s="64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15"/>
      <c r="CL142" s="68">
        <v>21</v>
      </c>
      <c r="CM142" s="68">
        <v>64</v>
      </c>
      <c r="CN142" s="68">
        <v>79</v>
      </c>
      <c r="CO142" s="68">
        <v>47</v>
      </c>
      <c r="CP142" s="68">
        <v>29</v>
      </c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  <c r="EK142" s="68"/>
      <c r="EL142" s="68"/>
      <c r="EM142" s="68"/>
      <c r="EN142" s="68"/>
      <c r="EO142" s="68"/>
      <c r="EP142" s="68"/>
      <c r="EQ142" s="65">
        <f t="shared" si="22"/>
        <v>240</v>
      </c>
      <c r="ER142" s="6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 t="s">
        <v>176</v>
      </c>
      <c r="FF142" s="15"/>
      <c r="FG142" s="15"/>
      <c r="FH142" s="1" t="str">
        <f t="shared" si="20"/>
        <v>7109678940014702095656</v>
      </c>
      <c r="FI142" s="1" t="str">
        <f t="shared" si="21"/>
        <v>PRLS/25/13164</v>
      </c>
      <c r="FJ142" s="38" t="e">
        <f>VLOOKUP(FH142,[1]Sheet3!$A:$D,4,0)</f>
        <v>#N/A</v>
      </c>
      <c r="FL142" s="13"/>
    </row>
    <row r="143" spans="1:168" ht="21" hidden="1" x14ac:dyDescent="0.25">
      <c r="A143" s="15" t="s">
        <v>704</v>
      </c>
      <c r="B143" s="15" t="s">
        <v>149</v>
      </c>
      <c r="C143" s="15" t="s">
        <v>625</v>
      </c>
      <c r="D143" s="15" t="s">
        <v>636</v>
      </c>
      <c r="E143" s="15" t="s">
        <v>259</v>
      </c>
      <c r="F143" s="15" t="s">
        <v>468</v>
      </c>
      <c r="G143" s="72" t="s">
        <v>321</v>
      </c>
      <c r="H143" s="15" t="s">
        <v>379</v>
      </c>
      <c r="I143" s="15" t="s">
        <v>378</v>
      </c>
      <c r="J143" s="15" t="s">
        <v>314</v>
      </c>
      <c r="K143" s="15" t="s">
        <v>258</v>
      </c>
      <c r="L143" s="15" t="s">
        <v>352</v>
      </c>
      <c r="M143" s="15" t="s">
        <v>198</v>
      </c>
      <c r="N143" s="63">
        <v>180</v>
      </c>
      <c r="O143" s="15"/>
      <c r="P143" s="15">
        <v>13.65</v>
      </c>
      <c r="Q143" s="15"/>
      <c r="R143" s="15"/>
      <c r="S143" s="15" t="s">
        <v>200</v>
      </c>
      <c r="T143" s="15"/>
      <c r="U143" s="15"/>
      <c r="V143" s="15"/>
      <c r="W143" s="15"/>
      <c r="X143" s="15"/>
      <c r="Y143" s="15" t="s">
        <v>162</v>
      </c>
      <c r="Z143" s="15" t="s">
        <v>373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 t="s">
        <v>170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61">
        <v>46073</v>
      </c>
      <c r="BE143" s="61" t="s">
        <v>192</v>
      </c>
      <c r="BF143" s="15" t="s">
        <v>219</v>
      </c>
      <c r="BG143" s="15" t="s">
        <v>219</v>
      </c>
      <c r="BH143" s="15" t="s">
        <v>199</v>
      </c>
      <c r="BI143" s="15" t="s">
        <v>199</v>
      </c>
      <c r="BJ143" s="15"/>
      <c r="BK143" s="15"/>
      <c r="BL143" s="15"/>
      <c r="BM143" s="15"/>
      <c r="BN143" s="15"/>
      <c r="BO143" s="64"/>
      <c r="BP143" s="64">
        <v>46107</v>
      </c>
      <c r="BQ143" s="15"/>
      <c r="BR143" s="15"/>
      <c r="BS143" s="64"/>
      <c r="BT143" s="64">
        <v>46117</v>
      </c>
      <c r="BU143" s="64">
        <v>46189</v>
      </c>
      <c r="BV143" s="15"/>
      <c r="BW143" s="64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15"/>
      <c r="CL143" s="68">
        <v>17</v>
      </c>
      <c r="CM143" s="68">
        <v>48</v>
      </c>
      <c r="CN143" s="68">
        <v>59</v>
      </c>
      <c r="CO143" s="68">
        <v>35</v>
      </c>
      <c r="CP143" s="68">
        <v>21</v>
      </c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  <c r="EE143" s="68"/>
      <c r="EF143" s="68"/>
      <c r="EG143" s="68"/>
      <c r="EH143" s="68"/>
      <c r="EI143" s="68"/>
      <c r="EJ143" s="68"/>
      <c r="EK143" s="68"/>
      <c r="EL143" s="68"/>
      <c r="EM143" s="68"/>
      <c r="EN143" s="68"/>
      <c r="EO143" s="68"/>
      <c r="EP143" s="68"/>
      <c r="EQ143" s="65">
        <f t="shared" si="22"/>
        <v>180</v>
      </c>
      <c r="ER143" s="6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 t="s">
        <v>176</v>
      </c>
      <c r="FF143" s="15"/>
      <c r="FG143" s="15"/>
      <c r="FH143" s="1" t="str">
        <f t="shared" si="20"/>
        <v>7109678940024702095656</v>
      </c>
      <c r="FI143" s="1" t="str">
        <f t="shared" si="21"/>
        <v>PRLS/25/13166</v>
      </c>
      <c r="FJ143" s="38" t="e">
        <f>VLOOKUP(FH143,[1]Sheet3!$A:$D,4,0)</f>
        <v>#N/A</v>
      </c>
      <c r="FL143" s="13"/>
    </row>
    <row r="144" spans="1:168" ht="21" hidden="1" x14ac:dyDescent="0.25">
      <c r="A144" s="15" t="s">
        <v>705</v>
      </c>
      <c r="B144" s="15" t="s">
        <v>149</v>
      </c>
      <c r="C144" s="15" t="s">
        <v>625</v>
      </c>
      <c r="D144" s="15" t="s">
        <v>636</v>
      </c>
      <c r="E144" s="15" t="s">
        <v>259</v>
      </c>
      <c r="F144" s="15" t="s">
        <v>468</v>
      </c>
      <c r="G144" s="72" t="s">
        <v>321</v>
      </c>
      <c r="H144" s="15" t="s">
        <v>431</v>
      </c>
      <c r="I144" s="15" t="s">
        <v>378</v>
      </c>
      <c r="J144" s="15" t="s">
        <v>314</v>
      </c>
      <c r="K144" s="15" t="s">
        <v>258</v>
      </c>
      <c r="L144" s="15" t="s">
        <v>352</v>
      </c>
      <c r="M144" s="15" t="s">
        <v>233</v>
      </c>
      <c r="N144" s="63">
        <v>72</v>
      </c>
      <c r="O144" s="15"/>
      <c r="P144" s="15">
        <v>13.65</v>
      </c>
      <c r="Q144" s="15"/>
      <c r="R144" s="15"/>
      <c r="S144" s="15" t="s">
        <v>200</v>
      </c>
      <c r="T144" s="15"/>
      <c r="U144" s="15"/>
      <c r="V144" s="15"/>
      <c r="W144" s="15"/>
      <c r="X144" s="15"/>
      <c r="Y144" s="15" t="s">
        <v>162</v>
      </c>
      <c r="Z144" s="15" t="s">
        <v>373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 t="s">
        <v>170</v>
      </c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61">
        <v>46069</v>
      </c>
      <c r="BE144" s="61" t="s">
        <v>192</v>
      </c>
      <c r="BF144" s="15" t="s">
        <v>219</v>
      </c>
      <c r="BG144" s="15" t="s">
        <v>219</v>
      </c>
      <c r="BH144" s="15" t="s">
        <v>219</v>
      </c>
      <c r="BI144" s="15" t="s">
        <v>199</v>
      </c>
      <c r="BJ144" s="15"/>
      <c r="BK144" s="15"/>
      <c r="BL144" s="15"/>
      <c r="BM144" s="15"/>
      <c r="BN144" s="15"/>
      <c r="BO144" s="64"/>
      <c r="BP144" s="64">
        <v>46107</v>
      </c>
      <c r="BQ144" s="15"/>
      <c r="BR144" s="15"/>
      <c r="BS144" s="64"/>
      <c r="BT144" s="64">
        <v>46117</v>
      </c>
      <c r="BU144" s="64">
        <v>46189</v>
      </c>
      <c r="BV144" s="15"/>
      <c r="BW144" s="64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15"/>
      <c r="CL144" s="68">
        <v>7</v>
      </c>
      <c r="CM144" s="68">
        <v>18</v>
      </c>
      <c r="CN144" s="68">
        <v>24</v>
      </c>
      <c r="CO144" s="68">
        <v>14</v>
      </c>
      <c r="CP144" s="68">
        <v>9</v>
      </c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  <c r="EE144" s="68"/>
      <c r="EF144" s="68"/>
      <c r="EG144" s="68"/>
      <c r="EH144" s="68"/>
      <c r="EI144" s="68"/>
      <c r="EJ144" s="68"/>
      <c r="EK144" s="68"/>
      <c r="EL144" s="68"/>
      <c r="EM144" s="68"/>
      <c r="EN144" s="68"/>
      <c r="EO144" s="68"/>
      <c r="EP144" s="68"/>
      <c r="EQ144" s="65">
        <f t="shared" si="22"/>
        <v>72</v>
      </c>
      <c r="ER144" s="6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 t="s">
        <v>176</v>
      </c>
      <c r="FF144" s="15"/>
      <c r="FG144" s="15"/>
      <c r="FH144" s="1" t="str">
        <f t="shared" si="20"/>
        <v>7109678945004702095656</v>
      </c>
      <c r="FI144" s="1" t="str">
        <f t="shared" si="21"/>
        <v>PRLS/25/13167</v>
      </c>
      <c r="FJ144" s="38" t="e">
        <f>VLOOKUP(FH144,[1]Sheet3!$A:$D,4,0)</f>
        <v>#N/A</v>
      </c>
      <c r="FL144" s="13"/>
    </row>
    <row r="145" spans="1:168" ht="21" hidden="1" x14ac:dyDescent="0.25">
      <c r="A145" s="15" t="s">
        <v>706</v>
      </c>
      <c r="B145" s="15" t="s">
        <v>149</v>
      </c>
      <c r="C145" s="15" t="s">
        <v>625</v>
      </c>
      <c r="D145" s="15" t="s">
        <v>634</v>
      </c>
      <c r="E145" s="15" t="s">
        <v>151</v>
      </c>
      <c r="F145" s="15" t="s">
        <v>469</v>
      </c>
      <c r="G145" s="72" t="s">
        <v>321</v>
      </c>
      <c r="H145" s="15" t="s">
        <v>310</v>
      </c>
      <c r="I145" s="15" t="s">
        <v>311</v>
      </c>
      <c r="J145" s="15" t="s">
        <v>312</v>
      </c>
      <c r="K145" s="15" t="s">
        <v>258</v>
      </c>
      <c r="L145" s="15" t="s">
        <v>313</v>
      </c>
      <c r="M145" s="15" t="s">
        <v>309</v>
      </c>
      <c r="N145" s="63">
        <v>1406</v>
      </c>
      <c r="O145" s="15"/>
      <c r="P145" s="15">
        <v>19.96</v>
      </c>
      <c r="Q145" s="15"/>
      <c r="R145" s="15"/>
      <c r="S145" s="15" t="s">
        <v>200</v>
      </c>
      <c r="T145" s="15"/>
      <c r="U145" s="15"/>
      <c r="V145" s="15"/>
      <c r="W145" s="15"/>
      <c r="X145" s="15"/>
      <c r="Y145" s="15" t="s">
        <v>162</v>
      </c>
      <c r="Z145" s="15" t="s">
        <v>373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 t="e">
        <v>#N/A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61">
        <v>46076</v>
      </c>
      <c r="BE145" s="61" t="s">
        <v>192</v>
      </c>
      <c r="BF145" s="15" t="s">
        <v>219</v>
      </c>
      <c r="BG145" s="15" t="s">
        <v>219</v>
      </c>
      <c r="BH145" s="15" t="s">
        <v>219</v>
      </c>
      <c r="BI145" s="15" t="s">
        <v>199</v>
      </c>
      <c r="BJ145" s="15"/>
      <c r="BK145" s="15"/>
      <c r="BL145" s="15"/>
      <c r="BM145" s="15"/>
      <c r="BN145" s="15"/>
      <c r="BO145" s="64"/>
      <c r="BP145" s="64">
        <v>46114</v>
      </c>
      <c r="BQ145" s="15"/>
      <c r="BR145" s="15"/>
      <c r="BS145" s="64"/>
      <c r="BT145" s="64">
        <v>46124</v>
      </c>
      <c r="BU145" s="64">
        <v>46189</v>
      </c>
      <c r="BV145" s="15"/>
      <c r="BW145" s="64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15">
        <v>78</v>
      </c>
      <c r="CL145" s="68">
        <v>173</v>
      </c>
      <c r="CM145" s="68">
        <v>422</v>
      </c>
      <c r="CN145" s="68">
        <v>422</v>
      </c>
      <c r="CO145" s="68">
        <v>225</v>
      </c>
      <c r="CP145" s="68">
        <v>86</v>
      </c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  <c r="EK145" s="68"/>
      <c r="EL145" s="68"/>
      <c r="EM145" s="68"/>
      <c r="EN145" s="68"/>
      <c r="EO145" s="68"/>
      <c r="EP145" s="68"/>
      <c r="EQ145" s="65">
        <f t="shared" si="22"/>
        <v>1406</v>
      </c>
      <c r="ER145" s="6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 t="s">
        <v>176</v>
      </c>
      <c r="FF145" s="15"/>
      <c r="FG145" s="15"/>
      <c r="FH145" s="1" t="str">
        <f t="shared" si="20"/>
        <v>7109689710014702095657</v>
      </c>
      <c r="FI145" s="1" t="str">
        <f t="shared" si="21"/>
        <v>PRLS/25/13168</v>
      </c>
      <c r="FJ145" s="38" t="e">
        <f>VLOOKUP(FH145,[1]Sheet3!$A:$D,4,0)</f>
        <v>#N/A</v>
      </c>
      <c r="FL145" s="13"/>
    </row>
    <row r="146" spans="1:168" ht="21" hidden="1" x14ac:dyDescent="0.25">
      <c r="A146" s="15" t="s">
        <v>707</v>
      </c>
      <c r="B146" s="15" t="s">
        <v>149</v>
      </c>
      <c r="C146" s="15" t="s">
        <v>625</v>
      </c>
      <c r="D146" s="15" t="s">
        <v>634</v>
      </c>
      <c r="E146" s="15" t="s">
        <v>151</v>
      </c>
      <c r="F146" s="15" t="s">
        <v>469</v>
      </c>
      <c r="G146" s="72" t="s">
        <v>321</v>
      </c>
      <c r="H146" s="15" t="s">
        <v>324</v>
      </c>
      <c r="I146" s="15" t="s">
        <v>311</v>
      </c>
      <c r="J146" s="15" t="s">
        <v>312</v>
      </c>
      <c r="K146" s="15" t="s">
        <v>258</v>
      </c>
      <c r="L146" s="15" t="s">
        <v>313</v>
      </c>
      <c r="M146" s="15" t="s">
        <v>325</v>
      </c>
      <c r="N146" s="63">
        <v>1560</v>
      </c>
      <c r="O146" s="15"/>
      <c r="P146" s="15">
        <v>19.100000000000001</v>
      </c>
      <c r="Q146" s="15"/>
      <c r="R146" s="15"/>
      <c r="S146" s="15" t="s">
        <v>200</v>
      </c>
      <c r="T146" s="15"/>
      <c r="U146" s="15"/>
      <c r="V146" s="15"/>
      <c r="W146" s="15"/>
      <c r="X146" s="15"/>
      <c r="Y146" s="15" t="s">
        <v>162</v>
      </c>
      <c r="Z146" s="15" t="s">
        <v>373</v>
      </c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 t="e">
        <v>#N/A</v>
      </c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61">
        <v>46076</v>
      </c>
      <c r="BE146" s="61" t="s">
        <v>192</v>
      </c>
      <c r="BF146" s="15" t="s">
        <v>219</v>
      </c>
      <c r="BG146" s="15" t="s">
        <v>219</v>
      </c>
      <c r="BH146" s="15" t="s">
        <v>219</v>
      </c>
      <c r="BI146" s="15" t="s">
        <v>199</v>
      </c>
      <c r="BJ146" s="15"/>
      <c r="BK146" s="15"/>
      <c r="BL146" s="15"/>
      <c r="BM146" s="15"/>
      <c r="BN146" s="15"/>
      <c r="BO146" s="64"/>
      <c r="BP146" s="64">
        <v>46114</v>
      </c>
      <c r="BQ146" s="15"/>
      <c r="BR146" s="15"/>
      <c r="BS146" s="64"/>
      <c r="BT146" s="64">
        <v>46124</v>
      </c>
      <c r="BU146" s="64">
        <v>46189</v>
      </c>
      <c r="BV146" s="15"/>
      <c r="BW146" s="64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15">
        <v>90</v>
      </c>
      <c r="CL146" s="68">
        <v>191</v>
      </c>
      <c r="CM146" s="68">
        <v>467</v>
      </c>
      <c r="CN146" s="68">
        <v>467</v>
      </c>
      <c r="CO146" s="68">
        <v>249</v>
      </c>
      <c r="CP146" s="68">
        <v>96</v>
      </c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  <c r="EE146" s="68"/>
      <c r="EF146" s="68"/>
      <c r="EG146" s="68"/>
      <c r="EH146" s="68"/>
      <c r="EI146" s="68"/>
      <c r="EJ146" s="68"/>
      <c r="EK146" s="68"/>
      <c r="EL146" s="68"/>
      <c r="EM146" s="68"/>
      <c r="EN146" s="68"/>
      <c r="EO146" s="68"/>
      <c r="EP146" s="68"/>
      <c r="EQ146" s="65">
        <f t="shared" si="22"/>
        <v>1560</v>
      </c>
      <c r="ER146" s="6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 t="s">
        <v>176</v>
      </c>
      <c r="FF146" s="15"/>
      <c r="FG146" s="15"/>
      <c r="FH146" s="1" t="str">
        <f t="shared" si="20"/>
        <v>7109689710054702095657</v>
      </c>
      <c r="FI146" s="1" t="str">
        <f t="shared" si="21"/>
        <v>PRLS/25/13169</v>
      </c>
      <c r="FJ146" s="38" t="e">
        <f>VLOOKUP(FH146,[1]Sheet3!$A:$D,4,0)</f>
        <v>#N/A</v>
      </c>
      <c r="FL146" s="13"/>
    </row>
    <row r="147" spans="1:168" ht="21" hidden="1" x14ac:dyDescent="0.25">
      <c r="A147" s="15" t="s">
        <v>708</v>
      </c>
      <c r="B147" s="15" t="s">
        <v>149</v>
      </c>
      <c r="C147" s="15" t="s">
        <v>625</v>
      </c>
      <c r="D147" s="15" t="s">
        <v>635</v>
      </c>
      <c r="E147" s="15" t="s">
        <v>151</v>
      </c>
      <c r="F147" s="15" t="s">
        <v>469</v>
      </c>
      <c r="G147" s="72" t="s">
        <v>321</v>
      </c>
      <c r="H147" s="15" t="s">
        <v>327</v>
      </c>
      <c r="I147" s="15" t="s">
        <v>326</v>
      </c>
      <c r="J147" s="15" t="s">
        <v>312</v>
      </c>
      <c r="K147" s="15" t="s">
        <v>258</v>
      </c>
      <c r="L147" s="15" t="s">
        <v>262</v>
      </c>
      <c r="M147" s="15" t="s">
        <v>328</v>
      </c>
      <c r="N147" s="63">
        <v>500</v>
      </c>
      <c r="O147" s="15"/>
      <c r="P147" s="15">
        <v>22.67</v>
      </c>
      <c r="Q147" s="15"/>
      <c r="R147" s="15"/>
      <c r="S147" s="15" t="s">
        <v>200</v>
      </c>
      <c r="T147" s="15"/>
      <c r="U147" s="15"/>
      <c r="V147" s="15"/>
      <c r="W147" s="15"/>
      <c r="X147" s="15"/>
      <c r="Y147" s="15" t="s">
        <v>162</v>
      </c>
      <c r="Z147" s="15" t="s">
        <v>373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 t="e">
        <v>#N/A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61">
        <v>46052</v>
      </c>
      <c r="BE147" s="61" t="s">
        <v>192</v>
      </c>
      <c r="BF147" s="15" t="s">
        <v>199</v>
      </c>
      <c r="BG147" s="15" t="s">
        <v>219</v>
      </c>
      <c r="BH147" s="15" t="s">
        <v>219</v>
      </c>
      <c r="BI147" s="15" t="s">
        <v>199</v>
      </c>
      <c r="BJ147" s="15"/>
      <c r="BK147" s="15"/>
      <c r="BL147" s="15"/>
      <c r="BM147" s="15"/>
      <c r="BN147" s="15"/>
      <c r="BO147" s="64"/>
      <c r="BP147" s="64">
        <v>46114</v>
      </c>
      <c r="BQ147" s="15"/>
      <c r="BR147" s="15"/>
      <c r="BS147" s="64"/>
      <c r="BT147" s="64">
        <v>46124</v>
      </c>
      <c r="BU147" s="64">
        <v>46189</v>
      </c>
      <c r="BV147" s="15"/>
      <c r="BW147" s="64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15">
        <v>30</v>
      </c>
      <c r="CL147" s="68">
        <v>60</v>
      </c>
      <c r="CM147" s="68">
        <v>149</v>
      </c>
      <c r="CN147" s="68">
        <v>151</v>
      </c>
      <c r="CO147" s="68">
        <v>80</v>
      </c>
      <c r="CP147" s="68">
        <v>30</v>
      </c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  <c r="EE147" s="68"/>
      <c r="EF147" s="68"/>
      <c r="EG147" s="68"/>
      <c r="EH147" s="68"/>
      <c r="EI147" s="68"/>
      <c r="EJ147" s="68"/>
      <c r="EK147" s="68"/>
      <c r="EL147" s="68"/>
      <c r="EM147" s="68"/>
      <c r="EN147" s="68"/>
      <c r="EO147" s="68"/>
      <c r="EP147" s="68"/>
      <c r="EQ147" s="65">
        <f t="shared" si="22"/>
        <v>500</v>
      </c>
      <c r="ER147" s="6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 t="s">
        <v>176</v>
      </c>
      <c r="FF147" s="15"/>
      <c r="FG147" s="15"/>
      <c r="FH147" s="1" t="str">
        <f t="shared" si="20"/>
        <v>7109689730034702095658</v>
      </c>
      <c r="FI147" s="1" t="str">
        <f t="shared" si="21"/>
        <v>PRLS/25/13171</v>
      </c>
      <c r="FJ147" s="38" t="e">
        <f>VLOOKUP(FH147,[1]Sheet3!$A:$D,4,0)</f>
        <v>#N/A</v>
      </c>
      <c r="FL147" s="13"/>
    </row>
    <row r="148" spans="1:168" ht="21" hidden="1" x14ac:dyDescent="0.25">
      <c r="A148" s="15" t="s">
        <v>709</v>
      </c>
      <c r="B148" s="15" t="s">
        <v>149</v>
      </c>
      <c r="C148" s="15" t="s">
        <v>625</v>
      </c>
      <c r="D148" s="15" t="s">
        <v>635</v>
      </c>
      <c r="E148" s="15" t="s">
        <v>151</v>
      </c>
      <c r="F148" s="15" t="s">
        <v>469</v>
      </c>
      <c r="G148" s="72" t="s">
        <v>321</v>
      </c>
      <c r="H148" s="15" t="s">
        <v>329</v>
      </c>
      <c r="I148" s="15" t="s">
        <v>326</v>
      </c>
      <c r="J148" s="15" t="s">
        <v>312</v>
      </c>
      <c r="K148" s="15" t="s">
        <v>258</v>
      </c>
      <c r="L148" s="15" t="s">
        <v>262</v>
      </c>
      <c r="M148" s="15" t="s">
        <v>330</v>
      </c>
      <c r="N148" s="63">
        <v>650</v>
      </c>
      <c r="O148" s="15"/>
      <c r="P148" s="15">
        <v>22.67</v>
      </c>
      <c r="Q148" s="15"/>
      <c r="R148" s="15"/>
      <c r="S148" s="15" t="s">
        <v>200</v>
      </c>
      <c r="T148" s="15"/>
      <c r="U148" s="15"/>
      <c r="V148" s="15"/>
      <c r="W148" s="15"/>
      <c r="X148" s="15"/>
      <c r="Y148" s="15" t="s">
        <v>162</v>
      </c>
      <c r="Z148" s="15" t="s">
        <v>373</v>
      </c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 t="e">
        <v>#N/A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61">
        <v>46052</v>
      </c>
      <c r="BE148" s="61" t="s">
        <v>192</v>
      </c>
      <c r="BF148" s="15" t="s">
        <v>199</v>
      </c>
      <c r="BG148" s="15" t="s">
        <v>219</v>
      </c>
      <c r="BH148" s="15" t="s">
        <v>219</v>
      </c>
      <c r="BI148" s="15" t="s">
        <v>199</v>
      </c>
      <c r="BJ148" s="15"/>
      <c r="BK148" s="15"/>
      <c r="BL148" s="15"/>
      <c r="BM148" s="15"/>
      <c r="BN148" s="15"/>
      <c r="BO148" s="64"/>
      <c r="BP148" s="64">
        <v>46114</v>
      </c>
      <c r="BQ148" s="15"/>
      <c r="BR148" s="15"/>
      <c r="BS148" s="64"/>
      <c r="BT148" s="64">
        <v>46124</v>
      </c>
      <c r="BU148" s="64">
        <v>46189</v>
      </c>
      <c r="BV148" s="15"/>
      <c r="BW148" s="64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15">
        <v>39</v>
      </c>
      <c r="CL148" s="68">
        <v>78</v>
      </c>
      <c r="CM148" s="68">
        <v>195</v>
      </c>
      <c r="CN148" s="68">
        <v>195</v>
      </c>
      <c r="CO148" s="68">
        <v>104</v>
      </c>
      <c r="CP148" s="68">
        <v>39</v>
      </c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  <c r="EE148" s="68"/>
      <c r="EF148" s="68"/>
      <c r="EG148" s="68"/>
      <c r="EH148" s="68"/>
      <c r="EI148" s="68"/>
      <c r="EJ148" s="68"/>
      <c r="EK148" s="68"/>
      <c r="EL148" s="68"/>
      <c r="EM148" s="68"/>
      <c r="EN148" s="68"/>
      <c r="EO148" s="68"/>
      <c r="EP148" s="68"/>
      <c r="EQ148" s="65">
        <f t="shared" si="22"/>
        <v>650</v>
      </c>
      <c r="ER148" s="6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 t="s">
        <v>176</v>
      </c>
      <c r="FF148" s="15"/>
      <c r="FG148" s="15"/>
      <c r="FH148" s="1" t="str">
        <f t="shared" si="20"/>
        <v>7109689730044702095658</v>
      </c>
      <c r="FI148" s="1" t="str">
        <f t="shared" si="21"/>
        <v>PRLS/25/13172</v>
      </c>
      <c r="FJ148" s="38" t="e">
        <f>VLOOKUP(FH148,[1]Sheet3!$A:$D,4,0)</f>
        <v>#N/A</v>
      </c>
      <c r="FL148" s="13"/>
    </row>
    <row r="149" spans="1:168" ht="21" hidden="1" x14ac:dyDescent="0.25">
      <c r="A149" s="15" t="s">
        <v>710</v>
      </c>
      <c r="B149" s="15" t="s">
        <v>149</v>
      </c>
      <c r="C149" s="15" t="s">
        <v>625</v>
      </c>
      <c r="D149" s="15" t="s">
        <v>639</v>
      </c>
      <c r="E149" s="15" t="s">
        <v>257</v>
      </c>
      <c r="F149" s="15" t="s">
        <v>181</v>
      </c>
      <c r="G149" s="72" t="s">
        <v>321</v>
      </c>
      <c r="H149" s="15" t="s">
        <v>627</v>
      </c>
      <c r="I149" s="15" t="s">
        <v>715</v>
      </c>
      <c r="J149" s="15" t="s">
        <v>630</v>
      </c>
      <c r="K149" s="15" t="s">
        <v>258</v>
      </c>
      <c r="L149" s="15" t="s">
        <v>247</v>
      </c>
      <c r="M149" s="15" t="s">
        <v>391</v>
      </c>
      <c r="N149" s="63">
        <v>3580</v>
      </c>
      <c r="O149" s="15"/>
      <c r="P149" s="15">
        <v>12.51</v>
      </c>
      <c r="Q149" s="15"/>
      <c r="R149" s="15"/>
      <c r="S149" s="15" t="s">
        <v>235</v>
      </c>
      <c r="T149" s="15"/>
      <c r="U149" s="15"/>
      <c r="V149" s="15"/>
      <c r="W149" s="15"/>
      <c r="X149" s="15"/>
      <c r="Y149" s="15" t="s">
        <v>320</v>
      </c>
      <c r="Z149" s="15" t="s">
        <v>191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 t="s">
        <v>170</v>
      </c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61">
        <v>46069</v>
      </c>
      <c r="BE149" s="61" t="s">
        <v>192</v>
      </c>
      <c r="BF149" s="15" t="s">
        <v>219</v>
      </c>
      <c r="BG149" s="15" t="s">
        <v>219</v>
      </c>
      <c r="BH149" s="15" t="s">
        <v>219</v>
      </c>
      <c r="BI149" s="15" t="s">
        <v>199</v>
      </c>
      <c r="BJ149" s="15"/>
      <c r="BK149" s="15"/>
      <c r="BL149" s="15"/>
      <c r="BM149" s="15"/>
      <c r="BN149" s="15"/>
      <c r="BO149" s="64"/>
      <c r="BP149" s="64">
        <v>46107</v>
      </c>
      <c r="BQ149" s="15"/>
      <c r="BR149" s="15"/>
      <c r="BS149" s="64"/>
      <c r="BT149" s="64">
        <v>46117</v>
      </c>
      <c r="BU149" s="64">
        <v>46189</v>
      </c>
      <c r="BV149" s="15"/>
      <c r="BW149" s="64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15"/>
      <c r="CL149" s="68">
        <v>382</v>
      </c>
      <c r="CM149" s="68">
        <v>1003</v>
      </c>
      <c r="CN149" s="68">
        <v>1182</v>
      </c>
      <c r="CO149" s="68">
        <v>686</v>
      </c>
      <c r="CP149" s="68">
        <v>327</v>
      </c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  <c r="EE149" s="68"/>
      <c r="EF149" s="68"/>
      <c r="EG149" s="68"/>
      <c r="EH149" s="68"/>
      <c r="EI149" s="68"/>
      <c r="EJ149" s="68"/>
      <c r="EK149" s="68"/>
      <c r="EL149" s="68"/>
      <c r="EM149" s="68"/>
      <c r="EN149" s="68"/>
      <c r="EO149" s="68"/>
      <c r="EP149" s="68"/>
      <c r="EQ149" s="65">
        <f t="shared" si="22"/>
        <v>3580</v>
      </c>
      <c r="ER149" s="6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 t="s">
        <v>176</v>
      </c>
      <c r="FF149" s="15"/>
      <c r="FG149" s="15"/>
      <c r="FH149" s="1" t="str">
        <f t="shared" si="20"/>
        <v>710B293670014702095659</v>
      </c>
      <c r="FI149" s="1" t="str">
        <f t="shared" si="21"/>
        <v>PRLS/25/13165</v>
      </c>
      <c r="FJ149" s="38" t="e">
        <f>VLOOKUP(FH149,[1]Sheet3!$A:$D,4,0)</f>
        <v>#N/A</v>
      </c>
      <c r="FL149" s="13"/>
    </row>
    <row r="150" spans="1:168" ht="21" hidden="1" x14ac:dyDescent="0.25">
      <c r="A150" s="15" t="s">
        <v>710</v>
      </c>
      <c r="B150" s="15" t="s">
        <v>149</v>
      </c>
      <c r="C150" s="15" t="s">
        <v>625</v>
      </c>
      <c r="D150" s="15" t="s">
        <v>641</v>
      </c>
      <c r="E150" s="15" t="s">
        <v>257</v>
      </c>
      <c r="F150" s="15" t="s">
        <v>181</v>
      </c>
      <c r="G150" s="15" t="s">
        <v>374</v>
      </c>
      <c r="H150" s="15" t="s">
        <v>627</v>
      </c>
      <c r="I150" s="15" t="s">
        <v>715</v>
      </c>
      <c r="J150" s="15" t="s">
        <v>630</v>
      </c>
      <c r="K150" s="15" t="s">
        <v>258</v>
      </c>
      <c r="L150" s="15" t="s">
        <v>247</v>
      </c>
      <c r="M150" s="15" t="s">
        <v>391</v>
      </c>
      <c r="N150" s="63">
        <v>100</v>
      </c>
      <c r="O150" s="15"/>
      <c r="P150" s="15">
        <v>12.51</v>
      </c>
      <c r="Q150" s="15"/>
      <c r="R150" s="15"/>
      <c r="S150" s="15" t="s">
        <v>235</v>
      </c>
      <c r="T150" s="15"/>
      <c r="U150" s="15"/>
      <c r="V150" s="15"/>
      <c r="W150" s="15"/>
      <c r="X150" s="15"/>
      <c r="Y150" s="15" t="s">
        <v>320</v>
      </c>
      <c r="Z150" s="15" t="s">
        <v>191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 t="s">
        <v>170</v>
      </c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61">
        <v>46069</v>
      </c>
      <c r="BE150" s="61" t="s">
        <v>192</v>
      </c>
      <c r="BF150" s="15" t="s">
        <v>219</v>
      </c>
      <c r="BG150" s="15" t="s">
        <v>219</v>
      </c>
      <c r="BH150" s="15" t="s">
        <v>219</v>
      </c>
      <c r="BI150" s="15" t="s">
        <v>199</v>
      </c>
      <c r="BJ150" s="15"/>
      <c r="BK150" s="15"/>
      <c r="BL150" s="15"/>
      <c r="BM150" s="15"/>
      <c r="BN150" s="15"/>
      <c r="BO150" s="64"/>
      <c r="BP150" s="64">
        <v>46107</v>
      </c>
      <c r="BQ150" s="15"/>
      <c r="BR150" s="15"/>
      <c r="BS150" s="64"/>
      <c r="BT150" s="64">
        <v>46117</v>
      </c>
      <c r="BU150" s="64">
        <v>46189</v>
      </c>
      <c r="BV150" s="15"/>
      <c r="BW150" s="64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15"/>
      <c r="CL150" s="68">
        <v>11</v>
      </c>
      <c r="CM150" s="68">
        <v>28</v>
      </c>
      <c r="CN150" s="68">
        <v>33</v>
      </c>
      <c r="CO150" s="68">
        <v>19</v>
      </c>
      <c r="CP150" s="68">
        <v>9</v>
      </c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  <c r="EE150" s="68"/>
      <c r="EF150" s="68"/>
      <c r="EG150" s="68"/>
      <c r="EH150" s="68"/>
      <c r="EI150" s="68"/>
      <c r="EJ150" s="68"/>
      <c r="EK150" s="68"/>
      <c r="EL150" s="68"/>
      <c r="EM150" s="68"/>
      <c r="EN150" s="68"/>
      <c r="EO150" s="68"/>
      <c r="EP150" s="68"/>
      <c r="EQ150" s="65">
        <f t="shared" si="22"/>
        <v>100</v>
      </c>
      <c r="ER150" s="6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 t="s">
        <v>176</v>
      </c>
      <c r="FF150" s="15"/>
      <c r="FG150" s="15"/>
      <c r="FH150" s="1" t="str">
        <f t="shared" si="20"/>
        <v>710B293670014702095660</v>
      </c>
      <c r="FI150" s="1" t="str">
        <f t="shared" si="21"/>
        <v>PRLS/25/13165</v>
      </c>
      <c r="FJ150" s="38" t="e">
        <f>VLOOKUP(FH150,[1]Sheet3!$A:$D,4,0)</f>
        <v>#N/A</v>
      </c>
      <c r="FL150" s="13"/>
    </row>
    <row r="151" spans="1:168" ht="21" hidden="1" x14ac:dyDescent="0.25">
      <c r="A151" s="15" t="s">
        <v>710</v>
      </c>
      <c r="B151" s="15" t="s">
        <v>149</v>
      </c>
      <c r="C151" s="15" t="s">
        <v>625</v>
      </c>
      <c r="D151" s="15" t="s">
        <v>638</v>
      </c>
      <c r="E151" s="15" t="s">
        <v>259</v>
      </c>
      <c r="F151" s="15" t="s">
        <v>468</v>
      </c>
      <c r="G151" s="15" t="s">
        <v>321</v>
      </c>
      <c r="H151" s="15" t="s">
        <v>627</v>
      </c>
      <c r="I151" s="15" t="s">
        <v>715</v>
      </c>
      <c r="J151" s="15" t="s">
        <v>630</v>
      </c>
      <c r="K151" s="15" t="s">
        <v>258</v>
      </c>
      <c r="L151" s="15" t="s">
        <v>247</v>
      </c>
      <c r="M151" s="15" t="s">
        <v>391</v>
      </c>
      <c r="N151" s="63">
        <v>320</v>
      </c>
      <c r="O151" s="15"/>
      <c r="P151" s="15">
        <v>12.51</v>
      </c>
      <c r="Q151" s="15"/>
      <c r="R151" s="15"/>
      <c r="S151" s="15" t="s">
        <v>235</v>
      </c>
      <c r="T151" s="15"/>
      <c r="U151" s="15"/>
      <c r="V151" s="15"/>
      <c r="W151" s="15"/>
      <c r="X151" s="15"/>
      <c r="Y151" s="15" t="s">
        <v>320</v>
      </c>
      <c r="Z151" s="15" t="s">
        <v>191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 t="s">
        <v>170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61">
        <v>46069</v>
      </c>
      <c r="BE151" s="61" t="s">
        <v>192</v>
      </c>
      <c r="BF151" s="15" t="s">
        <v>219</v>
      </c>
      <c r="BG151" s="15" t="s">
        <v>219</v>
      </c>
      <c r="BH151" s="15" t="s">
        <v>219</v>
      </c>
      <c r="BI151" s="15" t="s">
        <v>199</v>
      </c>
      <c r="BJ151" s="15"/>
      <c r="BK151" s="15"/>
      <c r="BL151" s="15"/>
      <c r="BM151" s="15"/>
      <c r="BN151" s="15"/>
      <c r="BO151" s="64"/>
      <c r="BP151" s="64">
        <v>46107</v>
      </c>
      <c r="BQ151" s="15"/>
      <c r="BR151" s="15"/>
      <c r="BS151" s="64"/>
      <c r="BT151" s="64">
        <v>46117</v>
      </c>
      <c r="BU151" s="64">
        <v>46189</v>
      </c>
      <c r="BV151" s="15"/>
      <c r="BW151" s="64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15"/>
      <c r="CL151" s="68">
        <v>40</v>
      </c>
      <c r="CM151" s="68">
        <v>98</v>
      </c>
      <c r="CN151" s="68">
        <v>103</v>
      </c>
      <c r="CO151" s="68">
        <v>53</v>
      </c>
      <c r="CP151" s="68">
        <v>26</v>
      </c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  <c r="EE151" s="68"/>
      <c r="EF151" s="68"/>
      <c r="EG151" s="68"/>
      <c r="EH151" s="68"/>
      <c r="EI151" s="68"/>
      <c r="EJ151" s="68"/>
      <c r="EK151" s="68"/>
      <c r="EL151" s="68"/>
      <c r="EM151" s="68"/>
      <c r="EN151" s="68"/>
      <c r="EO151" s="68"/>
      <c r="EP151" s="68"/>
      <c r="EQ151" s="65">
        <f t="shared" si="22"/>
        <v>320</v>
      </c>
      <c r="ER151" s="6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 t="s">
        <v>176</v>
      </c>
      <c r="FF151" s="15"/>
      <c r="FG151" s="15"/>
      <c r="FH151" s="1" t="str">
        <f t="shared" si="20"/>
        <v>710B293670014702095661</v>
      </c>
      <c r="FI151" s="1" t="str">
        <f t="shared" si="21"/>
        <v>PRLS/25/13165</v>
      </c>
      <c r="FJ151" s="38" t="e">
        <f>VLOOKUP(FH151,[1]Sheet3!$A:$D,4,0)</f>
        <v>#N/A</v>
      </c>
      <c r="FL151" s="13"/>
    </row>
    <row r="152" spans="1:168" ht="21" hidden="1" x14ac:dyDescent="0.25">
      <c r="A152" s="15" t="s">
        <v>711</v>
      </c>
      <c r="B152" s="15" t="s">
        <v>149</v>
      </c>
      <c r="C152" s="15" t="s">
        <v>625</v>
      </c>
      <c r="D152" s="15" t="s">
        <v>640</v>
      </c>
      <c r="E152" s="15" t="s">
        <v>259</v>
      </c>
      <c r="F152" s="15" t="s">
        <v>468</v>
      </c>
      <c r="G152" s="15" t="s">
        <v>321</v>
      </c>
      <c r="H152" s="15" t="s">
        <v>628</v>
      </c>
      <c r="I152" s="15" t="s">
        <v>716</v>
      </c>
      <c r="J152" s="15" t="s">
        <v>630</v>
      </c>
      <c r="K152" s="15" t="s">
        <v>258</v>
      </c>
      <c r="L152" s="15" t="s">
        <v>261</v>
      </c>
      <c r="M152" s="15" t="s">
        <v>392</v>
      </c>
      <c r="N152" s="63">
        <v>304</v>
      </c>
      <c r="O152" s="15"/>
      <c r="P152" s="15">
        <v>12.46</v>
      </c>
      <c r="Q152" s="15"/>
      <c r="R152" s="15"/>
      <c r="S152" s="15" t="s">
        <v>235</v>
      </c>
      <c r="T152" s="15"/>
      <c r="U152" s="15"/>
      <c r="V152" s="15"/>
      <c r="W152" s="15"/>
      <c r="X152" s="15"/>
      <c r="Y152" s="15" t="s">
        <v>320</v>
      </c>
      <c r="Z152" s="15" t="s">
        <v>191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 t="s">
        <v>170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61">
        <v>46069</v>
      </c>
      <c r="BE152" s="61" t="s">
        <v>192</v>
      </c>
      <c r="BF152" s="15" t="s">
        <v>219</v>
      </c>
      <c r="BG152" s="15" t="s">
        <v>219</v>
      </c>
      <c r="BH152" s="15" t="s">
        <v>219</v>
      </c>
      <c r="BI152" s="15" t="s">
        <v>199</v>
      </c>
      <c r="BJ152" s="15"/>
      <c r="BK152" s="15"/>
      <c r="BL152" s="15"/>
      <c r="BM152" s="15"/>
      <c r="BN152" s="15"/>
      <c r="BO152" s="64"/>
      <c r="BP152" s="64">
        <v>46107</v>
      </c>
      <c r="BQ152" s="15"/>
      <c r="BR152" s="15"/>
      <c r="BS152" s="64"/>
      <c r="BT152" s="64">
        <v>46117</v>
      </c>
      <c r="BU152" s="64">
        <v>46189</v>
      </c>
      <c r="BV152" s="15"/>
      <c r="BW152" s="64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15"/>
      <c r="CL152" s="68">
        <v>39</v>
      </c>
      <c r="CM152" s="68">
        <v>93</v>
      </c>
      <c r="CN152" s="68">
        <v>98</v>
      </c>
      <c r="CO152" s="68">
        <v>50</v>
      </c>
      <c r="CP152" s="68">
        <v>24</v>
      </c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  <c r="EE152" s="68"/>
      <c r="EF152" s="68"/>
      <c r="EG152" s="68"/>
      <c r="EH152" s="68"/>
      <c r="EI152" s="68"/>
      <c r="EJ152" s="68"/>
      <c r="EK152" s="68"/>
      <c r="EL152" s="68"/>
      <c r="EM152" s="68"/>
      <c r="EN152" s="68"/>
      <c r="EO152" s="68"/>
      <c r="EP152" s="68"/>
      <c r="EQ152" s="65">
        <f t="shared" si="22"/>
        <v>304</v>
      </c>
      <c r="ER152" s="6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 t="s">
        <v>176</v>
      </c>
      <c r="FF152" s="15"/>
      <c r="FG152" s="15"/>
      <c r="FH152" s="1" t="str">
        <f t="shared" si="20"/>
        <v>710B296390014702095664</v>
      </c>
      <c r="FI152" s="1" t="str">
        <f t="shared" si="21"/>
        <v>PRLS/25/13156</v>
      </c>
      <c r="FJ152" s="38" t="e">
        <f>VLOOKUP(FH152,[1]Sheet3!$A:$D,4,0)</f>
        <v>#N/A</v>
      </c>
      <c r="FL152" s="13"/>
    </row>
    <row r="153" spans="1:168" ht="21" hidden="1" x14ac:dyDescent="0.25">
      <c r="A153" s="15" t="s">
        <v>760</v>
      </c>
      <c r="B153" s="15" t="s">
        <v>149</v>
      </c>
      <c r="C153" s="15" t="s">
        <v>625</v>
      </c>
      <c r="D153" s="15" t="s">
        <v>667</v>
      </c>
      <c r="E153" s="15" t="s">
        <v>151</v>
      </c>
      <c r="F153" s="15" t="s">
        <v>152</v>
      </c>
      <c r="G153" s="15" t="s">
        <v>321</v>
      </c>
      <c r="H153" s="15" t="s">
        <v>324</v>
      </c>
      <c r="I153" s="15" t="s">
        <v>311</v>
      </c>
      <c r="J153" s="15" t="s">
        <v>312</v>
      </c>
      <c r="K153" s="15" t="s">
        <v>258</v>
      </c>
      <c r="L153" s="15" t="s">
        <v>313</v>
      </c>
      <c r="M153" s="15" t="s">
        <v>325</v>
      </c>
      <c r="N153" s="63">
        <v>506</v>
      </c>
      <c r="O153" s="15"/>
      <c r="P153" s="15">
        <v>19.100000000000001</v>
      </c>
      <c r="Q153" s="15"/>
      <c r="R153" s="15"/>
      <c r="S153" s="15" t="s">
        <v>200</v>
      </c>
      <c r="T153" s="15"/>
      <c r="U153" s="15"/>
      <c r="V153" s="15"/>
      <c r="W153" s="15"/>
      <c r="X153" s="15"/>
      <c r="Y153" s="15" t="s">
        <v>162</v>
      </c>
      <c r="Z153" s="15" t="s">
        <v>373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 t="e">
        <v>#N/A</v>
      </c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61">
        <v>46076</v>
      </c>
      <c r="BE153" s="61" t="s">
        <v>192</v>
      </c>
      <c r="BF153" s="15" t="s">
        <v>219</v>
      </c>
      <c r="BG153" s="15" t="s">
        <v>219</v>
      </c>
      <c r="BH153" s="15" t="s">
        <v>219</v>
      </c>
      <c r="BI153" s="15" t="s">
        <v>199</v>
      </c>
      <c r="BJ153" s="15"/>
      <c r="BK153" s="15"/>
      <c r="BL153" s="15"/>
      <c r="BM153" s="15"/>
      <c r="BN153" s="15"/>
      <c r="BO153" s="64"/>
      <c r="BP153" s="64">
        <v>46114</v>
      </c>
      <c r="BQ153" s="15"/>
      <c r="BR153" s="15"/>
      <c r="BS153" s="64"/>
      <c r="BT153" s="64">
        <v>46124</v>
      </c>
      <c r="BU153" s="64">
        <v>46189</v>
      </c>
      <c r="BV153" s="15"/>
      <c r="BW153" s="64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15">
        <v>23</v>
      </c>
      <c r="CL153" s="68">
        <v>92</v>
      </c>
      <c r="CM153" s="68">
        <v>161</v>
      </c>
      <c r="CN153" s="68">
        <v>115</v>
      </c>
      <c r="CO153" s="68">
        <v>69</v>
      </c>
      <c r="CP153" s="68">
        <v>46</v>
      </c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  <c r="EE153" s="68"/>
      <c r="EF153" s="68"/>
      <c r="EG153" s="68"/>
      <c r="EH153" s="68"/>
      <c r="EI153" s="68"/>
      <c r="EJ153" s="68"/>
      <c r="EK153" s="68"/>
      <c r="EL153" s="68"/>
      <c r="EM153" s="68"/>
      <c r="EN153" s="68"/>
      <c r="EO153" s="68"/>
      <c r="EP153" s="68"/>
      <c r="EQ153" s="65">
        <f t="shared" si="22"/>
        <v>506</v>
      </c>
      <c r="ER153" s="6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 t="s">
        <v>176</v>
      </c>
      <c r="FF153" s="15"/>
      <c r="FG153" s="15"/>
      <c r="FH153" s="1" t="str">
        <f t="shared" si="20"/>
        <v>7109689710054702095671</v>
      </c>
      <c r="FI153" s="1" t="str">
        <f t="shared" si="21"/>
        <v>PRLS/25/13297</v>
      </c>
      <c r="FJ153" s="38" t="e">
        <f>VLOOKUP(FH153,[1]Sheet3!$A:$D,4,0)</f>
        <v>#N/A</v>
      </c>
      <c r="FL153" s="13"/>
    </row>
    <row r="154" spans="1:168" ht="21" hidden="1" x14ac:dyDescent="0.25">
      <c r="A154" s="15" t="s">
        <v>760</v>
      </c>
      <c r="B154" s="15" t="s">
        <v>149</v>
      </c>
      <c r="C154" s="15" t="s">
        <v>625</v>
      </c>
      <c r="D154" s="15" t="s">
        <v>668</v>
      </c>
      <c r="E154" s="15" t="s">
        <v>151</v>
      </c>
      <c r="F154" s="15" t="s">
        <v>152</v>
      </c>
      <c r="G154" s="15" t="s">
        <v>321</v>
      </c>
      <c r="H154" s="15" t="s">
        <v>324</v>
      </c>
      <c r="I154" s="15" t="s">
        <v>311</v>
      </c>
      <c r="J154" s="15" t="s">
        <v>312</v>
      </c>
      <c r="K154" s="15" t="s">
        <v>258</v>
      </c>
      <c r="L154" s="15" t="s">
        <v>313</v>
      </c>
      <c r="M154" s="15" t="s">
        <v>325</v>
      </c>
      <c r="N154" s="63">
        <v>198</v>
      </c>
      <c r="O154" s="15"/>
      <c r="P154" s="15">
        <v>19.100000000000001</v>
      </c>
      <c r="Q154" s="15"/>
      <c r="R154" s="15"/>
      <c r="S154" s="15" t="s">
        <v>200</v>
      </c>
      <c r="T154" s="15"/>
      <c r="U154" s="15"/>
      <c r="V154" s="15"/>
      <c r="W154" s="15"/>
      <c r="X154" s="15"/>
      <c r="Y154" s="15" t="s">
        <v>162</v>
      </c>
      <c r="Z154" s="15" t="s">
        <v>373</v>
      </c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 t="e">
        <v>#N/A</v>
      </c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61">
        <v>46076</v>
      </c>
      <c r="BE154" s="61" t="s">
        <v>192</v>
      </c>
      <c r="BF154" s="15" t="s">
        <v>219</v>
      </c>
      <c r="BG154" s="15" t="s">
        <v>219</v>
      </c>
      <c r="BH154" s="15" t="s">
        <v>219</v>
      </c>
      <c r="BI154" s="15" t="s">
        <v>199</v>
      </c>
      <c r="BJ154" s="15"/>
      <c r="BK154" s="15"/>
      <c r="BL154" s="15"/>
      <c r="BM154" s="15"/>
      <c r="BN154" s="15"/>
      <c r="BO154" s="64"/>
      <c r="BP154" s="64">
        <v>46114</v>
      </c>
      <c r="BQ154" s="15"/>
      <c r="BR154" s="15"/>
      <c r="BS154" s="64"/>
      <c r="BT154" s="64">
        <v>46124</v>
      </c>
      <c r="BU154" s="64">
        <v>46189</v>
      </c>
      <c r="BV154" s="15"/>
      <c r="BW154" s="64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15">
        <v>9</v>
      </c>
      <c r="CL154" s="68">
        <v>36</v>
      </c>
      <c r="CM154" s="68">
        <v>63</v>
      </c>
      <c r="CN154" s="68">
        <v>45</v>
      </c>
      <c r="CO154" s="68">
        <v>27</v>
      </c>
      <c r="CP154" s="68">
        <v>18</v>
      </c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  <c r="EE154" s="68"/>
      <c r="EF154" s="68"/>
      <c r="EG154" s="68"/>
      <c r="EH154" s="68"/>
      <c r="EI154" s="68"/>
      <c r="EJ154" s="68"/>
      <c r="EK154" s="68"/>
      <c r="EL154" s="68"/>
      <c r="EM154" s="68"/>
      <c r="EN154" s="68"/>
      <c r="EO154" s="68"/>
      <c r="EP154" s="68"/>
      <c r="EQ154" s="65">
        <f t="shared" si="22"/>
        <v>198</v>
      </c>
      <c r="ER154" s="6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 t="s">
        <v>176</v>
      </c>
      <c r="FF154" s="15"/>
      <c r="FG154" s="15"/>
      <c r="FH154" s="1" t="str">
        <f t="shared" si="20"/>
        <v>7109689710054702095672</v>
      </c>
      <c r="FI154" s="1" t="str">
        <f t="shared" si="21"/>
        <v>PRLS/25/13297</v>
      </c>
      <c r="FJ154" s="38" t="e">
        <f>VLOOKUP(FH154,[1]Sheet3!$A:$D,4,0)</f>
        <v>#N/A</v>
      </c>
      <c r="FL154" s="13"/>
    </row>
    <row r="155" spans="1:168" ht="21" hidden="1" x14ac:dyDescent="0.25">
      <c r="A155" s="15" t="s">
        <v>700</v>
      </c>
      <c r="B155" s="15" t="s">
        <v>149</v>
      </c>
      <c r="C155" s="15" t="s">
        <v>625</v>
      </c>
      <c r="D155" s="15" t="s">
        <v>663</v>
      </c>
      <c r="E155" s="15" t="s">
        <v>257</v>
      </c>
      <c r="F155" s="15" t="s">
        <v>181</v>
      </c>
      <c r="G155" s="15" t="s">
        <v>321</v>
      </c>
      <c r="H155" s="15" t="s">
        <v>665</v>
      </c>
      <c r="I155" s="15" t="s">
        <v>344</v>
      </c>
      <c r="J155" s="15" t="s">
        <v>314</v>
      </c>
      <c r="K155" s="15" t="s">
        <v>258</v>
      </c>
      <c r="L155" s="15" t="s">
        <v>345</v>
      </c>
      <c r="M155" s="15" t="s">
        <v>198</v>
      </c>
      <c r="N155" s="63">
        <v>3760</v>
      </c>
      <c r="O155" s="15"/>
      <c r="P155" s="15">
        <v>15.5</v>
      </c>
      <c r="Q155" s="15"/>
      <c r="R155" s="15"/>
      <c r="S155" s="15" t="s">
        <v>200</v>
      </c>
      <c r="T155" s="15"/>
      <c r="U155" s="15"/>
      <c r="V155" s="15"/>
      <c r="W155" s="15"/>
      <c r="X155" s="15"/>
      <c r="Y155" s="15" t="s">
        <v>162</v>
      </c>
      <c r="Z155" s="15" t="s">
        <v>373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 t="s">
        <v>170</v>
      </c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61">
        <v>46073</v>
      </c>
      <c r="BE155" s="61" t="s">
        <v>192</v>
      </c>
      <c r="BF155" s="15" t="s">
        <v>219</v>
      </c>
      <c r="BG155" s="15" t="s">
        <v>219</v>
      </c>
      <c r="BH155" s="15" t="s">
        <v>219</v>
      </c>
      <c r="BI155" s="15" t="s">
        <v>199</v>
      </c>
      <c r="BJ155" s="15"/>
      <c r="BK155" s="15"/>
      <c r="BL155" s="15"/>
      <c r="BM155" s="15"/>
      <c r="BN155" s="15"/>
      <c r="BO155" s="64"/>
      <c r="BP155" s="64">
        <v>46107</v>
      </c>
      <c r="BQ155" s="15"/>
      <c r="BR155" s="15"/>
      <c r="BS155" s="64">
        <v>46117</v>
      </c>
      <c r="BT155" s="64">
        <v>46117</v>
      </c>
      <c r="BU155" s="64">
        <v>46189</v>
      </c>
      <c r="BV155" s="15"/>
      <c r="BW155" s="64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15"/>
      <c r="CL155" s="68">
        <v>438</v>
      </c>
      <c r="CM155" s="68">
        <v>1101</v>
      </c>
      <c r="CN155" s="68">
        <v>1237</v>
      </c>
      <c r="CO155" s="68">
        <v>680</v>
      </c>
      <c r="CP155" s="68">
        <v>304</v>
      </c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  <c r="EE155" s="68"/>
      <c r="EF155" s="68"/>
      <c r="EG155" s="68"/>
      <c r="EH155" s="68"/>
      <c r="EI155" s="68"/>
      <c r="EJ155" s="68"/>
      <c r="EK155" s="68"/>
      <c r="EL155" s="68"/>
      <c r="EM155" s="68"/>
      <c r="EN155" s="68"/>
      <c r="EO155" s="68"/>
      <c r="EP155" s="68"/>
      <c r="EQ155" s="65">
        <f t="shared" si="22"/>
        <v>3760</v>
      </c>
      <c r="ER155" s="6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 t="s">
        <v>176</v>
      </c>
      <c r="FF155" s="15"/>
      <c r="FG155" s="15"/>
      <c r="FH155" s="1" t="str">
        <f t="shared" si="20"/>
        <v>7109676320024702095844</v>
      </c>
      <c r="FI155" s="1" t="str">
        <f t="shared" si="21"/>
        <v>PRLS/25/13161</v>
      </c>
      <c r="FJ155" s="38" t="e">
        <f>VLOOKUP(FH155,[1]Sheet3!$A:$D,4,0)</f>
        <v>#N/A</v>
      </c>
      <c r="FL155" s="13"/>
    </row>
    <row r="156" spans="1:168" ht="21" hidden="1" x14ac:dyDescent="0.25">
      <c r="A156" s="15" t="s">
        <v>701</v>
      </c>
      <c r="B156" s="15" t="s">
        <v>149</v>
      </c>
      <c r="C156" s="15" t="s">
        <v>625</v>
      </c>
      <c r="D156" s="15" t="s">
        <v>663</v>
      </c>
      <c r="E156" s="15" t="s">
        <v>257</v>
      </c>
      <c r="F156" s="15" t="s">
        <v>181</v>
      </c>
      <c r="G156" s="15" t="s">
        <v>321</v>
      </c>
      <c r="H156" s="15" t="s">
        <v>666</v>
      </c>
      <c r="I156" s="15" t="s">
        <v>344</v>
      </c>
      <c r="J156" s="15" t="s">
        <v>314</v>
      </c>
      <c r="K156" s="15" t="s">
        <v>258</v>
      </c>
      <c r="L156" s="15" t="s">
        <v>345</v>
      </c>
      <c r="M156" s="15" t="s">
        <v>662</v>
      </c>
      <c r="N156" s="63">
        <v>3760</v>
      </c>
      <c r="O156" s="15"/>
      <c r="P156" s="15">
        <v>15.5</v>
      </c>
      <c r="Q156" s="15"/>
      <c r="R156" s="15"/>
      <c r="S156" s="15" t="s">
        <v>200</v>
      </c>
      <c r="T156" s="15"/>
      <c r="U156" s="15"/>
      <c r="V156" s="15"/>
      <c r="W156" s="15"/>
      <c r="X156" s="15"/>
      <c r="Y156" s="15" t="s">
        <v>162</v>
      </c>
      <c r="Z156" s="15" t="s">
        <v>373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 t="s">
        <v>170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61">
        <v>46073</v>
      </c>
      <c r="BE156" s="61" t="s">
        <v>192</v>
      </c>
      <c r="BF156" s="15" t="s">
        <v>219</v>
      </c>
      <c r="BG156" s="15" t="s">
        <v>219</v>
      </c>
      <c r="BH156" s="15" t="s">
        <v>219</v>
      </c>
      <c r="BI156" s="15" t="s">
        <v>199</v>
      </c>
      <c r="BJ156" s="15"/>
      <c r="BK156" s="15"/>
      <c r="BL156" s="15"/>
      <c r="BM156" s="15"/>
      <c r="BN156" s="15"/>
      <c r="BO156" s="64"/>
      <c r="BP156" s="64">
        <v>46107</v>
      </c>
      <c r="BQ156" s="15"/>
      <c r="BR156" s="15"/>
      <c r="BS156" s="64">
        <v>46117</v>
      </c>
      <c r="BT156" s="64">
        <v>46117</v>
      </c>
      <c r="BU156" s="64">
        <v>46189</v>
      </c>
      <c r="BV156" s="15"/>
      <c r="BW156" s="64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15"/>
      <c r="CL156" s="68">
        <v>438</v>
      </c>
      <c r="CM156" s="68">
        <v>1101</v>
      </c>
      <c r="CN156" s="68">
        <v>1237</v>
      </c>
      <c r="CO156" s="68">
        <v>680</v>
      </c>
      <c r="CP156" s="68">
        <v>304</v>
      </c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  <c r="EE156" s="68"/>
      <c r="EF156" s="68"/>
      <c r="EG156" s="68"/>
      <c r="EH156" s="68"/>
      <c r="EI156" s="68"/>
      <c r="EJ156" s="68"/>
      <c r="EK156" s="68"/>
      <c r="EL156" s="68"/>
      <c r="EM156" s="68"/>
      <c r="EN156" s="68"/>
      <c r="EO156" s="68"/>
      <c r="EP156" s="68"/>
      <c r="EQ156" s="65">
        <f t="shared" si="22"/>
        <v>3760</v>
      </c>
      <c r="ER156" s="6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 t="s">
        <v>176</v>
      </c>
      <c r="FF156" s="15"/>
      <c r="FG156" s="15"/>
      <c r="FH156" s="1" t="str">
        <f t="shared" si="20"/>
        <v>7109676320054702095844</v>
      </c>
      <c r="FI156" s="1" t="str">
        <f t="shared" si="21"/>
        <v>PRLS/25/13162</v>
      </c>
      <c r="FJ156" s="38" t="e">
        <f>VLOOKUP(FH156,[1]Sheet3!$A:$D,4,0)</f>
        <v>#N/A</v>
      </c>
      <c r="FL156" s="13"/>
    </row>
    <row r="157" spans="1:168" ht="21" hidden="1" x14ac:dyDescent="0.25">
      <c r="A157" s="15" t="s">
        <v>702</v>
      </c>
      <c r="B157" s="15" t="s">
        <v>149</v>
      </c>
      <c r="C157" s="15" t="s">
        <v>625</v>
      </c>
      <c r="D157" s="15" t="s">
        <v>663</v>
      </c>
      <c r="E157" s="15" t="s">
        <v>257</v>
      </c>
      <c r="F157" s="15" t="s">
        <v>181</v>
      </c>
      <c r="G157" s="15" t="s">
        <v>321</v>
      </c>
      <c r="H157" s="15" t="s">
        <v>430</v>
      </c>
      <c r="I157" s="15" t="s">
        <v>344</v>
      </c>
      <c r="J157" s="15" t="s">
        <v>314</v>
      </c>
      <c r="K157" s="15" t="s">
        <v>258</v>
      </c>
      <c r="L157" s="15" t="s">
        <v>345</v>
      </c>
      <c r="M157" s="15" t="s">
        <v>233</v>
      </c>
      <c r="N157" s="63">
        <v>2820</v>
      </c>
      <c r="O157" s="15"/>
      <c r="P157" s="15">
        <v>15.5</v>
      </c>
      <c r="Q157" s="15"/>
      <c r="R157" s="15"/>
      <c r="S157" s="15" t="s">
        <v>200</v>
      </c>
      <c r="T157" s="15"/>
      <c r="U157" s="15"/>
      <c r="V157" s="15"/>
      <c r="W157" s="15"/>
      <c r="X157" s="15"/>
      <c r="Y157" s="15" t="s">
        <v>162</v>
      </c>
      <c r="Z157" s="15" t="s">
        <v>373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 t="s">
        <v>170</v>
      </c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61">
        <v>46069</v>
      </c>
      <c r="BE157" s="61" t="s">
        <v>192</v>
      </c>
      <c r="BF157" s="15" t="s">
        <v>219</v>
      </c>
      <c r="BG157" s="15" t="s">
        <v>219</v>
      </c>
      <c r="BH157" s="15" t="s">
        <v>219</v>
      </c>
      <c r="BI157" s="15" t="s">
        <v>199</v>
      </c>
      <c r="BJ157" s="15"/>
      <c r="BK157" s="15"/>
      <c r="BL157" s="15"/>
      <c r="BM157" s="15"/>
      <c r="BN157" s="15"/>
      <c r="BO157" s="64"/>
      <c r="BP157" s="64">
        <v>46107</v>
      </c>
      <c r="BQ157" s="15"/>
      <c r="BR157" s="15"/>
      <c r="BS157" s="64">
        <v>46117</v>
      </c>
      <c r="BT157" s="64">
        <v>46117</v>
      </c>
      <c r="BU157" s="64">
        <v>46189</v>
      </c>
      <c r="BV157" s="15"/>
      <c r="BW157" s="64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15"/>
      <c r="CL157" s="68">
        <v>328</v>
      </c>
      <c r="CM157" s="68">
        <v>826</v>
      </c>
      <c r="CN157" s="68">
        <v>928</v>
      </c>
      <c r="CO157" s="68">
        <v>510</v>
      </c>
      <c r="CP157" s="68">
        <v>228</v>
      </c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  <c r="EE157" s="68"/>
      <c r="EF157" s="68"/>
      <c r="EG157" s="68"/>
      <c r="EH157" s="68"/>
      <c r="EI157" s="68"/>
      <c r="EJ157" s="68"/>
      <c r="EK157" s="68"/>
      <c r="EL157" s="68"/>
      <c r="EM157" s="68"/>
      <c r="EN157" s="68"/>
      <c r="EO157" s="68"/>
      <c r="EP157" s="68"/>
      <c r="EQ157" s="65">
        <f t="shared" si="22"/>
        <v>2820</v>
      </c>
      <c r="ER157" s="6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 t="s">
        <v>176</v>
      </c>
      <c r="FF157" s="15"/>
      <c r="FG157" s="15"/>
      <c r="FH157" s="1" t="str">
        <f t="shared" si="20"/>
        <v>7109676320104702095844</v>
      </c>
      <c r="FI157" s="1" t="str">
        <f t="shared" si="21"/>
        <v>PRLS/25/13163</v>
      </c>
      <c r="FJ157" s="38" t="e">
        <f>VLOOKUP(FH157,[1]Sheet3!$A:$D,4,0)</f>
        <v>#N/A</v>
      </c>
      <c r="FL157" s="13"/>
    </row>
    <row r="158" spans="1:168" ht="21" hidden="1" x14ac:dyDescent="0.25">
      <c r="A158" s="15" t="s">
        <v>700</v>
      </c>
      <c r="B158" s="15" t="s">
        <v>149</v>
      </c>
      <c r="C158" s="15" t="s">
        <v>625</v>
      </c>
      <c r="D158" s="15" t="s">
        <v>664</v>
      </c>
      <c r="E158" s="15" t="s">
        <v>259</v>
      </c>
      <c r="F158" s="15" t="s">
        <v>260</v>
      </c>
      <c r="G158" s="15" t="s">
        <v>321</v>
      </c>
      <c r="H158" s="15" t="s">
        <v>665</v>
      </c>
      <c r="I158" s="15" t="s">
        <v>344</v>
      </c>
      <c r="J158" s="15" t="s">
        <v>314</v>
      </c>
      <c r="K158" s="15" t="s">
        <v>258</v>
      </c>
      <c r="L158" s="15" t="s">
        <v>345</v>
      </c>
      <c r="M158" s="15" t="s">
        <v>198</v>
      </c>
      <c r="N158" s="63">
        <v>240</v>
      </c>
      <c r="O158" s="15"/>
      <c r="P158" s="15">
        <v>15.5</v>
      </c>
      <c r="Q158" s="15"/>
      <c r="R158" s="15"/>
      <c r="S158" s="15" t="s">
        <v>200</v>
      </c>
      <c r="T158" s="15"/>
      <c r="U158" s="15"/>
      <c r="V158" s="15"/>
      <c r="W158" s="15"/>
      <c r="X158" s="15"/>
      <c r="Y158" s="15" t="s">
        <v>162</v>
      </c>
      <c r="Z158" s="15" t="s">
        <v>373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 t="s">
        <v>170</v>
      </c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61">
        <v>46073</v>
      </c>
      <c r="BE158" s="61" t="s">
        <v>192</v>
      </c>
      <c r="BF158" s="15" t="s">
        <v>219</v>
      </c>
      <c r="BG158" s="15" t="s">
        <v>219</v>
      </c>
      <c r="BH158" s="15" t="s">
        <v>219</v>
      </c>
      <c r="BI158" s="15" t="s">
        <v>199</v>
      </c>
      <c r="BJ158" s="15"/>
      <c r="BK158" s="15"/>
      <c r="BL158" s="15"/>
      <c r="BM158" s="15"/>
      <c r="BN158" s="15"/>
      <c r="BO158" s="64"/>
      <c r="BP158" s="64">
        <v>46107</v>
      </c>
      <c r="BQ158" s="15"/>
      <c r="BR158" s="15"/>
      <c r="BS158" s="64">
        <v>46117</v>
      </c>
      <c r="BT158" s="64">
        <v>46117</v>
      </c>
      <c r="BU158" s="64">
        <v>46189</v>
      </c>
      <c r="BV158" s="15"/>
      <c r="BW158" s="64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15"/>
      <c r="CL158" s="68">
        <v>36</v>
      </c>
      <c r="CM158" s="68">
        <v>76</v>
      </c>
      <c r="CN158" s="68">
        <v>72</v>
      </c>
      <c r="CO158" s="68">
        <v>39</v>
      </c>
      <c r="CP158" s="68">
        <v>17</v>
      </c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  <c r="EE158" s="68"/>
      <c r="EF158" s="68"/>
      <c r="EG158" s="68"/>
      <c r="EH158" s="68"/>
      <c r="EI158" s="68"/>
      <c r="EJ158" s="68"/>
      <c r="EK158" s="68"/>
      <c r="EL158" s="68"/>
      <c r="EM158" s="68"/>
      <c r="EN158" s="68"/>
      <c r="EO158" s="68"/>
      <c r="EP158" s="68"/>
      <c r="EQ158" s="65">
        <f t="shared" si="22"/>
        <v>240</v>
      </c>
      <c r="ER158" s="6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 t="s">
        <v>176</v>
      </c>
      <c r="FF158" s="15"/>
      <c r="FG158" s="15"/>
      <c r="FH158" s="1" t="str">
        <f t="shared" si="20"/>
        <v>7109676320024702095845</v>
      </c>
      <c r="FI158" s="1" t="str">
        <f t="shared" si="21"/>
        <v>PRLS/25/13161</v>
      </c>
      <c r="FJ158" s="38" t="e">
        <f>VLOOKUP(FH158,[1]Sheet3!$A:$D,4,0)</f>
        <v>#N/A</v>
      </c>
      <c r="FL158" s="13"/>
    </row>
    <row r="159" spans="1:168" ht="21" hidden="1" x14ac:dyDescent="0.25">
      <c r="A159" s="15" t="s">
        <v>701</v>
      </c>
      <c r="B159" s="15" t="s">
        <v>149</v>
      </c>
      <c r="C159" s="15" t="s">
        <v>625</v>
      </c>
      <c r="D159" s="15" t="s">
        <v>664</v>
      </c>
      <c r="E159" s="15" t="s">
        <v>259</v>
      </c>
      <c r="F159" s="15" t="s">
        <v>260</v>
      </c>
      <c r="G159" s="15" t="s">
        <v>321</v>
      </c>
      <c r="H159" s="15" t="s">
        <v>666</v>
      </c>
      <c r="I159" s="15" t="s">
        <v>344</v>
      </c>
      <c r="J159" s="15" t="s">
        <v>314</v>
      </c>
      <c r="K159" s="15" t="s">
        <v>258</v>
      </c>
      <c r="L159" s="15" t="s">
        <v>345</v>
      </c>
      <c r="M159" s="15" t="s">
        <v>662</v>
      </c>
      <c r="N159" s="63">
        <v>240</v>
      </c>
      <c r="O159" s="15"/>
      <c r="P159" s="15">
        <v>15.5</v>
      </c>
      <c r="Q159" s="15"/>
      <c r="R159" s="15"/>
      <c r="S159" s="15" t="s">
        <v>200</v>
      </c>
      <c r="T159" s="15"/>
      <c r="U159" s="15"/>
      <c r="V159" s="15"/>
      <c r="W159" s="15"/>
      <c r="X159" s="15"/>
      <c r="Y159" s="15" t="s">
        <v>162</v>
      </c>
      <c r="Z159" s="15" t="s">
        <v>373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 t="s">
        <v>170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61">
        <v>46073</v>
      </c>
      <c r="BE159" s="61" t="s">
        <v>192</v>
      </c>
      <c r="BF159" s="15" t="s">
        <v>219</v>
      </c>
      <c r="BG159" s="15" t="s">
        <v>219</v>
      </c>
      <c r="BH159" s="15" t="s">
        <v>219</v>
      </c>
      <c r="BI159" s="15" t="s">
        <v>199</v>
      </c>
      <c r="BJ159" s="15"/>
      <c r="BK159" s="15"/>
      <c r="BL159" s="15"/>
      <c r="BM159" s="15"/>
      <c r="BN159" s="15"/>
      <c r="BO159" s="64"/>
      <c r="BP159" s="64">
        <v>46107</v>
      </c>
      <c r="BQ159" s="15"/>
      <c r="BR159" s="15"/>
      <c r="BS159" s="64">
        <v>46117</v>
      </c>
      <c r="BT159" s="64">
        <v>46117</v>
      </c>
      <c r="BU159" s="64">
        <v>46189</v>
      </c>
      <c r="BV159" s="15"/>
      <c r="BW159" s="64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15"/>
      <c r="CL159" s="68">
        <v>36</v>
      </c>
      <c r="CM159" s="68">
        <v>76</v>
      </c>
      <c r="CN159" s="68">
        <v>72</v>
      </c>
      <c r="CO159" s="68">
        <v>39</v>
      </c>
      <c r="CP159" s="68">
        <v>17</v>
      </c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  <c r="EE159" s="68"/>
      <c r="EF159" s="68"/>
      <c r="EG159" s="68"/>
      <c r="EH159" s="68"/>
      <c r="EI159" s="68"/>
      <c r="EJ159" s="68"/>
      <c r="EK159" s="68"/>
      <c r="EL159" s="68"/>
      <c r="EM159" s="68"/>
      <c r="EN159" s="68"/>
      <c r="EO159" s="68"/>
      <c r="EP159" s="68"/>
      <c r="EQ159" s="65">
        <f t="shared" si="22"/>
        <v>240</v>
      </c>
      <c r="ER159" s="6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 t="s">
        <v>176</v>
      </c>
      <c r="FF159" s="15"/>
      <c r="FG159" s="15"/>
      <c r="FH159" s="1" t="str">
        <f t="shared" si="20"/>
        <v>7109676320054702095845</v>
      </c>
      <c r="FI159" s="1" t="str">
        <f t="shared" si="21"/>
        <v>PRLS/25/13162</v>
      </c>
      <c r="FJ159" s="38" t="e">
        <f>VLOOKUP(FH159,[1]Sheet3!$A:$D,4,0)</f>
        <v>#N/A</v>
      </c>
      <c r="FL159" s="13"/>
    </row>
    <row r="160" spans="1:168" ht="21" hidden="1" x14ac:dyDescent="0.25">
      <c r="A160" s="15" t="s">
        <v>702</v>
      </c>
      <c r="B160" s="15" t="s">
        <v>149</v>
      </c>
      <c r="C160" s="15" t="s">
        <v>625</v>
      </c>
      <c r="D160" s="15" t="s">
        <v>664</v>
      </c>
      <c r="E160" s="15" t="s">
        <v>259</v>
      </c>
      <c r="F160" s="15" t="s">
        <v>260</v>
      </c>
      <c r="G160" s="15" t="s">
        <v>321</v>
      </c>
      <c r="H160" s="15" t="s">
        <v>430</v>
      </c>
      <c r="I160" s="15" t="s">
        <v>344</v>
      </c>
      <c r="J160" s="15" t="s">
        <v>314</v>
      </c>
      <c r="K160" s="15" t="s">
        <v>258</v>
      </c>
      <c r="L160" s="15" t="s">
        <v>345</v>
      </c>
      <c r="M160" s="15" t="s">
        <v>233</v>
      </c>
      <c r="N160" s="63">
        <v>180</v>
      </c>
      <c r="O160" s="15"/>
      <c r="P160" s="15">
        <v>15.5</v>
      </c>
      <c r="Q160" s="15"/>
      <c r="R160" s="15"/>
      <c r="S160" s="15" t="s">
        <v>200</v>
      </c>
      <c r="T160" s="15"/>
      <c r="U160" s="15"/>
      <c r="V160" s="15"/>
      <c r="W160" s="15"/>
      <c r="X160" s="15"/>
      <c r="Y160" s="15" t="s">
        <v>162</v>
      </c>
      <c r="Z160" s="15" t="s">
        <v>373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 t="s">
        <v>170</v>
      </c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61">
        <v>46069</v>
      </c>
      <c r="BE160" s="61" t="s">
        <v>192</v>
      </c>
      <c r="BF160" s="15" t="s">
        <v>219</v>
      </c>
      <c r="BG160" s="15" t="s">
        <v>219</v>
      </c>
      <c r="BH160" s="15" t="s">
        <v>219</v>
      </c>
      <c r="BI160" s="15" t="s">
        <v>199</v>
      </c>
      <c r="BJ160" s="15"/>
      <c r="BK160" s="15"/>
      <c r="BL160" s="15"/>
      <c r="BM160" s="15"/>
      <c r="BN160" s="15"/>
      <c r="BO160" s="64"/>
      <c r="BP160" s="64">
        <v>46107</v>
      </c>
      <c r="BQ160" s="15"/>
      <c r="BR160" s="15"/>
      <c r="BS160" s="64">
        <v>46117</v>
      </c>
      <c r="BT160" s="64">
        <v>46117</v>
      </c>
      <c r="BU160" s="64">
        <v>46189</v>
      </c>
      <c r="BV160" s="15"/>
      <c r="BW160" s="64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15"/>
      <c r="CL160" s="68">
        <v>27</v>
      </c>
      <c r="CM160" s="68">
        <v>57</v>
      </c>
      <c r="CN160" s="68">
        <v>54</v>
      </c>
      <c r="CO160" s="68">
        <v>29</v>
      </c>
      <c r="CP160" s="68">
        <v>13</v>
      </c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  <c r="EE160" s="68"/>
      <c r="EF160" s="68"/>
      <c r="EG160" s="68"/>
      <c r="EH160" s="68"/>
      <c r="EI160" s="68"/>
      <c r="EJ160" s="68"/>
      <c r="EK160" s="68"/>
      <c r="EL160" s="68"/>
      <c r="EM160" s="68"/>
      <c r="EN160" s="68"/>
      <c r="EO160" s="68"/>
      <c r="EP160" s="68"/>
      <c r="EQ160" s="65">
        <f t="shared" si="22"/>
        <v>180</v>
      </c>
      <c r="ER160" s="6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 t="s">
        <v>176</v>
      </c>
      <c r="FF160" s="15"/>
      <c r="FG160" s="15"/>
      <c r="FH160" s="1" t="str">
        <f t="shared" si="20"/>
        <v>7109676320104702095845</v>
      </c>
      <c r="FI160" s="1" t="str">
        <f t="shared" si="21"/>
        <v>PRLS/25/13163</v>
      </c>
      <c r="FJ160" s="38" t="e">
        <f>VLOOKUP(FH160,[1]Sheet3!$A:$D,4,0)</f>
        <v>#N/A</v>
      </c>
      <c r="FL160" s="13"/>
    </row>
    <row r="161" spans="1:168" ht="21" hidden="1" x14ac:dyDescent="0.25">
      <c r="A161" s="15" t="s">
        <v>757</v>
      </c>
      <c r="B161" s="15" t="s">
        <v>149</v>
      </c>
      <c r="C161" s="15" t="s">
        <v>625</v>
      </c>
      <c r="D161" s="15" t="s">
        <v>738</v>
      </c>
      <c r="E161" s="15" t="s">
        <v>210</v>
      </c>
      <c r="F161" s="15" t="s">
        <v>152</v>
      </c>
      <c r="G161" s="15" t="s">
        <v>321</v>
      </c>
      <c r="H161" s="15" t="s">
        <v>722</v>
      </c>
      <c r="I161" s="15" t="s">
        <v>346</v>
      </c>
      <c r="J161" s="15" t="s">
        <v>729</v>
      </c>
      <c r="K161" s="15" t="s">
        <v>185</v>
      </c>
      <c r="L161" s="15" t="s">
        <v>247</v>
      </c>
      <c r="M161" s="15" t="s">
        <v>357</v>
      </c>
      <c r="N161" s="63">
        <v>30</v>
      </c>
      <c r="O161" s="15"/>
      <c r="P161" s="15">
        <v>8.16</v>
      </c>
      <c r="Q161" s="15"/>
      <c r="R161" s="15"/>
      <c r="S161" s="15" t="s">
        <v>235</v>
      </c>
      <c r="T161" s="15"/>
      <c r="U161" s="15"/>
      <c r="V161" s="15"/>
      <c r="W161" s="15"/>
      <c r="X161" s="15"/>
      <c r="Y161" s="15" t="s">
        <v>1119</v>
      </c>
      <c r="Z161" s="15" t="s">
        <v>348</v>
      </c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 t="e">
        <v>#N/A</v>
      </c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61">
        <v>46052</v>
      </c>
      <c r="BE161" s="61" t="s">
        <v>192</v>
      </c>
      <c r="BF161" s="15" t="s">
        <v>219</v>
      </c>
      <c r="BG161" s="15" t="s">
        <v>219</v>
      </c>
      <c r="BH161" s="15" t="s">
        <v>219</v>
      </c>
      <c r="BI161" s="15" t="s">
        <v>199</v>
      </c>
      <c r="BJ161" s="15"/>
      <c r="BK161" s="15"/>
      <c r="BL161" s="15"/>
      <c r="BM161" s="15"/>
      <c r="BN161" s="15"/>
      <c r="BO161" s="64"/>
      <c r="BP161" s="64">
        <v>46114</v>
      </c>
      <c r="BQ161" s="15"/>
      <c r="BR161" s="15"/>
      <c r="BS161" s="64"/>
      <c r="BT161" s="64">
        <v>46124</v>
      </c>
      <c r="BU161" s="64">
        <v>46189</v>
      </c>
      <c r="BV161" s="15"/>
      <c r="BW161" s="64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15">
        <v>5</v>
      </c>
      <c r="CL161" s="68">
        <v>5</v>
      </c>
      <c r="CM161" s="68">
        <v>5</v>
      </c>
      <c r="CN161" s="68">
        <v>5</v>
      </c>
      <c r="CO161" s="68">
        <v>5</v>
      </c>
      <c r="CP161" s="68">
        <v>5</v>
      </c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  <c r="EE161" s="68"/>
      <c r="EF161" s="68"/>
      <c r="EG161" s="68"/>
      <c r="EH161" s="68"/>
      <c r="EI161" s="68"/>
      <c r="EJ161" s="68"/>
      <c r="EK161" s="68"/>
      <c r="EL161" s="68"/>
      <c r="EM161" s="68"/>
      <c r="EN161" s="68"/>
      <c r="EO161" s="68"/>
      <c r="EP161" s="68"/>
      <c r="EQ161" s="65">
        <f t="shared" si="22"/>
        <v>30</v>
      </c>
      <c r="ER161" s="6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 t="s">
        <v>176</v>
      </c>
      <c r="FF161" s="15"/>
      <c r="FG161" s="15"/>
      <c r="FH161" s="1" t="str">
        <f t="shared" si="20"/>
        <v>7107985400834702096670</v>
      </c>
      <c r="FI161" s="1" t="str">
        <f t="shared" si="21"/>
        <v>PRLS/25/13158</v>
      </c>
      <c r="FJ161" s="38" t="e">
        <f>VLOOKUP(FH161,[1]Sheet3!$A:$D,4,0)</f>
        <v>#N/A</v>
      </c>
      <c r="FL161" s="13"/>
    </row>
    <row r="162" spans="1:168" ht="21" hidden="1" x14ac:dyDescent="0.25">
      <c r="A162" s="15" t="s">
        <v>757</v>
      </c>
      <c r="B162" s="15" t="s">
        <v>149</v>
      </c>
      <c r="C162" s="15" t="s">
        <v>625</v>
      </c>
      <c r="D162" s="15" t="s">
        <v>739</v>
      </c>
      <c r="E162" s="15" t="s">
        <v>151</v>
      </c>
      <c r="F162" s="15" t="s">
        <v>469</v>
      </c>
      <c r="G162" s="15" t="s">
        <v>321</v>
      </c>
      <c r="H162" s="15" t="s">
        <v>722</v>
      </c>
      <c r="I162" s="15" t="s">
        <v>346</v>
      </c>
      <c r="J162" s="15" t="s">
        <v>729</v>
      </c>
      <c r="K162" s="15" t="s">
        <v>258</v>
      </c>
      <c r="L162" s="15" t="s">
        <v>247</v>
      </c>
      <c r="M162" s="15" t="s">
        <v>357</v>
      </c>
      <c r="N162" s="63">
        <v>720</v>
      </c>
      <c r="O162" s="15"/>
      <c r="P162" s="15">
        <v>8.16</v>
      </c>
      <c r="Q162" s="15"/>
      <c r="R162" s="15"/>
      <c r="S162" s="15" t="s">
        <v>235</v>
      </c>
      <c r="T162" s="15"/>
      <c r="U162" s="15"/>
      <c r="V162" s="15"/>
      <c r="W162" s="15"/>
      <c r="X162" s="15"/>
      <c r="Y162" s="15" t="s">
        <v>1119</v>
      </c>
      <c r="Z162" s="15" t="s">
        <v>348</v>
      </c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 t="e">
        <v>#N/A</v>
      </c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61">
        <v>46052</v>
      </c>
      <c r="BE162" s="61" t="s">
        <v>192</v>
      </c>
      <c r="BF162" s="15" t="s">
        <v>219</v>
      </c>
      <c r="BG162" s="15" t="s">
        <v>219</v>
      </c>
      <c r="BH162" s="15" t="s">
        <v>219</v>
      </c>
      <c r="BI162" s="15" t="s">
        <v>199</v>
      </c>
      <c r="BJ162" s="15"/>
      <c r="BK162" s="15"/>
      <c r="BL162" s="15"/>
      <c r="BM162" s="15"/>
      <c r="BN162" s="15"/>
      <c r="BO162" s="64"/>
      <c r="BP162" s="64">
        <v>46114</v>
      </c>
      <c r="BQ162" s="15"/>
      <c r="BR162" s="15"/>
      <c r="BS162" s="64"/>
      <c r="BT162" s="64">
        <v>46124</v>
      </c>
      <c r="BU162" s="64">
        <v>46189</v>
      </c>
      <c r="BV162" s="15"/>
      <c r="BW162" s="64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15">
        <v>36</v>
      </c>
      <c r="CL162" s="68">
        <v>73</v>
      </c>
      <c r="CM162" s="68">
        <v>215</v>
      </c>
      <c r="CN162" s="68">
        <v>222</v>
      </c>
      <c r="CO162" s="68">
        <v>109</v>
      </c>
      <c r="CP162" s="68">
        <v>65</v>
      </c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  <c r="EE162" s="68"/>
      <c r="EF162" s="68"/>
      <c r="EG162" s="68"/>
      <c r="EH162" s="68"/>
      <c r="EI162" s="68"/>
      <c r="EJ162" s="68"/>
      <c r="EK162" s="68"/>
      <c r="EL162" s="68"/>
      <c r="EM162" s="68"/>
      <c r="EN162" s="68"/>
      <c r="EO162" s="68"/>
      <c r="EP162" s="68"/>
      <c r="EQ162" s="65">
        <f t="shared" si="22"/>
        <v>720</v>
      </c>
      <c r="ER162" s="6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 t="s">
        <v>176</v>
      </c>
      <c r="FF162" s="15"/>
      <c r="FG162" s="15"/>
      <c r="FH162" s="1" t="str">
        <f t="shared" si="20"/>
        <v>7107985400834702096671</v>
      </c>
      <c r="FI162" s="1" t="str">
        <f t="shared" si="21"/>
        <v>PRLS/25/13158</v>
      </c>
      <c r="FJ162" s="38" t="e">
        <f>VLOOKUP(FH162,[1]Sheet3!$A:$D,4,0)</f>
        <v>#N/A</v>
      </c>
      <c r="FL162" s="13"/>
    </row>
    <row r="163" spans="1:168" ht="21" hidden="1" x14ac:dyDescent="0.25">
      <c r="A163" s="15" t="s">
        <v>758</v>
      </c>
      <c r="B163" s="15" t="s">
        <v>149</v>
      </c>
      <c r="C163" s="15" t="s">
        <v>625</v>
      </c>
      <c r="D163" s="15" t="s">
        <v>745</v>
      </c>
      <c r="E163" s="15" t="s">
        <v>259</v>
      </c>
      <c r="F163" s="15" t="s">
        <v>260</v>
      </c>
      <c r="G163" s="15" t="s">
        <v>321</v>
      </c>
      <c r="H163" s="15" t="s">
        <v>728</v>
      </c>
      <c r="I163" s="15" t="s">
        <v>387</v>
      </c>
      <c r="J163" s="15" t="s">
        <v>347</v>
      </c>
      <c r="K163" s="15" t="s">
        <v>258</v>
      </c>
      <c r="L163" s="15" t="s">
        <v>261</v>
      </c>
      <c r="M163" s="15" t="s">
        <v>357</v>
      </c>
      <c r="N163" s="63">
        <v>143</v>
      </c>
      <c r="O163" s="15"/>
      <c r="P163" s="15">
        <v>8.11</v>
      </c>
      <c r="Q163" s="15"/>
      <c r="R163" s="15"/>
      <c r="S163" s="15" t="s">
        <v>235</v>
      </c>
      <c r="T163" s="15"/>
      <c r="U163" s="15"/>
      <c r="V163" s="15"/>
      <c r="W163" s="15"/>
      <c r="X163" s="15"/>
      <c r="Y163" s="15" t="s">
        <v>1119</v>
      </c>
      <c r="Z163" s="15" t="s">
        <v>348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 t="s">
        <v>170</v>
      </c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61">
        <v>46052</v>
      </c>
      <c r="BE163" s="61" t="s">
        <v>192</v>
      </c>
      <c r="BF163" s="15" t="s">
        <v>219</v>
      </c>
      <c r="BG163" s="15" t="s">
        <v>219</v>
      </c>
      <c r="BH163" s="15" t="s">
        <v>219</v>
      </c>
      <c r="BI163" s="15" t="s">
        <v>199</v>
      </c>
      <c r="BJ163" s="15"/>
      <c r="BK163" s="15"/>
      <c r="BL163" s="15"/>
      <c r="BM163" s="15"/>
      <c r="BN163" s="15"/>
      <c r="BO163" s="64"/>
      <c r="BP163" s="64">
        <v>46107</v>
      </c>
      <c r="BQ163" s="15"/>
      <c r="BR163" s="15"/>
      <c r="BS163" s="64"/>
      <c r="BT163" s="64">
        <v>46117</v>
      </c>
      <c r="BU163" s="64">
        <v>46189</v>
      </c>
      <c r="BV163" s="15"/>
      <c r="BW163" s="64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15"/>
      <c r="CL163" s="68">
        <v>21</v>
      </c>
      <c r="CM163" s="68">
        <v>46</v>
      </c>
      <c r="CN163" s="68">
        <v>43</v>
      </c>
      <c r="CO163" s="68">
        <v>23</v>
      </c>
      <c r="CP163" s="68">
        <v>10</v>
      </c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  <c r="EE163" s="68"/>
      <c r="EF163" s="68"/>
      <c r="EG163" s="68"/>
      <c r="EH163" s="68"/>
      <c r="EI163" s="68"/>
      <c r="EJ163" s="68"/>
      <c r="EK163" s="68"/>
      <c r="EL163" s="68"/>
      <c r="EM163" s="68"/>
      <c r="EN163" s="68"/>
      <c r="EO163" s="68"/>
      <c r="EP163" s="68"/>
      <c r="EQ163" s="65">
        <f t="shared" si="22"/>
        <v>143</v>
      </c>
      <c r="ER163" s="6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 t="s">
        <v>176</v>
      </c>
      <c r="FF163" s="15"/>
      <c r="FG163" s="15"/>
      <c r="FH163" s="1" t="str">
        <f t="shared" si="20"/>
        <v>7108042570634702096674</v>
      </c>
      <c r="FI163" s="1" t="str">
        <f t="shared" si="21"/>
        <v>PRLS/25/13159</v>
      </c>
      <c r="FJ163" s="38" t="e">
        <f>VLOOKUP(FH163,[1]Sheet3!$A:$D,4,0)</f>
        <v>#N/A</v>
      </c>
      <c r="FL163" s="13"/>
    </row>
    <row r="164" spans="1:168" ht="21" hidden="1" x14ac:dyDescent="0.25">
      <c r="A164" s="15" t="s">
        <v>761</v>
      </c>
      <c r="B164" s="15" t="s">
        <v>149</v>
      </c>
      <c r="C164" s="15" t="s">
        <v>625</v>
      </c>
      <c r="D164" s="15" t="s">
        <v>740</v>
      </c>
      <c r="E164" s="15" t="s">
        <v>210</v>
      </c>
      <c r="F164" s="15" t="s">
        <v>152</v>
      </c>
      <c r="G164" s="15" t="s">
        <v>321</v>
      </c>
      <c r="H164" s="15" t="s">
        <v>305</v>
      </c>
      <c r="I164" s="15" t="s">
        <v>306</v>
      </c>
      <c r="J164" s="15" t="s">
        <v>730</v>
      </c>
      <c r="K164" s="15" t="s">
        <v>185</v>
      </c>
      <c r="L164" s="15" t="s">
        <v>303</v>
      </c>
      <c r="M164" s="15" t="s">
        <v>307</v>
      </c>
      <c r="N164" s="63">
        <v>200</v>
      </c>
      <c r="O164" s="15"/>
      <c r="P164" s="15">
        <v>25.85</v>
      </c>
      <c r="Q164" s="15"/>
      <c r="R164" s="15"/>
      <c r="S164" s="15" t="s">
        <v>304</v>
      </c>
      <c r="T164" s="15"/>
      <c r="U164" s="15"/>
      <c r="V164" s="15"/>
      <c r="W164" s="15"/>
      <c r="X164" s="15"/>
      <c r="Y164" s="15" t="s">
        <v>1119</v>
      </c>
      <c r="Z164" s="15" t="s">
        <v>191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 t="e">
        <v>#N/A</v>
      </c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61">
        <v>46083</v>
      </c>
      <c r="BE164" s="61" t="s">
        <v>192</v>
      </c>
      <c r="BF164" s="15" t="s">
        <v>199</v>
      </c>
      <c r="BG164" s="15" t="s">
        <v>199</v>
      </c>
      <c r="BH164" s="15" t="s">
        <v>199</v>
      </c>
      <c r="BI164" s="15" t="s">
        <v>199</v>
      </c>
      <c r="BJ164" s="15"/>
      <c r="BK164" s="15"/>
      <c r="BL164" s="15"/>
      <c r="BM164" s="15"/>
      <c r="BN164" s="15"/>
      <c r="BO164" s="64"/>
      <c r="BP164" s="64">
        <v>46114</v>
      </c>
      <c r="BQ164" s="15"/>
      <c r="BR164" s="15"/>
      <c r="BS164" s="64"/>
      <c r="BT164" s="64">
        <v>46124</v>
      </c>
      <c r="BU164" s="64">
        <v>46189</v>
      </c>
      <c r="BV164" s="15"/>
      <c r="BW164" s="64"/>
      <c r="BX164" s="68"/>
      <c r="BY164" s="68">
        <v>5</v>
      </c>
      <c r="BZ164" s="68">
        <v>22</v>
      </c>
      <c r="CA164" s="68">
        <v>47</v>
      </c>
      <c r="CB164" s="68">
        <v>38</v>
      </c>
      <c r="CC164" s="68">
        <v>45</v>
      </c>
      <c r="CD164" s="68">
        <v>26</v>
      </c>
      <c r="CE164" s="68">
        <v>17</v>
      </c>
      <c r="CF164" s="68"/>
      <c r="CG164" s="68"/>
      <c r="CH164" s="68"/>
      <c r="CI164" s="68"/>
      <c r="CJ164" s="68"/>
      <c r="CK164" s="15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  <c r="EK164" s="68"/>
      <c r="EL164" s="68"/>
      <c r="EM164" s="68"/>
      <c r="EN164" s="68"/>
      <c r="EO164" s="68"/>
      <c r="EP164" s="68"/>
      <c r="EQ164" s="65">
        <f t="shared" si="22"/>
        <v>200</v>
      </c>
      <c r="ER164" s="6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 t="s">
        <v>176</v>
      </c>
      <c r="FF164" s="15"/>
      <c r="FG164" s="15"/>
      <c r="FH164" s="1" t="str">
        <f t="shared" si="20"/>
        <v>7129360180014702096675</v>
      </c>
      <c r="FI164" s="1" t="str">
        <f t="shared" si="21"/>
        <v>PRLS/25/13277</v>
      </c>
      <c r="FJ164" s="38" t="e">
        <f>VLOOKUP(FH164,[1]Sheet3!$A:$D,4,0)</f>
        <v>#N/A</v>
      </c>
      <c r="FL164" s="13"/>
    </row>
    <row r="165" spans="1:168" ht="21" hidden="1" x14ac:dyDescent="0.25">
      <c r="A165" s="15" t="s">
        <v>761</v>
      </c>
      <c r="B165" s="15" t="s">
        <v>149</v>
      </c>
      <c r="C165" s="15" t="s">
        <v>625</v>
      </c>
      <c r="D165" s="15" t="s">
        <v>747</v>
      </c>
      <c r="E165" s="15" t="s">
        <v>253</v>
      </c>
      <c r="F165" s="15" t="s">
        <v>254</v>
      </c>
      <c r="G165" s="15" t="s">
        <v>322</v>
      </c>
      <c r="H165" s="15" t="s">
        <v>305</v>
      </c>
      <c r="I165" s="15" t="s">
        <v>306</v>
      </c>
      <c r="J165" s="15" t="s">
        <v>730</v>
      </c>
      <c r="K165" s="15" t="s">
        <v>185</v>
      </c>
      <c r="L165" s="15" t="s">
        <v>303</v>
      </c>
      <c r="M165" s="15" t="s">
        <v>307</v>
      </c>
      <c r="N165" s="63">
        <v>112</v>
      </c>
      <c r="O165" s="15"/>
      <c r="P165" s="15">
        <v>25.85</v>
      </c>
      <c r="Q165" s="15"/>
      <c r="R165" s="15"/>
      <c r="S165" s="15" t="s">
        <v>304</v>
      </c>
      <c r="T165" s="15"/>
      <c r="U165" s="15"/>
      <c r="V165" s="15"/>
      <c r="W165" s="15"/>
      <c r="X165" s="15"/>
      <c r="Y165" s="15" t="s">
        <v>1119</v>
      </c>
      <c r="Z165" s="15" t="s">
        <v>191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 t="e">
        <v>#N/A</v>
      </c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61">
        <v>46083</v>
      </c>
      <c r="BE165" s="61" t="s">
        <v>192</v>
      </c>
      <c r="BF165" s="15" t="s">
        <v>219</v>
      </c>
      <c r="BG165" s="15" t="s">
        <v>199</v>
      </c>
      <c r="BH165" s="15" t="s">
        <v>199</v>
      </c>
      <c r="BI165" s="15" t="s">
        <v>199</v>
      </c>
      <c r="BJ165" s="15"/>
      <c r="BK165" s="15"/>
      <c r="BL165" s="15"/>
      <c r="BM165" s="15"/>
      <c r="BN165" s="15"/>
      <c r="BO165" s="64"/>
      <c r="BP165" s="64">
        <v>46135</v>
      </c>
      <c r="BQ165" s="15"/>
      <c r="BR165" s="15"/>
      <c r="BS165" s="64"/>
      <c r="BT165" s="64">
        <v>46145</v>
      </c>
      <c r="BU165" s="64">
        <v>46189</v>
      </c>
      <c r="BV165" s="15"/>
      <c r="BW165" s="64"/>
      <c r="BX165" s="68"/>
      <c r="BY165" s="68">
        <v>9</v>
      </c>
      <c r="BZ165" s="68">
        <v>43</v>
      </c>
      <c r="CA165" s="68"/>
      <c r="CB165" s="68">
        <v>43</v>
      </c>
      <c r="CC165" s="68"/>
      <c r="CD165" s="68">
        <v>17</v>
      </c>
      <c r="CE165" s="68"/>
      <c r="CF165" s="68"/>
      <c r="CG165" s="68"/>
      <c r="CH165" s="68"/>
      <c r="CI165" s="68"/>
      <c r="CJ165" s="68"/>
      <c r="CK165" s="15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  <c r="EK165" s="68"/>
      <c r="EL165" s="68"/>
      <c r="EM165" s="68"/>
      <c r="EN165" s="68"/>
      <c r="EO165" s="68"/>
      <c r="EP165" s="68"/>
      <c r="EQ165" s="65">
        <f t="shared" si="22"/>
        <v>112</v>
      </c>
      <c r="ER165" s="6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 t="s">
        <v>176</v>
      </c>
      <c r="FF165" s="15"/>
      <c r="FG165" s="15"/>
      <c r="FH165" s="1" t="str">
        <f t="shared" ref="FH165:FH229" si="23">H165&amp;D165</f>
        <v>7129360180014702096676</v>
      </c>
      <c r="FI165" s="1" t="str">
        <f t="shared" ref="FI165:FI229" si="24">A165</f>
        <v>PRLS/25/13277</v>
      </c>
      <c r="FJ165" s="38" t="e">
        <f>VLOOKUP(FH165,[1]Sheet3!$A:$D,4,0)</f>
        <v>#N/A</v>
      </c>
      <c r="FL165" s="13"/>
    </row>
    <row r="166" spans="1:168" ht="21" hidden="1" x14ac:dyDescent="0.25">
      <c r="A166" s="15" t="s">
        <v>761</v>
      </c>
      <c r="B166" s="15" t="s">
        <v>149</v>
      </c>
      <c r="C166" s="15" t="s">
        <v>625</v>
      </c>
      <c r="D166" s="15" t="s">
        <v>746</v>
      </c>
      <c r="E166" s="15" t="s">
        <v>237</v>
      </c>
      <c r="F166" s="15" t="s">
        <v>238</v>
      </c>
      <c r="G166" s="15" t="s">
        <v>322</v>
      </c>
      <c r="H166" s="15" t="s">
        <v>305</v>
      </c>
      <c r="I166" s="15" t="s">
        <v>306</v>
      </c>
      <c r="J166" s="15" t="s">
        <v>730</v>
      </c>
      <c r="K166" s="15" t="s">
        <v>185</v>
      </c>
      <c r="L166" s="15" t="s">
        <v>303</v>
      </c>
      <c r="M166" s="15" t="s">
        <v>307</v>
      </c>
      <c r="N166" s="63">
        <v>150</v>
      </c>
      <c r="O166" s="15"/>
      <c r="P166" s="15">
        <v>25.85</v>
      </c>
      <c r="Q166" s="15"/>
      <c r="R166" s="15"/>
      <c r="S166" s="15" t="s">
        <v>304</v>
      </c>
      <c r="T166" s="15"/>
      <c r="U166" s="15"/>
      <c r="V166" s="15"/>
      <c r="W166" s="15"/>
      <c r="X166" s="15"/>
      <c r="Y166" s="15" t="s">
        <v>1119</v>
      </c>
      <c r="Z166" s="15" t="s">
        <v>191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 t="e">
        <v>#N/A</v>
      </c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61">
        <v>46083</v>
      </c>
      <c r="BE166" s="61" t="s">
        <v>192</v>
      </c>
      <c r="BF166" s="15" t="s">
        <v>199</v>
      </c>
      <c r="BG166" s="15" t="s">
        <v>199</v>
      </c>
      <c r="BH166" s="15" t="s">
        <v>199</v>
      </c>
      <c r="BI166" s="15" t="s">
        <v>199</v>
      </c>
      <c r="BJ166" s="15"/>
      <c r="BK166" s="15"/>
      <c r="BL166" s="15"/>
      <c r="BM166" s="15"/>
      <c r="BN166" s="15"/>
      <c r="BO166" s="64"/>
      <c r="BP166" s="64">
        <v>46128</v>
      </c>
      <c r="BQ166" s="15"/>
      <c r="BR166" s="15"/>
      <c r="BS166" s="64"/>
      <c r="BT166" s="64">
        <v>46138</v>
      </c>
      <c r="BU166" s="64">
        <v>46189</v>
      </c>
      <c r="BV166" s="15"/>
      <c r="BW166" s="64"/>
      <c r="BX166" s="68"/>
      <c r="BY166" s="68">
        <v>31</v>
      </c>
      <c r="BZ166" s="68">
        <v>69</v>
      </c>
      <c r="CA166" s="68"/>
      <c r="CB166" s="68">
        <v>40</v>
      </c>
      <c r="CC166" s="68"/>
      <c r="CD166" s="68">
        <v>10</v>
      </c>
      <c r="CE166" s="68"/>
      <c r="CF166" s="68"/>
      <c r="CG166" s="68"/>
      <c r="CH166" s="68"/>
      <c r="CI166" s="68"/>
      <c r="CJ166" s="68"/>
      <c r="CK166" s="15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68"/>
      <c r="EM166" s="68"/>
      <c r="EN166" s="68"/>
      <c r="EO166" s="68"/>
      <c r="EP166" s="68"/>
      <c r="EQ166" s="65">
        <f t="shared" ref="EQ166:EQ225" si="25">SUM(BX166:EP166)</f>
        <v>150</v>
      </c>
      <c r="ER166" s="6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 t="s">
        <v>176</v>
      </c>
      <c r="FF166" s="15"/>
      <c r="FG166" s="15"/>
      <c r="FH166" s="1" t="str">
        <f t="shared" si="23"/>
        <v>7129360180014702096677</v>
      </c>
      <c r="FI166" s="1" t="str">
        <f t="shared" si="24"/>
        <v>PRLS/25/13277</v>
      </c>
      <c r="FJ166" s="38" t="e">
        <f>VLOOKUP(FH166,[1]Sheet3!$A:$D,4,0)</f>
        <v>#N/A</v>
      </c>
      <c r="FL166" s="13"/>
    </row>
    <row r="167" spans="1:168" ht="21" hidden="1" x14ac:dyDescent="0.25">
      <c r="A167" s="15" t="s">
        <v>762</v>
      </c>
      <c r="B167" s="15" t="s">
        <v>149</v>
      </c>
      <c r="C167" s="15" t="s">
        <v>625</v>
      </c>
      <c r="D167" s="15" t="s">
        <v>742</v>
      </c>
      <c r="E167" s="15" t="s">
        <v>210</v>
      </c>
      <c r="F167" s="15" t="s">
        <v>152</v>
      </c>
      <c r="G167" s="15" t="s">
        <v>321</v>
      </c>
      <c r="H167" s="15" t="s">
        <v>333</v>
      </c>
      <c r="I167" s="15" t="s">
        <v>334</v>
      </c>
      <c r="J167" s="15" t="s">
        <v>730</v>
      </c>
      <c r="K167" s="15" t="s">
        <v>185</v>
      </c>
      <c r="L167" s="15" t="s">
        <v>335</v>
      </c>
      <c r="M167" s="15" t="s">
        <v>336</v>
      </c>
      <c r="N167" s="63">
        <v>65</v>
      </c>
      <c r="O167" s="15"/>
      <c r="P167" s="15">
        <v>29.77</v>
      </c>
      <c r="Q167" s="15"/>
      <c r="R167" s="15"/>
      <c r="S167" s="15" t="s">
        <v>304</v>
      </c>
      <c r="T167" s="15"/>
      <c r="U167" s="15"/>
      <c r="V167" s="15"/>
      <c r="W167" s="15"/>
      <c r="X167" s="15"/>
      <c r="Y167" s="15" t="s">
        <v>1119</v>
      </c>
      <c r="Z167" s="15" t="s">
        <v>191</v>
      </c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 t="e">
        <v>#N/A</v>
      </c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61">
        <v>46083</v>
      </c>
      <c r="BE167" s="61" t="s">
        <v>192</v>
      </c>
      <c r="BF167" s="15" t="s">
        <v>199</v>
      </c>
      <c r="BG167" s="15" t="s">
        <v>199</v>
      </c>
      <c r="BH167" s="15" t="s">
        <v>199</v>
      </c>
      <c r="BI167" s="15" t="s">
        <v>199</v>
      </c>
      <c r="BJ167" s="15"/>
      <c r="BK167" s="15"/>
      <c r="BL167" s="15"/>
      <c r="BM167" s="15"/>
      <c r="BN167" s="15"/>
      <c r="BO167" s="64"/>
      <c r="BP167" s="64">
        <v>46114</v>
      </c>
      <c r="BQ167" s="15"/>
      <c r="BR167" s="15"/>
      <c r="BS167" s="64"/>
      <c r="BT167" s="64">
        <v>46124</v>
      </c>
      <c r="BU167" s="64">
        <v>46189</v>
      </c>
      <c r="BV167" s="15"/>
      <c r="BW167" s="64"/>
      <c r="BX167" s="68"/>
      <c r="BY167" s="68">
        <v>1</v>
      </c>
      <c r="BZ167" s="68">
        <v>9</v>
      </c>
      <c r="CA167" s="68">
        <v>13</v>
      </c>
      <c r="CB167" s="68">
        <v>15</v>
      </c>
      <c r="CC167" s="68">
        <v>10</v>
      </c>
      <c r="CD167" s="68">
        <v>9</v>
      </c>
      <c r="CE167" s="68">
        <v>5</v>
      </c>
      <c r="CF167" s="68">
        <v>3</v>
      </c>
      <c r="CG167" s="68"/>
      <c r="CH167" s="68"/>
      <c r="CI167" s="68"/>
      <c r="CJ167" s="68"/>
      <c r="CK167" s="15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  <c r="EE167" s="68"/>
      <c r="EF167" s="68"/>
      <c r="EG167" s="68"/>
      <c r="EH167" s="68"/>
      <c r="EI167" s="68"/>
      <c r="EJ167" s="68"/>
      <c r="EK167" s="68"/>
      <c r="EL167" s="68"/>
      <c r="EM167" s="68"/>
      <c r="EN167" s="68"/>
      <c r="EO167" s="68"/>
      <c r="EP167" s="68"/>
      <c r="EQ167" s="65">
        <f t="shared" si="25"/>
        <v>65</v>
      </c>
      <c r="ER167" s="6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 t="s">
        <v>176</v>
      </c>
      <c r="FF167" s="15"/>
      <c r="FG167" s="15"/>
      <c r="FH167" s="1" t="str">
        <f t="shared" si="23"/>
        <v>7129736940014702096678</v>
      </c>
      <c r="FI167" s="1" t="str">
        <f t="shared" si="24"/>
        <v>PRLS/25/13278</v>
      </c>
      <c r="FJ167" s="38" t="e">
        <f>VLOOKUP(FH167,[1]Sheet3!$A:$D,4,0)</f>
        <v>#N/A</v>
      </c>
      <c r="FL167" s="13"/>
    </row>
    <row r="168" spans="1:168" ht="21" hidden="1" x14ac:dyDescent="0.25">
      <c r="A168" s="15" t="s">
        <v>763</v>
      </c>
      <c r="B168" s="15" t="s">
        <v>149</v>
      </c>
      <c r="C168" s="15" t="s">
        <v>625</v>
      </c>
      <c r="D168" s="15" t="s">
        <v>742</v>
      </c>
      <c r="E168" s="15" t="s">
        <v>210</v>
      </c>
      <c r="F168" s="15" t="s">
        <v>152</v>
      </c>
      <c r="G168" s="15" t="s">
        <v>321</v>
      </c>
      <c r="H168" s="15" t="s">
        <v>723</v>
      </c>
      <c r="I168" s="15" t="s">
        <v>334</v>
      </c>
      <c r="J168" s="15" t="s">
        <v>730</v>
      </c>
      <c r="K168" s="15" t="s">
        <v>185</v>
      </c>
      <c r="L168" s="15" t="s">
        <v>335</v>
      </c>
      <c r="M168" s="15" t="s">
        <v>733</v>
      </c>
      <c r="N168" s="63">
        <v>25</v>
      </c>
      <c r="O168" s="15"/>
      <c r="P168" s="15">
        <v>33.130000000000003</v>
      </c>
      <c r="Q168" s="15"/>
      <c r="R168" s="15"/>
      <c r="S168" s="15" t="s">
        <v>304</v>
      </c>
      <c r="T168" s="15"/>
      <c r="U168" s="15"/>
      <c r="V168" s="15"/>
      <c r="W168" s="15"/>
      <c r="X168" s="15"/>
      <c r="Y168" s="15" t="s">
        <v>1119</v>
      </c>
      <c r="Z168" s="15" t="s">
        <v>191</v>
      </c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 t="e">
        <v>#N/A</v>
      </c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61">
        <v>46083</v>
      </c>
      <c r="BE168" s="61" t="s">
        <v>192</v>
      </c>
      <c r="BF168" s="15" t="s">
        <v>199</v>
      </c>
      <c r="BG168" s="15" t="s">
        <v>199</v>
      </c>
      <c r="BH168" s="15" t="s">
        <v>199</v>
      </c>
      <c r="BI168" s="15" t="s">
        <v>199</v>
      </c>
      <c r="BJ168" s="15"/>
      <c r="BK168" s="15"/>
      <c r="BL168" s="15"/>
      <c r="BM168" s="15"/>
      <c r="BN168" s="15"/>
      <c r="BO168" s="64"/>
      <c r="BP168" s="64">
        <v>46114</v>
      </c>
      <c r="BQ168" s="15"/>
      <c r="BR168" s="15"/>
      <c r="BS168" s="64"/>
      <c r="BT168" s="64">
        <v>46124</v>
      </c>
      <c r="BU168" s="64">
        <v>46189</v>
      </c>
      <c r="BV168" s="15"/>
      <c r="BW168" s="64"/>
      <c r="BX168" s="68"/>
      <c r="BY168" s="68">
        <v>1</v>
      </c>
      <c r="BZ168" s="68">
        <v>3</v>
      </c>
      <c r="CA168" s="68">
        <v>5</v>
      </c>
      <c r="CB168" s="68">
        <v>6</v>
      </c>
      <c r="CC168" s="68">
        <v>4</v>
      </c>
      <c r="CD168" s="68">
        <v>3</v>
      </c>
      <c r="CE168" s="68">
        <v>2</v>
      </c>
      <c r="CF168" s="68">
        <v>1</v>
      </c>
      <c r="CG168" s="68"/>
      <c r="CH168" s="68"/>
      <c r="CI168" s="68"/>
      <c r="CJ168" s="68"/>
      <c r="CK168" s="15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  <c r="EE168" s="68"/>
      <c r="EF168" s="68"/>
      <c r="EG168" s="68"/>
      <c r="EH168" s="68"/>
      <c r="EI168" s="68"/>
      <c r="EJ168" s="68"/>
      <c r="EK168" s="68"/>
      <c r="EL168" s="68"/>
      <c r="EM168" s="68"/>
      <c r="EN168" s="68"/>
      <c r="EO168" s="68"/>
      <c r="EP168" s="68"/>
      <c r="EQ168" s="65">
        <f t="shared" si="25"/>
        <v>25</v>
      </c>
      <c r="ER168" s="6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 t="s">
        <v>176</v>
      </c>
      <c r="FF168" s="15"/>
      <c r="FG168" s="15"/>
      <c r="FH168" s="1" t="str">
        <f t="shared" si="23"/>
        <v>7129736945004702096678</v>
      </c>
      <c r="FI168" s="1" t="str">
        <f t="shared" si="24"/>
        <v>PRLS/25/13279</v>
      </c>
      <c r="FJ168" s="38" t="e">
        <f>VLOOKUP(FH168,[1]Sheet3!$A:$D,4,0)</f>
        <v>#N/A</v>
      </c>
      <c r="FL168" s="13"/>
    </row>
    <row r="169" spans="1:168" ht="21" hidden="1" x14ac:dyDescent="0.25">
      <c r="A169" s="15" t="s">
        <v>762</v>
      </c>
      <c r="B169" s="15" t="s">
        <v>149</v>
      </c>
      <c r="C169" s="15" t="s">
        <v>625</v>
      </c>
      <c r="D169" s="15" t="s">
        <v>741</v>
      </c>
      <c r="E169" s="15" t="s">
        <v>180</v>
      </c>
      <c r="F169" s="15" t="s">
        <v>181</v>
      </c>
      <c r="G169" s="15" t="s">
        <v>321</v>
      </c>
      <c r="H169" s="15" t="s">
        <v>333</v>
      </c>
      <c r="I169" s="15" t="s">
        <v>334</v>
      </c>
      <c r="J169" s="15" t="s">
        <v>730</v>
      </c>
      <c r="K169" s="15" t="s">
        <v>185</v>
      </c>
      <c r="L169" s="15" t="s">
        <v>335</v>
      </c>
      <c r="M169" s="15" t="s">
        <v>336</v>
      </c>
      <c r="N169" s="63">
        <v>440</v>
      </c>
      <c r="O169" s="15"/>
      <c r="P169" s="15">
        <v>29.77</v>
      </c>
      <c r="Q169" s="15"/>
      <c r="R169" s="15"/>
      <c r="S169" s="15" t="s">
        <v>304</v>
      </c>
      <c r="T169" s="15"/>
      <c r="U169" s="15"/>
      <c r="V169" s="15"/>
      <c r="W169" s="15"/>
      <c r="X169" s="15"/>
      <c r="Y169" s="15" t="s">
        <v>1119</v>
      </c>
      <c r="Z169" s="15" t="s">
        <v>191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 t="e">
        <v>#N/A</v>
      </c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61">
        <v>46083</v>
      </c>
      <c r="BE169" s="61" t="s">
        <v>192</v>
      </c>
      <c r="BF169" s="15" t="s">
        <v>199</v>
      </c>
      <c r="BG169" s="15" t="s">
        <v>199</v>
      </c>
      <c r="BH169" s="15" t="s">
        <v>199</v>
      </c>
      <c r="BI169" s="15" t="s">
        <v>199</v>
      </c>
      <c r="BJ169" s="15"/>
      <c r="BK169" s="15"/>
      <c r="BL169" s="15"/>
      <c r="BM169" s="15"/>
      <c r="BN169" s="15"/>
      <c r="BO169" s="64"/>
      <c r="BP169" s="64">
        <v>46114</v>
      </c>
      <c r="BQ169" s="15"/>
      <c r="BR169" s="15"/>
      <c r="BS169" s="64"/>
      <c r="BT169" s="64">
        <v>46124</v>
      </c>
      <c r="BU169" s="64">
        <v>46189</v>
      </c>
      <c r="BV169" s="15"/>
      <c r="BW169" s="64"/>
      <c r="BX169" s="68"/>
      <c r="BY169" s="68">
        <v>22</v>
      </c>
      <c r="BZ169" s="68">
        <v>53</v>
      </c>
      <c r="CA169" s="68">
        <v>106</v>
      </c>
      <c r="CB169" s="68">
        <v>84</v>
      </c>
      <c r="CC169" s="68">
        <v>88</v>
      </c>
      <c r="CD169" s="68">
        <v>44</v>
      </c>
      <c r="CE169" s="68">
        <v>26</v>
      </c>
      <c r="CF169" s="68">
        <v>13</v>
      </c>
      <c r="CG169" s="68">
        <v>4</v>
      </c>
      <c r="CH169" s="68"/>
      <c r="CI169" s="68"/>
      <c r="CJ169" s="68"/>
      <c r="CK169" s="15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  <c r="EE169" s="68"/>
      <c r="EF169" s="68"/>
      <c r="EG169" s="68"/>
      <c r="EH169" s="68"/>
      <c r="EI169" s="68"/>
      <c r="EJ169" s="68"/>
      <c r="EK169" s="68"/>
      <c r="EL169" s="68"/>
      <c r="EM169" s="68"/>
      <c r="EN169" s="68"/>
      <c r="EO169" s="68"/>
      <c r="EP169" s="68"/>
      <c r="EQ169" s="65">
        <f t="shared" si="25"/>
        <v>440</v>
      </c>
      <c r="ER169" s="6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 t="s">
        <v>176</v>
      </c>
      <c r="FF169" s="15"/>
      <c r="FG169" s="15"/>
      <c r="FH169" s="1" t="str">
        <f t="shared" si="23"/>
        <v>7129736940014702096679</v>
      </c>
      <c r="FI169" s="1" t="str">
        <f t="shared" si="24"/>
        <v>PRLS/25/13278</v>
      </c>
      <c r="FJ169" s="38" t="e">
        <f>VLOOKUP(FH169,[1]Sheet3!$A:$D,4,0)</f>
        <v>#N/A</v>
      </c>
      <c r="FL169" s="13"/>
    </row>
    <row r="170" spans="1:168" ht="21" hidden="1" x14ac:dyDescent="0.25">
      <c r="A170" s="15" t="s">
        <v>763</v>
      </c>
      <c r="B170" s="15" t="s">
        <v>149</v>
      </c>
      <c r="C170" s="15" t="s">
        <v>625</v>
      </c>
      <c r="D170" s="15" t="s">
        <v>741</v>
      </c>
      <c r="E170" s="15" t="s">
        <v>180</v>
      </c>
      <c r="F170" s="15" t="s">
        <v>181</v>
      </c>
      <c r="G170" s="15" t="s">
        <v>321</v>
      </c>
      <c r="H170" s="15" t="s">
        <v>723</v>
      </c>
      <c r="I170" s="15" t="s">
        <v>334</v>
      </c>
      <c r="J170" s="15" t="s">
        <v>730</v>
      </c>
      <c r="K170" s="15" t="s">
        <v>185</v>
      </c>
      <c r="L170" s="15" t="s">
        <v>335</v>
      </c>
      <c r="M170" s="15" t="s">
        <v>733</v>
      </c>
      <c r="N170" s="63">
        <v>305</v>
      </c>
      <c r="O170" s="15"/>
      <c r="P170" s="15">
        <v>33.130000000000003</v>
      </c>
      <c r="Q170" s="15"/>
      <c r="R170" s="15"/>
      <c r="S170" s="15" t="s">
        <v>304</v>
      </c>
      <c r="T170" s="15"/>
      <c r="U170" s="15"/>
      <c r="V170" s="15"/>
      <c r="W170" s="15"/>
      <c r="X170" s="15"/>
      <c r="Y170" s="15" t="s">
        <v>1119</v>
      </c>
      <c r="Z170" s="15" t="s">
        <v>191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 t="e">
        <v>#N/A</v>
      </c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61">
        <v>46083</v>
      </c>
      <c r="BE170" s="61" t="s">
        <v>192</v>
      </c>
      <c r="BF170" s="15" t="s">
        <v>199</v>
      </c>
      <c r="BG170" s="15" t="s">
        <v>199</v>
      </c>
      <c r="BH170" s="15" t="s">
        <v>199</v>
      </c>
      <c r="BI170" s="15" t="s">
        <v>199</v>
      </c>
      <c r="BJ170" s="15"/>
      <c r="BK170" s="15"/>
      <c r="BL170" s="15"/>
      <c r="BM170" s="15"/>
      <c r="BN170" s="15"/>
      <c r="BO170" s="64"/>
      <c r="BP170" s="64">
        <v>46114</v>
      </c>
      <c r="BQ170" s="15"/>
      <c r="BR170" s="15"/>
      <c r="BS170" s="64"/>
      <c r="BT170" s="64">
        <v>46124</v>
      </c>
      <c r="BU170" s="64">
        <v>46189</v>
      </c>
      <c r="BV170" s="15"/>
      <c r="BW170" s="64"/>
      <c r="BX170" s="68"/>
      <c r="BY170" s="68">
        <v>15</v>
      </c>
      <c r="BZ170" s="68">
        <v>36</v>
      </c>
      <c r="CA170" s="68">
        <v>73</v>
      </c>
      <c r="CB170" s="68">
        <v>58</v>
      </c>
      <c r="CC170" s="68">
        <v>61</v>
      </c>
      <c r="CD170" s="68">
        <v>31</v>
      </c>
      <c r="CE170" s="68">
        <v>18</v>
      </c>
      <c r="CF170" s="68">
        <v>10</v>
      </c>
      <c r="CG170" s="68">
        <v>3</v>
      </c>
      <c r="CH170" s="68"/>
      <c r="CI170" s="68"/>
      <c r="CJ170" s="68"/>
      <c r="CK170" s="15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  <c r="EE170" s="68"/>
      <c r="EF170" s="68"/>
      <c r="EG170" s="68"/>
      <c r="EH170" s="68"/>
      <c r="EI170" s="68"/>
      <c r="EJ170" s="68"/>
      <c r="EK170" s="68"/>
      <c r="EL170" s="68"/>
      <c r="EM170" s="68"/>
      <c r="EN170" s="68"/>
      <c r="EO170" s="68"/>
      <c r="EP170" s="68"/>
      <c r="EQ170" s="65">
        <f t="shared" si="25"/>
        <v>305</v>
      </c>
      <c r="ER170" s="6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 t="s">
        <v>176</v>
      </c>
      <c r="FF170" s="15"/>
      <c r="FG170" s="15"/>
      <c r="FH170" s="1" t="str">
        <f t="shared" si="23"/>
        <v>7129736945004702096679</v>
      </c>
      <c r="FI170" s="1" t="str">
        <f t="shared" si="24"/>
        <v>PRLS/25/13279</v>
      </c>
      <c r="FJ170" s="38" t="e">
        <f>VLOOKUP(FH170,[1]Sheet3!$A:$D,4,0)</f>
        <v>#N/A</v>
      </c>
      <c r="FL170" s="13"/>
    </row>
    <row r="171" spans="1:168" ht="21" hidden="1" x14ac:dyDescent="0.25">
      <c r="A171" s="15" t="s">
        <v>764</v>
      </c>
      <c r="B171" s="15" t="s">
        <v>149</v>
      </c>
      <c r="C171" s="15" t="s">
        <v>625</v>
      </c>
      <c r="D171" s="15" t="s">
        <v>743</v>
      </c>
      <c r="E171" s="15" t="s">
        <v>180</v>
      </c>
      <c r="F171" s="15" t="s">
        <v>181</v>
      </c>
      <c r="G171" s="15" t="s">
        <v>321</v>
      </c>
      <c r="H171" s="15" t="s">
        <v>724</v>
      </c>
      <c r="I171" s="15" t="s">
        <v>768</v>
      </c>
      <c r="J171" s="15" t="s">
        <v>730</v>
      </c>
      <c r="K171" s="15" t="s">
        <v>185</v>
      </c>
      <c r="L171" s="15" t="s">
        <v>731</v>
      </c>
      <c r="M171" s="15" t="s">
        <v>734</v>
      </c>
      <c r="N171" s="63">
        <v>300</v>
      </c>
      <c r="O171" s="15"/>
      <c r="P171" s="15">
        <v>34.97</v>
      </c>
      <c r="Q171" s="15"/>
      <c r="R171" s="15"/>
      <c r="S171" s="15" t="s">
        <v>304</v>
      </c>
      <c r="T171" s="15"/>
      <c r="U171" s="15"/>
      <c r="V171" s="15"/>
      <c r="W171" s="15"/>
      <c r="X171" s="15"/>
      <c r="Y171" s="15" t="s">
        <v>1119</v>
      </c>
      <c r="Z171" s="15" t="s">
        <v>191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 t="e">
        <v>#N/A</v>
      </c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61">
        <v>46083</v>
      </c>
      <c r="BE171" s="61" t="s">
        <v>192</v>
      </c>
      <c r="BF171" s="15" t="s">
        <v>199</v>
      </c>
      <c r="BG171" s="15" t="s">
        <v>199</v>
      </c>
      <c r="BH171" s="15" t="s">
        <v>199</v>
      </c>
      <c r="BI171" s="15" t="s">
        <v>199</v>
      </c>
      <c r="BJ171" s="15"/>
      <c r="BK171" s="15"/>
      <c r="BL171" s="15"/>
      <c r="BM171" s="15"/>
      <c r="BN171" s="15"/>
      <c r="BO171" s="64"/>
      <c r="BP171" s="64">
        <v>46114</v>
      </c>
      <c r="BQ171" s="15"/>
      <c r="BR171" s="15"/>
      <c r="BS171" s="64"/>
      <c r="BT171" s="64">
        <v>46124</v>
      </c>
      <c r="BU171" s="64">
        <v>46189</v>
      </c>
      <c r="BV171" s="15"/>
      <c r="BW171" s="64"/>
      <c r="BX171" s="68"/>
      <c r="BY171" s="68">
        <v>16</v>
      </c>
      <c r="BZ171" s="68">
        <v>36</v>
      </c>
      <c r="CA171" s="68">
        <v>70</v>
      </c>
      <c r="CB171" s="68">
        <v>58</v>
      </c>
      <c r="CC171" s="68">
        <v>58</v>
      </c>
      <c r="CD171" s="68">
        <v>30</v>
      </c>
      <c r="CE171" s="68">
        <v>18</v>
      </c>
      <c r="CF171" s="68">
        <v>10</v>
      </c>
      <c r="CG171" s="68">
        <v>4</v>
      </c>
      <c r="CH171" s="68"/>
      <c r="CI171" s="68"/>
      <c r="CJ171" s="68"/>
      <c r="CK171" s="15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  <c r="EE171" s="68"/>
      <c r="EF171" s="68"/>
      <c r="EG171" s="68"/>
      <c r="EH171" s="68"/>
      <c r="EI171" s="68"/>
      <c r="EJ171" s="68"/>
      <c r="EK171" s="68"/>
      <c r="EL171" s="68"/>
      <c r="EM171" s="68"/>
      <c r="EN171" s="68"/>
      <c r="EO171" s="68"/>
      <c r="EP171" s="68"/>
      <c r="EQ171" s="65">
        <f t="shared" si="25"/>
        <v>300</v>
      </c>
      <c r="ER171" s="6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 t="s">
        <v>176</v>
      </c>
      <c r="FF171" s="15"/>
      <c r="FG171" s="15"/>
      <c r="FH171" s="1" t="str">
        <f t="shared" si="23"/>
        <v>712B268680014702096680</v>
      </c>
      <c r="FI171" s="1" t="str">
        <f t="shared" si="24"/>
        <v>PRLS/25/13282</v>
      </c>
      <c r="FJ171" s="38" t="e">
        <f>VLOOKUP(FH171,[1]Sheet3!$A:$D,4,0)</f>
        <v>#N/A</v>
      </c>
      <c r="FL171" s="13"/>
    </row>
    <row r="172" spans="1:168" ht="21" hidden="1" x14ac:dyDescent="0.25">
      <c r="A172" s="15" t="s">
        <v>765</v>
      </c>
      <c r="B172" s="15" t="s">
        <v>149</v>
      </c>
      <c r="C172" s="15" t="s">
        <v>625</v>
      </c>
      <c r="D172" s="15" t="s">
        <v>743</v>
      </c>
      <c r="E172" s="15" t="s">
        <v>180</v>
      </c>
      <c r="F172" s="15" t="s">
        <v>181</v>
      </c>
      <c r="G172" s="15" t="s">
        <v>321</v>
      </c>
      <c r="H172" s="15" t="s">
        <v>725</v>
      </c>
      <c r="I172" s="15" t="s">
        <v>768</v>
      </c>
      <c r="J172" s="15" t="s">
        <v>730</v>
      </c>
      <c r="K172" s="15" t="s">
        <v>185</v>
      </c>
      <c r="L172" s="15" t="s">
        <v>731</v>
      </c>
      <c r="M172" s="15" t="s">
        <v>735</v>
      </c>
      <c r="N172" s="63">
        <v>440</v>
      </c>
      <c r="O172" s="15"/>
      <c r="P172" s="15">
        <v>34.97</v>
      </c>
      <c r="Q172" s="15"/>
      <c r="R172" s="15"/>
      <c r="S172" s="15" t="s">
        <v>304</v>
      </c>
      <c r="T172" s="15"/>
      <c r="U172" s="15"/>
      <c r="V172" s="15"/>
      <c r="W172" s="15"/>
      <c r="X172" s="15"/>
      <c r="Y172" s="15" t="s">
        <v>1119</v>
      </c>
      <c r="Z172" s="15" t="s">
        <v>191</v>
      </c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 t="e">
        <v>#N/A</v>
      </c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61">
        <v>46083</v>
      </c>
      <c r="BE172" s="61" t="s">
        <v>192</v>
      </c>
      <c r="BF172" s="15" t="s">
        <v>199</v>
      </c>
      <c r="BG172" s="15" t="s">
        <v>199</v>
      </c>
      <c r="BH172" s="15" t="s">
        <v>199</v>
      </c>
      <c r="BI172" s="15" t="s">
        <v>199</v>
      </c>
      <c r="BJ172" s="15"/>
      <c r="BK172" s="15"/>
      <c r="BL172" s="15"/>
      <c r="BM172" s="15"/>
      <c r="BN172" s="15"/>
      <c r="BO172" s="64"/>
      <c r="BP172" s="64">
        <v>46114</v>
      </c>
      <c r="BQ172" s="15"/>
      <c r="BR172" s="15"/>
      <c r="BS172" s="64"/>
      <c r="BT172" s="64">
        <v>46124</v>
      </c>
      <c r="BU172" s="64">
        <v>46189</v>
      </c>
      <c r="BV172" s="15"/>
      <c r="BW172" s="64"/>
      <c r="BX172" s="68"/>
      <c r="BY172" s="68">
        <v>22</v>
      </c>
      <c r="BZ172" s="68">
        <v>53</v>
      </c>
      <c r="CA172" s="68">
        <v>106</v>
      </c>
      <c r="CB172" s="68">
        <v>84</v>
      </c>
      <c r="CC172" s="68">
        <v>88</v>
      </c>
      <c r="CD172" s="68">
        <v>44</v>
      </c>
      <c r="CE172" s="68">
        <v>26</v>
      </c>
      <c r="CF172" s="68">
        <v>13</v>
      </c>
      <c r="CG172" s="68">
        <v>4</v>
      </c>
      <c r="CH172" s="68"/>
      <c r="CI172" s="68"/>
      <c r="CJ172" s="68"/>
      <c r="CK172" s="15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  <c r="EE172" s="68"/>
      <c r="EF172" s="68"/>
      <c r="EG172" s="68"/>
      <c r="EH172" s="68"/>
      <c r="EI172" s="68"/>
      <c r="EJ172" s="68"/>
      <c r="EK172" s="68"/>
      <c r="EL172" s="68"/>
      <c r="EM172" s="68"/>
      <c r="EN172" s="68"/>
      <c r="EO172" s="68"/>
      <c r="EP172" s="68"/>
      <c r="EQ172" s="65">
        <f t="shared" si="25"/>
        <v>440</v>
      </c>
      <c r="ER172" s="6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 t="s">
        <v>176</v>
      </c>
      <c r="FF172" s="15"/>
      <c r="FG172" s="15"/>
      <c r="FH172" s="1" t="str">
        <f t="shared" si="23"/>
        <v>712B268680024702096680</v>
      </c>
      <c r="FI172" s="1" t="str">
        <f t="shared" si="24"/>
        <v>PRLS/25/13283</v>
      </c>
      <c r="FJ172" s="38" t="e">
        <f>VLOOKUP(FH172,[1]Sheet3!$A:$D,4,0)</f>
        <v>#N/A</v>
      </c>
      <c r="FL172" s="13"/>
    </row>
    <row r="173" spans="1:168" ht="21" hidden="1" x14ac:dyDescent="0.25">
      <c r="A173" s="15" t="s">
        <v>766</v>
      </c>
      <c r="B173" s="15" t="s">
        <v>149</v>
      </c>
      <c r="C173" s="15" t="s">
        <v>625</v>
      </c>
      <c r="D173" s="15" t="s">
        <v>744</v>
      </c>
      <c r="E173" s="15" t="s">
        <v>180</v>
      </c>
      <c r="F173" s="15" t="s">
        <v>181</v>
      </c>
      <c r="G173" s="15" t="s">
        <v>321</v>
      </c>
      <c r="H173" s="15" t="s">
        <v>726</v>
      </c>
      <c r="I173" s="15" t="s">
        <v>769</v>
      </c>
      <c r="J173" s="15" t="s">
        <v>730</v>
      </c>
      <c r="K173" s="15" t="s">
        <v>185</v>
      </c>
      <c r="L173" s="15" t="s">
        <v>732</v>
      </c>
      <c r="M173" s="15" t="s">
        <v>736</v>
      </c>
      <c r="N173" s="63">
        <v>300</v>
      </c>
      <c r="O173" s="15"/>
      <c r="P173" s="15">
        <v>35.520000000000003</v>
      </c>
      <c r="Q173" s="15"/>
      <c r="R173" s="15"/>
      <c r="S173" s="15" t="s">
        <v>304</v>
      </c>
      <c r="T173" s="15"/>
      <c r="U173" s="15"/>
      <c r="V173" s="15"/>
      <c r="W173" s="15"/>
      <c r="X173" s="15"/>
      <c r="Y173" s="15" t="s">
        <v>1119</v>
      </c>
      <c r="Z173" s="15" t="s">
        <v>191</v>
      </c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 t="e">
        <v>#N/A</v>
      </c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61">
        <v>46083</v>
      </c>
      <c r="BE173" s="61" t="s">
        <v>192</v>
      </c>
      <c r="BF173" s="15" t="s">
        <v>199</v>
      </c>
      <c r="BG173" s="15" t="s">
        <v>199</v>
      </c>
      <c r="BH173" s="15" t="s">
        <v>199</v>
      </c>
      <c r="BI173" s="15" t="s">
        <v>199</v>
      </c>
      <c r="BJ173" s="15"/>
      <c r="BK173" s="15"/>
      <c r="BL173" s="15"/>
      <c r="BM173" s="15"/>
      <c r="BN173" s="15"/>
      <c r="BO173" s="64"/>
      <c r="BP173" s="64">
        <v>46114</v>
      </c>
      <c r="BQ173" s="15"/>
      <c r="BR173" s="15"/>
      <c r="BS173" s="64"/>
      <c r="BT173" s="64">
        <v>46124</v>
      </c>
      <c r="BU173" s="64">
        <v>46189</v>
      </c>
      <c r="BV173" s="15"/>
      <c r="BW173" s="64"/>
      <c r="BX173" s="68"/>
      <c r="BY173" s="68">
        <v>16</v>
      </c>
      <c r="BZ173" s="68">
        <v>36</v>
      </c>
      <c r="CA173" s="68">
        <v>70</v>
      </c>
      <c r="CB173" s="68">
        <v>58</v>
      </c>
      <c r="CC173" s="68">
        <v>58</v>
      </c>
      <c r="CD173" s="68">
        <v>30</v>
      </c>
      <c r="CE173" s="68">
        <v>18</v>
      </c>
      <c r="CF173" s="68">
        <v>10</v>
      </c>
      <c r="CG173" s="68">
        <v>4</v>
      </c>
      <c r="CH173" s="68"/>
      <c r="CI173" s="68"/>
      <c r="CJ173" s="68"/>
      <c r="CK173" s="15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  <c r="EE173" s="68"/>
      <c r="EF173" s="68"/>
      <c r="EG173" s="68"/>
      <c r="EH173" s="68"/>
      <c r="EI173" s="68"/>
      <c r="EJ173" s="68"/>
      <c r="EK173" s="68"/>
      <c r="EL173" s="68"/>
      <c r="EM173" s="68"/>
      <c r="EN173" s="68"/>
      <c r="EO173" s="68"/>
      <c r="EP173" s="68"/>
      <c r="EQ173" s="65">
        <f t="shared" si="25"/>
        <v>300</v>
      </c>
      <c r="ER173" s="6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 t="s">
        <v>176</v>
      </c>
      <c r="FF173" s="15"/>
      <c r="FG173" s="15"/>
      <c r="FH173" s="1" t="str">
        <f t="shared" si="23"/>
        <v>712B268690014702096681</v>
      </c>
      <c r="FI173" s="1" t="str">
        <f t="shared" si="24"/>
        <v>PRLS/25/13284</v>
      </c>
      <c r="FJ173" s="38" t="e">
        <f>VLOOKUP(FH173,[1]Sheet3!$A:$D,4,0)</f>
        <v>#N/A</v>
      </c>
      <c r="FL173" s="13"/>
    </row>
    <row r="174" spans="1:168" ht="21" hidden="1" x14ac:dyDescent="0.25">
      <c r="A174" s="15" t="s">
        <v>767</v>
      </c>
      <c r="B174" s="15" t="s">
        <v>149</v>
      </c>
      <c r="C174" s="15" t="s">
        <v>625</v>
      </c>
      <c r="D174" s="15" t="s">
        <v>744</v>
      </c>
      <c r="E174" s="15" t="s">
        <v>180</v>
      </c>
      <c r="F174" s="15" t="s">
        <v>181</v>
      </c>
      <c r="G174" s="15" t="s">
        <v>321</v>
      </c>
      <c r="H174" s="15" t="s">
        <v>727</v>
      </c>
      <c r="I174" s="15" t="s">
        <v>769</v>
      </c>
      <c r="J174" s="15" t="s">
        <v>730</v>
      </c>
      <c r="K174" s="15" t="s">
        <v>185</v>
      </c>
      <c r="L174" s="15" t="s">
        <v>732</v>
      </c>
      <c r="M174" s="15" t="s">
        <v>737</v>
      </c>
      <c r="N174" s="63">
        <v>300</v>
      </c>
      <c r="O174" s="15"/>
      <c r="P174" s="15">
        <v>35.520000000000003</v>
      </c>
      <c r="Q174" s="15"/>
      <c r="R174" s="15"/>
      <c r="S174" s="15" t="s">
        <v>304</v>
      </c>
      <c r="T174" s="15"/>
      <c r="U174" s="15"/>
      <c r="V174" s="15"/>
      <c r="W174" s="15"/>
      <c r="X174" s="15"/>
      <c r="Y174" s="15" t="s">
        <v>1119</v>
      </c>
      <c r="Z174" s="15" t="s">
        <v>191</v>
      </c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 t="e">
        <v>#N/A</v>
      </c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61">
        <v>46083</v>
      </c>
      <c r="BE174" s="61" t="s">
        <v>192</v>
      </c>
      <c r="BF174" s="15" t="s">
        <v>199</v>
      </c>
      <c r="BG174" s="15" t="s">
        <v>199</v>
      </c>
      <c r="BH174" s="15" t="s">
        <v>199</v>
      </c>
      <c r="BI174" s="15" t="s">
        <v>199</v>
      </c>
      <c r="BJ174" s="15"/>
      <c r="BK174" s="15"/>
      <c r="BL174" s="15"/>
      <c r="BM174" s="15"/>
      <c r="BN174" s="15"/>
      <c r="BO174" s="64"/>
      <c r="BP174" s="64">
        <v>46114</v>
      </c>
      <c r="BQ174" s="15"/>
      <c r="BR174" s="15"/>
      <c r="BS174" s="64"/>
      <c r="BT174" s="64">
        <v>46124</v>
      </c>
      <c r="BU174" s="64">
        <v>46189</v>
      </c>
      <c r="BV174" s="15"/>
      <c r="BW174" s="64"/>
      <c r="BX174" s="68"/>
      <c r="BY174" s="68">
        <v>16</v>
      </c>
      <c r="BZ174" s="68">
        <v>36</v>
      </c>
      <c r="CA174" s="68">
        <v>70</v>
      </c>
      <c r="CB174" s="68">
        <v>58</v>
      </c>
      <c r="CC174" s="68">
        <v>58</v>
      </c>
      <c r="CD174" s="68">
        <v>30</v>
      </c>
      <c r="CE174" s="68">
        <v>18</v>
      </c>
      <c r="CF174" s="68">
        <v>10</v>
      </c>
      <c r="CG174" s="68">
        <v>4</v>
      </c>
      <c r="CH174" s="68"/>
      <c r="CI174" s="68"/>
      <c r="CJ174" s="68"/>
      <c r="CK174" s="15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  <c r="EE174" s="68"/>
      <c r="EF174" s="68"/>
      <c r="EG174" s="68"/>
      <c r="EH174" s="68"/>
      <c r="EI174" s="68"/>
      <c r="EJ174" s="68"/>
      <c r="EK174" s="68"/>
      <c r="EL174" s="68"/>
      <c r="EM174" s="68"/>
      <c r="EN174" s="68"/>
      <c r="EO174" s="68"/>
      <c r="EP174" s="68"/>
      <c r="EQ174" s="65">
        <f t="shared" si="25"/>
        <v>300</v>
      </c>
      <c r="ER174" s="6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 t="s">
        <v>176</v>
      </c>
      <c r="FF174" s="15"/>
      <c r="FG174" s="15"/>
      <c r="FH174" s="1" t="str">
        <f t="shared" si="23"/>
        <v>712B268690024702096681</v>
      </c>
      <c r="FI174" s="1" t="str">
        <f t="shared" si="24"/>
        <v>PRLS/25/13285</v>
      </c>
      <c r="FJ174" s="38" t="e">
        <f>VLOOKUP(FH174,[1]Sheet3!$A:$D,4,0)</f>
        <v>#N/A</v>
      </c>
      <c r="FL174" s="13"/>
    </row>
    <row r="175" spans="1:168" ht="21" hidden="1" x14ac:dyDescent="0.25">
      <c r="A175" s="15" t="s">
        <v>774</v>
      </c>
      <c r="B175" s="15" t="s">
        <v>149</v>
      </c>
      <c r="C175" s="15" t="s">
        <v>625</v>
      </c>
      <c r="D175" s="15" t="s">
        <v>773</v>
      </c>
      <c r="E175" s="15" t="s">
        <v>180</v>
      </c>
      <c r="F175" s="15" t="s">
        <v>181</v>
      </c>
      <c r="G175" s="15" t="s">
        <v>321</v>
      </c>
      <c r="H175" s="15" t="s">
        <v>770</v>
      </c>
      <c r="I175" s="15" t="s">
        <v>784</v>
      </c>
      <c r="J175" s="15" t="s">
        <v>771</v>
      </c>
      <c r="K175" s="15" t="s">
        <v>185</v>
      </c>
      <c r="L175" s="15" t="s">
        <v>772</v>
      </c>
      <c r="M175" s="15" t="s">
        <v>233</v>
      </c>
      <c r="N175" s="63">
        <v>300</v>
      </c>
      <c r="O175" s="15"/>
      <c r="P175" s="15">
        <v>40.869999999999997</v>
      </c>
      <c r="Q175" s="15"/>
      <c r="R175" s="15"/>
      <c r="S175" s="15" t="s">
        <v>304</v>
      </c>
      <c r="T175" s="15"/>
      <c r="U175" s="15"/>
      <c r="V175" s="15"/>
      <c r="W175" s="15"/>
      <c r="X175" s="15"/>
      <c r="Y175" s="15" t="s">
        <v>1119</v>
      </c>
      <c r="Z175" s="15" t="s">
        <v>191</v>
      </c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 t="s">
        <v>448</v>
      </c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61">
        <v>46092</v>
      </c>
      <c r="BE175" s="61" t="s">
        <v>192</v>
      </c>
      <c r="BF175" s="15" t="s">
        <v>219</v>
      </c>
      <c r="BG175" s="15" t="s">
        <v>864</v>
      </c>
      <c r="BH175" s="15" t="s">
        <v>864</v>
      </c>
      <c r="BI175" s="15" t="s">
        <v>864</v>
      </c>
      <c r="BJ175" s="15"/>
      <c r="BK175" s="15"/>
      <c r="BL175" s="15"/>
      <c r="BM175" s="15"/>
      <c r="BN175" s="15"/>
      <c r="BO175" s="64"/>
      <c r="BP175" s="64">
        <v>46156</v>
      </c>
      <c r="BQ175" s="15"/>
      <c r="BR175" s="15"/>
      <c r="BS175" s="64"/>
      <c r="BT175" s="64">
        <v>46166</v>
      </c>
      <c r="BU175" s="64">
        <v>46218</v>
      </c>
      <c r="BV175" s="15"/>
      <c r="BW175" s="64"/>
      <c r="BX175" s="68"/>
      <c r="BY175" s="68">
        <v>15</v>
      </c>
      <c r="BZ175" s="68">
        <v>36</v>
      </c>
      <c r="CA175" s="68">
        <v>71</v>
      </c>
      <c r="CB175" s="68">
        <v>57</v>
      </c>
      <c r="CC175" s="68">
        <v>60</v>
      </c>
      <c r="CD175" s="68">
        <v>30</v>
      </c>
      <c r="CE175" s="68">
        <v>18</v>
      </c>
      <c r="CF175" s="68">
        <v>9</v>
      </c>
      <c r="CG175" s="68">
        <v>4</v>
      </c>
      <c r="CH175" s="68"/>
      <c r="CI175" s="68"/>
      <c r="CJ175" s="68"/>
      <c r="CK175" s="15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  <c r="EE175" s="68"/>
      <c r="EF175" s="68"/>
      <c r="EG175" s="68"/>
      <c r="EH175" s="68"/>
      <c r="EI175" s="68"/>
      <c r="EJ175" s="68"/>
      <c r="EK175" s="68"/>
      <c r="EL175" s="68"/>
      <c r="EM175" s="68"/>
      <c r="EN175" s="68"/>
      <c r="EO175" s="68"/>
      <c r="EP175" s="68"/>
      <c r="EQ175" s="65">
        <f t="shared" si="25"/>
        <v>300</v>
      </c>
      <c r="ER175" s="6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 t="s">
        <v>176</v>
      </c>
      <c r="FF175" s="15"/>
      <c r="FG175" s="15"/>
      <c r="FH175" s="1" t="str">
        <f t="shared" si="23"/>
        <v>712B268860014702097397</v>
      </c>
      <c r="FI175" s="1" t="str">
        <f t="shared" si="24"/>
        <v>PRLS/25/13286</v>
      </c>
      <c r="FJ175" s="38" t="e">
        <f>VLOOKUP(FH175,[1]Sheet3!$A:$D,4,0)</f>
        <v>#N/A</v>
      </c>
      <c r="FL175" s="13"/>
    </row>
    <row r="176" spans="1:168" ht="21" hidden="1" x14ac:dyDescent="0.25">
      <c r="A176" s="15" t="s">
        <v>140</v>
      </c>
      <c r="B176" s="15" t="s">
        <v>149</v>
      </c>
      <c r="C176" s="15" t="s">
        <v>471</v>
      </c>
      <c r="D176" s="15" t="s">
        <v>780</v>
      </c>
      <c r="E176" s="15" t="s">
        <v>210</v>
      </c>
      <c r="F176" s="15" t="s">
        <v>152</v>
      </c>
      <c r="G176" s="15" t="s">
        <v>321</v>
      </c>
      <c r="H176" s="15" t="s">
        <v>782</v>
      </c>
      <c r="I176" s="15" t="s">
        <v>785</v>
      </c>
      <c r="J176" s="15" t="s">
        <v>775</v>
      </c>
      <c r="K176" s="15"/>
      <c r="L176" s="15"/>
      <c r="M176" s="15" t="s">
        <v>783</v>
      </c>
      <c r="N176" s="63">
        <v>42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61">
        <v>46146</v>
      </c>
      <c r="BE176" s="61"/>
      <c r="BF176" s="15"/>
      <c r="BG176" s="15"/>
      <c r="BH176" s="15"/>
      <c r="BI176" s="15"/>
      <c r="BJ176" s="15"/>
      <c r="BK176" s="15"/>
      <c r="BL176" s="15"/>
      <c r="BM176" s="15"/>
      <c r="BN176" s="15"/>
      <c r="BO176" s="64"/>
      <c r="BP176" s="15"/>
      <c r="BQ176" s="15"/>
      <c r="BR176" s="15"/>
      <c r="BS176" s="64"/>
      <c r="BT176" s="64">
        <v>46208</v>
      </c>
      <c r="BU176" s="64">
        <v>46280</v>
      </c>
      <c r="BV176" s="15"/>
      <c r="BW176" s="64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15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  <c r="EE176" s="68"/>
      <c r="EF176" s="68"/>
      <c r="EG176" s="68"/>
      <c r="EH176" s="68"/>
      <c r="EI176" s="68"/>
      <c r="EJ176" s="68"/>
      <c r="EK176" s="68"/>
      <c r="EL176" s="68"/>
      <c r="EM176" s="68"/>
      <c r="EN176" s="68"/>
      <c r="EO176" s="68"/>
      <c r="EP176" s="68"/>
      <c r="EQ176" s="65">
        <f t="shared" si="25"/>
        <v>0</v>
      </c>
      <c r="ER176" s="6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 t="s">
        <v>176</v>
      </c>
      <c r="FF176" s="15"/>
      <c r="FG176" s="15"/>
      <c r="FH176" s="1" t="str">
        <f t="shared" si="23"/>
        <v>782P149160014702099767</v>
      </c>
      <c r="FI176" s="1" t="str">
        <f t="shared" si="24"/>
        <v>TBC</v>
      </c>
      <c r="FJ176" s="38"/>
      <c r="FL176" s="13"/>
    </row>
    <row r="177" spans="1:168" ht="21" hidden="1" x14ac:dyDescent="0.25">
      <c r="A177" s="15" t="s">
        <v>140</v>
      </c>
      <c r="B177" s="15" t="s">
        <v>149</v>
      </c>
      <c r="C177" s="15" t="s">
        <v>471</v>
      </c>
      <c r="D177" s="15" t="s">
        <v>781</v>
      </c>
      <c r="E177" s="15" t="s">
        <v>180</v>
      </c>
      <c r="F177" s="15" t="s">
        <v>181</v>
      </c>
      <c r="G177" s="15" t="s">
        <v>321</v>
      </c>
      <c r="H177" s="15" t="s">
        <v>782</v>
      </c>
      <c r="I177" s="15" t="s">
        <v>785</v>
      </c>
      <c r="J177" s="15" t="s">
        <v>775</v>
      </c>
      <c r="K177" s="15"/>
      <c r="L177" s="15"/>
      <c r="M177" s="15" t="s">
        <v>783</v>
      </c>
      <c r="N177" s="63">
        <v>136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61">
        <v>46146</v>
      </c>
      <c r="BE177" s="61"/>
      <c r="BF177" s="15"/>
      <c r="BG177" s="15"/>
      <c r="BH177" s="15"/>
      <c r="BI177" s="15"/>
      <c r="BJ177" s="15"/>
      <c r="BK177" s="15"/>
      <c r="BL177" s="15"/>
      <c r="BM177" s="15"/>
      <c r="BN177" s="15"/>
      <c r="BO177" s="64"/>
      <c r="BP177" s="15"/>
      <c r="BQ177" s="15"/>
      <c r="BR177" s="15"/>
      <c r="BS177" s="64"/>
      <c r="BT177" s="64">
        <v>46208</v>
      </c>
      <c r="BU177" s="64">
        <v>46280</v>
      </c>
      <c r="BV177" s="15"/>
      <c r="BW177" s="64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15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  <c r="EE177" s="68"/>
      <c r="EF177" s="68"/>
      <c r="EG177" s="68"/>
      <c r="EH177" s="68"/>
      <c r="EI177" s="68"/>
      <c r="EJ177" s="68"/>
      <c r="EK177" s="68"/>
      <c r="EL177" s="68"/>
      <c r="EM177" s="68"/>
      <c r="EN177" s="68"/>
      <c r="EO177" s="68"/>
      <c r="EP177" s="68"/>
      <c r="EQ177" s="65">
        <f t="shared" si="25"/>
        <v>0</v>
      </c>
      <c r="ER177" s="6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 t="s">
        <v>176</v>
      </c>
      <c r="FF177" s="15"/>
      <c r="FG177" s="15"/>
      <c r="FH177" s="1" t="str">
        <f t="shared" si="23"/>
        <v>782P149160014702099768</v>
      </c>
      <c r="FI177" s="1" t="str">
        <f t="shared" si="24"/>
        <v>TBC</v>
      </c>
      <c r="FJ177" s="38"/>
      <c r="FL177" s="13"/>
    </row>
    <row r="178" spans="1:168" ht="21" hidden="1" x14ac:dyDescent="0.25">
      <c r="A178" s="15" t="s">
        <v>140</v>
      </c>
      <c r="B178" s="15" t="s">
        <v>149</v>
      </c>
      <c r="C178" s="15" t="s">
        <v>471</v>
      </c>
      <c r="D178" s="15" t="s">
        <v>779</v>
      </c>
      <c r="E178" s="15" t="s">
        <v>208</v>
      </c>
      <c r="F178" s="15" t="s">
        <v>181</v>
      </c>
      <c r="G178" s="15" t="s">
        <v>321</v>
      </c>
      <c r="H178" s="15" t="s">
        <v>782</v>
      </c>
      <c r="I178" s="15" t="s">
        <v>785</v>
      </c>
      <c r="J178" s="15" t="s">
        <v>775</v>
      </c>
      <c r="K178" s="15"/>
      <c r="L178" s="15"/>
      <c r="M178" s="15" t="s">
        <v>783</v>
      </c>
      <c r="N178" s="63">
        <v>32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61">
        <v>46146</v>
      </c>
      <c r="BE178" s="61"/>
      <c r="BF178" s="15"/>
      <c r="BG178" s="15"/>
      <c r="BH178" s="15"/>
      <c r="BI178" s="15"/>
      <c r="BJ178" s="15"/>
      <c r="BK178" s="15"/>
      <c r="BL178" s="15"/>
      <c r="BM178" s="15"/>
      <c r="BN178" s="15"/>
      <c r="BO178" s="64"/>
      <c r="BP178" s="15"/>
      <c r="BQ178" s="15"/>
      <c r="BR178" s="15"/>
      <c r="BS178" s="64"/>
      <c r="BT178" s="64">
        <v>46208</v>
      </c>
      <c r="BU178" s="64">
        <v>46280</v>
      </c>
      <c r="BV178" s="15"/>
      <c r="BW178" s="64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15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8"/>
      <c r="EO178" s="68"/>
      <c r="EP178" s="68"/>
      <c r="EQ178" s="65">
        <f t="shared" si="25"/>
        <v>0</v>
      </c>
      <c r="ER178" s="6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 t="s">
        <v>176</v>
      </c>
      <c r="FF178" s="15"/>
      <c r="FG178" s="15"/>
      <c r="FH178" s="1" t="str">
        <f t="shared" si="23"/>
        <v>782P149160014702099769</v>
      </c>
      <c r="FI178" s="1" t="str">
        <f t="shared" si="24"/>
        <v>TBC</v>
      </c>
      <c r="FJ178" s="38"/>
      <c r="FL178" s="13"/>
    </row>
    <row r="179" spans="1:168" ht="21" hidden="1" x14ac:dyDescent="0.25">
      <c r="A179" s="15" t="s">
        <v>140</v>
      </c>
      <c r="B179" s="15" t="s">
        <v>149</v>
      </c>
      <c r="C179" s="15" t="s">
        <v>471</v>
      </c>
      <c r="D179" s="15" t="s">
        <v>778</v>
      </c>
      <c r="E179" s="15" t="s">
        <v>253</v>
      </c>
      <c r="F179" s="15" t="s">
        <v>254</v>
      </c>
      <c r="G179" s="15" t="s">
        <v>322</v>
      </c>
      <c r="H179" s="15" t="s">
        <v>782</v>
      </c>
      <c r="I179" s="15" t="s">
        <v>785</v>
      </c>
      <c r="J179" s="15" t="s">
        <v>775</v>
      </c>
      <c r="K179" s="15"/>
      <c r="L179" s="15"/>
      <c r="M179" s="15" t="s">
        <v>783</v>
      </c>
      <c r="N179" s="63">
        <v>67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61">
        <v>46146</v>
      </c>
      <c r="BE179" s="61"/>
      <c r="BF179" s="15"/>
      <c r="BG179" s="15"/>
      <c r="BH179" s="15"/>
      <c r="BI179" s="15"/>
      <c r="BJ179" s="15"/>
      <c r="BK179" s="15"/>
      <c r="BL179" s="15"/>
      <c r="BM179" s="15"/>
      <c r="BN179" s="15"/>
      <c r="BO179" s="64"/>
      <c r="BP179" s="15"/>
      <c r="BQ179" s="15"/>
      <c r="BR179" s="15"/>
      <c r="BS179" s="64"/>
      <c r="BT179" s="64">
        <v>46209</v>
      </c>
      <c r="BU179" s="64">
        <v>46280</v>
      </c>
      <c r="BV179" s="15"/>
      <c r="BW179" s="64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15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  <c r="EE179" s="68"/>
      <c r="EF179" s="68"/>
      <c r="EG179" s="68"/>
      <c r="EH179" s="68"/>
      <c r="EI179" s="68"/>
      <c r="EJ179" s="68"/>
      <c r="EK179" s="68"/>
      <c r="EL179" s="68"/>
      <c r="EM179" s="68"/>
      <c r="EN179" s="68"/>
      <c r="EO179" s="68"/>
      <c r="EP179" s="68"/>
      <c r="EQ179" s="65">
        <f t="shared" si="25"/>
        <v>0</v>
      </c>
      <c r="ER179" s="6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 t="s">
        <v>176</v>
      </c>
      <c r="FF179" s="15"/>
      <c r="FG179" s="15"/>
      <c r="FH179" s="1" t="str">
        <f t="shared" si="23"/>
        <v>782P149160014702099770</v>
      </c>
      <c r="FI179" s="1" t="str">
        <f t="shared" si="24"/>
        <v>TBC</v>
      </c>
      <c r="FJ179" s="38"/>
      <c r="FL179" s="13"/>
    </row>
    <row r="180" spans="1:168" ht="21" hidden="1" x14ac:dyDescent="0.25">
      <c r="A180" s="15" t="s">
        <v>140</v>
      </c>
      <c r="B180" s="15" t="s">
        <v>149</v>
      </c>
      <c r="C180" s="15" t="s">
        <v>471</v>
      </c>
      <c r="D180" s="15" t="s">
        <v>776</v>
      </c>
      <c r="E180" s="15" t="s">
        <v>227</v>
      </c>
      <c r="F180" s="15" t="s">
        <v>228</v>
      </c>
      <c r="G180" s="15" t="s">
        <v>322</v>
      </c>
      <c r="H180" s="15" t="s">
        <v>782</v>
      </c>
      <c r="I180" s="15" t="s">
        <v>785</v>
      </c>
      <c r="J180" s="15" t="s">
        <v>775</v>
      </c>
      <c r="K180" s="15"/>
      <c r="L180" s="15"/>
      <c r="M180" s="15" t="s">
        <v>783</v>
      </c>
      <c r="N180" s="63">
        <v>40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61">
        <v>46146</v>
      </c>
      <c r="BE180" s="61"/>
      <c r="BF180" s="15"/>
      <c r="BG180" s="15"/>
      <c r="BH180" s="15"/>
      <c r="BI180" s="15"/>
      <c r="BJ180" s="15"/>
      <c r="BK180" s="15"/>
      <c r="BL180" s="15"/>
      <c r="BM180" s="15"/>
      <c r="BN180" s="15"/>
      <c r="BO180" s="64"/>
      <c r="BP180" s="15"/>
      <c r="BQ180" s="15"/>
      <c r="BR180" s="15"/>
      <c r="BS180" s="64"/>
      <c r="BT180" s="64">
        <v>46209</v>
      </c>
      <c r="BU180" s="64">
        <v>46280</v>
      </c>
      <c r="BV180" s="15"/>
      <c r="BW180" s="64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15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  <c r="EE180" s="68"/>
      <c r="EF180" s="68"/>
      <c r="EG180" s="68"/>
      <c r="EH180" s="68"/>
      <c r="EI180" s="68"/>
      <c r="EJ180" s="68"/>
      <c r="EK180" s="68"/>
      <c r="EL180" s="68"/>
      <c r="EM180" s="68"/>
      <c r="EN180" s="68"/>
      <c r="EO180" s="68"/>
      <c r="EP180" s="68"/>
      <c r="EQ180" s="65">
        <f t="shared" si="25"/>
        <v>0</v>
      </c>
      <c r="ER180" s="6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 t="s">
        <v>176</v>
      </c>
      <c r="FF180" s="15"/>
      <c r="FG180" s="15"/>
      <c r="FH180" s="1" t="str">
        <f t="shared" si="23"/>
        <v>782P149160014702099771</v>
      </c>
      <c r="FI180" s="1" t="str">
        <f t="shared" si="24"/>
        <v>TBC</v>
      </c>
      <c r="FJ180" s="38"/>
      <c r="FL180" s="13"/>
    </row>
    <row r="181" spans="1:168" ht="21" hidden="1" x14ac:dyDescent="0.25">
      <c r="A181" s="15" t="s">
        <v>140</v>
      </c>
      <c r="B181" s="15" t="s">
        <v>149</v>
      </c>
      <c r="C181" s="15" t="s">
        <v>471</v>
      </c>
      <c r="D181" s="15" t="s">
        <v>777</v>
      </c>
      <c r="E181" s="15" t="s">
        <v>237</v>
      </c>
      <c r="F181" s="15" t="s">
        <v>238</v>
      </c>
      <c r="G181" s="15" t="s">
        <v>322</v>
      </c>
      <c r="H181" s="15" t="s">
        <v>782</v>
      </c>
      <c r="I181" s="15" t="s">
        <v>785</v>
      </c>
      <c r="J181" s="15" t="s">
        <v>775</v>
      </c>
      <c r="K181" s="15"/>
      <c r="L181" s="15"/>
      <c r="M181" s="15" t="s">
        <v>783</v>
      </c>
      <c r="N181" s="63">
        <v>267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61">
        <v>46146</v>
      </c>
      <c r="BE181" s="61"/>
      <c r="BF181" s="15"/>
      <c r="BG181" s="15"/>
      <c r="BH181" s="15"/>
      <c r="BI181" s="15"/>
      <c r="BJ181" s="15"/>
      <c r="BK181" s="15"/>
      <c r="BL181" s="15"/>
      <c r="BM181" s="15"/>
      <c r="BN181" s="15"/>
      <c r="BO181" s="64"/>
      <c r="BP181" s="15"/>
      <c r="BQ181" s="15"/>
      <c r="BR181" s="15"/>
      <c r="BS181" s="64"/>
      <c r="BT181" s="64">
        <v>46209</v>
      </c>
      <c r="BU181" s="64">
        <v>46280</v>
      </c>
      <c r="BV181" s="15"/>
      <c r="BW181" s="64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15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  <c r="EE181" s="68"/>
      <c r="EF181" s="68"/>
      <c r="EG181" s="68"/>
      <c r="EH181" s="68"/>
      <c r="EI181" s="68"/>
      <c r="EJ181" s="68"/>
      <c r="EK181" s="68"/>
      <c r="EL181" s="68"/>
      <c r="EM181" s="68"/>
      <c r="EN181" s="68"/>
      <c r="EO181" s="68"/>
      <c r="EP181" s="68"/>
      <c r="EQ181" s="65">
        <f t="shared" si="25"/>
        <v>0</v>
      </c>
      <c r="ER181" s="6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 t="s">
        <v>176</v>
      </c>
      <c r="FF181" s="15"/>
      <c r="FG181" s="15"/>
      <c r="FH181" s="1" t="str">
        <f t="shared" si="23"/>
        <v>782P149160014702099772</v>
      </c>
      <c r="FI181" s="1" t="str">
        <f t="shared" si="24"/>
        <v>TBC</v>
      </c>
      <c r="FJ181" s="38"/>
      <c r="FL181" s="13"/>
    </row>
    <row r="182" spans="1:168" ht="21" hidden="1" x14ac:dyDescent="0.25">
      <c r="A182" s="15" t="s">
        <v>823</v>
      </c>
      <c r="B182" s="15" t="s">
        <v>149</v>
      </c>
      <c r="C182" s="15" t="s">
        <v>625</v>
      </c>
      <c r="D182" s="15">
        <v>4702102941</v>
      </c>
      <c r="E182" s="15" t="s">
        <v>210</v>
      </c>
      <c r="F182" s="15" t="s">
        <v>152</v>
      </c>
      <c r="G182" s="15" t="s">
        <v>321</v>
      </c>
      <c r="H182" s="15" t="s">
        <v>786</v>
      </c>
      <c r="I182" s="15" t="s">
        <v>789</v>
      </c>
      <c r="J182" s="15" t="s">
        <v>771</v>
      </c>
      <c r="K182" s="15" t="s">
        <v>185</v>
      </c>
      <c r="L182" s="15" t="s">
        <v>787</v>
      </c>
      <c r="M182" s="15" t="s">
        <v>187</v>
      </c>
      <c r="N182" s="63">
        <v>360</v>
      </c>
      <c r="O182" s="15"/>
      <c r="P182" s="15">
        <v>30.02</v>
      </c>
      <c r="Q182" s="15"/>
      <c r="R182" s="15"/>
      <c r="S182" s="15" t="s">
        <v>304</v>
      </c>
      <c r="T182" s="15"/>
      <c r="U182" s="15"/>
      <c r="V182" s="15"/>
      <c r="W182" s="15"/>
      <c r="X182" s="15"/>
      <c r="Y182" s="15" t="s">
        <v>218</v>
      </c>
      <c r="Z182" s="15" t="s">
        <v>191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 t="s">
        <v>953</v>
      </c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61">
        <v>46101</v>
      </c>
      <c r="BE182" s="61"/>
      <c r="BF182" s="15" t="s">
        <v>864</v>
      </c>
      <c r="BG182" s="15" t="s">
        <v>864</v>
      </c>
      <c r="BH182" s="15" t="s">
        <v>864</v>
      </c>
      <c r="BI182" s="15" t="s">
        <v>171</v>
      </c>
      <c r="BJ182" s="15"/>
      <c r="BK182" s="15"/>
      <c r="BL182" s="15"/>
      <c r="BM182" s="15"/>
      <c r="BN182" s="15"/>
      <c r="BO182" s="64"/>
      <c r="BP182" s="64">
        <v>46156</v>
      </c>
      <c r="BQ182" s="15"/>
      <c r="BR182" s="15"/>
      <c r="BS182" s="64"/>
      <c r="BT182" s="64">
        <v>46166</v>
      </c>
      <c r="BU182" s="64">
        <v>46249</v>
      </c>
      <c r="BV182" s="15"/>
      <c r="BW182" s="64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15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>
        <v>60</v>
      </c>
      <c r="DK182" s="68"/>
      <c r="DL182" s="68">
        <v>100</v>
      </c>
      <c r="DM182" s="68"/>
      <c r="DN182" s="68">
        <v>39</v>
      </c>
      <c r="DO182" s="68"/>
      <c r="DP182" s="68"/>
      <c r="DQ182" s="68">
        <v>74</v>
      </c>
      <c r="DR182" s="68"/>
      <c r="DS182" s="68"/>
      <c r="DT182" s="68">
        <v>31</v>
      </c>
      <c r="DU182" s="68"/>
      <c r="DV182" s="68"/>
      <c r="DW182" s="68">
        <v>44</v>
      </c>
      <c r="DX182" s="68"/>
      <c r="DY182" s="68">
        <v>12</v>
      </c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5">
        <f t="shared" si="25"/>
        <v>360</v>
      </c>
      <c r="ER182" s="6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 t="s">
        <v>202</v>
      </c>
      <c r="FF182" s="15"/>
      <c r="FG182" s="15"/>
      <c r="FH182" s="1" t="str">
        <f t="shared" si="23"/>
        <v>7129584780014702102941</v>
      </c>
      <c r="FI182" s="1" t="str">
        <f t="shared" si="24"/>
        <v>PRLS/25/13497</v>
      </c>
      <c r="FJ182" s="38" t="e">
        <f>VLOOKUP(FH182,[1]Sheet3!$A:$D,4,0)</f>
        <v>#N/A</v>
      </c>
      <c r="FL182" s="13"/>
    </row>
    <row r="183" spans="1:168" ht="21" hidden="1" x14ac:dyDescent="0.25">
      <c r="A183" s="15" t="s">
        <v>823</v>
      </c>
      <c r="B183" s="15" t="s">
        <v>149</v>
      </c>
      <c r="C183" s="15" t="s">
        <v>625</v>
      </c>
      <c r="D183" s="15" t="s">
        <v>788</v>
      </c>
      <c r="E183" s="15" t="s">
        <v>208</v>
      </c>
      <c r="F183" s="15" t="s">
        <v>181</v>
      </c>
      <c r="G183" s="15" t="s">
        <v>321</v>
      </c>
      <c r="H183" s="15" t="s">
        <v>786</v>
      </c>
      <c r="I183" s="15" t="s">
        <v>789</v>
      </c>
      <c r="J183" s="15" t="s">
        <v>771</v>
      </c>
      <c r="K183" s="15" t="s">
        <v>185</v>
      </c>
      <c r="L183" s="15" t="s">
        <v>787</v>
      </c>
      <c r="M183" s="15" t="s">
        <v>187</v>
      </c>
      <c r="N183" s="63">
        <v>58</v>
      </c>
      <c r="O183" s="15"/>
      <c r="P183" s="15">
        <v>30.02</v>
      </c>
      <c r="Q183" s="15"/>
      <c r="R183" s="15"/>
      <c r="S183" s="15" t="s">
        <v>304</v>
      </c>
      <c r="T183" s="15"/>
      <c r="U183" s="15"/>
      <c r="V183" s="15"/>
      <c r="W183" s="15"/>
      <c r="X183" s="15"/>
      <c r="Y183" s="15" t="s">
        <v>218</v>
      </c>
      <c r="Z183" s="15" t="s">
        <v>191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 t="s">
        <v>953</v>
      </c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61">
        <v>46101</v>
      </c>
      <c r="BE183" s="61"/>
      <c r="BF183" s="15" t="s">
        <v>864</v>
      </c>
      <c r="BG183" s="15" t="s">
        <v>864</v>
      </c>
      <c r="BH183" s="15" t="s">
        <v>864</v>
      </c>
      <c r="BI183" s="15" t="s">
        <v>171</v>
      </c>
      <c r="BJ183" s="15"/>
      <c r="BK183" s="15"/>
      <c r="BL183" s="15"/>
      <c r="BM183" s="15"/>
      <c r="BN183" s="15"/>
      <c r="BO183" s="64"/>
      <c r="BP183" s="64">
        <v>46156</v>
      </c>
      <c r="BQ183" s="15"/>
      <c r="BR183" s="15"/>
      <c r="BS183" s="64"/>
      <c r="BT183" s="64">
        <v>46166</v>
      </c>
      <c r="BU183" s="64">
        <v>46249</v>
      </c>
      <c r="BV183" s="15"/>
      <c r="BW183" s="64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15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>
        <v>1</v>
      </c>
      <c r="DJ183" s="68">
        <v>1</v>
      </c>
      <c r="DK183" s="68">
        <v>8</v>
      </c>
      <c r="DL183" s="68">
        <v>2</v>
      </c>
      <c r="DM183" s="68">
        <v>2</v>
      </c>
      <c r="DN183" s="68">
        <v>10</v>
      </c>
      <c r="DO183" s="68"/>
      <c r="DP183" s="68">
        <v>13</v>
      </c>
      <c r="DQ183" s="68">
        <v>2</v>
      </c>
      <c r="DR183" s="68"/>
      <c r="DS183" s="68">
        <v>1</v>
      </c>
      <c r="DT183" s="68">
        <v>9</v>
      </c>
      <c r="DU183" s="68"/>
      <c r="DV183" s="68">
        <v>5</v>
      </c>
      <c r="DW183" s="68">
        <v>2</v>
      </c>
      <c r="DX183" s="68"/>
      <c r="DY183" s="68">
        <v>2</v>
      </c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5">
        <f t="shared" si="25"/>
        <v>58</v>
      </c>
      <c r="ER183" s="6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 t="s">
        <v>202</v>
      </c>
      <c r="FF183" s="15"/>
      <c r="FG183" s="15"/>
      <c r="FH183" s="1" t="str">
        <f t="shared" si="23"/>
        <v>7129584780014702102942</v>
      </c>
      <c r="FI183" s="1" t="str">
        <f t="shared" si="24"/>
        <v>PRLS/25/13497</v>
      </c>
      <c r="FJ183" s="38" t="e">
        <f>VLOOKUP(FH183,[1]Sheet3!$A:$D,4,0)</f>
        <v>#N/A</v>
      </c>
      <c r="FL183" s="13"/>
    </row>
    <row r="184" spans="1:168" ht="21" hidden="1" x14ac:dyDescent="0.25">
      <c r="A184" s="15" t="s">
        <v>822</v>
      </c>
      <c r="B184" s="15" t="s">
        <v>149</v>
      </c>
      <c r="C184" s="15" t="s">
        <v>660</v>
      </c>
      <c r="D184" s="15" t="s">
        <v>1128</v>
      </c>
      <c r="E184" s="15" t="s">
        <v>265</v>
      </c>
      <c r="F184" s="15" t="s">
        <v>266</v>
      </c>
      <c r="G184" s="15" t="s">
        <v>331</v>
      </c>
      <c r="H184" s="15" t="s">
        <v>790</v>
      </c>
      <c r="I184" s="15" t="s">
        <v>959</v>
      </c>
      <c r="J184" s="15" t="s">
        <v>796</v>
      </c>
      <c r="K184" s="15" t="s">
        <v>185</v>
      </c>
      <c r="L184" s="15" t="s">
        <v>247</v>
      </c>
      <c r="M184" s="15" t="s">
        <v>797</v>
      </c>
      <c r="N184" s="63">
        <v>64</v>
      </c>
      <c r="O184" s="15"/>
      <c r="P184" s="15">
        <v>8.51</v>
      </c>
      <c r="Q184" s="15"/>
      <c r="R184" s="15"/>
      <c r="S184" s="15" t="s">
        <v>235</v>
      </c>
      <c r="T184" s="15"/>
      <c r="U184" s="15"/>
      <c r="V184" s="15"/>
      <c r="W184" s="15"/>
      <c r="X184" s="15"/>
      <c r="Y184" s="15" t="s">
        <v>320</v>
      </c>
      <c r="Z184" s="15" t="s">
        <v>191</v>
      </c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 t="s">
        <v>448</v>
      </c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61">
        <v>46090</v>
      </c>
      <c r="BE184" s="61" t="s">
        <v>192</v>
      </c>
      <c r="BF184" s="15" t="s">
        <v>199</v>
      </c>
      <c r="BG184" s="15" t="s">
        <v>199</v>
      </c>
      <c r="BH184" s="15" t="s">
        <v>171</v>
      </c>
      <c r="BI184" s="15" t="s">
        <v>199</v>
      </c>
      <c r="BJ184" s="15"/>
      <c r="BK184" s="15"/>
      <c r="BL184" s="15"/>
      <c r="BM184" s="15"/>
      <c r="BN184" s="15"/>
      <c r="BO184" s="64"/>
      <c r="BP184" s="64">
        <v>46121</v>
      </c>
      <c r="BQ184" s="15"/>
      <c r="BR184" s="15"/>
      <c r="BS184" s="64"/>
      <c r="BT184" s="64">
        <v>46145</v>
      </c>
      <c r="BU184" s="64">
        <v>46218</v>
      </c>
      <c r="BV184" s="15"/>
      <c r="BW184" s="64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15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  <c r="EE184" s="68"/>
      <c r="EF184" s="68"/>
      <c r="EG184" s="68"/>
      <c r="EH184" s="68"/>
      <c r="EI184" s="68"/>
      <c r="EJ184" s="68">
        <v>16</v>
      </c>
      <c r="EK184" s="68">
        <v>20</v>
      </c>
      <c r="EL184" s="68">
        <v>28</v>
      </c>
      <c r="EM184" s="68"/>
      <c r="EN184" s="68"/>
      <c r="EO184" s="68"/>
      <c r="EP184" s="68"/>
      <c r="EQ184" s="65">
        <f t="shared" si="25"/>
        <v>64</v>
      </c>
      <c r="ER184" s="6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 t="s">
        <v>202</v>
      </c>
      <c r="FF184" s="15"/>
      <c r="FG184" s="15"/>
      <c r="FH184" s="1" t="str">
        <f>H184&amp;D184</f>
        <v>322B246220014702124964</v>
      </c>
      <c r="FI184" s="1" t="str">
        <f>A184</f>
        <v>PRLS/25/13340</v>
      </c>
      <c r="FJ184" s="38" t="e">
        <f>VLOOKUP(FH184,[1]Sheet3!$A:$D,4,0)</f>
        <v>#N/A</v>
      </c>
      <c r="FL184" s="13"/>
    </row>
    <row r="185" spans="1:168" ht="21" hidden="1" x14ac:dyDescent="0.25">
      <c r="A185" s="15" t="s">
        <v>822</v>
      </c>
      <c r="B185" s="15" t="s">
        <v>149</v>
      </c>
      <c r="C185" s="15" t="s">
        <v>660</v>
      </c>
      <c r="D185" s="15" t="s">
        <v>800</v>
      </c>
      <c r="E185" s="15" t="s">
        <v>208</v>
      </c>
      <c r="F185" s="15" t="s">
        <v>181</v>
      </c>
      <c r="G185" s="15" t="s">
        <v>321</v>
      </c>
      <c r="H185" s="15" t="s">
        <v>790</v>
      </c>
      <c r="I185" s="15" t="s">
        <v>959</v>
      </c>
      <c r="J185" s="15" t="s">
        <v>796</v>
      </c>
      <c r="K185" s="15" t="s">
        <v>185</v>
      </c>
      <c r="L185" s="15" t="s">
        <v>247</v>
      </c>
      <c r="M185" s="15" t="s">
        <v>797</v>
      </c>
      <c r="N185" s="63">
        <v>1165</v>
      </c>
      <c r="O185" s="15"/>
      <c r="P185" s="15">
        <v>8.51</v>
      </c>
      <c r="Q185" s="15"/>
      <c r="R185" s="15"/>
      <c r="S185" s="15" t="s">
        <v>235</v>
      </c>
      <c r="T185" s="15"/>
      <c r="U185" s="15"/>
      <c r="V185" s="15"/>
      <c r="W185" s="15"/>
      <c r="X185" s="15"/>
      <c r="Y185" s="15" t="s">
        <v>320</v>
      </c>
      <c r="Z185" s="15" t="s">
        <v>191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 t="s">
        <v>1132</v>
      </c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61">
        <v>46090</v>
      </c>
      <c r="BE185" s="61" t="s">
        <v>192</v>
      </c>
      <c r="BF185" s="15" t="s">
        <v>199</v>
      </c>
      <c r="BG185" s="15" t="s">
        <v>199</v>
      </c>
      <c r="BH185" s="15" t="s">
        <v>171</v>
      </c>
      <c r="BI185" s="15" t="s">
        <v>199</v>
      </c>
      <c r="BJ185" s="15"/>
      <c r="BK185" s="15"/>
      <c r="BL185" s="15"/>
      <c r="BM185" s="15"/>
      <c r="BN185" s="15"/>
      <c r="BO185" s="64"/>
      <c r="BP185" s="64">
        <v>46121</v>
      </c>
      <c r="BQ185" s="15"/>
      <c r="BR185" s="15"/>
      <c r="BS185" s="64"/>
      <c r="BT185" s="64">
        <v>46131</v>
      </c>
      <c r="BU185" s="64">
        <v>46218</v>
      </c>
      <c r="BV185" s="15"/>
      <c r="BW185" s="64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15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  <c r="EE185" s="68"/>
      <c r="EF185" s="68"/>
      <c r="EG185" s="68">
        <v>178</v>
      </c>
      <c r="EH185" s="68">
        <v>203</v>
      </c>
      <c r="EI185" s="68">
        <v>200</v>
      </c>
      <c r="EJ185" s="68">
        <v>198</v>
      </c>
      <c r="EK185" s="68">
        <v>191</v>
      </c>
      <c r="EL185" s="68">
        <v>195</v>
      </c>
      <c r="EM185" s="68"/>
      <c r="EN185" s="68"/>
      <c r="EO185" s="68"/>
      <c r="EP185" s="68"/>
      <c r="EQ185" s="65">
        <f t="shared" si="25"/>
        <v>1165</v>
      </c>
      <c r="ER185" s="6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 t="s">
        <v>202</v>
      </c>
      <c r="FF185" s="15"/>
      <c r="FG185" s="15"/>
      <c r="FH185" s="1" t="str">
        <f t="shared" si="23"/>
        <v>322B246220014702104040</v>
      </c>
      <c r="FI185" s="1" t="str">
        <f t="shared" si="24"/>
        <v>PRLS/25/13340</v>
      </c>
      <c r="FJ185" s="38" t="e">
        <f>VLOOKUP(FH185,[1]Sheet3!$A:$D,4,0)</f>
        <v>#N/A</v>
      </c>
      <c r="FL185" s="13"/>
    </row>
    <row r="186" spans="1:168" ht="21" hidden="1" x14ac:dyDescent="0.25">
      <c r="A186" s="15" t="s">
        <v>818</v>
      </c>
      <c r="B186" s="15" t="s">
        <v>149</v>
      </c>
      <c r="C186" s="15" t="s">
        <v>660</v>
      </c>
      <c r="D186" s="15" t="s">
        <v>1129</v>
      </c>
      <c r="E186" s="15" t="s">
        <v>265</v>
      </c>
      <c r="F186" s="15" t="s">
        <v>266</v>
      </c>
      <c r="G186" s="15" t="s">
        <v>331</v>
      </c>
      <c r="H186" s="15" t="s">
        <v>791</v>
      </c>
      <c r="I186" s="15" t="s">
        <v>959</v>
      </c>
      <c r="J186" s="15" t="s">
        <v>796</v>
      </c>
      <c r="K186" s="15" t="s">
        <v>185</v>
      </c>
      <c r="L186" s="15" t="s">
        <v>247</v>
      </c>
      <c r="M186" s="15" t="s">
        <v>798</v>
      </c>
      <c r="N186" s="63">
        <v>64</v>
      </c>
      <c r="O186" s="15"/>
      <c r="P186" s="15">
        <v>8.51</v>
      </c>
      <c r="Q186" s="15"/>
      <c r="R186" s="15"/>
      <c r="S186" s="15" t="s">
        <v>235</v>
      </c>
      <c r="T186" s="15"/>
      <c r="U186" s="15"/>
      <c r="V186" s="15"/>
      <c r="W186" s="15"/>
      <c r="X186" s="15"/>
      <c r="Y186" s="15" t="s">
        <v>320</v>
      </c>
      <c r="Z186" s="15" t="s">
        <v>191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 t="s">
        <v>448</v>
      </c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61">
        <v>46090</v>
      </c>
      <c r="BE186" s="61" t="s">
        <v>192</v>
      </c>
      <c r="BF186" s="15" t="s">
        <v>199</v>
      </c>
      <c r="BG186" s="15" t="s">
        <v>199</v>
      </c>
      <c r="BH186" s="15" t="s">
        <v>171</v>
      </c>
      <c r="BI186" s="15" t="s">
        <v>199</v>
      </c>
      <c r="BJ186" s="15"/>
      <c r="BK186" s="15"/>
      <c r="BL186" s="15"/>
      <c r="BM186" s="15"/>
      <c r="BN186" s="15"/>
      <c r="BO186" s="64"/>
      <c r="BP186" s="64">
        <v>46121</v>
      </c>
      <c r="BQ186" s="15"/>
      <c r="BR186" s="15"/>
      <c r="BS186" s="64"/>
      <c r="BT186" s="64">
        <v>46145</v>
      </c>
      <c r="BU186" s="64">
        <v>46218</v>
      </c>
      <c r="BV186" s="15"/>
      <c r="BW186" s="64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15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  <c r="EE186" s="68"/>
      <c r="EF186" s="68"/>
      <c r="EG186" s="68"/>
      <c r="EH186" s="68"/>
      <c r="EI186" s="68"/>
      <c r="EJ186" s="68">
        <v>16</v>
      </c>
      <c r="EK186" s="68">
        <v>20</v>
      </c>
      <c r="EL186" s="68">
        <v>28</v>
      </c>
      <c r="EM186" s="68"/>
      <c r="EN186" s="68"/>
      <c r="EO186" s="68"/>
      <c r="EP186" s="68"/>
      <c r="EQ186" s="65">
        <f t="shared" si="25"/>
        <v>64</v>
      </c>
      <c r="ER186" s="6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 t="s">
        <v>202</v>
      </c>
      <c r="FF186" s="15"/>
      <c r="FG186" s="15"/>
      <c r="FH186" s="1" t="str">
        <f>H186&amp;D186</f>
        <v>322B246220024702124965</v>
      </c>
      <c r="FI186" s="1" t="str">
        <f>A186</f>
        <v>PRLS/25/13341</v>
      </c>
      <c r="FJ186" s="38" t="e">
        <f>VLOOKUP(FH186,[1]Sheet3!$A:$D,4,0)</f>
        <v>#N/A</v>
      </c>
      <c r="FL186" s="13"/>
    </row>
    <row r="187" spans="1:168" ht="21" hidden="1" x14ac:dyDescent="0.25">
      <c r="A187" s="15" t="s">
        <v>818</v>
      </c>
      <c r="B187" s="15" t="s">
        <v>149</v>
      </c>
      <c r="C187" s="15" t="s">
        <v>660</v>
      </c>
      <c r="D187" s="15" t="s">
        <v>800</v>
      </c>
      <c r="E187" s="15" t="s">
        <v>208</v>
      </c>
      <c r="F187" s="15" t="s">
        <v>181</v>
      </c>
      <c r="G187" s="15" t="s">
        <v>321</v>
      </c>
      <c r="H187" s="15" t="s">
        <v>791</v>
      </c>
      <c r="I187" s="15" t="s">
        <v>959</v>
      </c>
      <c r="J187" s="15" t="s">
        <v>796</v>
      </c>
      <c r="K187" s="15" t="s">
        <v>185</v>
      </c>
      <c r="L187" s="15" t="s">
        <v>247</v>
      </c>
      <c r="M187" s="15" t="s">
        <v>798</v>
      </c>
      <c r="N187" s="63">
        <v>1316</v>
      </c>
      <c r="O187" s="15"/>
      <c r="P187" s="15">
        <v>8.51</v>
      </c>
      <c r="Q187" s="15"/>
      <c r="R187" s="15"/>
      <c r="S187" s="15" t="s">
        <v>235</v>
      </c>
      <c r="T187" s="15"/>
      <c r="U187" s="15"/>
      <c r="V187" s="15"/>
      <c r="W187" s="15"/>
      <c r="X187" s="15"/>
      <c r="Y187" s="15" t="s">
        <v>320</v>
      </c>
      <c r="Z187" s="15" t="s">
        <v>191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 t="s">
        <v>439</v>
      </c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61">
        <v>46090</v>
      </c>
      <c r="BE187" s="61" t="s">
        <v>192</v>
      </c>
      <c r="BF187" s="15" t="s">
        <v>199</v>
      </c>
      <c r="BG187" s="15" t="s">
        <v>199</v>
      </c>
      <c r="BH187" s="15" t="s">
        <v>171</v>
      </c>
      <c r="BI187" s="15" t="s">
        <v>199</v>
      </c>
      <c r="BJ187" s="15"/>
      <c r="BK187" s="15"/>
      <c r="BL187" s="15"/>
      <c r="BM187" s="15"/>
      <c r="BN187" s="15"/>
      <c r="BO187" s="64"/>
      <c r="BP187" s="64">
        <v>46121</v>
      </c>
      <c r="BQ187" s="15"/>
      <c r="BR187" s="15"/>
      <c r="BS187" s="64"/>
      <c r="BT187" s="64">
        <v>46131</v>
      </c>
      <c r="BU187" s="64">
        <v>46218</v>
      </c>
      <c r="BV187" s="15"/>
      <c r="BW187" s="64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15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  <c r="EE187" s="68"/>
      <c r="EF187" s="68"/>
      <c r="EG187" s="68">
        <v>194</v>
      </c>
      <c r="EH187" s="68">
        <v>208</v>
      </c>
      <c r="EI187" s="68">
        <v>212</v>
      </c>
      <c r="EJ187" s="68">
        <v>232</v>
      </c>
      <c r="EK187" s="68">
        <v>243</v>
      </c>
      <c r="EL187" s="68">
        <v>227</v>
      </c>
      <c r="EM187" s="68"/>
      <c r="EN187" s="68"/>
      <c r="EO187" s="68"/>
      <c r="EP187" s="68"/>
      <c r="EQ187" s="65">
        <f t="shared" si="25"/>
        <v>1316</v>
      </c>
      <c r="ER187" s="6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 t="s">
        <v>202</v>
      </c>
      <c r="FF187" s="15"/>
      <c r="FG187" s="15"/>
      <c r="FH187" s="1" t="str">
        <f t="shared" si="23"/>
        <v>322B246220024702104040</v>
      </c>
      <c r="FI187" s="1" t="str">
        <f t="shared" si="24"/>
        <v>PRLS/25/13341</v>
      </c>
      <c r="FJ187" s="38" t="e">
        <f>VLOOKUP(FH187,[1]Sheet3!$A:$D,4,0)</f>
        <v>#N/A</v>
      </c>
      <c r="FL187" s="13"/>
    </row>
    <row r="188" spans="1:168" ht="21" hidden="1" x14ac:dyDescent="0.25">
      <c r="A188" s="15" t="s">
        <v>819</v>
      </c>
      <c r="B188" s="15" t="s">
        <v>149</v>
      </c>
      <c r="C188" s="15" t="s">
        <v>660</v>
      </c>
      <c r="D188" s="15" t="s">
        <v>800</v>
      </c>
      <c r="E188" s="15" t="s">
        <v>208</v>
      </c>
      <c r="F188" s="15" t="s">
        <v>181</v>
      </c>
      <c r="G188" s="15" t="s">
        <v>321</v>
      </c>
      <c r="H188" s="15" t="s">
        <v>792</v>
      </c>
      <c r="I188" s="15" t="s">
        <v>959</v>
      </c>
      <c r="J188" s="15" t="s">
        <v>796</v>
      </c>
      <c r="K188" s="15" t="s">
        <v>185</v>
      </c>
      <c r="L188" s="15" t="s">
        <v>247</v>
      </c>
      <c r="M188" s="15" t="s">
        <v>799</v>
      </c>
      <c r="N188" s="63">
        <v>1083</v>
      </c>
      <c r="O188" s="15"/>
      <c r="P188" s="15">
        <v>8.51</v>
      </c>
      <c r="Q188" s="15"/>
      <c r="R188" s="15"/>
      <c r="S188" s="15" t="s">
        <v>235</v>
      </c>
      <c r="T188" s="15"/>
      <c r="U188" s="15"/>
      <c r="V188" s="15"/>
      <c r="W188" s="15"/>
      <c r="X188" s="15"/>
      <c r="Y188" s="15" t="s">
        <v>320</v>
      </c>
      <c r="Z188" s="15" t="s">
        <v>191</v>
      </c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 t="s">
        <v>439</v>
      </c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61">
        <v>46090</v>
      </c>
      <c r="BE188" s="61" t="s">
        <v>192</v>
      </c>
      <c r="BF188" s="15" t="s">
        <v>199</v>
      </c>
      <c r="BG188" s="15" t="s">
        <v>199</v>
      </c>
      <c r="BH188" s="15" t="s">
        <v>171</v>
      </c>
      <c r="BI188" s="15" t="s">
        <v>199</v>
      </c>
      <c r="BJ188" s="15"/>
      <c r="BK188" s="15"/>
      <c r="BL188" s="15"/>
      <c r="BM188" s="15"/>
      <c r="BN188" s="15"/>
      <c r="BO188" s="64"/>
      <c r="BP188" s="64">
        <v>46121</v>
      </c>
      <c r="BQ188" s="15"/>
      <c r="BR188" s="15"/>
      <c r="BS188" s="64"/>
      <c r="BT188" s="64">
        <v>46131</v>
      </c>
      <c r="BU188" s="64">
        <v>46218</v>
      </c>
      <c r="BV188" s="15"/>
      <c r="BW188" s="64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15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  <c r="EE188" s="68"/>
      <c r="EF188" s="68"/>
      <c r="EG188" s="68">
        <v>171</v>
      </c>
      <c r="EH188" s="68">
        <v>186</v>
      </c>
      <c r="EI188" s="68">
        <v>179</v>
      </c>
      <c r="EJ188" s="68">
        <v>181</v>
      </c>
      <c r="EK188" s="68">
        <v>183</v>
      </c>
      <c r="EL188" s="68">
        <v>183</v>
      </c>
      <c r="EM188" s="68"/>
      <c r="EN188" s="68"/>
      <c r="EO188" s="68"/>
      <c r="EP188" s="68"/>
      <c r="EQ188" s="65">
        <f t="shared" si="25"/>
        <v>1083</v>
      </c>
      <c r="ER188" s="6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 t="s">
        <v>202</v>
      </c>
      <c r="FF188" s="15"/>
      <c r="FG188" s="15"/>
      <c r="FH188" s="1" t="str">
        <f t="shared" si="23"/>
        <v>322B246220034702104040</v>
      </c>
      <c r="FI188" s="1" t="str">
        <f t="shared" si="24"/>
        <v>PRLS/25/13342</v>
      </c>
      <c r="FJ188" s="38" t="e">
        <f>VLOOKUP(FH188,[1]Sheet3!$A:$D,4,0)</f>
        <v>#N/A</v>
      </c>
      <c r="FL188" s="13"/>
    </row>
    <row r="189" spans="1:168" ht="21" hidden="1" x14ac:dyDescent="0.25">
      <c r="A189" s="15" t="s">
        <v>818</v>
      </c>
      <c r="B189" s="15" t="s">
        <v>149</v>
      </c>
      <c r="C189" s="15" t="s">
        <v>660</v>
      </c>
      <c r="D189" s="15" t="s">
        <v>802</v>
      </c>
      <c r="E189" s="15" t="s">
        <v>270</v>
      </c>
      <c r="F189" s="15" t="s">
        <v>260</v>
      </c>
      <c r="G189" s="15" t="s">
        <v>321</v>
      </c>
      <c r="H189" s="15" t="s">
        <v>791</v>
      </c>
      <c r="I189" s="15" t="s">
        <v>959</v>
      </c>
      <c r="J189" s="15" t="s">
        <v>796</v>
      </c>
      <c r="K189" s="15" t="s">
        <v>185</v>
      </c>
      <c r="L189" s="15" t="s">
        <v>247</v>
      </c>
      <c r="M189" s="15" t="s">
        <v>798</v>
      </c>
      <c r="N189" s="63">
        <v>12</v>
      </c>
      <c r="O189" s="15"/>
      <c r="P189" s="15">
        <v>8.51</v>
      </c>
      <c r="Q189" s="15"/>
      <c r="R189" s="15"/>
      <c r="S189" s="15" t="s">
        <v>235</v>
      </c>
      <c r="T189" s="15"/>
      <c r="U189" s="15"/>
      <c r="V189" s="15"/>
      <c r="W189" s="15"/>
      <c r="X189" s="15"/>
      <c r="Y189" s="15" t="s">
        <v>320</v>
      </c>
      <c r="Z189" s="15" t="s">
        <v>191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 t="s">
        <v>199</v>
      </c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61">
        <v>46090</v>
      </c>
      <c r="BE189" s="61" t="s">
        <v>192</v>
      </c>
      <c r="BF189" s="15" t="s">
        <v>219</v>
      </c>
      <c r="BG189" s="15" t="s">
        <v>199</v>
      </c>
      <c r="BH189" s="15" t="s">
        <v>171</v>
      </c>
      <c r="BI189" s="15" t="s">
        <v>199</v>
      </c>
      <c r="BJ189" s="15"/>
      <c r="BK189" s="15"/>
      <c r="BL189" s="15"/>
      <c r="BM189" s="15"/>
      <c r="BN189" s="15"/>
      <c r="BO189" s="64"/>
      <c r="BP189" s="64">
        <v>46135</v>
      </c>
      <c r="BQ189" s="15"/>
      <c r="BR189" s="15"/>
      <c r="BS189" s="64"/>
      <c r="BT189" s="64">
        <v>46145</v>
      </c>
      <c r="BU189" s="64">
        <v>46218</v>
      </c>
      <c r="BV189" s="15"/>
      <c r="BW189" s="64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15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  <c r="EE189" s="68"/>
      <c r="EF189" s="68"/>
      <c r="EG189" s="68"/>
      <c r="EH189" s="68">
        <v>3</v>
      </c>
      <c r="EI189" s="68">
        <v>3</v>
      </c>
      <c r="EJ189" s="68">
        <v>3</v>
      </c>
      <c r="EK189" s="68">
        <v>3</v>
      </c>
      <c r="EL189" s="68"/>
      <c r="EM189" s="68"/>
      <c r="EN189" s="68"/>
      <c r="EO189" s="68"/>
      <c r="EP189" s="68"/>
      <c r="EQ189" s="65">
        <f t="shared" si="25"/>
        <v>12</v>
      </c>
      <c r="ER189" s="6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 t="s">
        <v>202</v>
      </c>
      <c r="FF189" s="15"/>
      <c r="FG189" s="15"/>
      <c r="FH189" s="1" t="str">
        <f t="shared" si="23"/>
        <v>322B246220024702104041</v>
      </c>
      <c r="FI189" s="1" t="str">
        <f t="shared" si="24"/>
        <v>PRLS/25/13341</v>
      </c>
      <c r="FJ189" s="38" t="e">
        <f>VLOOKUP(FH189,[1]Sheet3!$A:$D,4,0)</f>
        <v>#N/A</v>
      </c>
      <c r="FL189" s="13"/>
    </row>
    <row r="190" spans="1:168" ht="21" hidden="1" x14ac:dyDescent="0.25">
      <c r="A190" s="15" t="s">
        <v>820</v>
      </c>
      <c r="B190" s="15" t="s">
        <v>149</v>
      </c>
      <c r="C190" s="15" t="s">
        <v>660</v>
      </c>
      <c r="D190" s="15" t="s">
        <v>1130</v>
      </c>
      <c r="E190" s="15" t="s">
        <v>265</v>
      </c>
      <c r="F190" s="15" t="s">
        <v>266</v>
      </c>
      <c r="G190" s="15" t="s">
        <v>331</v>
      </c>
      <c r="H190" s="15" t="s">
        <v>793</v>
      </c>
      <c r="I190" s="15" t="s">
        <v>960</v>
      </c>
      <c r="J190" s="15" t="s">
        <v>796</v>
      </c>
      <c r="K190" s="15" t="s">
        <v>185</v>
      </c>
      <c r="L190" s="15" t="s">
        <v>247</v>
      </c>
      <c r="M190" s="15" t="s">
        <v>798</v>
      </c>
      <c r="N190" s="63">
        <v>112</v>
      </c>
      <c r="O190" s="15"/>
      <c r="P190" s="15">
        <v>9.69</v>
      </c>
      <c r="Q190" s="15"/>
      <c r="R190" s="15"/>
      <c r="S190" s="15" t="s">
        <v>235</v>
      </c>
      <c r="T190" s="15"/>
      <c r="U190" s="15"/>
      <c r="V190" s="15"/>
      <c r="W190" s="15"/>
      <c r="X190" s="15"/>
      <c r="Y190" s="15" t="s">
        <v>320</v>
      </c>
      <c r="Z190" s="15" t="s">
        <v>191</v>
      </c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 t="s">
        <v>448</v>
      </c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61">
        <v>46090</v>
      </c>
      <c r="BE190" s="61" t="s">
        <v>192</v>
      </c>
      <c r="BF190" s="15" t="s">
        <v>199</v>
      </c>
      <c r="BG190" s="15" t="s">
        <v>199</v>
      </c>
      <c r="BH190" s="15" t="s">
        <v>171</v>
      </c>
      <c r="BI190" s="15" t="s">
        <v>199</v>
      </c>
      <c r="BJ190" s="15"/>
      <c r="BK190" s="15"/>
      <c r="BL190" s="15"/>
      <c r="BM190" s="15"/>
      <c r="BN190" s="15"/>
      <c r="BO190" s="64"/>
      <c r="BP190" s="64">
        <v>46121</v>
      </c>
      <c r="BQ190" s="15"/>
      <c r="BR190" s="15"/>
      <c r="BS190" s="64"/>
      <c r="BT190" s="64">
        <v>46145</v>
      </c>
      <c r="BU190" s="64">
        <v>46218</v>
      </c>
      <c r="BV190" s="15"/>
      <c r="BW190" s="64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15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  <c r="EE190" s="68"/>
      <c r="EF190" s="68"/>
      <c r="EG190" s="68"/>
      <c r="EH190" s="68"/>
      <c r="EI190" s="68"/>
      <c r="EJ190" s="68"/>
      <c r="EK190" s="68"/>
      <c r="EL190" s="68"/>
      <c r="EM190" s="68">
        <v>16</v>
      </c>
      <c r="EN190" s="68">
        <v>32</v>
      </c>
      <c r="EO190" s="68">
        <v>40</v>
      </c>
      <c r="EP190" s="68">
        <v>24</v>
      </c>
      <c r="EQ190" s="65">
        <f t="shared" si="25"/>
        <v>112</v>
      </c>
      <c r="ER190" s="6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 t="s">
        <v>202</v>
      </c>
      <c r="FF190" s="15"/>
      <c r="FG190" s="15"/>
      <c r="FH190" s="1" t="str">
        <f>H190&amp;D190</f>
        <v>323B246220014702124977</v>
      </c>
      <c r="FI190" s="1" t="str">
        <f>A190</f>
        <v>PRLS/25/13343</v>
      </c>
      <c r="FJ190" s="38" t="e">
        <f>VLOOKUP(FH190,[1]Sheet3!$A:$D,4,0)</f>
        <v>#N/A</v>
      </c>
      <c r="FL190" s="13"/>
    </row>
    <row r="191" spans="1:168" ht="21" hidden="1" x14ac:dyDescent="0.25">
      <c r="A191" s="15" t="s">
        <v>820</v>
      </c>
      <c r="B191" s="15" t="s">
        <v>149</v>
      </c>
      <c r="C191" s="15" t="s">
        <v>660</v>
      </c>
      <c r="D191" s="15" t="s">
        <v>801</v>
      </c>
      <c r="E191" s="15" t="s">
        <v>208</v>
      </c>
      <c r="F191" s="15" t="s">
        <v>181</v>
      </c>
      <c r="G191" s="15" t="s">
        <v>321</v>
      </c>
      <c r="H191" s="15" t="s">
        <v>793</v>
      </c>
      <c r="I191" s="15" t="s">
        <v>960</v>
      </c>
      <c r="J191" s="15" t="s">
        <v>796</v>
      </c>
      <c r="K191" s="15" t="s">
        <v>185</v>
      </c>
      <c r="L191" s="15" t="s">
        <v>247</v>
      </c>
      <c r="M191" s="15" t="s">
        <v>798</v>
      </c>
      <c r="N191" s="63">
        <v>1916</v>
      </c>
      <c r="O191" s="15"/>
      <c r="P191" s="15">
        <v>9.69</v>
      </c>
      <c r="Q191" s="15"/>
      <c r="R191" s="15"/>
      <c r="S191" s="15" t="s">
        <v>235</v>
      </c>
      <c r="T191" s="15"/>
      <c r="U191" s="15"/>
      <c r="V191" s="15"/>
      <c r="W191" s="15"/>
      <c r="X191" s="15"/>
      <c r="Y191" s="15" t="s">
        <v>320</v>
      </c>
      <c r="Z191" s="15" t="s">
        <v>191</v>
      </c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 t="s">
        <v>1132</v>
      </c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61">
        <v>46090</v>
      </c>
      <c r="BE191" s="61" t="s">
        <v>192</v>
      </c>
      <c r="BF191" s="15" t="s">
        <v>199</v>
      </c>
      <c r="BG191" s="15" t="s">
        <v>199</v>
      </c>
      <c r="BH191" s="15" t="s">
        <v>171</v>
      </c>
      <c r="BI191" s="15" t="s">
        <v>199</v>
      </c>
      <c r="BJ191" s="15"/>
      <c r="BK191" s="15"/>
      <c r="BL191" s="15"/>
      <c r="BM191" s="15"/>
      <c r="BN191" s="15"/>
      <c r="BO191" s="64"/>
      <c r="BP191" s="64">
        <v>46121</v>
      </c>
      <c r="BQ191" s="15"/>
      <c r="BR191" s="15"/>
      <c r="BS191" s="64"/>
      <c r="BT191" s="64">
        <v>46131</v>
      </c>
      <c r="BU191" s="64">
        <v>46218</v>
      </c>
      <c r="BV191" s="15"/>
      <c r="BW191" s="64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15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  <c r="EE191" s="68"/>
      <c r="EF191" s="68"/>
      <c r="EG191" s="68"/>
      <c r="EH191" s="68"/>
      <c r="EI191" s="68"/>
      <c r="EJ191" s="68"/>
      <c r="EK191" s="68"/>
      <c r="EL191" s="68"/>
      <c r="EM191" s="68">
        <v>287</v>
      </c>
      <c r="EN191" s="68">
        <v>470</v>
      </c>
      <c r="EO191" s="68">
        <v>672</v>
      </c>
      <c r="EP191" s="68">
        <v>487</v>
      </c>
      <c r="EQ191" s="65">
        <f t="shared" si="25"/>
        <v>1916</v>
      </c>
      <c r="ER191" s="6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 t="s">
        <v>202</v>
      </c>
      <c r="FF191" s="15"/>
      <c r="FG191" s="15"/>
      <c r="FH191" s="1" t="str">
        <f t="shared" si="23"/>
        <v>323B246220014702104042</v>
      </c>
      <c r="FI191" s="1" t="str">
        <f t="shared" si="24"/>
        <v>PRLS/25/13343</v>
      </c>
      <c r="FJ191" s="38" t="e">
        <f>VLOOKUP(FH191,[1]Sheet3!$A:$D,4,0)</f>
        <v>#N/A</v>
      </c>
      <c r="FL191" s="13"/>
    </row>
    <row r="192" spans="1:168" ht="21" hidden="1" x14ac:dyDescent="0.25">
      <c r="A192" s="15" t="s">
        <v>821</v>
      </c>
      <c r="B192" s="15" t="s">
        <v>149</v>
      </c>
      <c r="C192" s="15" t="s">
        <v>660</v>
      </c>
      <c r="D192" s="15" t="s">
        <v>801</v>
      </c>
      <c r="E192" s="15" t="s">
        <v>208</v>
      </c>
      <c r="F192" s="15" t="s">
        <v>181</v>
      </c>
      <c r="G192" s="15" t="s">
        <v>321</v>
      </c>
      <c r="H192" s="15" t="s">
        <v>794</v>
      </c>
      <c r="I192" s="15" t="s">
        <v>960</v>
      </c>
      <c r="J192" s="15" t="s">
        <v>796</v>
      </c>
      <c r="K192" s="15" t="s">
        <v>185</v>
      </c>
      <c r="L192" s="15" t="s">
        <v>247</v>
      </c>
      <c r="M192" s="15" t="s">
        <v>799</v>
      </c>
      <c r="N192" s="63">
        <v>918</v>
      </c>
      <c r="O192" s="15"/>
      <c r="P192" s="15">
        <v>9.69</v>
      </c>
      <c r="Q192" s="15"/>
      <c r="R192" s="15"/>
      <c r="S192" s="15" t="s">
        <v>235</v>
      </c>
      <c r="T192" s="15"/>
      <c r="U192" s="15"/>
      <c r="V192" s="15"/>
      <c r="W192" s="15"/>
      <c r="X192" s="15"/>
      <c r="Y192" s="15" t="s">
        <v>320</v>
      </c>
      <c r="Z192" s="15" t="s">
        <v>191</v>
      </c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 t="s">
        <v>439</v>
      </c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61">
        <v>46090</v>
      </c>
      <c r="BE192" s="61" t="s">
        <v>192</v>
      </c>
      <c r="BF192" s="15" t="s">
        <v>199</v>
      </c>
      <c r="BG192" s="15" t="s">
        <v>199</v>
      </c>
      <c r="BH192" s="15" t="s">
        <v>171</v>
      </c>
      <c r="BI192" s="15" t="s">
        <v>199</v>
      </c>
      <c r="BJ192" s="15"/>
      <c r="BK192" s="15"/>
      <c r="BL192" s="15"/>
      <c r="BM192" s="15"/>
      <c r="BN192" s="15"/>
      <c r="BO192" s="64"/>
      <c r="BP192" s="64">
        <v>46121</v>
      </c>
      <c r="BQ192" s="15"/>
      <c r="BR192" s="15"/>
      <c r="BS192" s="64"/>
      <c r="BT192" s="64">
        <v>46131</v>
      </c>
      <c r="BU192" s="64">
        <v>46218</v>
      </c>
      <c r="BV192" s="15"/>
      <c r="BW192" s="64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15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  <c r="EE192" s="68"/>
      <c r="EF192" s="68"/>
      <c r="EG192" s="68"/>
      <c r="EH192" s="68"/>
      <c r="EI192" s="68"/>
      <c r="EJ192" s="68"/>
      <c r="EK192" s="68"/>
      <c r="EL192" s="68"/>
      <c r="EM192" s="68">
        <v>137</v>
      </c>
      <c r="EN192" s="68">
        <v>256</v>
      </c>
      <c r="EO192" s="68">
        <v>319</v>
      </c>
      <c r="EP192" s="68">
        <v>206</v>
      </c>
      <c r="EQ192" s="65">
        <f t="shared" si="25"/>
        <v>918</v>
      </c>
      <c r="ER192" s="6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 t="s">
        <v>202</v>
      </c>
      <c r="FF192" s="15"/>
      <c r="FG192" s="15"/>
      <c r="FH192" s="1" t="str">
        <f t="shared" si="23"/>
        <v>323B246220024702104042</v>
      </c>
      <c r="FI192" s="1" t="str">
        <f t="shared" si="24"/>
        <v>PRLS/25/13344</v>
      </c>
      <c r="FJ192" s="38" t="e">
        <f>VLOOKUP(FH192,[1]Sheet3!$A:$D,4,0)</f>
        <v>#N/A</v>
      </c>
      <c r="FL192" s="13"/>
    </row>
    <row r="193" spans="1:168" ht="21" hidden="1" x14ac:dyDescent="0.25">
      <c r="A193" s="15" t="s">
        <v>817</v>
      </c>
      <c r="B193" s="15" t="s">
        <v>149</v>
      </c>
      <c r="C193" s="15" t="s">
        <v>660</v>
      </c>
      <c r="D193" s="15" t="s">
        <v>1130</v>
      </c>
      <c r="E193" s="15" t="s">
        <v>265</v>
      </c>
      <c r="F193" s="15" t="s">
        <v>266</v>
      </c>
      <c r="G193" s="15" t="s">
        <v>321</v>
      </c>
      <c r="H193" s="15" t="s">
        <v>795</v>
      </c>
      <c r="I193" s="15" t="s">
        <v>960</v>
      </c>
      <c r="J193" s="15" t="s">
        <v>796</v>
      </c>
      <c r="K193" s="15" t="s">
        <v>185</v>
      </c>
      <c r="L193" s="15" t="s">
        <v>247</v>
      </c>
      <c r="M193" s="15" t="s">
        <v>797</v>
      </c>
      <c r="N193" s="63">
        <v>112</v>
      </c>
      <c r="O193" s="15"/>
      <c r="P193" s="15">
        <v>9.69</v>
      </c>
      <c r="Q193" s="15"/>
      <c r="R193" s="15"/>
      <c r="S193" s="15" t="s">
        <v>235</v>
      </c>
      <c r="T193" s="15"/>
      <c r="U193" s="15"/>
      <c r="V193" s="15"/>
      <c r="W193" s="15"/>
      <c r="X193" s="15"/>
      <c r="Y193" s="15" t="s">
        <v>320</v>
      </c>
      <c r="Z193" s="15" t="s">
        <v>191</v>
      </c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 t="s">
        <v>448</v>
      </c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61">
        <v>46090</v>
      </c>
      <c r="BE193" s="61" t="s">
        <v>192</v>
      </c>
      <c r="BF193" s="15" t="s">
        <v>199</v>
      </c>
      <c r="BG193" s="15" t="s">
        <v>199</v>
      </c>
      <c r="BH193" s="15" t="s">
        <v>171</v>
      </c>
      <c r="BI193" s="15" t="s">
        <v>199</v>
      </c>
      <c r="BJ193" s="15"/>
      <c r="BK193" s="15"/>
      <c r="BL193" s="15"/>
      <c r="BM193" s="15"/>
      <c r="BN193" s="15"/>
      <c r="BO193" s="64"/>
      <c r="BP193" s="64">
        <v>46121</v>
      </c>
      <c r="BQ193" s="15"/>
      <c r="BR193" s="15"/>
      <c r="BS193" s="64"/>
      <c r="BT193" s="64">
        <v>46145</v>
      </c>
      <c r="BU193" s="64">
        <v>46218</v>
      </c>
      <c r="BV193" s="15"/>
      <c r="BW193" s="64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15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  <c r="EE193" s="68"/>
      <c r="EF193" s="68"/>
      <c r="EG193" s="68"/>
      <c r="EH193" s="68"/>
      <c r="EI193" s="68"/>
      <c r="EJ193" s="68"/>
      <c r="EK193" s="68"/>
      <c r="EL193" s="68"/>
      <c r="EM193" s="68">
        <v>16</v>
      </c>
      <c r="EN193" s="68">
        <v>32</v>
      </c>
      <c r="EO193" s="68">
        <v>40</v>
      </c>
      <c r="EP193" s="68">
        <v>24</v>
      </c>
      <c r="EQ193" s="65">
        <f t="shared" si="25"/>
        <v>112</v>
      </c>
      <c r="ER193" s="6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 t="s">
        <v>202</v>
      </c>
      <c r="FF193" s="15"/>
      <c r="FG193" s="15"/>
      <c r="FH193" s="1" t="str">
        <f>H193&amp;D193</f>
        <v>323B246220034702124977</v>
      </c>
      <c r="FI193" s="1" t="str">
        <f>A193</f>
        <v>PRLS/25/13345</v>
      </c>
      <c r="FJ193" s="38" t="e">
        <f>VLOOKUP(FH193,[1]Sheet3!$A:$D,4,0)</f>
        <v>#N/A</v>
      </c>
      <c r="FL193" s="13"/>
    </row>
    <row r="194" spans="1:168" ht="21" hidden="1" x14ac:dyDescent="0.25">
      <c r="A194" s="15" t="s">
        <v>817</v>
      </c>
      <c r="B194" s="15" t="s">
        <v>149</v>
      </c>
      <c r="C194" s="15" t="s">
        <v>660</v>
      </c>
      <c r="D194" s="15" t="s">
        <v>801</v>
      </c>
      <c r="E194" s="15" t="s">
        <v>208</v>
      </c>
      <c r="F194" s="15" t="s">
        <v>321</v>
      </c>
      <c r="G194" s="15" t="s">
        <v>321</v>
      </c>
      <c r="H194" s="15" t="s">
        <v>795</v>
      </c>
      <c r="I194" s="15" t="s">
        <v>960</v>
      </c>
      <c r="J194" s="15" t="s">
        <v>796</v>
      </c>
      <c r="K194" s="15" t="s">
        <v>185</v>
      </c>
      <c r="L194" s="15" t="s">
        <v>247</v>
      </c>
      <c r="M194" s="15" t="s">
        <v>797</v>
      </c>
      <c r="N194" s="63">
        <v>1930</v>
      </c>
      <c r="O194" s="15"/>
      <c r="P194" s="15">
        <v>9.69</v>
      </c>
      <c r="Q194" s="15"/>
      <c r="R194" s="15"/>
      <c r="S194" s="15" t="s">
        <v>235</v>
      </c>
      <c r="T194" s="15"/>
      <c r="U194" s="15"/>
      <c r="V194" s="15"/>
      <c r="W194" s="15"/>
      <c r="X194" s="15"/>
      <c r="Y194" s="15" t="s">
        <v>320</v>
      </c>
      <c r="Z194" s="15" t="s">
        <v>191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 t="s">
        <v>1131</v>
      </c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61">
        <v>46090</v>
      </c>
      <c r="BE194" s="61" t="s">
        <v>192</v>
      </c>
      <c r="BF194" s="15" t="s">
        <v>199</v>
      </c>
      <c r="BG194" s="15" t="s">
        <v>199</v>
      </c>
      <c r="BH194" s="15" t="s">
        <v>171</v>
      </c>
      <c r="BI194" s="15" t="s">
        <v>199</v>
      </c>
      <c r="BJ194" s="15"/>
      <c r="BK194" s="15"/>
      <c r="BL194" s="15"/>
      <c r="BM194" s="15"/>
      <c r="BN194" s="15"/>
      <c r="BO194" s="64"/>
      <c r="BP194" s="64">
        <v>46121</v>
      </c>
      <c r="BQ194" s="15"/>
      <c r="BR194" s="15"/>
      <c r="BS194" s="64"/>
      <c r="BT194" s="64">
        <v>46131</v>
      </c>
      <c r="BU194" s="64">
        <v>46218</v>
      </c>
      <c r="BV194" s="15"/>
      <c r="BW194" s="64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15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  <c r="EE194" s="68"/>
      <c r="EF194" s="68"/>
      <c r="EG194" s="68"/>
      <c r="EH194" s="68"/>
      <c r="EI194" s="68"/>
      <c r="EJ194" s="68"/>
      <c r="EK194" s="68"/>
      <c r="EL194" s="68"/>
      <c r="EM194" s="68">
        <v>298</v>
      </c>
      <c r="EN194" s="68">
        <v>480</v>
      </c>
      <c r="EO194" s="68">
        <v>681</v>
      </c>
      <c r="EP194" s="68">
        <v>471</v>
      </c>
      <c r="EQ194" s="65">
        <f t="shared" si="25"/>
        <v>1930</v>
      </c>
      <c r="ER194" s="6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 t="s">
        <v>202</v>
      </c>
      <c r="FF194" s="15"/>
      <c r="FG194" s="15"/>
      <c r="FH194" s="1" t="str">
        <f t="shared" si="23"/>
        <v>323B246220034702104042</v>
      </c>
      <c r="FI194" s="1" t="str">
        <f t="shared" si="24"/>
        <v>PRLS/25/13345</v>
      </c>
      <c r="FJ194" s="38" t="e">
        <f>VLOOKUP(FH194,[1]Sheet3!$A:$D,4,0)</f>
        <v>#N/A</v>
      </c>
      <c r="FL194" s="13"/>
    </row>
    <row r="195" spans="1:168" ht="21" hidden="1" x14ac:dyDescent="0.25">
      <c r="A195" s="15" t="s">
        <v>817</v>
      </c>
      <c r="B195" s="15" t="s">
        <v>149</v>
      </c>
      <c r="C195" s="15" t="s">
        <v>660</v>
      </c>
      <c r="D195" s="15" t="s">
        <v>803</v>
      </c>
      <c r="E195" s="15" t="s">
        <v>270</v>
      </c>
      <c r="F195" s="15" t="s">
        <v>260</v>
      </c>
      <c r="G195" s="15" t="s">
        <v>321</v>
      </c>
      <c r="H195" s="15" t="s">
        <v>795</v>
      </c>
      <c r="I195" s="15" t="s">
        <v>960</v>
      </c>
      <c r="J195" s="15" t="s">
        <v>796</v>
      </c>
      <c r="K195" s="15" t="s">
        <v>185</v>
      </c>
      <c r="L195" s="15" t="s">
        <v>247</v>
      </c>
      <c r="M195" s="15" t="s">
        <v>797</v>
      </c>
      <c r="N195" s="63">
        <v>21</v>
      </c>
      <c r="O195" s="15"/>
      <c r="P195" s="15">
        <v>9.69</v>
      </c>
      <c r="Q195" s="15"/>
      <c r="R195" s="15"/>
      <c r="S195" s="15" t="s">
        <v>235</v>
      </c>
      <c r="T195" s="15"/>
      <c r="U195" s="15"/>
      <c r="V195" s="15"/>
      <c r="W195" s="15"/>
      <c r="X195" s="15"/>
      <c r="Y195" s="15" t="s">
        <v>320</v>
      </c>
      <c r="Z195" s="15" t="s">
        <v>191</v>
      </c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 t="s">
        <v>199</v>
      </c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61">
        <v>46090</v>
      </c>
      <c r="BE195" s="61" t="s">
        <v>192</v>
      </c>
      <c r="BF195" s="15" t="s">
        <v>219</v>
      </c>
      <c r="BG195" s="15" t="s">
        <v>199</v>
      </c>
      <c r="BH195" s="15" t="s">
        <v>171</v>
      </c>
      <c r="BI195" s="15" t="s">
        <v>199</v>
      </c>
      <c r="BJ195" s="15"/>
      <c r="BK195" s="15"/>
      <c r="BL195" s="15"/>
      <c r="BM195" s="15"/>
      <c r="BN195" s="15"/>
      <c r="BO195" s="64"/>
      <c r="BP195" s="64">
        <v>46135</v>
      </c>
      <c r="BQ195" s="15"/>
      <c r="BR195" s="15"/>
      <c r="BS195" s="64"/>
      <c r="BT195" s="64">
        <v>46145</v>
      </c>
      <c r="BU195" s="64">
        <v>46218</v>
      </c>
      <c r="BV195" s="15"/>
      <c r="BW195" s="64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15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  <c r="EE195" s="68"/>
      <c r="EF195" s="68"/>
      <c r="EG195" s="68"/>
      <c r="EH195" s="68"/>
      <c r="EI195" s="68"/>
      <c r="EJ195" s="68"/>
      <c r="EK195" s="68"/>
      <c r="EL195" s="68"/>
      <c r="EM195" s="68">
        <v>3</v>
      </c>
      <c r="EN195" s="68">
        <v>6</v>
      </c>
      <c r="EO195" s="68">
        <v>6</v>
      </c>
      <c r="EP195" s="68">
        <v>6</v>
      </c>
      <c r="EQ195" s="65">
        <f t="shared" si="25"/>
        <v>21</v>
      </c>
      <c r="ER195" s="6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 t="s">
        <v>202</v>
      </c>
      <c r="FF195" s="15"/>
      <c r="FG195" s="15"/>
      <c r="FH195" s="1" t="str">
        <f t="shared" si="23"/>
        <v>323B246220034702104043</v>
      </c>
      <c r="FI195" s="1" t="str">
        <f t="shared" si="24"/>
        <v>PRLS/25/13345</v>
      </c>
      <c r="FJ195" s="38" t="e">
        <f>VLOOKUP(FH195,[1]Sheet3!$A:$D,4,0)</f>
        <v>#N/A</v>
      </c>
      <c r="FL195" s="13"/>
    </row>
    <row r="196" spans="1:168" ht="21" hidden="1" x14ac:dyDescent="0.25">
      <c r="A196" s="15" t="s">
        <v>816</v>
      </c>
      <c r="B196" s="15" t="s">
        <v>149</v>
      </c>
      <c r="C196" s="15" t="s">
        <v>625</v>
      </c>
      <c r="D196" s="15" t="s">
        <v>807</v>
      </c>
      <c r="E196" s="15" t="s">
        <v>180</v>
      </c>
      <c r="F196" s="15" t="s">
        <v>181</v>
      </c>
      <c r="G196" s="15" t="s">
        <v>321</v>
      </c>
      <c r="H196" s="15" t="s">
        <v>804</v>
      </c>
      <c r="I196" s="15" t="s">
        <v>961</v>
      </c>
      <c r="J196" s="15" t="s">
        <v>806</v>
      </c>
      <c r="K196" s="15" t="s">
        <v>185</v>
      </c>
      <c r="L196" s="15" t="s">
        <v>813</v>
      </c>
      <c r="M196" s="15" t="s">
        <v>811</v>
      </c>
      <c r="N196" s="63">
        <v>460</v>
      </c>
      <c r="O196" s="15"/>
      <c r="P196" s="15">
        <v>19.47</v>
      </c>
      <c r="Q196" s="15"/>
      <c r="R196" s="15"/>
      <c r="S196" s="15" t="s">
        <v>863</v>
      </c>
      <c r="T196" s="15"/>
      <c r="U196" s="15"/>
      <c r="V196" s="15"/>
      <c r="W196" s="15"/>
      <c r="X196" s="15"/>
      <c r="Y196" s="15" t="s">
        <v>218</v>
      </c>
      <c r="Z196" s="15" t="s">
        <v>191</v>
      </c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 t="s">
        <v>448</v>
      </c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61">
        <v>46104</v>
      </c>
      <c r="BE196" s="15" t="s">
        <v>864</v>
      </c>
      <c r="BF196" s="15" t="s">
        <v>864</v>
      </c>
      <c r="BG196" s="15" t="s">
        <v>171</v>
      </c>
      <c r="BH196" s="15" t="s">
        <v>911</v>
      </c>
      <c r="BI196" s="15" t="s">
        <v>171</v>
      </c>
      <c r="BJ196" s="15"/>
      <c r="BK196" s="15"/>
      <c r="BL196" s="15"/>
      <c r="BM196" s="15"/>
      <c r="BN196" s="15"/>
      <c r="BO196" s="64"/>
      <c r="BP196" s="64">
        <v>46142</v>
      </c>
      <c r="BQ196" s="15"/>
      <c r="BR196" s="15"/>
      <c r="BS196" s="64"/>
      <c r="BT196" s="64">
        <v>46152</v>
      </c>
      <c r="BU196" s="64">
        <v>46218</v>
      </c>
      <c r="BV196" s="15"/>
      <c r="BW196" s="64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15">
        <v>5</v>
      </c>
      <c r="CL196" s="68">
        <v>54</v>
      </c>
      <c r="CM196" s="68">
        <v>144</v>
      </c>
      <c r="CN196" s="68">
        <v>146</v>
      </c>
      <c r="CO196" s="68">
        <v>80</v>
      </c>
      <c r="CP196" s="68">
        <v>31</v>
      </c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  <c r="EE196" s="68"/>
      <c r="EF196" s="68"/>
      <c r="EG196" s="68"/>
      <c r="EH196" s="68"/>
      <c r="EI196" s="68"/>
      <c r="EJ196" s="68"/>
      <c r="EK196" s="68"/>
      <c r="EL196" s="68"/>
      <c r="EM196" s="68"/>
      <c r="EN196" s="68"/>
      <c r="EO196" s="68"/>
      <c r="EP196" s="68"/>
      <c r="EQ196" s="65">
        <f t="shared" si="25"/>
        <v>460</v>
      </c>
      <c r="ER196" s="6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 t="s">
        <v>176</v>
      </c>
      <c r="FF196" s="15"/>
      <c r="FG196" s="15"/>
      <c r="FH196" s="1" t="str">
        <f t="shared" si="23"/>
        <v>710B239410014702104682</v>
      </c>
      <c r="FI196" s="1" t="str">
        <f t="shared" si="24"/>
        <v>PRLS/25/13498</v>
      </c>
      <c r="FJ196" s="38" t="e">
        <f>VLOOKUP(FH196,[1]Sheet3!$A:$D,4,0)</f>
        <v>#N/A</v>
      </c>
      <c r="FL196" s="13"/>
    </row>
    <row r="197" spans="1:168" ht="21" hidden="1" x14ac:dyDescent="0.25">
      <c r="A197" s="15" t="s">
        <v>816</v>
      </c>
      <c r="B197" s="15" t="s">
        <v>149</v>
      </c>
      <c r="C197" s="15" t="s">
        <v>625</v>
      </c>
      <c r="D197" s="15" t="s">
        <v>1013</v>
      </c>
      <c r="E197" s="15" t="s">
        <v>265</v>
      </c>
      <c r="F197" s="69" t="s">
        <v>266</v>
      </c>
      <c r="G197" s="15" t="s">
        <v>331</v>
      </c>
      <c r="H197" s="15" t="s">
        <v>804</v>
      </c>
      <c r="I197" s="15" t="s">
        <v>961</v>
      </c>
      <c r="J197" s="15" t="s">
        <v>806</v>
      </c>
      <c r="K197" s="15" t="s">
        <v>185</v>
      </c>
      <c r="L197" s="15" t="s">
        <v>813</v>
      </c>
      <c r="M197" s="15" t="s">
        <v>811</v>
      </c>
      <c r="N197" s="63">
        <v>154</v>
      </c>
      <c r="O197" s="15"/>
      <c r="P197" s="15">
        <v>18.82</v>
      </c>
      <c r="Q197" s="15"/>
      <c r="R197" s="15"/>
      <c r="S197" s="15" t="s">
        <v>863</v>
      </c>
      <c r="T197" s="15"/>
      <c r="U197" s="15"/>
      <c r="V197" s="15"/>
      <c r="W197" s="15"/>
      <c r="X197" s="15"/>
      <c r="Y197" s="15" t="s">
        <v>218</v>
      </c>
      <c r="Z197" s="15" t="s">
        <v>191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 t="s">
        <v>448</v>
      </c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61">
        <v>46104</v>
      </c>
      <c r="BE197" s="15" t="s">
        <v>864</v>
      </c>
      <c r="BF197" s="15" t="s">
        <v>864</v>
      </c>
      <c r="BG197" s="15" t="s">
        <v>171</v>
      </c>
      <c r="BH197" s="15" t="s">
        <v>911</v>
      </c>
      <c r="BI197" s="15" t="s">
        <v>171</v>
      </c>
      <c r="BJ197" s="15"/>
      <c r="BK197" s="15"/>
      <c r="BL197" s="15"/>
      <c r="BM197" s="15"/>
      <c r="BN197" s="15"/>
      <c r="BO197" s="64"/>
      <c r="BP197" s="64">
        <v>46142</v>
      </c>
      <c r="BQ197" s="15"/>
      <c r="BR197" s="15"/>
      <c r="BS197" s="64"/>
      <c r="BT197" s="64">
        <v>46152</v>
      </c>
      <c r="BU197" s="64">
        <v>46218</v>
      </c>
      <c r="BV197" s="15"/>
      <c r="BW197" s="64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15"/>
      <c r="CL197" s="68">
        <v>27</v>
      </c>
      <c r="CM197" s="68">
        <v>49</v>
      </c>
      <c r="CN197" s="68">
        <v>42</v>
      </c>
      <c r="CO197" s="68">
        <v>24</v>
      </c>
      <c r="CP197" s="68">
        <v>12</v>
      </c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  <c r="EE197" s="68"/>
      <c r="EF197" s="68"/>
      <c r="EG197" s="68"/>
      <c r="EH197" s="68"/>
      <c r="EI197" s="68"/>
      <c r="EJ197" s="68"/>
      <c r="EK197" s="68"/>
      <c r="EL197" s="68"/>
      <c r="EM197" s="68"/>
      <c r="EN197" s="68"/>
      <c r="EO197" s="68"/>
      <c r="EP197" s="68"/>
      <c r="EQ197" s="65">
        <f t="shared" si="25"/>
        <v>154</v>
      </c>
      <c r="ER197" s="6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 t="s">
        <v>176</v>
      </c>
      <c r="FF197" s="15"/>
      <c r="FG197" s="15"/>
      <c r="FH197" s="1" t="str">
        <f>H197&amp;D197</f>
        <v>710B239410014702121293</v>
      </c>
      <c r="FI197" s="1" t="str">
        <f>A197</f>
        <v>PRLS/25/13498</v>
      </c>
      <c r="FJ197" s="38" t="e">
        <f>VLOOKUP(FH197,[1]Sheet3!$A:$D,4,0)</f>
        <v>#N/A</v>
      </c>
      <c r="FL197" s="13"/>
    </row>
    <row r="198" spans="1:168" ht="21" hidden="1" x14ac:dyDescent="0.25">
      <c r="A198" s="15" t="s">
        <v>816</v>
      </c>
      <c r="B198" s="15" t="s">
        <v>149</v>
      </c>
      <c r="C198" s="15" t="s">
        <v>625</v>
      </c>
      <c r="D198" s="15" t="s">
        <v>808</v>
      </c>
      <c r="E198" s="15" t="s">
        <v>208</v>
      </c>
      <c r="F198" s="15" t="s">
        <v>181</v>
      </c>
      <c r="G198" s="15" t="s">
        <v>321</v>
      </c>
      <c r="H198" s="15" t="s">
        <v>804</v>
      </c>
      <c r="I198" s="15" t="s">
        <v>961</v>
      </c>
      <c r="J198" s="15" t="s">
        <v>806</v>
      </c>
      <c r="K198" s="15" t="s">
        <v>185</v>
      </c>
      <c r="L198" s="15" t="s">
        <v>813</v>
      </c>
      <c r="M198" s="15" t="s">
        <v>811</v>
      </c>
      <c r="N198" s="63">
        <v>246</v>
      </c>
      <c r="O198" s="15"/>
      <c r="P198" s="15">
        <v>19.47</v>
      </c>
      <c r="Q198" s="15"/>
      <c r="R198" s="15"/>
      <c r="S198" s="15" t="s">
        <v>863</v>
      </c>
      <c r="T198" s="15"/>
      <c r="U198" s="15"/>
      <c r="V198" s="15"/>
      <c r="W198" s="15"/>
      <c r="X198" s="15"/>
      <c r="Y198" s="15" t="s">
        <v>218</v>
      </c>
      <c r="Z198" s="15" t="s">
        <v>191</v>
      </c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 t="s">
        <v>448</v>
      </c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61">
        <v>46104</v>
      </c>
      <c r="BE198" s="15" t="s">
        <v>864</v>
      </c>
      <c r="BF198" s="15" t="s">
        <v>864</v>
      </c>
      <c r="BG198" s="15" t="s">
        <v>171</v>
      </c>
      <c r="BH198" s="15" t="s">
        <v>911</v>
      </c>
      <c r="BI198" s="15" t="s">
        <v>171</v>
      </c>
      <c r="BJ198" s="15"/>
      <c r="BK198" s="15"/>
      <c r="BL198" s="15"/>
      <c r="BM198" s="15"/>
      <c r="BN198" s="15"/>
      <c r="BO198" s="64"/>
      <c r="BP198" s="64">
        <v>46142</v>
      </c>
      <c r="BQ198" s="15"/>
      <c r="BR198" s="15"/>
      <c r="BS198" s="64"/>
      <c r="BT198" s="64">
        <v>46152</v>
      </c>
      <c r="BU198" s="64">
        <v>46218</v>
      </c>
      <c r="BV198" s="15"/>
      <c r="BW198" s="64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15">
        <v>4</v>
      </c>
      <c r="CL198" s="68">
        <v>5</v>
      </c>
      <c r="CM198" s="68">
        <v>55</v>
      </c>
      <c r="CN198" s="68">
        <v>94</v>
      </c>
      <c r="CO198" s="68">
        <v>68</v>
      </c>
      <c r="CP198" s="68">
        <v>20</v>
      </c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  <c r="EE198" s="68"/>
      <c r="EF198" s="68"/>
      <c r="EG198" s="68"/>
      <c r="EH198" s="68"/>
      <c r="EI198" s="68"/>
      <c r="EJ198" s="68"/>
      <c r="EK198" s="68"/>
      <c r="EL198" s="68"/>
      <c r="EM198" s="68"/>
      <c r="EN198" s="68"/>
      <c r="EO198" s="68"/>
      <c r="EP198" s="68"/>
      <c r="EQ198" s="65">
        <f t="shared" si="25"/>
        <v>246</v>
      </c>
      <c r="ER198" s="6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 t="s">
        <v>176</v>
      </c>
      <c r="FF198" s="15"/>
      <c r="FG198" s="15"/>
      <c r="FH198" s="1" t="str">
        <f t="shared" si="23"/>
        <v>710B239410014702104683</v>
      </c>
      <c r="FI198" s="1" t="str">
        <f t="shared" si="24"/>
        <v>PRLS/25/13498</v>
      </c>
      <c r="FJ198" s="38" t="e">
        <f>VLOOKUP(FH198,[1]Sheet3!$A:$D,4,0)</f>
        <v>#N/A</v>
      </c>
      <c r="FL198" s="13"/>
    </row>
    <row r="199" spans="1:168" ht="21" hidden="1" x14ac:dyDescent="0.25">
      <c r="A199" s="15" t="s">
        <v>814</v>
      </c>
      <c r="B199" s="15" t="s">
        <v>149</v>
      </c>
      <c r="C199" s="15" t="s">
        <v>625</v>
      </c>
      <c r="D199" s="15" t="s">
        <v>810</v>
      </c>
      <c r="E199" s="15" t="s">
        <v>180</v>
      </c>
      <c r="F199" s="15" t="s">
        <v>181</v>
      </c>
      <c r="G199" s="15" t="s">
        <v>321</v>
      </c>
      <c r="H199" s="15" t="s">
        <v>388</v>
      </c>
      <c r="I199" s="15" t="s">
        <v>302</v>
      </c>
      <c r="J199" s="15" t="s">
        <v>730</v>
      </c>
      <c r="K199" s="15" t="s">
        <v>185</v>
      </c>
      <c r="L199" s="15" t="s">
        <v>303</v>
      </c>
      <c r="M199" s="15" t="s">
        <v>389</v>
      </c>
      <c r="N199" s="63">
        <v>440</v>
      </c>
      <c r="O199" s="15"/>
      <c r="P199" s="15">
        <v>26.24</v>
      </c>
      <c r="Q199" s="15"/>
      <c r="R199" s="15"/>
      <c r="S199" s="15" t="s">
        <v>304</v>
      </c>
      <c r="T199" s="15"/>
      <c r="U199" s="15"/>
      <c r="V199" s="15"/>
      <c r="W199" s="15"/>
      <c r="X199" s="15"/>
      <c r="Y199" s="15" t="s">
        <v>218</v>
      </c>
      <c r="Z199" s="15" t="s">
        <v>191</v>
      </c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 t="s">
        <v>448</v>
      </c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61">
        <v>46112</v>
      </c>
      <c r="BE199" s="61"/>
      <c r="BF199" s="15" t="s">
        <v>219</v>
      </c>
      <c r="BG199" s="15" t="s">
        <v>171</v>
      </c>
      <c r="BH199" s="15" t="s">
        <v>912</v>
      </c>
      <c r="BI199" s="15" t="s">
        <v>171</v>
      </c>
      <c r="BJ199" s="15"/>
      <c r="BK199" s="15"/>
      <c r="BL199" s="15"/>
      <c r="BM199" s="15"/>
      <c r="BN199" s="15"/>
      <c r="BO199" s="64"/>
      <c r="BP199" s="64">
        <v>46142</v>
      </c>
      <c r="BQ199" s="15"/>
      <c r="BR199" s="15"/>
      <c r="BS199" s="64"/>
      <c r="BT199" s="64">
        <v>46152</v>
      </c>
      <c r="BU199" s="64">
        <v>46218</v>
      </c>
      <c r="BV199" s="15"/>
      <c r="BW199" s="64"/>
      <c r="BX199" s="68"/>
      <c r="BY199" s="68">
        <v>22</v>
      </c>
      <c r="BZ199" s="68">
        <v>53</v>
      </c>
      <c r="CA199" s="68">
        <v>106</v>
      </c>
      <c r="CB199" s="68">
        <v>84</v>
      </c>
      <c r="CC199" s="68">
        <v>88</v>
      </c>
      <c r="CD199" s="68">
        <v>44</v>
      </c>
      <c r="CE199" s="68">
        <v>26</v>
      </c>
      <c r="CF199" s="68">
        <v>13</v>
      </c>
      <c r="CG199" s="68">
        <v>4</v>
      </c>
      <c r="CH199" s="68"/>
      <c r="CI199" s="68"/>
      <c r="CJ199" s="68"/>
      <c r="CK199" s="15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  <c r="EJ199" s="68"/>
      <c r="EK199" s="68"/>
      <c r="EL199" s="68"/>
      <c r="EM199" s="68"/>
      <c r="EN199" s="68"/>
      <c r="EO199" s="68"/>
      <c r="EP199" s="68"/>
      <c r="EQ199" s="65">
        <f t="shared" si="25"/>
        <v>440</v>
      </c>
      <c r="ER199" s="6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 t="s">
        <v>176</v>
      </c>
      <c r="FF199" s="15"/>
      <c r="FG199" s="15"/>
      <c r="FH199" s="1" t="str">
        <f t="shared" si="23"/>
        <v>7129292780044702104684</v>
      </c>
      <c r="FI199" s="1" t="str">
        <f t="shared" si="24"/>
        <v>PRLS/25/13490</v>
      </c>
      <c r="FJ199" s="38" t="e">
        <f>VLOOKUP(FH199,[1]Sheet3!$A:$D,4,0)</f>
        <v>#N/A</v>
      </c>
      <c r="FL199" s="13"/>
    </row>
    <row r="200" spans="1:168" ht="21" hidden="1" x14ac:dyDescent="0.25">
      <c r="A200" s="15" t="s">
        <v>815</v>
      </c>
      <c r="B200" s="15" t="s">
        <v>149</v>
      </c>
      <c r="C200" s="15" t="s">
        <v>625</v>
      </c>
      <c r="D200" s="15" t="s">
        <v>809</v>
      </c>
      <c r="E200" s="15" t="s">
        <v>180</v>
      </c>
      <c r="F200" s="15" t="s">
        <v>181</v>
      </c>
      <c r="G200" s="15" t="s">
        <v>321</v>
      </c>
      <c r="H200" s="15" t="s">
        <v>805</v>
      </c>
      <c r="I200" s="15" t="s">
        <v>962</v>
      </c>
      <c r="J200" s="15" t="s">
        <v>730</v>
      </c>
      <c r="K200" s="15" t="s">
        <v>185</v>
      </c>
      <c r="L200" s="15" t="s">
        <v>303</v>
      </c>
      <c r="M200" s="15" t="s">
        <v>812</v>
      </c>
      <c r="N200" s="63">
        <v>500</v>
      </c>
      <c r="O200" s="15"/>
      <c r="P200" s="15">
        <v>22.66</v>
      </c>
      <c r="Q200" s="15"/>
      <c r="R200" s="15"/>
      <c r="S200" s="15" t="s">
        <v>304</v>
      </c>
      <c r="T200" s="15"/>
      <c r="U200" s="15"/>
      <c r="V200" s="15"/>
      <c r="W200" s="15"/>
      <c r="X200" s="15"/>
      <c r="Y200" s="15" t="s">
        <v>218</v>
      </c>
      <c r="Z200" s="15" t="s">
        <v>191</v>
      </c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 t="s">
        <v>448</v>
      </c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61">
        <v>46112</v>
      </c>
      <c r="BE200" s="61"/>
      <c r="BF200" s="15" t="s">
        <v>219</v>
      </c>
      <c r="BG200" s="15" t="s">
        <v>171</v>
      </c>
      <c r="BH200" s="15" t="s">
        <v>912</v>
      </c>
      <c r="BI200" s="15" t="s">
        <v>171</v>
      </c>
      <c r="BJ200" s="15"/>
      <c r="BK200" s="15"/>
      <c r="BL200" s="15"/>
      <c r="BM200" s="15"/>
      <c r="BN200" s="15"/>
      <c r="BO200" s="64"/>
      <c r="BP200" s="64">
        <v>46142</v>
      </c>
      <c r="BQ200" s="15"/>
      <c r="BR200" s="15"/>
      <c r="BS200" s="64"/>
      <c r="BT200" s="64">
        <v>46152</v>
      </c>
      <c r="BU200" s="64">
        <v>46218</v>
      </c>
      <c r="BV200" s="15"/>
      <c r="BW200" s="64"/>
      <c r="BX200" s="68"/>
      <c r="BY200" s="68">
        <v>25</v>
      </c>
      <c r="BZ200" s="68">
        <v>60</v>
      </c>
      <c r="CA200" s="68">
        <v>120</v>
      </c>
      <c r="CB200" s="68">
        <v>95</v>
      </c>
      <c r="CC200" s="68">
        <v>100</v>
      </c>
      <c r="CD200" s="68">
        <v>50</v>
      </c>
      <c r="CE200" s="68">
        <v>30</v>
      </c>
      <c r="CF200" s="68">
        <v>15</v>
      </c>
      <c r="CG200" s="68">
        <v>5</v>
      </c>
      <c r="CH200" s="68"/>
      <c r="CI200" s="68"/>
      <c r="CJ200" s="68"/>
      <c r="CK200" s="15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  <c r="EJ200" s="68"/>
      <c r="EK200" s="68"/>
      <c r="EL200" s="68"/>
      <c r="EM200" s="68"/>
      <c r="EN200" s="68"/>
      <c r="EO200" s="68"/>
      <c r="EP200" s="68"/>
      <c r="EQ200" s="65">
        <f t="shared" si="25"/>
        <v>500</v>
      </c>
      <c r="ER200" s="6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 t="s">
        <v>176</v>
      </c>
      <c r="FF200" s="15"/>
      <c r="FG200" s="15"/>
      <c r="FH200" s="1" t="str">
        <f t="shared" si="23"/>
        <v>7129360190014702104685</v>
      </c>
      <c r="FI200" s="1" t="str">
        <f t="shared" si="24"/>
        <v>PRLS/25/13491</v>
      </c>
      <c r="FJ200" s="38" t="e">
        <f>VLOOKUP(FH200,[1]Sheet3!$A:$D,4,0)</f>
        <v>#N/A</v>
      </c>
      <c r="FL200" s="13"/>
    </row>
    <row r="201" spans="1:168" hidden="1" x14ac:dyDescent="0.25">
      <c r="A201" s="15" t="s">
        <v>148</v>
      </c>
      <c r="B201" s="15" t="s">
        <v>149</v>
      </c>
      <c r="C201" s="60" t="s">
        <v>150</v>
      </c>
      <c r="D201" s="60" t="s">
        <v>140</v>
      </c>
      <c r="E201" s="60" t="s">
        <v>151</v>
      </c>
      <c r="F201" s="15" t="s">
        <v>152</v>
      </c>
      <c r="G201" s="15"/>
      <c r="H201" s="60" t="s">
        <v>153</v>
      </c>
      <c r="I201" s="60" t="s">
        <v>154</v>
      </c>
      <c r="J201" s="60" t="s">
        <v>155</v>
      </c>
      <c r="K201" s="15" t="s">
        <v>156</v>
      </c>
      <c r="L201" s="60" t="s">
        <v>157</v>
      </c>
      <c r="M201" s="60" t="s">
        <v>158</v>
      </c>
      <c r="N201" s="60">
        <v>418</v>
      </c>
      <c r="O201" s="15" t="s">
        <v>159</v>
      </c>
      <c r="P201" s="15"/>
      <c r="Q201" s="15" t="s">
        <v>160</v>
      </c>
      <c r="R201" s="15"/>
      <c r="S201" s="15" t="s">
        <v>161</v>
      </c>
      <c r="T201" s="15" t="s">
        <v>140</v>
      </c>
      <c r="U201" s="15">
        <v>0</v>
      </c>
      <c r="V201" s="15">
        <v>0</v>
      </c>
      <c r="W201" s="15"/>
      <c r="X201" s="15"/>
      <c r="Y201" s="15" t="s">
        <v>162</v>
      </c>
      <c r="Z201" s="15" t="s">
        <v>163</v>
      </c>
      <c r="AA201" s="15" t="s">
        <v>164</v>
      </c>
      <c r="AB201" s="15" t="s">
        <v>140</v>
      </c>
      <c r="AC201" s="15" t="s">
        <v>165</v>
      </c>
      <c r="AD201" s="15" t="s">
        <v>166</v>
      </c>
      <c r="AE201" s="15"/>
      <c r="AF201" s="15" t="s">
        <v>167</v>
      </c>
      <c r="AG201" s="15" t="s">
        <v>168</v>
      </c>
      <c r="AH201" s="15" t="s">
        <v>169</v>
      </c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 t="s">
        <v>170</v>
      </c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61"/>
      <c r="BE201" s="63" t="s">
        <v>171</v>
      </c>
      <c r="BF201" s="15"/>
      <c r="BG201" s="15"/>
      <c r="BH201" s="15"/>
      <c r="BI201" s="15"/>
      <c r="BJ201" s="15"/>
      <c r="BK201" s="15"/>
      <c r="BL201" s="61">
        <v>45297</v>
      </c>
      <c r="BM201" s="15"/>
      <c r="BN201" s="62">
        <v>0</v>
      </c>
      <c r="BO201" s="15"/>
      <c r="BP201" s="15"/>
      <c r="BQ201" s="15"/>
      <c r="BR201" s="15"/>
      <c r="BS201" s="64"/>
      <c r="BT201" s="64"/>
      <c r="BU201" s="64">
        <v>45397</v>
      </c>
      <c r="BV201" s="15"/>
      <c r="BW201" s="15" t="s">
        <v>172</v>
      </c>
      <c r="BX201" s="64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63"/>
      <c r="CL201" s="63"/>
      <c r="CM201" s="63"/>
      <c r="CN201" s="63"/>
      <c r="CO201" s="63"/>
      <c r="CP201" s="63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65">
        <f t="shared" si="25"/>
        <v>0</v>
      </c>
      <c r="ER201" s="15"/>
      <c r="ES201" s="15"/>
      <c r="ET201" s="15"/>
      <c r="EU201" s="15"/>
      <c r="EV201" s="15"/>
      <c r="EW201" s="15" t="s">
        <v>173</v>
      </c>
      <c r="EX201" s="15"/>
      <c r="EY201" s="15"/>
      <c r="EZ201" s="66" t="s">
        <v>174</v>
      </c>
      <c r="FA201" s="63"/>
      <c r="FB201" s="15"/>
      <c r="FC201" s="15"/>
      <c r="FD201" s="15" t="s">
        <v>175</v>
      </c>
      <c r="FE201" s="15" t="s">
        <v>176</v>
      </c>
      <c r="FF201" s="15" t="s">
        <v>57</v>
      </c>
      <c r="FG201" s="15" t="e">
        <v>#N/A</v>
      </c>
      <c r="FH201" s="1" t="str">
        <f t="shared" si="23"/>
        <v>710944105001CTRTBC</v>
      </c>
      <c r="FI201" s="1" t="str">
        <f t="shared" si="24"/>
        <v>PRLS/2129</v>
      </c>
      <c r="FJ201" s="38"/>
      <c r="FL201" s="13"/>
    </row>
    <row r="202" spans="1:168" hidden="1" x14ac:dyDescent="0.25">
      <c r="A202" s="15" t="s">
        <v>148</v>
      </c>
      <c r="B202" s="15" t="s">
        <v>149</v>
      </c>
      <c r="C202" s="60" t="s">
        <v>150</v>
      </c>
      <c r="D202" s="60" t="s">
        <v>140</v>
      </c>
      <c r="E202" s="60" t="s">
        <v>151</v>
      </c>
      <c r="F202" s="15" t="s">
        <v>152</v>
      </c>
      <c r="G202" s="15"/>
      <c r="H202" s="60" t="s">
        <v>153</v>
      </c>
      <c r="I202" s="60" t="s">
        <v>154</v>
      </c>
      <c r="J202" s="60" t="s">
        <v>155</v>
      </c>
      <c r="K202" s="15" t="s">
        <v>156</v>
      </c>
      <c r="L202" s="60" t="s">
        <v>157</v>
      </c>
      <c r="M202" s="60" t="s">
        <v>158</v>
      </c>
      <c r="N202" s="60">
        <v>198</v>
      </c>
      <c r="O202" s="15" t="s">
        <v>159</v>
      </c>
      <c r="P202" s="15"/>
      <c r="Q202" s="15" t="s">
        <v>160</v>
      </c>
      <c r="R202" s="15"/>
      <c r="S202" s="15" t="s">
        <v>161</v>
      </c>
      <c r="T202" s="15" t="s">
        <v>140</v>
      </c>
      <c r="U202" s="15">
        <v>0</v>
      </c>
      <c r="V202" s="15">
        <v>0</v>
      </c>
      <c r="W202" s="15"/>
      <c r="X202" s="15"/>
      <c r="Y202" s="15" t="s">
        <v>162</v>
      </c>
      <c r="Z202" s="15" t="s">
        <v>163</v>
      </c>
      <c r="AA202" s="15" t="s">
        <v>164</v>
      </c>
      <c r="AB202" s="15" t="s">
        <v>140</v>
      </c>
      <c r="AC202" s="15" t="s">
        <v>165</v>
      </c>
      <c r="AD202" s="15" t="s">
        <v>166</v>
      </c>
      <c r="AE202" s="15"/>
      <c r="AF202" s="15" t="s">
        <v>167</v>
      </c>
      <c r="AG202" s="15" t="s">
        <v>168</v>
      </c>
      <c r="AH202" s="15" t="s">
        <v>169</v>
      </c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 t="s">
        <v>170</v>
      </c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61"/>
      <c r="BE202" s="63" t="s">
        <v>171</v>
      </c>
      <c r="BF202" s="15"/>
      <c r="BG202" s="15"/>
      <c r="BH202" s="15"/>
      <c r="BI202" s="15"/>
      <c r="BJ202" s="15"/>
      <c r="BK202" s="15"/>
      <c r="BL202" s="61">
        <v>45297</v>
      </c>
      <c r="BM202" s="15"/>
      <c r="BN202" s="62">
        <v>0</v>
      </c>
      <c r="BO202" s="15"/>
      <c r="BP202" s="15"/>
      <c r="BQ202" s="15"/>
      <c r="BR202" s="15"/>
      <c r="BS202" s="64"/>
      <c r="BT202" s="64"/>
      <c r="BU202" s="64">
        <v>45397</v>
      </c>
      <c r="BV202" s="15"/>
      <c r="BW202" s="15" t="s">
        <v>172</v>
      </c>
      <c r="BX202" s="64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63"/>
      <c r="CL202" s="63"/>
      <c r="CM202" s="63"/>
      <c r="CN202" s="63"/>
      <c r="CO202" s="63"/>
      <c r="CP202" s="63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65">
        <f t="shared" si="25"/>
        <v>0</v>
      </c>
      <c r="ER202" s="15"/>
      <c r="ES202" s="15"/>
      <c r="ET202" s="15"/>
      <c r="EU202" s="15"/>
      <c r="EV202" s="15"/>
      <c r="EW202" s="15" t="s">
        <v>173</v>
      </c>
      <c r="EX202" s="15"/>
      <c r="EY202" s="15"/>
      <c r="EZ202" s="66" t="s">
        <v>174</v>
      </c>
      <c r="FA202" s="63"/>
      <c r="FB202" s="15"/>
      <c r="FC202" s="15"/>
      <c r="FD202" s="15" t="s">
        <v>175</v>
      </c>
      <c r="FE202" s="15" t="s">
        <v>176</v>
      </c>
      <c r="FF202" s="15" t="s">
        <v>57</v>
      </c>
      <c r="FG202" s="15" t="e">
        <v>#N/A</v>
      </c>
      <c r="FH202" s="1" t="str">
        <f t="shared" si="23"/>
        <v>710944105001CTRTBC</v>
      </c>
      <c r="FI202" s="1" t="str">
        <f t="shared" si="24"/>
        <v>PRLS/2129</v>
      </c>
      <c r="FJ202" s="38"/>
      <c r="FL202" s="13"/>
    </row>
    <row r="203" spans="1:168" ht="21" hidden="1" x14ac:dyDescent="0.25">
      <c r="A203" s="15" t="s">
        <v>410</v>
      </c>
      <c r="B203" s="15">
        <v>999</v>
      </c>
      <c r="C203" s="15" t="s">
        <v>411</v>
      </c>
      <c r="D203" s="15" t="s">
        <v>140</v>
      </c>
      <c r="E203" s="15" t="s">
        <v>140</v>
      </c>
      <c r="F203" s="15" t="s">
        <v>140</v>
      </c>
      <c r="G203" s="15"/>
      <c r="H203" s="15" t="s">
        <v>267</v>
      </c>
      <c r="I203" s="15" t="s">
        <v>212</v>
      </c>
      <c r="J203" s="15" t="s">
        <v>213</v>
      </c>
      <c r="K203" s="15"/>
      <c r="L203" s="15" t="s">
        <v>214</v>
      </c>
      <c r="M203" s="63" t="s">
        <v>268</v>
      </c>
      <c r="N203" s="69">
        <v>72</v>
      </c>
      <c r="O203" s="15"/>
      <c r="P203" s="15"/>
      <c r="Q203" s="15" t="s">
        <v>269</v>
      </c>
      <c r="R203" s="15"/>
      <c r="S203" s="15" t="s">
        <v>217</v>
      </c>
      <c r="T203" s="15"/>
      <c r="U203" s="15"/>
      <c r="V203" s="15"/>
      <c r="W203" s="15"/>
      <c r="X203" s="15">
        <v>100146314</v>
      </c>
      <c r="Y203" s="15" t="s">
        <v>190</v>
      </c>
      <c r="Z203" s="15" t="s">
        <v>201</v>
      </c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>
        <v>1.55</v>
      </c>
      <c r="AX203" s="15">
        <v>13921.887145320001</v>
      </c>
      <c r="AY203" s="15"/>
      <c r="AZ203" s="15"/>
      <c r="BA203" s="15"/>
      <c r="BB203" s="15"/>
      <c r="BC203" s="15"/>
      <c r="BD203" s="61"/>
      <c r="BE203" s="61"/>
      <c r="BF203" s="15" t="s">
        <v>219</v>
      </c>
      <c r="BG203" s="15"/>
      <c r="BH203" s="15"/>
      <c r="BI203" s="15"/>
      <c r="BJ203" s="15"/>
      <c r="BK203" s="15"/>
      <c r="BL203" s="15"/>
      <c r="BM203" s="15"/>
      <c r="BN203" s="62">
        <v>0</v>
      </c>
      <c r="BO203" s="64"/>
      <c r="BP203" s="15"/>
      <c r="BQ203" s="15"/>
      <c r="BR203" s="15"/>
      <c r="BS203" s="64"/>
      <c r="BT203" s="64"/>
      <c r="BU203" s="64">
        <v>45976</v>
      </c>
      <c r="BV203" s="15"/>
      <c r="BW203" s="64"/>
      <c r="BX203" s="64"/>
      <c r="BY203" s="70"/>
      <c r="BZ203" s="70"/>
      <c r="CA203" s="70"/>
      <c r="CB203" s="70"/>
      <c r="CC203" s="70"/>
      <c r="CD203" s="70"/>
      <c r="CE203" s="70"/>
      <c r="CF203" s="70"/>
      <c r="CG203" s="70"/>
      <c r="CH203" s="70"/>
      <c r="CI203" s="70"/>
      <c r="CJ203" s="70"/>
      <c r="CK203" s="15">
        <v>19</v>
      </c>
      <c r="CL203" s="15"/>
      <c r="CM203" s="15"/>
      <c r="CN203" s="15"/>
      <c r="CO203" s="15">
        <v>53</v>
      </c>
      <c r="CP203" s="15">
        <v>0</v>
      </c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  <c r="EE203" s="68"/>
      <c r="EF203" s="68"/>
      <c r="EG203" s="68"/>
      <c r="EH203" s="68"/>
      <c r="EI203" s="70"/>
      <c r="EJ203" s="70"/>
      <c r="EK203" s="70"/>
      <c r="EL203" s="70"/>
      <c r="EM203" s="15"/>
      <c r="EN203" s="15"/>
      <c r="EO203" s="15"/>
      <c r="EP203" s="15"/>
      <c r="EQ203" s="65">
        <f t="shared" si="25"/>
        <v>72</v>
      </c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 t="s">
        <v>263</v>
      </c>
      <c r="FF203" s="15"/>
      <c r="FG203" s="15" t="e">
        <v>#N/A</v>
      </c>
      <c r="FH203" s="1" t="str">
        <f t="shared" si="23"/>
        <v>710548535001TBC</v>
      </c>
      <c r="FI203" s="1" t="str">
        <f t="shared" si="24"/>
        <v>PRLS/25/10230</v>
      </c>
      <c r="FJ203" s="38"/>
      <c r="FL203" s="13"/>
    </row>
    <row r="204" spans="1:168" ht="21" hidden="1" x14ac:dyDescent="0.25">
      <c r="A204" s="15" t="s">
        <v>410</v>
      </c>
      <c r="B204" s="15">
        <v>999</v>
      </c>
      <c r="C204" s="15" t="s">
        <v>411</v>
      </c>
      <c r="D204" s="15" t="s">
        <v>140</v>
      </c>
      <c r="E204" s="15" t="s">
        <v>140</v>
      </c>
      <c r="F204" s="15" t="s">
        <v>140</v>
      </c>
      <c r="G204" s="15"/>
      <c r="H204" s="15" t="s">
        <v>211</v>
      </c>
      <c r="I204" s="15" t="s">
        <v>212</v>
      </c>
      <c r="J204" s="15" t="s">
        <v>213</v>
      </c>
      <c r="K204" s="15"/>
      <c r="L204" s="15" t="s">
        <v>214</v>
      </c>
      <c r="M204" s="15" t="s">
        <v>215</v>
      </c>
      <c r="N204" s="69">
        <v>4033</v>
      </c>
      <c r="O204" s="15"/>
      <c r="P204" s="15"/>
      <c r="Q204" s="15" t="s">
        <v>216</v>
      </c>
      <c r="R204" s="15"/>
      <c r="S204" s="15" t="s">
        <v>217</v>
      </c>
      <c r="T204" s="15"/>
      <c r="U204" s="15"/>
      <c r="V204" s="15"/>
      <c r="W204" s="15"/>
      <c r="X204" s="15">
        <v>100146314</v>
      </c>
      <c r="Y204" s="15" t="s">
        <v>190</v>
      </c>
      <c r="Z204" s="15" t="s">
        <v>201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>
        <v>1.55</v>
      </c>
      <c r="AX204" s="15">
        <v>2114.5638324300003</v>
      </c>
      <c r="AY204" s="15"/>
      <c r="AZ204" s="15"/>
      <c r="BA204" s="15"/>
      <c r="BB204" s="15"/>
      <c r="BC204" s="15"/>
      <c r="BD204" s="61"/>
      <c r="BE204" s="61"/>
      <c r="BF204" s="15" t="s">
        <v>219</v>
      </c>
      <c r="BG204" s="15"/>
      <c r="BH204" s="15"/>
      <c r="BI204" s="15"/>
      <c r="BJ204" s="15"/>
      <c r="BK204" s="15"/>
      <c r="BL204" s="15"/>
      <c r="BM204" s="15"/>
      <c r="BN204" s="62">
        <v>0</v>
      </c>
      <c r="BO204" s="64"/>
      <c r="BP204" s="15"/>
      <c r="BQ204" s="15"/>
      <c r="BR204" s="15"/>
      <c r="BS204" s="64"/>
      <c r="BT204" s="64"/>
      <c r="BU204" s="64">
        <v>45976</v>
      </c>
      <c r="BV204" s="15"/>
      <c r="BW204" s="64"/>
      <c r="BX204" s="64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15"/>
      <c r="CL204" s="15">
        <v>266</v>
      </c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  <c r="EE204" s="68"/>
      <c r="EF204" s="68"/>
      <c r="EG204" s="68"/>
      <c r="EH204" s="68"/>
      <c r="EI204" s="70"/>
      <c r="EJ204" s="70"/>
      <c r="EK204" s="70"/>
      <c r="EL204" s="70"/>
      <c r="EM204" s="15"/>
      <c r="EN204" s="15"/>
      <c r="EO204" s="15"/>
      <c r="EP204" s="15"/>
      <c r="EQ204" s="65">
        <f t="shared" si="25"/>
        <v>266</v>
      </c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 t="s">
        <v>263</v>
      </c>
      <c r="FF204" s="15"/>
      <c r="FG204" s="15" t="e">
        <v>#N/A</v>
      </c>
      <c r="FH204" s="1" t="str">
        <f t="shared" si="23"/>
        <v>710548535003TBC</v>
      </c>
      <c r="FI204" s="1" t="str">
        <f t="shared" si="24"/>
        <v>PRLS/25/10230</v>
      </c>
      <c r="FJ204" s="38"/>
      <c r="FL204" s="13"/>
    </row>
    <row r="205" spans="1:168" ht="21" hidden="1" x14ac:dyDescent="0.25">
      <c r="A205" s="15" t="s">
        <v>410</v>
      </c>
      <c r="B205" s="15">
        <v>999</v>
      </c>
      <c r="C205" s="15" t="s">
        <v>411</v>
      </c>
      <c r="D205" s="15" t="s">
        <v>140</v>
      </c>
      <c r="E205" s="15" t="s">
        <v>140</v>
      </c>
      <c r="F205" s="15" t="s">
        <v>140</v>
      </c>
      <c r="G205" s="15"/>
      <c r="H205" s="15" t="s">
        <v>271</v>
      </c>
      <c r="I205" s="15" t="s">
        <v>212</v>
      </c>
      <c r="J205" s="15" t="s">
        <v>213</v>
      </c>
      <c r="K205" s="15"/>
      <c r="L205" s="15" t="s">
        <v>214</v>
      </c>
      <c r="M205" s="71" t="s">
        <v>272</v>
      </c>
      <c r="N205" s="69">
        <v>1961</v>
      </c>
      <c r="O205" s="15"/>
      <c r="P205" s="15"/>
      <c r="Q205" s="15" t="s">
        <v>273</v>
      </c>
      <c r="R205" s="15"/>
      <c r="S205" s="15" t="s">
        <v>217</v>
      </c>
      <c r="T205" s="15"/>
      <c r="U205" s="15"/>
      <c r="V205" s="15"/>
      <c r="W205" s="15"/>
      <c r="X205" s="15">
        <v>100146314</v>
      </c>
      <c r="Y205" s="15" t="s">
        <v>190</v>
      </c>
      <c r="Z205" s="15" t="s">
        <v>201</v>
      </c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>
        <v>1.55</v>
      </c>
      <c r="AX205" s="15">
        <v>7028.3744716499996</v>
      </c>
      <c r="AY205" s="15"/>
      <c r="AZ205" s="15"/>
      <c r="BA205" s="15"/>
      <c r="BB205" s="15"/>
      <c r="BC205" s="15"/>
      <c r="BD205" s="61"/>
      <c r="BE205" s="61"/>
      <c r="BF205" s="15" t="s">
        <v>219</v>
      </c>
      <c r="BG205" s="15"/>
      <c r="BH205" s="15"/>
      <c r="BI205" s="15"/>
      <c r="BJ205" s="15"/>
      <c r="BK205" s="15"/>
      <c r="BL205" s="15"/>
      <c r="BM205" s="15"/>
      <c r="BN205" s="62">
        <v>0</v>
      </c>
      <c r="BO205" s="64"/>
      <c r="BP205" s="15"/>
      <c r="BQ205" s="15"/>
      <c r="BR205" s="15"/>
      <c r="BS205" s="64"/>
      <c r="BT205" s="64"/>
      <c r="BU205" s="64">
        <v>45976</v>
      </c>
      <c r="BV205" s="15"/>
      <c r="BW205" s="64"/>
      <c r="BX205" s="64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15">
        <v>51</v>
      </c>
      <c r="CL205" s="15">
        <v>127</v>
      </c>
      <c r="CM205" s="15">
        <v>413</v>
      </c>
      <c r="CN205" s="15">
        <v>619</v>
      </c>
      <c r="CO205" s="15">
        <v>498</v>
      </c>
      <c r="CP205" s="15">
        <v>253</v>
      </c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  <c r="EE205" s="68"/>
      <c r="EF205" s="68"/>
      <c r="EG205" s="68"/>
      <c r="EH205" s="68"/>
      <c r="EI205" s="70"/>
      <c r="EJ205" s="70"/>
      <c r="EK205" s="70"/>
      <c r="EL205" s="70"/>
      <c r="EM205" s="15"/>
      <c r="EN205" s="15"/>
      <c r="EO205" s="15"/>
      <c r="EP205" s="15"/>
      <c r="EQ205" s="65">
        <f t="shared" si="25"/>
        <v>1961</v>
      </c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 t="s">
        <v>263</v>
      </c>
      <c r="FF205" s="15"/>
      <c r="FG205" s="15" t="e">
        <v>#N/A</v>
      </c>
      <c r="FH205" s="1" t="str">
        <f t="shared" si="23"/>
        <v>710548535002TBC</v>
      </c>
      <c r="FI205" s="1" t="str">
        <f t="shared" si="24"/>
        <v>PRLS/25/10230</v>
      </c>
      <c r="FJ205" s="38"/>
      <c r="FL205" s="13"/>
    </row>
    <row r="206" spans="1:168" ht="21" hidden="1" x14ac:dyDescent="0.25">
      <c r="A206" s="15" t="s">
        <v>410</v>
      </c>
      <c r="B206" s="15">
        <v>999</v>
      </c>
      <c r="C206" s="15" t="s">
        <v>411</v>
      </c>
      <c r="D206" s="15" t="s">
        <v>140</v>
      </c>
      <c r="E206" s="15" t="s">
        <v>140</v>
      </c>
      <c r="F206" s="15" t="s">
        <v>140</v>
      </c>
      <c r="G206" s="15"/>
      <c r="H206" s="15" t="s">
        <v>274</v>
      </c>
      <c r="I206" s="15" t="s">
        <v>212</v>
      </c>
      <c r="J206" s="15" t="s">
        <v>213</v>
      </c>
      <c r="K206" s="15"/>
      <c r="L206" s="15" t="s">
        <v>214</v>
      </c>
      <c r="M206" s="15" t="s">
        <v>275</v>
      </c>
      <c r="N206" s="63">
        <v>2158</v>
      </c>
      <c r="O206" s="15"/>
      <c r="P206" s="15"/>
      <c r="Q206" s="15" t="s">
        <v>276</v>
      </c>
      <c r="R206" s="15"/>
      <c r="S206" s="15" t="s">
        <v>217</v>
      </c>
      <c r="T206" s="15"/>
      <c r="U206" s="15"/>
      <c r="V206" s="15"/>
      <c r="W206" s="15"/>
      <c r="X206" s="15">
        <v>100146314</v>
      </c>
      <c r="Y206" s="15" t="s">
        <v>190</v>
      </c>
      <c r="Z206" s="15" t="s">
        <v>201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>
        <v>1.55</v>
      </c>
      <c r="AX206" s="15">
        <v>3070.6994001600006</v>
      </c>
      <c r="AY206" s="15"/>
      <c r="AZ206" s="15"/>
      <c r="BA206" s="15"/>
      <c r="BB206" s="15"/>
      <c r="BC206" s="15"/>
      <c r="BD206" s="61"/>
      <c r="BE206" s="61"/>
      <c r="BF206" s="15" t="s">
        <v>219</v>
      </c>
      <c r="BG206" s="15"/>
      <c r="BH206" s="15"/>
      <c r="BI206" s="15"/>
      <c r="BJ206" s="15"/>
      <c r="BK206" s="15"/>
      <c r="BL206" s="15"/>
      <c r="BM206" s="15"/>
      <c r="BN206" s="62">
        <v>0</v>
      </c>
      <c r="BO206" s="64"/>
      <c r="BP206" s="15"/>
      <c r="BQ206" s="15"/>
      <c r="BR206" s="15"/>
      <c r="BS206" s="64"/>
      <c r="BT206" s="64"/>
      <c r="BU206" s="64">
        <v>45976</v>
      </c>
      <c r="BV206" s="15"/>
      <c r="BW206" s="64"/>
      <c r="BX206" s="64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15">
        <v>14</v>
      </c>
      <c r="CL206" s="15">
        <v>293</v>
      </c>
      <c r="CM206" s="15">
        <v>626</v>
      </c>
      <c r="CN206" s="15">
        <v>636</v>
      </c>
      <c r="CO206" s="15">
        <v>371</v>
      </c>
      <c r="CP206" s="15">
        <v>218</v>
      </c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70"/>
      <c r="EJ206" s="70"/>
      <c r="EK206" s="70"/>
      <c r="EL206" s="70"/>
      <c r="EM206" s="15"/>
      <c r="EN206" s="15"/>
      <c r="EO206" s="15"/>
      <c r="EP206" s="15"/>
      <c r="EQ206" s="65">
        <f t="shared" si="25"/>
        <v>2158</v>
      </c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 t="s">
        <v>263</v>
      </c>
      <c r="FF206" s="15"/>
      <c r="FG206" s="15" t="e">
        <v>#N/A</v>
      </c>
      <c r="FH206" s="1" t="str">
        <f t="shared" si="23"/>
        <v>710548535004TBC</v>
      </c>
      <c r="FI206" s="1" t="str">
        <f t="shared" si="24"/>
        <v>PRLS/25/10230</v>
      </c>
      <c r="FJ206" s="38"/>
      <c r="FL206" s="13"/>
    </row>
    <row r="207" spans="1:168" ht="21" hidden="1" x14ac:dyDescent="0.25">
      <c r="A207" s="15" t="s">
        <v>412</v>
      </c>
      <c r="B207" s="15" t="s">
        <v>149</v>
      </c>
      <c r="C207" s="15" t="s">
        <v>413</v>
      </c>
      <c r="D207" s="15" t="s">
        <v>140</v>
      </c>
      <c r="E207" s="15" t="s">
        <v>140</v>
      </c>
      <c r="F207" s="15" t="s">
        <v>140</v>
      </c>
      <c r="G207" s="15"/>
      <c r="H207" s="15" t="s">
        <v>414</v>
      </c>
      <c r="I207" s="15" t="s">
        <v>415</v>
      </c>
      <c r="J207" s="15" t="s">
        <v>404</v>
      </c>
      <c r="K207" s="15"/>
      <c r="L207" s="15" t="s">
        <v>308</v>
      </c>
      <c r="M207" s="15" t="s">
        <v>233</v>
      </c>
      <c r="N207" s="63">
        <v>0</v>
      </c>
      <c r="O207" s="15"/>
      <c r="P207" s="15"/>
      <c r="Q207" s="15" t="s">
        <v>416</v>
      </c>
      <c r="R207" s="15"/>
      <c r="S207" s="15" t="s">
        <v>200</v>
      </c>
      <c r="T207" s="15"/>
      <c r="U207" s="15"/>
      <c r="V207" s="15"/>
      <c r="W207" s="15"/>
      <c r="X207" s="15"/>
      <c r="Y207" s="15" t="s">
        <v>162</v>
      </c>
      <c r="Z207" s="15" t="s">
        <v>201</v>
      </c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61"/>
      <c r="BE207" s="61"/>
      <c r="BF207" s="15"/>
      <c r="BG207" s="15"/>
      <c r="BH207" s="15"/>
      <c r="BI207" s="15"/>
      <c r="BJ207" s="15"/>
      <c r="BK207" s="15"/>
      <c r="BL207" s="15"/>
      <c r="BM207" s="15"/>
      <c r="BN207" s="62">
        <v>0</v>
      </c>
      <c r="BO207" s="64"/>
      <c r="BP207" s="15"/>
      <c r="BQ207" s="15"/>
      <c r="BR207" s="15"/>
      <c r="BS207" s="64"/>
      <c r="BT207" s="64"/>
      <c r="BU207" s="64">
        <v>45976</v>
      </c>
      <c r="BV207" s="15"/>
      <c r="BW207" s="64"/>
      <c r="BX207" s="15"/>
      <c r="BY207" s="15"/>
      <c r="BZ207" s="15"/>
      <c r="CA207" s="15"/>
      <c r="CB207" s="15"/>
      <c r="CC207" s="15"/>
      <c r="CD207" s="15"/>
      <c r="CE207" s="15"/>
      <c r="CF207" s="15"/>
      <c r="CG207" s="68"/>
      <c r="CH207" s="68"/>
      <c r="CI207" s="68"/>
      <c r="CJ207" s="68"/>
      <c r="CK207" s="15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  <c r="EE207" s="68"/>
      <c r="EF207" s="68"/>
      <c r="EG207" s="68"/>
      <c r="EH207" s="68"/>
      <c r="EI207" s="68"/>
      <c r="EJ207" s="68"/>
      <c r="EK207" s="68"/>
      <c r="EL207" s="68"/>
      <c r="EM207" s="68"/>
      <c r="EN207" s="68"/>
      <c r="EO207" s="68"/>
      <c r="EP207" s="68"/>
      <c r="EQ207" s="65">
        <f t="shared" si="25"/>
        <v>0</v>
      </c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 t="s">
        <v>176</v>
      </c>
      <c r="FF207" s="15"/>
      <c r="FG207" s="15"/>
      <c r="FH207" s="1" t="str">
        <f t="shared" si="23"/>
        <v>710964778020TBC</v>
      </c>
      <c r="FI207" s="1" t="str">
        <f t="shared" si="24"/>
        <v>PRLS/25/10268</v>
      </c>
      <c r="FJ207" s="38"/>
      <c r="FL207" s="13"/>
    </row>
    <row r="208" spans="1:168" ht="21" hidden="1" x14ac:dyDescent="0.25">
      <c r="A208" s="15" t="s">
        <v>418</v>
      </c>
      <c r="B208" s="15">
        <v>999</v>
      </c>
      <c r="C208" s="15" t="s">
        <v>411</v>
      </c>
      <c r="D208" s="15" t="s">
        <v>140</v>
      </c>
      <c r="E208" s="15" t="s">
        <v>140</v>
      </c>
      <c r="F208" s="15" t="s">
        <v>140</v>
      </c>
      <c r="G208" s="15"/>
      <c r="H208" s="15" t="s">
        <v>267</v>
      </c>
      <c r="I208" s="15" t="s">
        <v>212</v>
      </c>
      <c r="J208" s="15" t="s">
        <v>213</v>
      </c>
      <c r="K208" s="15"/>
      <c r="L208" s="15" t="s">
        <v>214</v>
      </c>
      <c r="M208" s="63" t="s">
        <v>268</v>
      </c>
      <c r="N208" s="73">
        <v>220</v>
      </c>
      <c r="O208" s="15"/>
      <c r="P208" s="15"/>
      <c r="Q208" s="15" t="s">
        <v>269</v>
      </c>
      <c r="R208" s="15"/>
      <c r="S208" s="15" t="s">
        <v>217</v>
      </c>
      <c r="T208" s="15"/>
      <c r="U208" s="15"/>
      <c r="V208" s="15"/>
      <c r="W208" s="15"/>
      <c r="X208" s="15">
        <v>100146314</v>
      </c>
      <c r="Y208" s="15" t="s">
        <v>190</v>
      </c>
      <c r="Z208" s="15" t="s">
        <v>201</v>
      </c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>
        <v>1.55</v>
      </c>
      <c r="AX208" s="15">
        <v>13921.887145320001</v>
      </c>
      <c r="AY208" s="15"/>
      <c r="AZ208" s="15"/>
      <c r="BA208" s="15"/>
      <c r="BB208" s="15"/>
      <c r="BC208" s="15"/>
      <c r="BD208" s="61"/>
      <c r="BE208" s="61"/>
      <c r="BF208" s="15" t="s">
        <v>219</v>
      </c>
      <c r="BG208" s="15"/>
      <c r="BH208" s="15"/>
      <c r="BI208" s="15"/>
      <c r="BJ208" s="15"/>
      <c r="BK208" s="15"/>
      <c r="BL208" s="15"/>
      <c r="BM208" s="15"/>
      <c r="BN208" s="62">
        <v>0</v>
      </c>
      <c r="BO208" s="64"/>
      <c r="BP208" s="15"/>
      <c r="BQ208" s="15"/>
      <c r="BR208" s="15"/>
      <c r="BS208" s="64"/>
      <c r="BT208" s="64"/>
      <c r="BU208" s="64">
        <v>45976</v>
      </c>
      <c r="BV208" s="15"/>
      <c r="BW208" s="64"/>
      <c r="BX208" s="64"/>
      <c r="BY208" s="70"/>
      <c r="BZ208" s="70"/>
      <c r="CA208" s="70"/>
      <c r="CB208" s="70"/>
      <c r="CC208" s="70"/>
      <c r="CD208" s="70"/>
      <c r="CE208" s="70"/>
      <c r="CF208" s="70"/>
      <c r="CG208" s="70"/>
      <c r="CH208" s="70"/>
      <c r="CI208" s="70"/>
      <c r="CJ208" s="70"/>
      <c r="CK208" s="15">
        <v>32</v>
      </c>
      <c r="CL208" s="15">
        <v>0</v>
      </c>
      <c r="CM208" s="15"/>
      <c r="CN208" s="15">
        <v>0</v>
      </c>
      <c r="CO208" s="15">
        <v>171</v>
      </c>
      <c r="CP208" s="15">
        <v>17</v>
      </c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  <c r="EE208" s="68"/>
      <c r="EF208" s="68"/>
      <c r="EG208" s="68"/>
      <c r="EH208" s="68"/>
      <c r="EI208" s="70"/>
      <c r="EJ208" s="70"/>
      <c r="EK208" s="70"/>
      <c r="EL208" s="70"/>
      <c r="EM208" s="15"/>
      <c r="EN208" s="15"/>
      <c r="EO208" s="15"/>
      <c r="EP208" s="15"/>
      <c r="EQ208" s="65">
        <f t="shared" si="25"/>
        <v>220</v>
      </c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 t="s">
        <v>263</v>
      </c>
      <c r="FF208" s="15"/>
      <c r="FG208" s="15" t="e">
        <v>#N/A</v>
      </c>
      <c r="FH208" s="1" t="str">
        <f t="shared" si="23"/>
        <v>710548535001TBC</v>
      </c>
      <c r="FI208" s="1" t="str">
        <f t="shared" si="24"/>
        <v>PRLS/25/10597</v>
      </c>
      <c r="FJ208" s="38"/>
      <c r="FL208" s="13"/>
    </row>
    <row r="209" spans="1:168" ht="21" hidden="1" x14ac:dyDescent="0.25">
      <c r="A209" s="15" t="s">
        <v>419</v>
      </c>
      <c r="B209" s="15">
        <v>999</v>
      </c>
      <c r="C209" s="15" t="s">
        <v>411</v>
      </c>
      <c r="D209" s="15" t="s">
        <v>140</v>
      </c>
      <c r="E209" s="15" t="s">
        <v>140</v>
      </c>
      <c r="F209" s="15" t="s">
        <v>140</v>
      </c>
      <c r="G209" s="15"/>
      <c r="H209" s="15" t="s">
        <v>271</v>
      </c>
      <c r="I209" s="15" t="s">
        <v>212</v>
      </c>
      <c r="J209" s="15" t="s">
        <v>213</v>
      </c>
      <c r="K209" s="15"/>
      <c r="L209" s="15" t="s">
        <v>214</v>
      </c>
      <c r="M209" s="71" t="s">
        <v>272</v>
      </c>
      <c r="N209" s="69">
        <v>599</v>
      </c>
      <c r="O209" s="15"/>
      <c r="P209" s="15"/>
      <c r="Q209" s="15" t="s">
        <v>273</v>
      </c>
      <c r="R209" s="15"/>
      <c r="S209" s="15" t="s">
        <v>217</v>
      </c>
      <c r="T209" s="15"/>
      <c r="U209" s="15"/>
      <c r="V209" s="15"/>
      <c r="W209" s="15"/>
      <c r="X209" s="15">
        <v>100146314</v>
      </c>
      <c r="Y209" s="15" t="s">
        <v>190</v>
      </c>
      <c r="Z209" s="15" t="s">
        <v>201</v>
      </c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>
        <v>1.55</v>
      </c>
      <c r="AX209" s="15">
        <v>7028.3744716499996</v>
      </c>
      <c r="AY209" s="15"/>
      <c r="AZ209" s="15"/>
      <c r="BA209" s="15"/>
      <c r="BB209" s="15"/>
      <c r="BC209" s="15"/>
      <c r="BD209" s="61"/>
      <c r="BE209" s="61"/>
      <c r="BF209" s="15" t="s">
        <v>219</v>
      </c>
      <c r="BG209" s="15"/>
      <c r="BH209" s="15"/>
      <c r="BI209" s="15"/>
      <c r="BJ209" s="15"/>
      <c r="BK209" s="15"/>
      <c r="BL209" s="15"/>
      <c r="BM209" s="15"/>
      <c r="BN209" s="62">
        <v>0</v>
      </c>
      <c r="BO209" s="64"/>
      <c r="BP209" s="15"/>
      <c r="BQ209" s="15"/>
      <c r="BR209" s="15"/>
      <c r="BS209" s="64"/>
      <c r="BT209" s="64"/>
      <c r="BU209" s="64">
        <v>45976</v>
      </c>
      <c r="BV209" s="15"/>
      <c r="BW209" s="64"/>
      <c r="BX209" s="64"/>
      <c r="BY209" s="70"/>
      <c r="BZ209" s="70"/>
      <c r="CA209" s="70"/>
      <c r="CB209" s="70"/>
      <c r="CC209" s="70"/>
      <c r="CD209" s="70"/>
      <c r="CE209" s="70"/>
      <c r="CF209" s="70"/>
      <c r="CG209" s="70"/>
      <c r="CH209" s="70"/>
      <c r="CI209" s="70"/>
      <c r="CJ209" s="70"/>
      <c r="CK209" s="15">
        <v>18</v>
      </c>
      <c r="CL209" s="15">
        <v>0</v>
      </c>
      <c r="CM209" s="15">
        <v>240</v>
      </c>
      <c r="CN209" s="15">
        <v>72</v>
      </c>
      <c r="CO209" s="15">
        <v>140</v>
      </c>
      <c r="CP209" s="15">
        <v>129</v>
      </c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70"/>
      <c r="EJ209" s="70"/>
      <c r="EK209" s="70"/>
      <c r="EL209" s="70"/>
      <c r="EM209" s="15"/>
      <c r="EN209" s="15"/>
      <c r="EO209" s="15"/>
      <c r="EP209" s="15"/>
      <c r="EQ209" s="65">
        <f t="shared" si="25"/>
        <v>599</v>
      </c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 t="s">
        <v>263</v>
      </c>
      <c r="FF209" s="15"/>
      <c r="FG209" s="15" t="e">
        <v>#N/A</v>
      </c>
      <c r="FH209" s="1" t="str">
        <f t="shared" si="23"/>
        <v>710548535002TBC</v>
      </c>
      <c r="FI209" s="1" t="str">
        <f t="shared" si="24"/>
        <v>PRLS/25/10598</v>
      </c>
      <c r="FJ209" s="38"/>
      <c r="FL209" s="13"/>
    </row>
    <row r="210" spans="1:168" ht="21" hidden="1" x14ac:dyDescent="0.25">
      <c r="A210" s="15" t="s">
        <v>420</v>
      </c>
      <c r="B210" s="15">
        <v>999</v>
      </c>
      <c r="C210" s="15" t="s">
        <v>411</v>
      </c>
      <c r="D210" s="15" t="s">
        <v>140</v>
      </c>
      <c r="E210" s="15" t="s">
        <v>140</v>
      </c>
      <c r="F210" s="15" t="s">
        <v>140</v>
      </c>
      <c r="G210" s="15"/>
      <c r="H210" s="15" t="s">
        <v>274</v>
      </c>
      <c r="I210" s="15" t="s">
        <v>212</v>
      </c>
      <c r="J210" s="15" t="s">
        <v>213</v>
      </c>
      <c r="K210" s="15"/>
      <c r="L210" s="15" t="s">
        <v>214</v>
      </c>
      <c r="M210" s="15" t="s">
        <v>275</v>
      </c>
      <c r="N210" s="73">
        <v>528</v>
      </c>
      <c r="O210" s="15"/>
      <c r="P210" s="15"/>
      <c r="Q210" s="15" t="s">
        <v>276</v>
      </c>
      <c r="R210" s="15"/>
      <c r="S210" s="15" t="s">
        <v>217</v>
      </c>
      <c r="T210" s="15"/>
      <c r="U210" s="15"/>
      <c r="V210" s="15"/>
      <c r="W210" s="15"/>
      <c r="X210" s="15">
        <v>100146314</v>
      </c>
      <c r="Y210" s="15" t="s">
        <v>190</v>
      </c>
      <c r="Z210" s="15" t="s">
        <v>201</v>
      </c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>
        <v>1.55</v>
      </c>
      <c r="AX210" s="15">
        <v>3070.6994001600006</v>
      </c>
      <c r="AY210" s="15"/>
      <c r="AZ210" s="15"/>
      <c r="BA210" s="15"/>
      <c r="BB210" s="15"/>
      <c r="BC210" s="15"/>
      <c r="BD210" s="61"/>
      <c r="BE210" s="61"/>
      <c r="BF210" s="15" t="s">
        <v>219</v>
      </c>
      <c r="BG210" s="15"/>
      <c r="BH210" s="15"/>
      <c r="BI210" s="15"/>
      <c r="BJ210" s="15"/>
      <c r="BK210" s="15"/>
      <c r="BL210" s="15"/>
      <c r="BM210" s="15"/>
      <c r="BN210" s="62">
        <v>0</v>
      </c>
      <c r="BO210" s="64"/>
      <c r="BP210" s="15"/>
      <c r="BQ210" s="15"/>
      <c r="BR210" s="15"/>
      <c r="BS210" s="64"/>
      <c r="BT210" s="64"/>
      <c r="BU210" s="64">
        <v>45976</v>
      </c>
      <c r="BV210" s="15"/>
      <c r="BW210" s="64"/>
      <c r="BX210" s="64"/>
      <c r="BY210" s="70"/>
      <c r="BZ210" s="70"/>
      <c r="CA210" s="70"/>
      <c r="CB210" s="70"/>
      <c r="CC210" s="70"/>
      <c r="CD210" s="70"/>
      <c r="CE210" s="70"/>
      <c r="CF210" s="70"/>
      <c r="CG210" s="70"/>
      <c r="CH210" s="70"/>
      <c r="CI210" s="70"/>
      <c r="CJ210" s="70"/>
      <c r="CK210" s="15">
        <v>6</v>
      </c>
      <c r="CL210" s="15">
        <v>62</v>
      </c>
      <c r="CM210" s="15">
        <v>133</v>
      </c>
      <c r="CN210" s="15">
        <v>109</v>
      </c>
      <c r="CO210" s="15">
        <v>90</v>
      </c>
      <c r="CP210" s="15">
        <v>128</v>
      </c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70"/>
      <c r="EJ210" s="70"/>
      <c r="EK210" s="70"/>
      <c r="EL210" s="70"/>
      <c r="EM210" s="15"/>
      <c r="EN210" s="15"/>
      <c r="EO210" s="15"/>
      <c r="EP210" s="15"/>
      <c r="EQ210" s="65">
        <f t="shared" si="25"/>
        <v>528</v>
      </c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 t="s">
        <v>263</v>
      </c>
      <c r="FF210" s="15"/>
      <c r="FG210" s="15" t="e">
        <v>#N/A</v>
      </c>
      <c r="FH210" s="1" t="str">
        <f t="shared" si="23"/>
        <v>710548535004TBC</v>
      </c>
      <c r="FI210" s="1" t="str">
        <f t="shared" si="24"/>
        <v>PRLS/25/10600</v>
      </c>
      <c r="FJ210" s="38"/>
      <c r="FL210" s="13"/>
    </row>
    <row r="211" spans="1:168" ht="21" hidden="1" x14ac:dyDescent="0.25">
      <c r="A211" s="15" t="s">
        <v>421</v>
      </c>
      <c r="B211" s="15">
        <v>999</v>
      </c>
      <c r="C211" s="15" t="s">
        <v>411</v>
      </c>
      <c r="D211" s="15" t="s">
        <v>140</v>
      </c>
      <c r="E211" s="15" t="s">
        <v>140</v>
      </c>
      <c r="F211" s="15" t="s">
        <v>140</v>
      </c>
      <c r="G211" s="15"/>
      <c r="H211" s="15" t="s">
        <v>277</v>
      </c>
      <c r="I211" s="15" t="s">
        <v>212</v>
      </c>
      <c r="J211" s="15" t="s">
        <v>213</v>
      </c>
      <c r="K211" s="15"/>
      <c r="L211" s="15" t="s">
        <v>214</v>
      </c>
      <c r="M211" s="15" t="s">
        <v>278</v>
      </c>
      <c r="N211" s="73">
        <v>36</v>
      </c>
      <c r="O211" s="15"/>
      <c r="P211" s="15"/>
      <c r="Q211" s="15" t="s">
        <v>279</v>
      </c>
      <c r="R211" s="15"/>
      <c r="S211" s="15" t="s">
        <v>217</v>
      </c>
      <c r="T211" s="15"/>
      <c r="U211" s="15"/>
      <c r="V211" s="15"/>
      <c r="W211" s="15"/>
      <c r="X211" s="15">
        <v>100146314</v>
      </c>
      <c r="Y211" s="15" t="s">
        <v>190</v>
      </c>
      <c r="Z211" s="15" t="s">
        <v>201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>
        <v>1.55</v>
      </c>
      <c r="AX211" s="15">
        <v>2555.4581719800003</v>
      </c>
      <c r="AY211" s="15"/>
      <c r="AZ211" s="15"/>
      <c r="BA211" s="15"/>
      <c r="BB211" s="15"/>
      <c r="BC211" s="15"/>
      <c r="BD211" s="61"/>
      <c r="BE211" s="61"/>
      <c r="BF211" s="15" t="s">
        <v>219</v>
      </c>
      <c r="BG211" s="15"/>
      <c r="BH211" s="15"/>
      <c r="BI211" s="15"/>
      <c r="BJ211" s="15"/>
      <c r="BK211" s="15"/>
      <c r="BL211" s="15"/>
      <c r="BM211" s="15"/>
      <c r="BN211" s="62">
        <v>0</v>
      </c>
      <c r="BO211" s="64"/>
      <c r="BP211" s="15"/>
      <c r="BQ211" s="15"/>
      <c r="BR211" s="15"/>
      <c r="BS211" s="64"/>
      <c r="BT211" s="64"/>
      <c r="BU211" s="64">
        <v>45976</v>
      </c>
      <c r="BV211" s="15"/>
      <c r="BW211" s="64"/>
      <c r="BX211" s="64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15">
        <v>0</v>
      </c>
      <c r="CL211" s="15">
        <v>0</v>
      </c>
      <c r="CM211" s="15">
        <v>0</v>
      </c>
      <c r="CN211" s="15">
        <v>0</v>
      </c>
      <c r="CO211" s="15">
        <v>0</v>
      </c>
      <c r="CP211" s="15">
        <v>36</v>
      </c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70"/>
      <c r="EJ211" s="70"/>
      <c r="EK211" s="70"/>
      <c r="EL211" s="70"/>
      <c r="EM211" s="15"/>
      <c r="EN211" s="15"/>
      <c r="EO211" s="15"/>
      <c r="EP211" s="15"/>
      <c r="EQ211" s="65">
        <f t="shared" si="25"/>
        <v>36</v>
      </c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 t="e">
        <v>#N/A</v>
      </c>
      <c r="FH211" s="1" t="str">
        <f t="shared" si="23"/>
        <v>710548535005TBC</v>
      </c>
      <c r="FI211" s="1" t="str">
        <f t="shared" si="24"/>
        <v>PRLS/25/10601</v>
      </c>
      <c r="FJ211" s="38"/>
      <c r="FL211" s="13"/>
    </row>
    <row r="212" spans="1:168" hidden="1" x14ac:dyDescent="0.25">
      <c r="A212" s="15" t="s">
        <v>423</v>
      </c>
      <c r="B212" s="15">
        <v>999</v>
      </c>
      <c r="C212" s="15" t="s">
        <v>424</v>
      </c>
      <c r="D212" s="15" t="s">
        <v>140</v>
      </c>
      <c r="E212" s="15" t="s">
        <v>140</v>
      </c>
      <c r="F212" s="15" t="s">
        <v>140</v>
      </c>
      <c r="G212" s="15" t="s">
        <v>140</v>
      </c>
      <c r="H212" s="15" t="s">
        <v>394</v>
      </c>
      <c r="I212" s="15" t="s">
        <v>356</v>
      </c>
      <c r="J212" s="15" t="s">
        <v>425</v>
      </c>
      <c r="K212" s="15" t="s">
        <v>185</v>
      </c>
      <c r="L212" s="15" t="s">
        <v>247</v>
      </c>
      <c r="M212" s="15" t="s">
        <v>240</v>
      </c>
      <c r="N212" s="63">
        <v>600</v>
      </c>
      <c r="O212" s="15"/>
      <c r="P212" s="15"/>
      <c r="Q212" s="15" t="s">
        <v>395</v>
      </c>
      <c r="R212" s="15"/>
      <c r="S212" s="15" t="s">
        <v>235</v>
      </c>
      <c r="T212" s="15"/>
      <c r="U212" s="15"/>
      <c r="V212" s="15"/>
      <c r="W212" s="15"/>
      <c r="X212" s="15"/>
      <c r="Y212" s="15" t="s">
        <v>218</v>
      </c>
      <c r="Z212" s="15" t="s">
        <v>201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61"/>
      <c r="BE212" s="61"/>
      <c r="BF212" s="15" t="s">
        <v>219</v>
      </c>
      <c r="BG212" s="15"/>
      <c r="BH212" s="15"/>
      <c r="BI212" s="15"/>
      <c r="BJ212" s="15"/>
      <c r="BK212" s="15"/>
      <c r="BL212" s="15"/>
      <c r="BM212" s="15"/>
      <c r="BN212" s="62">
        <v>0</v>
      </c>
      <c r="BO212" s="64"/>
      <c r="BP212" s="15"/>
      <c r="BQ212" s="15"/>
      <c r="BR212" s="15"/>
      <c r="BS212" s="64"/>
      <c r="BT212" s="64"/>
      <c r="BU212" s="64">
        <v>45950</v>
      </c>
      <c r="BV212" s="15"/>
      <c r="BW212" s="64"/>
      <c r="BX212" s="15"/>
      <c r="BY212" s="15"/>
      <c r="BZ212" s="15"/>
      <c r="CA212" s="15"/>
      <c r="CB212" s="15"/>
      <c r="CC212" s="15"/>
      <c r="CD212" s="15"/>
      <c r="CE212" s="15"/>
      <c r="CF212" s="15"/>
      <c r="CG212" s="70"/>
      <c r="CH212" s="70"/>
      <c r="CI212" s="70"/>
      <c r="CJ212" s="70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15"/>
      <c r="EN212" s="15"/>
      <c r="EO212" s="15"/>
      <c r="EP212" s="15"/>
      <c r="EQ212" s="65">
        <f t="shared" si="25"/>
        <v>0</v>
      </c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 t="s">
        <v>202</v>
      </c>
      <c r="FF212" s="15"/>
      <c r="FG212" s="15"/>
      <c r="FH212" s="1" t="str">
        <f t="shared" si="23"/>
        <v>322858909001TBC</v>
      </c>
      <c r="FI212" s="1" t="str">
        <f t="shared" si="24"/>
        <v>PRLS/25/10667</v>
      </c>
      <c r="FJ212" s="38"/>
      <c r="FL212" s="13"/>
    </row>
    <row r="213" spans="1:168" hidden="1" x14ac:dyDescent="0.25">
      <c r="A213" s="15" t="s">
        <v>426</v>
      </c>
      <c r="B213" s="15">
        <v>999</v>
      </c>
      <c r="C213" s="15" t="s">
        <v>424</v>
      </c>
      <c r="D213" s="15" t="s">
        <v>140</v>
      </c>
      <c r="E213" s="15" t="s">
        <v>140</v>
      </c>
      <c r="F213" s="15" t="s">
        <v>140</v>
      </c>
      <c r="G213" s="15" t="s">
        <v>140</v>
      </c>
      <c r="H213" s="15" t="s">
        <v>360</v>
      </c>
      <c r="I213" s="15" t="s">
        <v>356</v>
      </c>
      <c r="J213" s="15" t="s">
        <v>427</v>
      </c>
      <c r="K213" s="15" t="s">
        <v>185</v>
      </c>
      <c r="L213" s="15" t="s">
        <v>247</v>
      </c>
      <c r="M213" s="15" t="s">
        <v>187</v>
      </c>
      <c r="N213" s="63">
        <v>500</v>
      </c>
      <c r="O213" s="15"/>
      <c r="P213" s="15"/>
      <c r="Q213" s="15" t="s">
        <v>396</v>
      </c>
      <c r="R213" s="15"/>
      <c r="S213" s="15" t="s">
        <v>235</v>
      </c>
      <c r="T213" s="15"/>
      <c r="U213" s="15"/>
      <c r="V213" s="15"/>
      <c r="W213" s="15"/>
      <c r="X213" s="15"/>
      <c r="Y213" s="15" t="s">
        <v>218</v>
      </c>
      <c r="Z213" s="15" t="s">
        <v>201</v>
      </c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61"/>
      <c r="BE213" s="61"/>
      <c r="BF213" s="15" t="s">
        <v>219</v>
      </c>
      <c r="BG213" s="15"/>
      <c r="BH213" s="15"/>
      <c r="BI213" s="15"/>
      <c r="BJ213" s="15"/>
      <c r="BK213" s="15"/>
      <c r="BL213" s="15"/>
      <c r="BM213" s="15"/>
      <c r="BN213" s="62">
        <v>0</v>
      </c>
      <c r="BO213" s="64"/>
      <c r="BP213" s="15"/>
      <c r="BQ213" s="15"/>
      <c r="BR213" s="15"/>
      <c r="BS213" s="64"/>
      <c r="BT213" s="64"/>
      <c r="BU213" s="64">
        <v>45950</v>
      </c>
      <c r="BV213" s="15"/>
      <c r="BW213" s="64"/>
      <c r="BX213" s="15"/>
      <c r="BY213" s="15"/>
      <c r="BZ213" s="15"/>
      <c r="CA213" s="15"/>
      <c r="CB213" s="15"/>
      <c r="CC213" s="15"/>
      <c r="CD213" s="15"/>
      <c r="CE213" s="15"/>
      <c r="CF213" s="15"/>
      <c r="CG213" s="70"/>
      <c r="CH213" s="70"/>
      <c r="CI213" s="70"/>
      <c r="CJ213" s="70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15"/>
      <c r="EN213" s="15"/>
      <c r="EO213" s="15"/>
      <c r="EP213" s="15"/>
      <c r="EQ213" s="65">
        <f t="shared" si="25"/>
        <v>0</v>
      </c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 t="s">
        <v>202</v>
      </c>
      <c r="FF213" s="15"/>
      <c r="FG213" s="15"/>
      <c r="FH213" s="1" t="str">
        <f t="shared" si="23"/>
        <v>322858909005TBC</v>
      </c>
      <c r="FI213" s="1" t="str">
        <f t="shared" si="24"/>
        <v>PRLS/25/10668</v>
      </c>
      <c r="FJ213" s="38"/>
      <c r="FL213" s="13"/>
    </row>
    <row r="214" spans="1:168" hidden="1" x14ac:dyDescent="0.25">
      <c r="A214" s="15" t="s">
        <v>428</v>
      </c>
      <c r="B214" s="15">
        <v>999</v>
      </c>
      <c r="C214" s="15" t="s">
        <v>424</v>
      </c>
      <c r="D214" s="15" t="s">
        <v>140</v>
      </c>
      <c r="E214" s="15" t="s">
        <v>140</v>
      </c>
      <c r="F214" s="15" t="s">
        <v>140</v>
      </c>
      <c r="G214" s="15" t="s">
        <v>140</v>
      </c>
      <c r="H214" s="15" t="s">
        <v>362</v>
      </c>
      <c r="I214" s="15" t="s">
        <v>361</v>
      </c>
      <c r="J214" s="15" t="s">
        <v>425</v>
      </c>
      <c r="K214" s="15" t="s">
        <v>185</v>
      </c>
      <c r="L214" s="15" t="s">
        <v>247</v>
      </c>
      <c r="M214" s="15" t="s">
        <v>240</v>
      </c>
      <c r="N214" s="63">
        <v>500</v>
      </c>
      <c r="O214" s="15"/>
      <c r="P214" s="15"/>
      <c r="Q214" s="15" t="s">
        <v>363</v>
      </c>
      <c r="R214" s="15"/>
      <c r="S214" s="15" t="s">
        <v>235</v>
      </c>
      <c r="T214" s="15"/>
      <c r="U214" s="15"/>
      <c r="V214" s="15"/>
      <c r="W214" s="15"/>
      <c r="X214" s="15"/>
      <c r="Y214" s="15" t="s">
        <v>218</v>
      </c>
      <c r="Z214" s="15" t="s">
        <v>201</v>
      </c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61"/>
      <c r="BE214" s="61"/>
      <c r="BF214" s="15" t="s">
        <v>219</v>
      </c>
      <c r="BG214" s="15"/>
      <c r="BH214" s="15"/>
      <c r="BI214" s="15"/>
      <c r="BJ214" s="15"/>
      <c r="BK214" s="15"/>
      <c r="BL214" s="15"/>
      <c r="BM214" s="15"/>
      <c r="BN214" s="62">
        <v>0</v>
      </c>
      <c r="BO214" s="64"/>
      <c r="BP214" s="15"/>
      <c r="BQ214" s="15"/>
      <c r="BR214" s="15"/>
      <c r="BS214" s="64"/>
      <c r="BT214" s="64"/>
      <c r="BU214" s="64">
        <v>45950</v>
      </c>
      <c r="BV214" s="15"/>
      <c r="BW214" s="64"/>
      <c r="BX214" s="15"/>
      <c r="BY214" s="15"/>
      <c r="BZ214" s="15"/>
      <c r="CA214" s="15"/>
      <c r="CB214" s="15"/>
      <c r="CC214" s="15"/>
      <c r="CD214" s="15"/>
      <c r="CE214" s="15"/>
      <c r="CF214" s="15"/>
      <c r="CG214" s="70"/>
      <c r="CH214" s="70"/>
      <c r="CI214" s="70"/>
      <c r="CJ214" s="70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70"/>
      <c r="DK214" s="70"/>
      <c r="DL214" s="70"/>
      <c r="DM214" s="70"/>
      <c r="DN214" s="70"/>
      <c r="DO214" s="70"/>
      <c r="DP214" s="70"/>
      <c r="DQ214" s="70"/>
      <c r="DR214" s="70"/>
      <c r="DS214" s="70"/>
      <c r="DT214" s="70"/>
      <c r="DU214" s="70"/>
      <c r="DV214" s="70"/>
      <c r="DW214" s="70"/>
      <c r="DX214" s="70"/>
      <c r="DY214" s="70"/>
      <c r="DZ214" s="70"/>
      <c r="EA214" s="70"/>
      <c r="EB214" s="70"/>
      <c r="EC214" s="70"/>
      <c r="ED214" s="70"/>
      <c r="EE214" s="70"/>
      <c r="EF214" s="70"/>
      <c r="EG214" s="70"/>
      <c r="EH214" s="70"/>
      <c r="EI214" s="70"/>
      <c r="EJ214" s="70"/>
      <c r="EK214" s="70"/>
      <c r="EL214" s="70"/>
      <c r="EM214" s="15"/>
      <c r="EN214" s="15"/>
      <c r="EO214" s="15"/>
      <c r="EP214" s="15"/>
      <c r="EQ214" s="65">
        <f t="shared" si="25"/>
        <v>0</v>
      </c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 t="s">
        <v>202</v>
      </c>
      <c r="FF214" s="15"/>
      <c r="FG214" s="15"/>
      <c r="FH214" s="1" t="str">
        <f t="shared" si="23"/>
        <v>323858909001TBC</v>
      </c>
      <c r="FI214" s="1" t="str">
        <f t="shared" si="24"/>
        <v>PRLS/25/10669</v>
      </c>
      <c r="FJ214" s="38"/>
      <c r="FL214" s="13"/>
    </row>
    <row r="215" spans="1:168" hidden="1" x14ac:dyDescent="0.25">
      <c r="A215" s="15" t="s">
        <v>429</v>
      </c>
      <c r="B215" s="15">
        <v>999</v>
      </c>
      <c r="C215" s="15" t="s">
        <v>424</v>
      </c>
      <c r="D215" s="15" t="s">
        <v>140</v>
      </c>
      <c r="E215" s="15" t="s">
        <v>140</v>
      </c>
      <c r="F215" s="15" t="s">
        <v>140</v>
      </c>
      <c r="G215" s="15" t="s">
        <v>140</v>
      </c>
      <c r="H215" s="15" t="s">
        <v>364</v>
      </c>
      <c r="I215" s="15" t="s">
        <v>361</v>
      </c>
      <c r="J215" s="15" t="s">
        <v>427</v>
      </c>
      <c r="K215" s="15" t="s">
        <v>185</v>
      </c>
      <c r="L215" s="15" t="s">
        <v>247</v>
      </c>
      <c r="M215" s="15" t="s">
        <v>187</v>
      </c>
      <c r="N215" s="63">
        <v>500</v>
      </c>
      <c r="O215" s="15"/>
      <c r="P215" s="15"/>
      <c r="Q215" s="15" t="s">
        <v>397</v>
      </c>
      <c r="R215" s="15"/>
      <c r="S215" s="15" t="s">
        <v>235</v>
      </c>
      <c r="T215" s="15"/>
      <c r="U215" s="15"/>
      <c r="V215" s="15"/>
      <c r="W215" s="15"/>
      <c r="X215" s="15"/>
      <c r="Y215" s="15" t="s">
        <v>218</v>
      </c>
      <c r="Z215" s="15" t="s">
        <v>201</v>
      </c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61"/>
      <c r="BE215" s="61"/>
      <c r="BF215" s="15" t="s">
        <v>219</v>
      </c>
      <c r="BG215" s="15"/>
      <c r="BH215" s="15"/>
      <c r="BI215" s="15"/>
      <c r="BJ215" s="15"/>
      <c r="BK215" s="15"/>
      <c r="BL215" s="15"/>
      <c r="BM215" s="15"/>
      <c r="BN215" s="62">
        <v>0</v>
      </c>
      <c r="BO215" s="64"/>
      <c r="BP215" s="15"/>
      <c r="BQ215" s="15"/>
      <c r="BR215" s="15"/>
      <c r="BS215" s="64"/>
      <c r="BT215" s="64"/>
      <c r="BU215" s="64">
        <v>45950</v>
      </c>
      <c r="BV215" s="15"/>
      <c r="BW215" s="64"/>
      <c r="BX215" s="15"/>
      <c r="BY215" s="15"/>
      <c r="BZ215" s="15"/>
      <c r="CA215" s="15"/>
      <c r="CB215" s="15"/>
      <c r="CC215" s="15"/>
      <c r="CD215" s="15"/>
      <c r="CE215" s="15"/>
      <c r="CF215" s="15"/>
      <c r="CG215" s="70"/>
      <c r="CH215" s="70"/>
      <c r="CI215" s="70"/>
      <c r="CJ215" s="70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70"/>
      <c r="DK215" s="70"/>
      <c r="DL215" s="70"/>
      <c r="DM215" s="70"/>
      <c r="DN215" s="70"/>
      <c r="DO215" s="70"/>
      <c r="DP215" s="70"/>
      <c r="DQ215" s="70"/>
      <c r="DR215" s="70"/>
      <c r="DS215" s="70"/>
      <c r="DT215" s="70"/>
      <c r="DU215" s="70"/>
      <c r="DV215" s="70"/>
      <c r="DW215" s="70"/>
      <c r="DX215" s="70"/>
      <c r="DY215" s="70"/>
      <c r="DZ215" s="70"/>
      <c r="EA215" s="70"/>
      <c r="EB215" s="70"/>
      <c r="EC215" s="70"/>
      <c r="ED215" s="70"/>
      <c r="EE215" s="70"/>
      <c r="EF215" s="70"/>
      <c r="EG215" s="70"/>
      <c r="EH215" s="70"/>
      <c r="EI215" s="70"/>
      <c r="EJ215" s="70"/>
      <c r="EK215" s="70"/>
      <c r="EL215" s="70"/>
      <c r="EM215" s="15"/>
      <c r="EN215" s="15"/>
      <c r="EO215" s="15"/>
      <c r="EP215" s="15"/>
      <c r="EQ215" s="65">
        <f t="shared" si="25"/>
        <v>0</v>
      </c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 t="s">
        <v>202</v>
      </c>
      <c r="FF215" s="15"/>
      <c r="FG215" s="15"/>
      <c r="FH215" s="1" t="str">
        <f t="shared" si="23"/>
        <v>323858909005TBC</v>
      </c>
      <c r="FI215" s="1" t="str">
        <f t="shared" si="24"/>
        <v>PRLS/25/10670</v>
      </c>
      <c r="FJ215" s="38"/>
      <c r="FL215" s="13"/>
    </row>
    <row r="216" spans="1:168" ht="21" hidden="1" x14ac:dyDescent="0.25">
      <c r="A216" s="15" t="s">
        <v>140</v>
      </c>
      <c r="B216" s="15">
        <v>999</v>
      </c>
      <c r="C216" s="15" t="s">
        <v>455</v>
      </c>
      <c r="D216" s="15" t="s">
        <v>140</v>
      </c>
      <c r="E216" s="15" t="s">
        <v>140</v>
      </c>
      <c r="F216" s="15" t="s">
        <v>140</v>
      </c>
      <c r="G216" s="15" t="s">
        <v>140</v>
      </c>
      <c r="H216" s="15" t="s">
        <v>229</v>
      </c>
      <c r="I216" s="15" t="s">
        <v>230</v>
      </c>
      <c r="J216" s="15" t="s">
        <v>456</v>
      </c>
      <c r="K216" s="15" t="s">
        <v>185</v>
      </c>
      <c r="L216" s="15" t="s">
        <v>232</v>
      </c>
      <c r="M216" s="15" t="s">
        <v>233</v>
      </c>
      <c r="N216" s="63">
        <v>318</v>
      </c>
      <c r="O216" s="15"/>
      <c r="P216" s="15"/>
      <c r="Q216" s="15" t="s">
        <v>234</v>
      </c>
      <c r="R216" s="15"/>
      <c r="S216" s="15" t="s">
        <v>235</v>
      </c>
      <c r="T216" s="15"/>
      <c r="U216" s="15"/>
      <c r="V216" s="15"/>
      <c r="W216" s="15"/>
      <c r="X216" s="15"/>
      <c r="Y216" s="15" t="s">
        <v>218</v>
      </c>
      <c r="Z216" s="15" t="s">
        <v>236</v>
      </c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>
        <v>1.5</v>
      </c>
      <c r="AX216" s="15">
        <v>486.54</v>
      </c>
      <c r="AY216" s="15"/>
      <c r="AZ216" s="15"/>
      <c r="BA216" s="15"/>
      <c r="BB216" s="15"/>
      <c r="BC216" s="15"/>
      <c r="BD216" s="61"/>
      <c r="BE216" s="61"/>
      <c r="BF216" s="15" t="s">
        <v>219</v>
      </c>
      <c r="BG216" s="15"/>
      <c r="BH216" s="15"/>
      <c r="BI216" s="15"/>
      <c r="BJ216" s="15"/>
      <c r="BK216" s="15"/>
      <c r="BL216" s="15"/>
      <c r="BM216" s="15"/>
      <c r="BN216" s="62">
        <v>0</v>
      </c>
      <c r="BO216" s="64"/>
      <c r="BP216" s="15"/>
      <c r="BQ216" s="15"/>
      <c r="BR216" s="15"/>
      <c r="BS216" s="64"/>
      <c r="BT216" s="64"/>
      <c r="BU216" s="64">
        <v>46042</v>
      </c>
      <c r="BV216" s="15"/>
      <c r="BW216" s="64"/>
      <c r="BX216" s="15"/>
      <c r="BY216" s="15"/>
      <c r="BZ216" s="15"/>
      <c r="CA216" s="15"/>
      <c r="CB216" s="15"/>
      <c r="CC216" s="15"/>
      <c r="CD216" s="15"/>
      <c r="CE216" s="15"/>
      <c r="CF216" s="15"/>
      <c r="CG216" s="70"/>
      <c r="CH216" s="70"/>
      <c r="CI216" s="70"/>
      <c r="CJ216" s="70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70"/>
      <c r="DK216" s="70"/>
      <c r="DL216" s="70"/>
      <c r="DM216" s="70"/>
      <c r="DN216" s="70"/>
      <c r="DO216" s="70"/>
      <c r="DP216" s="70"/>
      <c r="DQ216" s="70"/>
      <c r="DR216" s="70"/>
      <c r="DS216" s="70"/>
      <c r="DT216" s="70"/>
      <c r="DU216" s="70"/>
      <c r="DV216" s="70"/>
      <c r="DW216" s="70"/>
      <c r="DX216" s="70"/>
      <c r="DY216" s="70"/>
      <c r="DZ216" s="70"/>
      <c r="EA216" s="70"/>
      <c r="EB216" s="70"/>
      <c r="EC216" s="70"/>
      <c r="ED216" s="70"/>
      <c r="EE216" s="70"/>
      <c r="EF216" s="68"/>
      <c r="EG216" s="68"/>
      <c r="EH216" s="68"/>
      <c r="EI216" s="68"/>
      <c r="EJ216" s="68"/>
      <c r="EK216" s="68"/>
      <c r="EL216" s="68"/>
      <c r="EM216" s="15"/>
      <c r="EN216" s="15"/>
      <c r="EO216" s="15"/>
      <c r="EP216" s="15"/>
      <c r="EQ216" s="65">
        <f t="shared" si="25"/>
        <v>0</v>
      </c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 t="s">
        <v>176</v>
      </c>
      <c r="FF216" s="15"/>
      <c r="FG216" s="15"/>
      <c r="FH216" s="1" t="str">
        <f t="shared" si="23"/>
        <v>710716303002TBC</v>
      </c>
      <c r="FI216" s="1" t="str">
        <f t="shared" si="24"/>
        <v>TBC</v>
      </c>
      <c r="FJ216" s="38"/>
      <c r="FL216" s="13"/>
    </row>
    <row r="217" spans="1:168" ht="21" hidden="1" x14ac:dyDescent="0.25">
      <c r="A217" s="15" t="s">
        <v>140</v>
      </c>
      <c r="B217" s="15">
        <v>999</v>
      </c>
      <c r="C217" s="15" t="s">
        <v>455</v>
      </c>
      <c r="D217" s="15" t="s">
        <v>140</v>
      </c>
      <c r="E217" s="15" t="s">
        <v>140</v>
      </c>
      <c r="F217" s="15" t="s">
        <v>140</v>
      </c>
      <c r="G217" s="15" t="s">
        <v>140</v>
      </c>
      <c r="H217" s="15" t="s">
        <v>239</v>
      </c>
      <c r="I217" s="15" t="s">
        <v>230</v>
      </c>
      <c r="J217" s="15" t="s">
        <v>457</v>
      </c>
      <c r="K217" s="15" t="s">
        <v>185</v>
      </c>
      <c r="L217" s="15" t="s">
        <v>232</v>
      </c>
      <c r="M217" s="15" t="s">
        <v>240</v>
      </c>
      <c r="N217" s="63">
        <v>457</v>
      </c>
      <c r="O217" s="15"/>
      <c r="P217" s="15"/>
      <c r="Q217" s="15" t="s">
        <v>241</v>
      </c>
      <c r="R217" s="15"/>
      <c r="S217" s="15" t="s">
        <v>235</v>
      </c>
      <c r="T217" s="15"/>
      <c r="U217" s="15"/>
      <c r="V217" s="15"/>
      <c r="W217" s="15"/>
      <c r="X217" s="15"/>
      <c r="Y217" s="15" t="s">
        <v>218</v>
      </c>
      <c r="Z217" s="15" t="s">
        <v>236</v>
      </c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>
        <v>1.5</v>
      </c>
      <c r="AX217" s="15">
        <v>699.21</v>
      </c>
      <c r="AY217" s="15"/>
      <c r="AZ217" s="15"/>
      <c r="BA217" s="15"/>
      <c r="BB217" s="15"/>
      <c r="BC217" s="15"/>
      <c r="BD217" s="61"/>
      <c r="BE217" s="61"/>
      <c r="BF217" s="15" t="s">
        <v>219</v>
      </c>
      <c r="BG217" s="15"/>
      <c r="BH217" s="15"/>
      <c r="BI217" s="15"/>
      <c r="BJ217" s="15"/>
      <c r="BK217" s="15"/>
      <c r="BL217" s="15"/>
      <c r="BM217" s="15"/>
      <c r="BN217" s="62">
        <v>0</v>
      </c>
      <c r="BO217" s="64"/>
      <c r="BP217" s="15"/>
      <c r="BQ217" s="15"/>
      <c r="BR217" s="15"/>
      <c r="BS217" s="64"/>
      <c r="BT217" s="64"/>
      <c r="BU217" s="64">
        <v>46042</v>
      </c>
      <c r="BV217" s="15"/>
      <c r="BW217" s="64"/>
      <c r="BX217" s="15"/>
      <c r="BY217" s="15"/>
      <c r="BZ217" s="15"/>
      <c r="CA217" s="15"/>
      <c r="CB217" s="15"/>
      <c r="CC217" s="15"/>
      <c r="CD217" s="15"/>
      <c r="CE217" s="15"/>
      <c r="CF217" s="15"/>
      <c r="CG217" s="70"/>
      <c r="CH217" s="70"/>
      <c r="CI217" s="70"/>
      <c r="CJ217" s="70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70"/>
      <c r="DK217" s="70"/>
      <c r="DL217" s="70"/>
      <c r="DM217" s="70"/>
      <c r="DN217" s="70"/>
      <c r="DO217" s="70"/>
      <c r="DP217" s="70"/>
      <c r="DQ217" s="70"/>
      <c r="DR217" s="70"/>
      <c r="DS217" s="70"/>
      <c r="DT217" s="70"/>
      <c r="DU217" s="70"/>
      <c r="DV217" s="70"/>
      <c r="DW217" s="70"/>
      <c r="DX217" s="70"/>
      <c r="DY217" s="70"/>
      <c r="DZ217" s="70"/>
      <c r="EA217" s="70"/>
      <c r="EB217" s="70"/>
      <c r="EC217" s="70"/>
      <c r="ED217" s="70"/>
      <c r="EE217" s="70"/>
      <c r="EF217" s="68"/>
      <c r="EG217" s="68"/>
      <c r="EH217" s="68"/>
      <c r="EI217" s="68"/>
      <c r="EJ217" s="68"/>
      <c r="EK217" s="68"/>
      <c r="EL217" s="68"/>
      <c r="EM217" s="15"/>
      <c r="EN217" s="15"/>
      <c r="EO217" s="15"/>
      <c r="EP217" s="15"/>
      <c r="EQ217" s="65">
        <f t="shared" si="25"/>
        <v>0</v>
      </c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 t="s">
        <v>176</v>
      </c>
      <c r="FF217" s="15"/>
      <c r="FG217" s="15"/>
      <c r="FH217" s="1" t="str">
        <f t="shared" si="23"/>
        <v>710716303003TBC</v>
      </c>
      <c r="FI217" s="1" t="str">
        <f t="shared" si="24"/>
        <v>TBC</v>
      </c>
      <c r="FJ217" s="38"/>
      <c r="FL217" s="13"/>
    </row>
    <row r="218" spans="1:168" ht="21" hidden="1" x14ac:dyDescent="0.25">
      <c r="A218" s="15" t="s">
        <v>140</v>
      </c>
      <c r="B218" s="15">
        <v>999</v>
      </c>
      <c r="C218" s="15" t="s">
        <v>455</v>
      </c>
      <c r="D218" s="15" t="s">
        <v>140</v>
      </c>
      <c r="E218" s="15" t="s">
        <v>140</v>
      </c>
      <c r="F218" s="15" t="s">
        <v>140</v>
      </c>
      <c r="G218" s="15" t="s">
        <v>140</v>
      </c>
      <c r="H218" s="15" t="s">
        <v>242</v>
      </c>
      <c r="I218" s="15" t="s">
        <v>243</v>
      </c>
      <c r="J218" s="15" t="s">
        <v>457</v>
      </c>
      <c r="K218" s="15" t="s">
        <v>185</v>
      </c>
      <c r="L218" s="15" t="s">
        <v>232</v>
      </c>
      <c r="M218" s="15" t="s">
        <v>187</v>
      </c>
      <c r="N218" s="63">
        <v>987</v>
      </c>
      <c r="O218" s="15"/>
      <c r="P218" s="15"/>
      <c r="Q218" s="15" t="s">
        <v>244</v>
      </c>
      <c r="R218" s="15"/>
      <c r="S218" s="15" t="s">
        <v>235</v>
      </c>
      <c r="T218" s="15"/>
      <c r="U218" s="15"/>
      <c r="V218" s="15"/>
      <c r="W218" s="15"/>
      <c r="X218" s="15"/>
      <c r="Y218" s="15" t="s">
        <v>218</v>
      </c>
      <c r="Z218" s="15" t="s">
        <v>201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>
        <v>1.5</v>
      </c>
      <c r="AX218" s="15">
        <v>1510.1100000000001</v>
      </c>
      <c r="AY218" s="15"/>
      <c r="AZ218" s="15"/>
      <c r="BA218" s="15"/>
      <c r="BB218" s="15"/>
      <c r="BC218" s="15"/>
      <c r="BD218" s="61"/>
      <c r="BE218" s="61"/>
      <c r="BF218" s="15" t="s">
        <v>219</v>
      </c>
      <c r="BG218" s="15"/>
      <c r="BH218" s="15"/>
      <c r="BI218" s="15"/>
      <c r="BJ218" s="15"/>
      <c r="BK218" s="15"/>
      <c r="BL218" s="15"/>
      <c r="BM218" s="15"/>
      <c r="BN218" s="62">
        <v>0</v>
      </c>
      <c r="BO218" s="64"/>
      <c r="BP218" s="15"/>
      <c r="BQ218" s="15"/>
      <c r="BR218" s="15"/>
      <c r="BS218" s="64"/>
      <c r="BT218" s="64"/>
      <c r="BU218" s="64">
        <v>46042</v>
      </c>
      <c r="BV218" s="15"/>
      <c r="BW218" s="64"/>
      <c r="BX218" s="15"/>
      <c r="BY218" s="15"/>
      <c r="BZ218" s="15"/>
      <c r="CA218" s="15"/>
      <c r="CB218" s="15"/>
      <c r="CC218" s="15"/>
      <c r="CD218" s="15"/>
      <c r="CE218" s="15"/>
      <c r="CF218" s="15"/>
      <c r="CG218" s="70"/>
      <c r="CH218" s="70"/>
      <c r="CI218" s="70"/>
      <c r="CJ218" s="70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68"/>
      <c r="EG218" s="68"/>
      <c r="EH218" s="68"/>
      <c r="EI218" s="68"/>
      <c r="EJ218" s="68"/>
      <c r="EK218" s="68"/>
      <c r="EL218" s="68"/>
      <c r="EM218" s="15"/>
      <c r="EN218" s="15"/>
      <c r="EO218" s="15"/>
      <c r="EP218" s="15"/>
      <c r="EQ218" s="65">
        <f t="shared" si="25"/>
        <v>0</v>
      </c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 t="s">
        <v>176</v>
      </c>
      <c r="FF218" s="15"/>
      <c r="FG218" s="15"/>
      <c r="FH218" s="1" t="str">
        <f t="shared" si="23"/>
        <v>710729232003TBC</v>
      </c>
      <c r="FI218" s="1" t="str">
        <f t="shared" si="24"/>
        <v>TBC</v>
      </c>
      <c r="FJ218" s="38"/>
      <c r="FL218" s="13"/>
    </row>
    <row r="219" spans="1:168" ht="21" hidden="1" x14ac:dyDescent="0.25">
      <c r="A219" s="15" t="s">
        <v>140</v>
      </c>
      <c r="B219" s="15">
        <v>999</v>
      </c>
      <c r="C219" s="15" t="s">
        <v>455</v>
      </c>
      <c r="D219" s="15" t="s">
        <v>140</v>
      </c>
      <c r="E219" s="15" t="s">
        <v>140</v>
      </c>
      <c r="F219" s="15" t="s">
        <v>140</v>
      </c>
      <c r="G219" s="15" t="s">
        <v>140</v>
      </c>
      <c r="H219" s="15" t="s">
        <v>245</v>
      </c>
      <c r="I219" s="15" t="s">
        <v>246</v>
      </c>
      <c r="J219" s="15" t="s">
        <v>231</v>
      </c>
      <c r="K219" s="15" t="s">
        <v>185</v>
      </c>
      <c r="L219" s="15" t="s">
        <v>247</v>
      </c>
      <c r="M219" s="15" t="s">
        <v>248</v>
      </c>
      <c r="N219" s="63">
        <v>395</v>
      </c>
      <c r="O219" s="15"/>
      <c r="P219" s="15"/>
      <c r="Q219" s="15" t="s">
        <v>249</v>
      </c>
      <c r="R219" s="15"/>
      <c r="S219" s="15" t="s">
        <v>235</v>
      </c>
      <c r="T219" s="15"/>
      <c r="U219" s="15"/>
      <c r="V219" s="15"/>
      <c r="W219" s="15"/>
      <c r="X219" s="15"/>
      <c r="Y219" s="15" t="s">
        <v>218</v>
      </c>
      <c r="Z219" s="15" t="s">
        <v>236</v>
      </c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>
        <v>1.5</v>
      </c>
      <c r="AX219" s="15">
        <v>604.35</v>
      </c>
      <c r="AY219" s="15"/>
      <c r="AZ219" s="15"/>
      <c r="BA219" s="15"/>
      <c r="BB219" s="15"/>
      <c r="BC219" s="15"/>
      <c r="BD219" s="61"/>
      <c r="BE219" s="61"/>
      <c r="BF219" s="15" t="s">
        <v>219</v>
      </c>
      <c r="BG219" s="15"/>
      <c r="BH219" s="15"/>
      <c r="BI219" s="15"/>
      <c r="BJ219" s="15"/>
      <c r="BK219" s="15"/>
      <c r="BL219" s="15"/>
      <c r="BM219" s="15"/>
      <c r="BN219" s="62">
        <v>0</v>
      </c>
      <c r="BO219" s="64"/>
      <c r="BP219" s="15"/>
      <c r="BQ219" s="15"/>
      <c r="BR219" s="15"/>
      <c r="BS219" s="64"/>
      <c r="BT219" s="64"/>
      <c r="BU219" s="64">
        <v>46042</v>
      </c>
      <c r="BV219" s="15"/>
      <c r="BW219" s="64"/>
      <c r="BX219" s="15"/>
      <c r="BY219" s="15"/>
      <c r="BZ219" s="15"/>
      <c r="CA219" s="15"/>
      <c r="CB219" s="15"/>
      <c r="CC219" s="15"/>
      <c r="CD219" s="15"/>
      <c r="CE219" s="15"/>
      <c r="CF219" s="15"/>
      <c r="CG219" s="70"/>
      <c r="CH219" s="70"/>
      <c r="CI219" s="70"/>
      <c r="CJ219" s="70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68"/>
      <c r="EG219" s="68"/>
      <c r="EH219" s="68"/>
      <c r="EI219" s="68"/>
      <c r="EJ219" s="68"/>
      <c r="EK219" s="68"/>
      <c r="EL219" s="68"/>
      <c r="EM219" s="15"/>
      <c r="EN219" s="15"/>
      <c r="EO219" s="15"/>
      <c r="EP219" s="15"/>
      <c r="EQ219" s="65">
        <f t="shared" si="25"/>
        <v>0</v>
      </c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 t="s">
        <v>176</v>
      </c>
      <c r="FF219" s="15"/>
      <c r="FG219" s="15"/>
      <c r="FH219" s="1" t="str">
        <f t="shared" si="23"/>
        <v>710888705001TBC</v>
      </c>
      <c r="FI219" s="1" t="str">
        <f t="shared" si="24"/>
        <v>TBC</v>
      </c>
      <c r="FJ219" s="38"/>
      <c r="FL219" s="13"/>
    </row>
    <row r="220" spans="1:168" ht="21" hidden="1" x14ac:dyDescent="0.25">
      <c r="A220" s="15" t="s">
        <v>140</v>
      </c>
      <c r="B220" s="15">
        <v>999</v>
      </c>
      <c r="C220" s="15" t="s">
        <v>455</v>
      </c>
      <c r="D220" s="15" t="s">
        <v>140</v>
      </c>
      <c r="E220" s="15" t="s">
        <v>140</v>
      </c>
      <c r="F220" s="15" t="s">
        <v>140</v>
      </c>
      <c r="G220" s="15" t="s">
        <v>140</v>
      </c>
      <c r="H220" s="15" t="s">
        <v>250</v>
      </c>
      <c r="I220" s="15" t="s">
        <v>246</v>
      </c>
      <c r="J220" s="15" t="s">
        <v>231</v>
      </c>
      <c r="K220" s="15" t="s">
        <v>185</v>
      </c>
      <c r="L220" s="15" t="s">
        <v>247</v>
      </c>
      <c r="M220" s="15" t="s">
        <v>251</v>
      </c>
      <c r="N220" s="63">
        <v>363</v>
      </c>
      <c r="O220" s="15"/>
      <c r="P220" s="15"/>
      <c r="Q220" s="15" t="s">
        <v>252</v>
      </c>
      <c r="R220" s="15"/>
      <c r="S220" s="15" t="s">
        <v>235</v>
      </c>
      <c r="T220" s="15"/>
      <c r="U220" s="15"/>
      <c r="V220" s="15"/>
      <c r="W220" s="15"/>
      <c r="X220" s="15"/>
      <c r="Y220" s="15" t="s">
        <v>218</v>
      </c>
      <c r="Z220" s="15" t="s">
        <v>236</v>
      </c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>
        <v>1.5</v>
      </c>
      <c r="AX220" s="15">
        <v>555.39</v>
      </c>
      <c r="AY220" s="15"/>
      <c r="AZ220" s="15"/>
      <c r="BA220" s="15"/>
      <c r="BB220" s="15"/>
      <c r="BC220" s="15"/>
      <c r="BD220" s="61"/>
      <c r="BE220" s="61"/>
      <c r="BF220" s="15" t="s">
        <v>219</v>
      </c>
      <c r="BG220" s="15"/>
      <c r="BH220" s="15"/>
      <c r="BI220" s="15"/>
      <c r="BJ220" s="15"/>
      <c r="BK220" s="15"/>
      <c r="BL220" s="15"/>
      <c r="BM220" s="15"/>
      <c r="BN220" s="62">
        <v>0</v>
      </c>
      <c r="BO220" s="64"/>
      <c r="BP220" s="15"/>
      <c r="BQ220" s="15"/>
      <c r="BR220" s="15"/>
      <c r="BS220" s="64"/>
      <c r="BT220" s="64"/>
      <c r="BU220" s="64">
        <v>46042</v>
      </c>
      <c r="BV220" s="15"/>
      <c r="BW220" s="64"/>
      <c r="BX220" s="15"/>
      <c r="BY220" s="15"/>
      <c r="BZ220" s="15"/>
      <c r="CA220" s="15"/>
      <c r="CB220" s="15"/>
      <c r="CC220" s="15"/>
      <c r="CD220" s="15"/>
      <c r="CE220" s="15"/>
      <c r="CF220" s="15"/>
      <c r="CG220" s="70"/>
      <c r="CH220" s="70"/>
      <c r="CI220" s="70"/>
      <c r="CJ220" s="70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70"/>
      <c r="DK220" s="70"/>
      <c r="DL220" s="70"/>
      <c r="DM220" s="70"/>
      <c r="DN220" s="70"/>
      <c r="DO220" s="70"/>
      <c r="DP220" s="70"/>
      <c r="DQ220" s="70"/>
      <c r="DR220" s="70"/>
      <c r="DS220" s="70"/>
      <c r="DT220" s="70"/>
      <c r="DU220" s="70"/>
      <c r="DV220" s="70"/>
      <c r="DW220" s="70"/>
      <c r="DX220" s="70"/>
      <c r="DY220" s="70"/>
      <c r="DZ220" s="70"/>
      <c r="EA220" s="70"/>
      <c r="EB220" s="70"/>
      <c r="EC220" s="70"/>
      <c r="ED220" s="70"/>
      <c r="EE220" s="70"/>
      <c r="EF220" s="68"/>
      <c r="EG220" s="68"/>
      <c r="EH220" s="68"/>
      <c r="EI220" s="68"/>
      <c r="EJ220" s="68"/>
      <c r="EK220" s="68"/>
      <c r="EL220" s="68"/>
      <c r="EM220" s="15"/>
      <c r="EN220" s="15"/>
      <c r="EO220" s="15"/>
      <c r="EP220" s="15"/>
      <c r="EQ220" s="65">
        <f t="shared" si="25"/>
        <v>0</v>
      </c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 t="s">
        <v>176</v>
      </c>
      <c r="FF220" s="15"/>
      <c r="FG220" s="15"/>
      <c r="FH220" s="1" t="str">
        <f t="shared" si="23"/>
        <v>710888705002TBC</v>
      </c>
      <c r="FI220" s="1" t="str">
        <f t="shared" si="24"/>
        <v>TBC</v>
      </c>
      <c r="FJ220" s="38"/>
      <c r="FL220" s="13"/>
    </row>
    <row r="221" spans="1:168" ht="21" hidden="1" x14ac:dyDescent="0.25">
      <c r="A221" s="15" t="s">
        <v>140</v>
      </c>
      <c r="B221" s="15">
        <v>999</v>
      </c>
      <c r="C221" s="15" t="s">
        <v>455</v>
      </c>
      <c r="D221" s="15" t="s">
        <v>140</v>
      </c>
      <c r="E221" s="15" t="s">
        <v>140</v>
      </c>
      <c r="F221" s="15" t="s">
        <v>140</v>
      </c>
      <c r="G221" s="15" t="s">
        <v>140</v>
      </c>
      <c r="H221" s="15" t="s">
        <v>458</v>
      </c>
      <c r="I221" s="15" t="s">
        <v>338</v>
      </c>
      <c r="J221" s="15" t="s">
        <v>459</v>
      </c>
      <c r="K221" s="15" t="s">
        <v>185</v>
      </c>
      <c r="L221" s="15" t="s">
        <v>232</v>
      </c>
      <c r="M221" s="15" t="s">
        <v>233</v>
      </c>
      <c r="N221" s="63">
        <v>500</v>
      </c>
      <c r="O221" s="15"/>
      <c r="P221" s="15"/>
      <c r="Q221" s="15" t="s">
        <v>460</v>
      </c>
      <c r="R221" s="15"/>
      <c r="S221" s="15" t="s">
        <v>235</v>
      </c>
      <c r="T221" s="15"/>
      <c r="U221" s="15"/>
      <c r="V221" s="15"/>
      <c r="W221" s="15"/>
      <c r="X221" s="15"/>
      <c r="Y221" s="15" t="s">
        <v>218</v>
      </c>
      <c r="Z221" s="15" t="s">
        <v>236</v>
      </c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>
        <v>1.5</v>
      </c>
      <c r="AX221" s="15">
        <v>765</v>
      </c>
      <c r="AY221" s="15"/>
      <c r="AZ221" s="15"/>
      <c r="BA221" s="15"/>
      <c r="BB221" s="15"/>
      <c r="BC221" s="15"/>
      <c r="BD221" s="61"/>
      <c r="BE221" s="61"/>
      <c r="BF221" s="15" t="s">
        <v>219</v>
      </c>
      <c r="BG221" s="15"/>
      <c r="BH221" s="15"/>
      <c r="BI221" s="15"/>
      <c r="BJ221" s="15"/>
      <c r="BK221" s="15"/>
      <c r="BL221" s="15"/>
      <c r="BM221" s="15"/>
      <c r="BN221" s="62">
        <v>0</v>
      </c>
      <c r="BO221" s="64"/>
      <c r="BP221" s="15"/>
      <c r="BQ221" s="15"/>
      <c r="BR221" s="15"/>
      <c r="BS221" s="64"/>
      <c r="BT221" s="64"/>
      <c r="BU221" s="64">
        <v>46042</v>
      </c>
      <c r="BV221" s="15"/>
      <c r="BW221" s="64"/>
      <c r="BX221" s="15"/>
      <c r="BY221" s="15"/>
      <c r="BZ221" s="15"/>
      <c r="CA221" s="15"/>
      <c r="CB221" s="15"/>
      <c r="CC221" s="15"/>
      <c r="CD221" s="15"/>
      <c r="CE221" s="15"/>
      <c r="CF221" s="15"/>
      <c r="CG221" s="70"/>
      <c r="CH221" s="70"/>
      <c r="CI221" s="70"/>
      <c r="CJ221" s="70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70"/>
      <c r="DK221" s="70"/>
      <c r="DL221" s="70"/>
      <c r="DM221" s="70"/>
      <c r="DN221" s="70"/>
      <c r="DO221" s="70"/>
      <c r="DP221" s="70"/>
      <c r="DQ221" s="70"/>
      <c r="DR221" s="70"/>
      <c r="DS221" s="70"/>
      <c r="DT221" s="70"/>
      <c r="DU221" s="70"/>
      <c r="DV221" s="70"/>
      <c r="DW221" s="70"/>
      <c r="DX221" s="70"/>
      <c r="DY221" s="70"/>
      <c r="DZ221" s="70"/>
      <c r="EA221" s="70"/>
      <c r="EB221" s="70"/>
      <c r="EC221" s="70"/>
      <c r="ED221" s="70"/>
      <c r="EE221" s="70"/>
      <c r="EF221" s="68"/>
      <c r="EG221" s="68"/>
      <c r="EH221" s="68"/>
      <c r="EI221" s="68"/>
      <c r="EJ221" s="68"/>
      <c r="EK221" s="68"/>
      <c r="EL221" s="68"/>
      <c r="EM221" s="15"/>
      <c r="EN221" s="15"/>
      <c r="EO221" s="15"/>
      <c r="EP221" s="15"/>
      <c r="EQ221" s="65">
        <f t="shared" si="25"/>
        <v>0</v>
      </c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 t="s">
        <v>176</v>
      </c>
      <c r="FF221" s="15"/>
      <c r="FG221" s="15"/>
      <c r="FH221" s="1" t="str">
        <f t="shared" si="23"/>
        <v>710733596001TBC</v>
      </c>
      <c r="FI221" s="1" t="str">
        <f t="shared" si="24"/>
        <v>TBC</v>
      </c>
      <c r="FJ221" s="38"/>
      <c r="FL221" s="13"/>
    </row>
    <row r="222" spans="1:168" ht="21" hidden="1" x14ac:dyDescent="0.25">
      <c r="A222" s="15" t="s">
        <v>140</v>
      </c>
      <c r="B222" s="15">
        <v>999</v>
      </c>
      <c r="C222" s="15" t="s">
        <v>455</v>
      </c>
      <c r="D222" s="15" t="s">
        <v>140</v>
      </c>
      <c r="E222" s="15" t="s">
        <v>140</v>
      </c>
      <c r="F222" s="15" t="s">
        <v>140</v>
      </c>
      <c r="G222" s="15" t="s">
        <v>140</v>
      </c>
      <c r="H222" s="15" t="s">
        <v>349</v>
      </c>
      <c r="I222" s="15" t="s">
        <v>350</v>
      </c>
      <c r="J222" s="15" t="s">
        <v>461</v>
      </c>
      <c r="K222" s="15" t="s">
        <v>185</v>
      </c>
      <c r="L222" s="15" t="s">
        <v>247</v>
      </c>
      <c r="M222" s="15" t="s">
        <v>240</v>
      </c>
      <c r="N222" s="63">
        <v>600</v>
      </c>
      <c r="O222" s="15"/>
      <c r="P222" s="15"/>
      <c r="Q222" s="15" t="s">
        <v>351</v>
      </c>
      <c r="R222" s="15"/>
      <c r="S222" s="15" t="s">
        <v>235</v>
      </c>
      <c r="T222" s="15"/>
      <c r="U222" s="15"/>
      <c r="V222" s="15"/>
      <c r="W222" s="15"/>
      <c r="X222" s="15"/>
      <c r="Y222" s="15" t="s">
        <v>218</v>
      </c>
      <c r="Z222" s="15" t="s">
        <v>236</v>
      </c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>
        <v>1.5</v>
      </c>
      <c r="AX222" s="15">
        <v>918</v>
      </c>
      <c r="AY222" s="15"/>
      <c r="AZ222" s="15"/>
      <c r="BA222" s="15"/>
      <c r="BB222" s="15"/>
      <c r="BC222" s="15"/>
      <c r="BD222" s="61"/>
      <c r="BE222" s="61"/>
      <c r="BF222" s="15" t="s">
        <v>219</v>
      </c>
      <c r="BG222" s="15"/>
      <c r="BH222" s="15"/>
      <c r="BI222" s="15"/>
      <c r="BJ222" s="15"/>
      <c r="BK222" s="15"/>
      <c r="BL222" s="15"/>
      <c r="BM222" s="15"/>
      <c r="BN222" s="62">
        <v>0</v>
      </c>
      <c r="BO222" s="64"/>
      <c r="BP222" s="15"/>
      <c r="BQ222" s="15"/>
      <c r="BR222" s="15"/>
      <c r="BS222" s="64"/>
      <c r="BT222" s="64"/>
      <c r="BU222" s="64">
        <v>46042</v>
      </c>
      <c r="BV222" s="15"/>
      <c r="BW222" s="64"/>
      <c r="BX222" s="15"/>
      <c r="BY222" s="15"/>
      <c r="BZ222" s="15"/>
      <c r="CA222" s="15"/>
      <c r="CB222" s="15"/>
      <c r="CC222" s="15"/>
      <c r="CD222" s="15"/>
      <c r="CE222" s="15"/>
      <c r="CF222" s="15"/>
      <c r="CG222" s="70"/>
      <c r="CH222" s="70"/>
      <c r="CI222" s="70"/>
      <c r="CJ222" s="70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70"/>
      <c r="DK222" s="70"/>
      <c r="DL222" s="70"/>
      <c r="DM222" s="70"/>
      <c r="DN222" s="70"/>
      <c r="DO222" s="70"/>
      <c r="DP222" s="70"/>
      <c r="DQ222" s="70"/>
      <c r="DR222" s="70"/>
      <c r="DS222" s="70"/>
      <c r="DT222" s="70"/>
      <c r="DU222" s="70"/>
      <c r="DV222" s="70"/>
      <c r="DW222" s="70"/>
      <c r="DX222" s="70"/>
      <c r="DY222" s="70"/>
      <c r="DZ222" s="70"/>
      <c r="EA222" s="70"/>
      <c r="EB222" s="70"/>
      <c r="EC222" s="70"/>
      <c r="ED222" s="70"/>
      <c r="EE222" s="70"/>
      <c r="EF222" s="68"/>
      <c r="EG222" s="68"/>
      <c r="EH222" s="68"/>
      <c r="EI222" s="68"/>
      <c r="EJ222" s="68"/>
      <c r="EK222" s="68"/>
      <c r="EL222" s="68"/>
      <c r="EM222" s="15"/>
      <c r="EN222" s="15"/>
      <c r="EO222" s="15"/>
      <c r="EP222" s="15"/>
      <c r="EQ222" s="65">
        <f t="shared" si="25"/>
        <v>0</v>
      </c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 t="s">
        <v>176</v>
      </c>
      <c r="FF222" s="15"/>
      <c r="FG222" s="15"/>
      <c r="FH222" s="1" t="str">
        <f t="shared" si="23"/>
        <v>710852165004TBC</v>
      </c>
      <c r="FI222" s="1" t="str">
        <f t="shared" si="24"/>
        <v>TBC</v>
      </c>
      <c r="FJ222" s="38"/>
      <c r="FL222" s="13"/>
    </row>
    <row r="223" spans="1:168" ht="21" hidden="1" x14ac:dyDescent="0.25">
      <c r="A223" s="15" t="s">
        <v>140</v>
      </c>
      <c r="B223" s="15">
        <v>999</v>
      </c>
      <c r="C223" s="15" t="s">
        <v>455</v>
      </c>
      <c r="D223" s="15" t="s">
        <v>140</v>
      </c>
      <c r="E223" s="15" t="s">
        <v>140</v>
      </c>
      <c r="F223" s="15" t="s">
        <v>140</v>
      </c>
      <c r="G223" s="15" t="s">
        <v>140</v>
      </c>
      <c r="H223" s="15" t="s">
        <v>337</v>
      </c>
      <c r="I223" s="15" t="s">
        <v>338</v>
      </c>
      <c r="J223" s="15" t="s">
        <v>462</v>
      </c>
      <c r="K223" s="15" t="s">
        <v>185</v>
      </c>
      <c r="L223" s="15" t="s">
        <v>232</v>
      </c>
      <c r="M223" s="15" t="s">
        <v>251</v>
      </c>
      <c r="N223" s="63">
        <v>700</v>
      </c>
      <c r="O223" s="15"/>
      <c r="P223" s="15"/>
      <c r="Q223" s="15" t="s">
        <v>339</v>
      </c>
      <c r="R223" s="15"/>
      <c r="S223" s="15" t="s">
        <v>235</v>
      </c>
      <c r="T223" s="15"/>
      <c r="U223" s="15"/>
      <c r="V223" s="15"/>
      <c r="W223" s="15"/>
      <c r="X223" s="15"/>
      <c r="Y223" s="15" t="s">
        <v>218</v>
      </c>
      <c r="Z223" s="15" t="s">
        <v>236</v>
      </c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>
        <v>1.5</v>
      </c>
      <c r="AX223" s="15">
        <v>1071</v>
      </c>
      <c r="AY223" s="15"/>
      <c r="AZ223" s="15"/>
      <c r="BA223" s="15"/>
      <c r="BB223" s="15"/>
      <c r="BC223" s="15"/>
      <c r="BD223" s="61"/>
      <c r="BE223" s="61"/>
      <c r="BF223" s="15" t="s">
        <v>219</v>
      </c>
      <c r="BG223" s="15"/>
      <c r="BH223" s="15"/>
      <c r="BI223" s="15"/>
      <c r="BJ223" s="15"/>
      <c r="BK223" s="15"/>
      <c r="BL223" s="15"/>
      <c r="BM223" s="15"/>
      <c r="BN223" s="62">
        <v>0</v>
      </c>
      <c r="BO223" s="64"/>
      <c r="BP223" s="15"/>
      <c r="BQ223" s="15"/>
      <c r="BR223" s="15"/>
      <c r="BS223" s="64"/>
      <c r="BT223" s="64"/>
      <c r="BU223" s="64">
        <v>46042</v>
      </c>
      <c r="BV223" s="15"/>
      <c r="BW223" s="64"/>
      <c r="BX223" s="15"/>
      <c r="BY223" s="15"/>
      <c r="BZ223" s="15"/>
      <c r="CA223" s="15"/>
      <c r="CB223" s="15"/>
      <c r="CC223" s="15"/>
      <c r="CD223" s="15"/>
      <c r="CE223" s="15"/>
      <c r="CF223" s="15"/>
      <c r="CG223" s="70"/>
      <c r="CH223" s="70"/>
      <c r="CI223" s="70"/>
      <c r="CJ223" s="70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70"/>
      <c r="DK223" s="70"/>
      <c r="DL223" s="70"/>
      <c r="DM223" s="70"/>
      <c r="DN223" s="70"/>
      <c r="DO223" s="70"/>
      <c r="DP223" s="70"/>
      <c r="DQ223" s="70"/>
      <c r="DR223" s="70"/>
      <c r="DS223" s="70"/>
      <c r="DT223" s="70"/>
      <c r="DU223" s="70"/>
      <c r="DV223" s="70"/>
      <c r="DW223" s="70"/>
      <c r="DX223" s="70"/>
      <c r="DY223" s="70"/>
      <c r="DZ223" s="70"/>
      <c r="EA223" s="70"/>
      <c r="EB223" s="70"/>
      <c r="EC223" s="70"/>
      <c r="ED223" s="70"/>
      <c r="EE223" s="70"/>
      <c r="EF223" s="68"/>
      <c r="EG223" s="68"/>
      <c r="EH223" s="68"/>
      <c r="EI223" s="68"/>
      <c r="EJ223" s="68"/>
      <c r="EK223" s="68"/>
      <c r="EL223" s="68"/>
      <c r="EM223" s="15"/>
      <c r="EN223" s="15"/>
      <c r="EO223" s="15"/>
      <c r="EP223" s="15"/>
      <c r="EQ223" s="65">
        <f t="shared" si="25"/>
        <v>0</v>
      </c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 t="s">
        <v>176</v>
      </c>
      <c r="FF223" s="15"/>
      <c r="FG223" s="15"/>
      <c r="FH223" s="1" t="str">
        <f t="shared" si="23"/>
        <v>710733596008TBC</v>
      </c>
      <c r="FI223" s="1" t="str">
        <f t="shared" si="24"/>
        <v>TBC</v>
      </c>
      <c r="FJ223" s="38"/>
      <c r="FL223" s="13"/>
    </row>
    <row r="224" spans="1:168" ht="21" hidden="1" x14ac:dyDescent="0.25">
      <c r="A224" s="15" t="s">
        <v>140</v>
      </c>
      <c r="B224" s="15">
        <v>999</v>
      </c>
      <c r="C224" s="15" t="s">
        <v>455</v>
      </c>
      <c r="D224" s="15" t="s">
        <v>140</v>
      </c>
      <c r="E224" s="15" t="s">
        <v>140</v>
      </c>
      <c r="F224" s="15" t="s">
        <v>140</v>
      </c>
      <c r="G224" s="15" t="s">
        <v>140</v>
      </c>
      <c r="H224" s="15" t="s">
        <v>463</v>
      </c>
      <c r="I224" s="15" t="s">
        <v>338</v>
      </c>
      <c r="J224" s="15" t="s">
        <v>462</v>
      </c>
      <c r="K224" s="15" t="s">
        <v>185</v>
      </c>
      <c r="L224" s="15" t="s">
        <v>232</v>
      </c>
      <c r="M224" s="15" t="s">
        <v>187</v>
      </c>
      <c r="N224" s="63">
        <v>1200</v>
      </c>
      <c r="O224" s="15"/>
      <c r="P224" s="15"/>
      <c r="Q224" s="15" t="s">
        <v>464</v>
      </c>
      <c r="R224" s="15"/>
      <c r="S224" s="15" t="s">
        <v>235</v>
      </c>
      <c r="T224" s="15"/>
      <c r="U224" s="15"/>
      <c r="V224" s="15"/>
      <c r="W224" s="15"/>
      <c r="X224" s="15"/>
      <c r="Y224" s="15" t="s">
        <v>218</v>
      </c>
      <c r="Z224" s="15" t="s">
        <v>201</v>
      </c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>
        <v>1.5</v>
      </c>
      <c r="AX224" s="15">
        <v>1836</v>
      </c>
      <c r="AY224" s="15"/>
      <c r="AZ224" s="15"/>
      <c r="BA224" s="15"/>
      <c r="BB224" s="15"/>
      <c r="BC224" s="15"/>
      <c r="BD224" s="61"/>
      <c r="BE224" s="61"/>
      <c r="BF224" s="15" t="s">
        <v>219</v>
      </c>
      <c r="BG224" s="15"/>
      <c r="BH224" s="15"/>
      <c r="BI224" s="15"/>
      <c r="BJ224" s="15"/>
      <c r="BK224" s="15"/>
      <c r="BL224" s="15"/>
      <c r="BM224" s="15"/>
      <c r="BN224" s="62">
        <v>0</v>
      </c>
      <c r="BO224" s="64"/>
      <c r="BP224" s="15"/>
      <c r="BQ224" s="15"/>
      <c r="BR224" s="15"/>
      <c r="BS224" s="64"/>
      <c r="BT224" s="64"/>
      <c r="BU224" s="64">
        <v>46042</v>
      </c>
      <c r="BV224" s="15"/>
      <c r="BW224" s="64"/>
      <c r="BX224" s="15"/>
      <c r="BY224" s="15"/>
      <c r="BZ224" s="15"/>
      <c r="CA224" s="15"/>
      <c r="CB224" s="15"/>
      <c r="CC224" s="15"/>
      <c r="CD224" s="15"/>
      <c r="CE224" s="15"/>
      <c r="CF224" s="15"/>
      <c r="CG224" s="70"/>
      <c r="CH224" s="70"/>
      <c r="CI224" s="70"/>
      <c r="CJ224" s="70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68"/>
      <c r="EG224" s="68"/>
      <c r="EH224" s="68"/>
      <c r="EI224" s="68"/>
      <c r="EJ224" s="68"/>
      <c r="EK224" s="68"/>
      <c r="EL224" s="68"/>
      <c r="EM224" s="15"/>
      <c r="EN224" s="15"/>
      <c r="EO224" s="15"/>
      <c r="EP224" s="15"/>
      <c r="EQ224" s="65">
        <f t="shared" si="25"/>
        <v>0</v>
      </c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 t="s">
        <v>176</v>
      </c>
      <c r="FF224" s="15"/>
      <c r="FG224" s="15"/>
      <c r="FH224" s="1" t="str">
        <f t="shared" si="23"/>
        <v>710733596015TBC</v>
      </c>
      <c r="FI224" s="1" t="str">
        <f t="shared" si="24"/>
        <v>TBC</v>
      </c>
      <c r="FJ224" s="38"/>
      <c r="FL224" s="13"/>
    </row>
    <row r="225" spans="1:168" ht="21" hidden="1" x14ac:dyDescent="0.25">
      <c r="A225" s="15" t="s">
        <v>140</v>
      </c>
      <c r="B225" s="15">
        <v>999</v>
      </c>
      <c r="C225" s="15" t="s">
        <v>455</v>
      </c>
      <c r="D225" s="15" t="s">
        <v>140</v>
      </c>
      <c r="E225" s="15" t="s">
        <v>140</v>
      </c>
      <c r="F225" s="15" t="s">
        <v>140</v>
      </c>
      <c r="G225" s="15" t="s">
        <v>140</v>
      </c>
      <c r="H225" s="15" t="s">
        <v>465</v>
      </c>
      <c r="I225" s="15" t="s">
        <v>350</v>
      </c>
      <c r="J225" s="15" t="s">
        <v>140</v>
      </c>
      <c r="K225" s="15" t="s">
        <v>185</v>
      </c>
      <c r="L225" s="15" t="s">
        <v>232</v>
      </c>
      <c r="M225" s="15" t="s">
        <v>248</v>
      </c>
      <c r="N225" s="63">
        <v>300</v>
      </c>
      <c r="O225" s="15"/>
      <c r="P225" s="15"/>
      <c r="Q225" s="15" t="s">
        <v>466</v>
      </c>
      <c r="R225" s="15"/>
      <c r="S225" s="15" t="s">
        <v>235</v>
      </c>
      <c r="T225" s="15"/>
      <c r="U225" s="15"/>
      <c r="V225" s="15"/>
      <c r="W225" s="15"/>
      <c r="X225" s="15"/>
      <c r="Y225" s="15" t="s">
        <v>218</v>
      </c>
      <c r="Z225" s="15" t="s">
        <v>236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>
        <v>1.5</v>
      </c>
      <c r="AX225" s="15">
        <v>459</v>
      </c>
      <c r="AY225" s="15"/>
      <c r="AZ225" s="15"/>
      <c r="BA225" s="15"/>
      <c r="BB225" s="15"/>
      <c r="BC225" s="15"/>
      <c r="BD225" s="61"/>
      <c r="BE225" s="61"/>
      <c r="BF225" s="15" t="s">
        <v>219</v>
      </c>
      <c r="BG225" s="15"/>
      <c r="BH225" s="15"/>
      <c r="BI225" s="15"/>
      <c r="BJ225" s="15"/>
      <c r="BK225" s="15"/>
      <c r="BL225" s="15"/>
      <c r="BM225" s="15"/>
      <c r="BN225" s="62">
        <v>0</v>
      </c>
      <c r="BO225" s="64"/>
      <c r="BP225" s="15"/>
      <c r="BQ225" s="15"/>
      <c r="BR225" s="15"/>
      <c r="BS225" s="64"/>
      <c r="BT225" s="64"/>
      <c r="BU225" s="64">
        <v>46042</v>
      </c>
      <c r="BV225" s="15"/>
      <c r="BW225" s="64"/>
      <c r="BX225" s="15"/>
      <c r="BY225" s="15"/>
      <c r="BZ225" s="15"/>
      <c r="CA225" s="15"/>
      <c r="CB225" s="15"/>
      <c r="CC225" s="15"/>
      <c r="CD225" s="15"/>
      <c r="CE225" s="15"/>
      <c r="CF225" s="15"/>
      <c r="CG225" s="70"/>
      <c r="CH225" s="70"/>
      <c r="CI225" s="70"/>
      <c r="CJ225" s="70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68"/>
      <c r="EG225" s="68"/>
      <c r="EH225" s="68"/>
      <c r="EI225" s="68"/>
      <c r="EJ225" s="68"/>
      <c r="EK225" s="68"/>
      <c r="EL225" s="68"/>
      <c r="EM225" s="15"/>
      <c r="EN225" s="15"/>
      <c r="EO225" s="15"/>
      <c r="EP225" s="15"/>
      <c r="EQ225" s="65">
        <f t="shared" si="25"/>
        <v>0</v>
      </c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 t="s">
        <v>176</v>
      </c>
      <c r="FF225" s="15"/>
      <c r="FG225" s="15"/>
      <c r="FH225" s="1" t="str">
        <f t="shared" si="23"/>
        <v>710852165017TBC</v>
      </c>
      <c r="FI225" s="1" t="str">
        <f t="shared" si="24"/>
        <v>TBC</v>
      </c>
      <c r="FJ225" s="38"/>
      <c r="FL225" s="13"/>
    </row>
    <row r="226" spans="1:168" ht="21" hidden="1" x14ac:dyDescent="0.25">
      <c r="A226" s="15" t="s">
        <v>140</v>
      </c>
      <c r="B226" s="15">
        <v>999</v>
      </c>
      <c r="C226" s="15" t="s">
        <v>467</v>
      </c>
      <c r="D226" s="15" t="s">
        <v>140</v>
      </c>
      <c r="E226" s="15" t="s">
        <v>140</v>
      </c>
      <c r="F226" s="15"/>
      <c r="G226" s="15"/>
      <c r="H226" s="15" t="s">
        <v>385</v>
      </c>
      <c r="I226" s="15" t="s">
        <v>224</v>
      </c>
      <c r="J226" s="15" t="s">
        <v>297</v>
      </c>
      <c r="K226" s="15"/>
      <c r="L226" s="15" t="s">
        <v>225</v>
      </c>
      <c r="M226" s="15" t="s">
        <v>281</v>
      </c>
      <c r="N226" s="63">
        <v>0</v>
      </c>
      <c r="O226" s="15"/>
      <c r="P226" s="15"/>
      <c r="Q226" s="15" t="s">
        <v>386</v>
      </c>
      <c r="R226" s="15"/>
      <c r="S226" s="15" t="s">
        <v>217</v>
      </c>
      <c r="T226" s="15"/>
      <c r="U226" s="15"/>
      <c r="V226" s="15"/>
      <c r="W226" s="15"/>
      <c r="X226" s="15">
        <v>100146314</v>
      </c>
      <c r="Y226" s="15" t="s">
        <v>190</v>
      </c>
      <c r="Z226" s="15" t="s">
        <v>201</v>
      </c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>
        <v>2.4</v>
      </c>
      <c r="AX226" s="15">
        <v>0</v>
      </c>
      <c r="AY226" s="15"/>
      <c r="AZ226" s="15"/>
      <c r="BA226" s="15"/>
      <c r="BB226" s="15"/>
      <c r="BC226" s="15"/>
      <c r="BD226" s="61"/>
      <c r="BE226" s="61"/>
      <c r="BF226" s="15" t="s">
        <v>219</v>
      </c>
      <c r="BG226" s="15"/>
      <c r="BH226" s="15"/>
      <c r="BI226" s="15"/>
      <c r="BJ226" s="15"/>
      <c r="BK226" s="15"/>
      <c r="BL226" s="15"/>
      <c r="BM226" s="15"/>
      <c r="BN226" s="62">
        <v>0</v>
      </c>
      <c r="BO226" s="64"/>
      <c r="BP226" s="15"/>
      <c r="BQ226" s="15"/>
      <c r="BR226" s="15"/>
      <c r="BS226" s="64"/>
      <c r="BT226" s="64"/>
      <c r="BU226" s="64">
        <v>46127</v>
      </c>
      <c r="BV226" s="15"/>
      <c r="BW226" s="64"/>
      <c r="BX226" s="64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68"/>
      <c r="EG226" s="68"/>
      <c r="EH226" s="68"/>
      <c r="EI226" s="68"/>
      <c r="EJ226" s="68"/>
      <c r="EK226" s="68"/>
      <c r="EL226" s="68"/>
      <c r="EM226" s="15"/>
      <c r="EN226" s="15"/>
      <c r="EO226" s="15"/>
      <c r="EP226" s="15"/>
      <c r="EQ226" s="65">
        <f t="shared" ref="EQ226:EQ280" si="26">SUM(BX226:EP226)</f>
        <v>0</v>
      </c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" t="str">
        <f t="shared" si="23"/>
        <v>711548535001TBC</v>
      </c>
      <c r="FI226" s="1" t="str">
        <f t="shared" si="24"/>
        <v>TBC</v>
      </c>
      <c r="FJ226" s="38"/>
      <c r="FL226" s="13"/>
    </row>
    <row r="227" spans="1:168" ht="21" hidden="1" x14ac:dyDescent="0.25">
      <c r="A227" s="15" t="s">
        <v>140</v>
      </c>
      <c r="B227" s="15">
        <v>999</v>
      </c>
      <c r="C227" s="15" t="s">
        <v>467</v>
      </c>
      <c r="D227" s="15" t="s">
        <v>140</v>
      </c>
      <c r="E227" s="15" t="s">
        <v>140</v>
      </c>
      <c r="F227" s="15"/>
      <c r="G227" s="15"/>
      <c r="H227" s="15" t="s">
        <v>408</v>
      </c>
      <c r="I227" s="15" t="s">
        <v>224</v>
      </c>
      <c r="J227" s="15" t="s">
        <v>297</v>
      </c>
      <c r="K227" s="15"/>
      <c r="L227" s="15" t="s">
        <v>225</v>
      </c>
      <c r="M227" s="15" t="s">
        <v>215</v>
      </c>
      <c r="N227" s="63">
        <v>0</v>
      </c>
      <c r="O227" s="15"/>
      <c r="P227" s="15"/>
      <c r="Q227" s="15" t="s">
        <v>409</v>
      </c>
      <c r="R227" s="15"/>
      <c r="S227" s="15" t="s">
        <v>217</v>
      </c>
      <c r="T227" s="15"/>
      <c r="U227" s="15"/>
      <c r="V227" s="15"/>
      <c r="W227" s="15"/>
      <c r="X227" s="15">
        <v>100146314</v>
      </c>
      <c r="Y227" s="15" t="s">
        <v>190</v>
      </c>
      <c r="Z227" s="15" t="s">
        <v>201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>
        <v>2.12</v>
      </c>
      <c r="AX227" s="15">
        <v>0</v>
      </c>
      <c r="AY227" s="15"/>
      <c r="AZ227" s="15"/>
      <c r="BA227" s="15"/>
      <c r="BB227" s="15"/>
      <c r="BC227" s="15"/>
      <c r="BD227" s="61"/>
      <c r="BE227" s="61"/>
      <c r="BF227" s="15" t="s">
        <v>219</v>
      </c>
      <c r="BG227" s="15"/>
      <c r="BH227" s="15"/>
      <c r="BI227" s="15"/>
      <c r="BJ227" s="15"/>
      <c r="BK227" s="15"/>
      <c r="BL227" s="15"/>
      <c r="BM227" s="15"/>
      <c r="BN227" s="62">
        <v>0</v>
      </c>
      <c r="BO227" s="64"/>
      <c r="BP227" s="15"/>
      <c r="BQ227" s="15"/>
      <c r="BR227" s="15"/>
      <c r="BS227" s="64"/>
      <c r="BT227" s="64"/>
      <c r="BU227" s="64">
        <v>46127</v>
      </c>
      <c r="BV227" s="15"/>
      <c r="BW227" s="64"/>
      <c r="BX227" s="64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68"/>
      <c r="EG227" s="68"/>
      <c r="EH227" s="68"/>
      <c r="EI227" s="68"/>
      <c r="EJ227" s="68"/>
      <c r="EK227" s="68"/>
      <c r="EL227" s="68"/>
      <c r="EM227" s="15"/>
      <c r="EN227" s="15"/>
      <c r="EO227" s="15"/>
      <c r="EP227" s="15"/>
      <c r="EQ227" s="65">
        <f t="shared" si="26"/>
        <v>0</v>
      </c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" t="str">
        <f t="shared" si="23"/>
        <v>711548535002TBC</v>
      </c>
      <c r="FI227" s="1" t="str">
        <f t="shared" si="24"/>
        <v>TBC</v>
      </c>
      <c r="FJ227" s="38"/>
      <c r="FL227" s="13"/>
    </row>
    <row r="228" spans="1:168" ht="21" hidden="1" x14ac:dyDescent="0.25">
      <c r="A228" s="15" t="s">
        <v>140</v>
      </c>
      <c r="B228" s="15">
        <v>999</v>
      </c>
      <c r="C228" s="15" t="s">
        <v>467</v>
      </c>
      <c r="D228" s="15" t="s">
        <v>140</v>
      </c>
      <c r="E228" s="15" t="s">
        <v>140</v>
      </c>
      <c r="F228" s="15"/>
      <c r="G228" s="15"/>
      <c r="H228" s="15" t="s">
        <v>223</v>
      </c>
      <c r="I228" s="15" t="s">
        <v>224</v>
      </c>
      <c r="J228" s="15" t="s">
        <v>297</v>
      </c>
      <c r="K228" s="15"/>
      <c r="L228" s="15" t="s">
        <v>225</v>
      </c>
      <c r="M228" s="15" t="s">
        <v>221</v>
      </c>
      <c r="N228" s="63">
        <v>0</v>
      </c>
      <c r="O228" s="15"/>
      <c r="P228" s="15"/>
      <c r="Q228" s="15" t="s">
        <v>226</v>
      </c>
      <c r="R228" s="15"/>
      <c r="S228" s="15" t="s">
        <v>217</v>
      </c>
      <c r="T228" s="15"/>
      <c r="U228" s="15"/>
      <c r="V228" s="15"/>
      <c r="W228" s="15"/>
      <c r="X228" s="15">
        <v>100146314</v>
      </c>
      <c r="Y228" s="15" t="s">
        <v>190</v>
      </c>
      <c r="Z228" s="15" t="s">
        <v>201</v>
      </c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>
        <v>2.2599999999999998</v>
      </c>
      <c r="AX228" s="15">
        <v>0</v>
      </c>
      <c r="AY228" s="15"/>
      <c r="AZ228" s="15"/>
      <c r="BA228" s="15"/>
      <c r="BB228" s="15"/>
      <c r="BC228" s="15"/>
      <c r="BD228" s="61"/>
      <c r="BE228" s="61"/>
      <c r="BF228" s="15" t="s">
        <v>219</v>
      </c>
      <c r="BG228" s="15"/>
      <c r="BH228" s="15"/>
      <c r="BI228" s="15"/>
      <c r="BJ228" s="15"/>
      <c r="BK228" s="15"/>
      <c r="BL228" s="15"/>
      <c r="BM228" s="15"/>
      <c r="BN228" s="62">
        <v>0</v>
      </c>
      <c r="BO228" s="64"/>
      <c r="BP228" s="15"/>
      <c r="BQ228" s="15"/>
      <c r="BR228" s="15"/>
      <c r="BS228" s="64"/>
      <c r="BT228" s="64"/>
      <c r="BU228" s="64">
        <v>46127</v>
      </c>
      <c r="BV228" s="15"/>
      <c r="BW228" s="64"/>
      <c r="BX228" s="64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68"/>
      <c r="EG228" s="68"/>
      <c r="EH228" s="68"/>
      <c r="EI228" s="68"/>
      <c r="EJ228" s="68"/>
      <c r="EK228" s="68"/>
      <c r="EL228" s="68"/>
      <c r="EM228" s="15"/>
      <c r="EN228" s="15"/>
      <c r="EO228" s="15"/>
      <c r="EP228" s="15"/>
      <c r="EQ228" s="65">
        <f t="shared" si="26"/>
        <v>0</v>
      </c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" t="str">
        <f t="shared" si="23"/>
        <v>711548535005TBC</v>
      </c>
      <c r="FI228" s="1" t="str">
        <f t="shared" si="24"/>
        <v>TBC</v>
      </c>
      <c r="FJ228" s="38"/>
      <c r="FL228" s="13"/>
    </row>
    <row r="229" spans="1:168" ht="21" hidden="1" x14ac:dyDescent="0.25">
      <c r="A229" s="15" t="s">
        <v>140</v>
      </c>
      <c r="B229" s="15">
        <v>999</v>
      </c>
      <c r="C229" s="15" t="s">
        <v>467</v>
      </c>
      <c r="D229" s="15" t="s">
        <v>140</v>
      </c>
      <c r="E229" s="15" t="s">
        <v>140</v>
      </c>
      <c r="F229" s="15"/>
      <c r="G229" s="15"/>
      <c r="H229" s="15" t="s">
        <v>296</v>
      </c>
      <c r="I229" s="15" t="s">
        <v>224</v>
      </c>
      <c r="J229" s="15" t="s">
        <v>297</v>
      </c>
      <c r="K229" s="15"/>
      <c r="L229" s="15" t="s">
        <v>225</v>
      </c>
      <c r="M229" s="15" t="s">
        <v>268</v>
      </c>
      <c r="N229" s="63">
        <v>362</v>
      </c>
      <c r="O229" s="15"/>
      <c r="P229" s="15"/>
      <c r="Q229" s="15" t="s">
        <v>298</v>
      </c>
      <c r="R229" s="15"/>
      <c r="S229" s="15" t="s">
        <v>217</v>
      </c>
      <c r="T229" s="15"/>
      <c r="U229" s="15"/>
      <c r="V229" s="15"/>
      <c r="W229" s="15"/>
      <c r="X229" s="15">
        <v>100146314</v>
      </c>
      <c r="Y229" s="15" t="s">
        <v>190</v>
      </c>
      <c r="Z229" s="15" t="s">
        <v>201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>
        <v>2.12</v>
      </c>
      <c r="AX229" s="15">
        <v>856.065659568</v>
      </c>
      <c r="AY229" s="15"/>
      <c r="AZ229" s="15"/>
      <c r="BA229" s="15"/>
      <c r="BB229" s="15"/>
      <c r="BC229" s="15"/>
      <c r="BD229" s="61"/>
      <c r="BE229" s="61"/>
      <c r="BF229" s="15" t="s">
        <v>219</v>
      </c>
      <c r="BG229" s="15"/>
      <c r="BH229" s="15"/>
      <c r="BI229" s="15"/>
      <c r="BJ229" s="15"/>
      <c r="BK229" s="15"/>
      <c r="BL229" s="15"/>
      <c r="BM229" s="15"/>
      <c r="BN229" s="62">
        <v>0</v>
      </c>
      <c r="BO229" s="64"/>
      <c r="BP229" s="15"/>
      <c r="BQ229" s="15"/>
      <c r="BR229" s="15"/>
      <c r="BS229" s="64"/>
      <c r="BT229" s="64"/>
      <c r="BU229" s="64">
        <v>46127</v>
      </c>
      <c r="BV229" s="15"/>
      <c r="BW229" s="64"/>
      <c r="BX229" s="64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68"/>
      <c r="EG229" s="68"/>
      <c r="EH229" s="68"/>
      <c r="EI229" s="68"/>
      <c r="EJ229" s="68"/>
      <c r="EK229" s="68"/>
      <c r="EL229" s="68"/>
      <c r="EM229" s="15"/>
      <c r="EN229" s="15"/>
      <c r="EO229" s="15"/>
      <c r="EP229" s="15"/>
      <c r="EQ229" s="65">
        <f t="shared" si="26"/>
        <v>0</v>
      </c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" t="str">
        <f t="shared" si="23"/>
        <v>711548535006TBC</v>
      </c>
      <c r="FI229" s="1" t="str">
        <f t="shared" si="24"/>
        <v>TBC</v>
      </c>
      <c r="FJ229" s="38"/>
      <c r="FL229" s="13"/>
    </row>
    <row r="230" spans="1:168" ht="21" hidden="1" x14ac:dyDescent="0.25">
      <c r="A230" s="15" t="s">
        <v>140</v>
      </c>
      <c r="B230" s="15">
        <v>999</v>
      </c>
      <c r="C230" s="15" t="s">
        <v>467</v>
      </c>
      <c r="D230" s="15" t="s">
        <v>140</v>
      </c>
      <c r="E230" s="15" t="s">
        <v>140</v>
      </c>
      <c r="F230" s="15"/>
      <c r="G230" s="15"/>
      <c r="H230" s="15" t="s">
        <v>299</v>
      </c>
      <c r="I230" s="15" t="s">
        <v>224</v>
      </c>
      <c r="J230" s="15" t="s">
        <v>297</v>
      </c>
      <c r="K230" s="15"/>
      <c r="L230" s="15" t="s">
        <v>225</v>
      </c>
      <c r="M230" s="15" t="s">
        <v>272</v>
      </c>
      <c r="N230" s="63">
        <v>0</v>
      </c>
      <c r="O230" s="15"/>
      <c r="P230" s="15"/>
      <c r="Q230" s="15" t="s">
        <v>300</v>
      </c>
      <c r="R230" s="15"/>
      <c r="S230" s="15" t="s">
        <v>217</v>
      </c>
      <c r="T230" s="15"/>
      <c r="U230" s="15"/>
      <c r="V230" s="15"/>
      <c r="W230" s="15"/>
      <c r="X230" s="15">
        <v>100146314</v>
      </c>
      <c r="Y230" s="15" t="s">
        <v>190</v>
      </c>
      <c r="Z230" s="15" t="s">
        <v>201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>
        <v>2.12</v>
      </c>
      <c r="AX230" s="15">
        <v>0</v>
      </c>
      <c r="AY230" s="15"/>
      <c r="AZ230" s="15"/>
      <c r="BA230" s="15"/>
      <c r="BB230" s="15"/>
      <c r="BC230" s="15"/>
      <c r="BD230" s="61"/>
      <c r="BE230" s="61"/>
      <c r="BF230" s="15" t="s">
        <v>219</v>
      </c>
      <c r="BG230" s="15"/>
      <c r="BH230" s="15"/>
      <c r="BI230" s="15"/>
      <c r="BJ230" s="15"/>
      <c r="BK230" s="15"/>
      <c r="BL230" s="15"/>
      <c r="BM230" s="15"/>
      <c r="BN230" s="62">
        <v>0</v>
      </c>
      <c r="BO230" s="64"/>
      <c r="BP230" s="15"/>
      <c r="BQ230" s="15"/>
      <c r="BR230" s="15"/>
      <c r="BS230" s="64"/>
      <c r="BT230" s="64"/>
      <c r="BU230" s="64">
        <v>46127</v>
      </c>
      <c r="BV230" s="15"/>
      <c r="BW230" s="64"/>
      <c r="BX230" s="64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68"/>
      <c r="EG230" s="68"/>
      <c r="EH230" s="68"/>
      <c r="EI230" s="68"/>
      <c r="EJ230" s="68"/>
      <c r="EK230" s="68"/>
      <c r="EL230" s="68"/>
      <c r="EM230" s="15"/>
      <c r="EN230" s="15"/>
      <c r="EO230" s="15"/>
      <c r="EP230" s="15"/>
      <c r="EQ230" s="65">
        <f t="shared" si="26"/>
        <v>0</v>
      </c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" t="str">
        <f t="shared" ref="FH230:FH286" si="27">H230&amp;D230</f>
        <v>711548535007TBC</v>
      </c>
      <c r="FI230" s="1" t="str">
        <f t="shared" ref="FI230:FI286" si="28">A230</f>
        <v>TBC</v>
      </c>
      <c r="FJ230" s="38"/>
      <c r="FL230" s="13"/>
    </row>
    <row r="231" spans="1:168" ht="21" hidden="1" x14ac:dyDescent="0.25">
      <c r="A231" s="15" t="s">
        <v>140</v>
      </c>
      <c r="B231" s="15">
        <v>999</v>
      </c>
      <c r="C231" s="15" t="s">
        <v>467</v>
      </c>
      <c r="D231" s="15" t="s">
        <v>140</v>
      </c>
      <c r="E231" s="15" t="s">
        <v>140</v>
      </c>
      <c r="F231" s="15"/>
      <c r="G231" s="15"/>
      <c r="H231" s="15" t="s">
        <v>267</v>
      </c>
      <c r="I231" s="15" t="s">
        <v>212</v>
      </c>
      <c r="J231" s="15" t="s">
        <v>213</v>
      </c>
      <c r="K231" s="15"/>
      <c r="L231" s="15" t="s">
        <v>214</v>
      </c>
      <c r="M231" s="15" t="s">
        <v>268</v>
      </c>
      <c r="N231" s="63">
        <v>505</v>
      </c>
      <c r="O231" s="15"/>
      <c r="P231" s="15"/>
      <c r="Q231" s="15" t="s">
        <v>269</v>
      </c>
      <c r="R231" s="15"/>
      <c r="S231" s="15" t="s">
        <v>217</v>
      </c>
      <c r="T231" s="15"/>
      <c r="U231" s="15"/>
      <c r="V231" s="15"/>
      <c r="W231" s="15"/>
      <c r="X231" s="15">
        <v>100146314</v>
      </c>
      <c r="Y231" s="15" t="s">
        <v>190</v>
      </c>
      <c r="Z231" s="15" t="s">
        <v>201</v>
      </c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>
        <v>1.55</v>
      </c>
      <c r="AX231" s="15">
        <v>873.14369205000003</v>
      </c>
      <c r="AY231" s="15"/>
      <c r="AZ231" s="15"/>
      <c r="BA231" s="15"/>
      <c r="BB231" s="15"/>
      <c r="BC231" s="15"/>
      <c r="BD231" s="61"/>
      <c r="BE231" s="61"/>
      <c r="BF231" s="15" t="s">
        <v>219</v>
      </c>
      <c r="BG231" s="15"/>
      <c r="BH231" s="15"/>
      <c r="BI231" s="15"/>
      <c r="BJ231" s="15"/>
      <c r="BK231" s="15"/>
      <c r="BL231" s="15"/>
      <c r="BM231" s="15"/>
      <c r="BN231" s="62">
        <v>0</v>
      </c>
      <c r="BO231" s="64"/>
      <c r="BP231" s="15"/>
      <c r="BQ231" s="15"/>
      <c r="BR231" s="15"/>
      <c r="BS231" s="64"/>
      <c r="BT231" s="64"/>
      <c r="BU231" s="64">
        <v>46127</v>
      </c>
      <c r="BV231" s="15"/>
      <c r="BW231" s="64"/>
      <c r="BX231" s="64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68"/>
      <c r="EG231" s="68"/>
      <c r="EH231" s="68"/>
      <c r="EI231" s="68"/>
      <c r="EJ231" s="68"/>
      <c r="EK231" s="68"/>
      <c r="EL231" s="68"/>
      <c r="EM231" s="15"/>
      <c r="EN231" s="15"/>
      <c r="EO231" s="15"/>
      <c r="EP231" s="15"/>
      <c r="EQ231" s="65">
        <f t="shared" si="26"/>
        <v>0</v>
      </c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" t="str">
        <f t="shared" si="27"/>
        <v>710548535001TBC</v>
      </c>
      <c r="FI231" s="1" t="str">
        <f t="shared" si="28"/>
        <v>TBC</v>
      </c>
      <c r="FJ231" s="38"/>
      <c r="FL231" s="13"/>
    </row>
    <row r="232" spans="1:168" ht="21" hidden="1" x14ac:dyDescent="0.25">
      <c r="A232" s="15" t="s">
        <v>140</v>
      </c>
      <c r="B232" s="15">
        <v>999</v>
      </c>
      <c r="C232" s="15" t="s">
        <v>467</v>
      </c>
      <c r="D232" s="15" t="s">
        <v>140</v>
      </c>
      <c r="E232" s="15" t="s">
        <v>140</v>
      </c>
      <c r="F232" s="15"/>
      <c r="G232" s="15"/>
      <c r="H232" s="15" t="s">
        <v>271</v>
      </c>
      <c r="I232" s="15" t="s">
        <v>212</v>
      </c>
      <c r="J232" s="15" t="s">
        <v>213</v>
      </c>
      <c r="K232" s="15"/>
      <c r="L232" s="15" t="s">
        <v>214</v>
      </c>
      <c r="M232" s="15" t="s">
        <v>272</v>
      </c>
      <c r="N232" s="63">
        <v>1619</v>
      </c>
      <c r="O232" s="15"/>
      <c r="P232" s="15"/>
      <c r="Q232" s="15" t="s">
        <v>273</v>
      </c>
      <c r="R232" s="15"/>
      <c r="S232" s="15" t="s">
        <v>217</v>
      </c>
      <c r="T232" s="15"/>
      <c r="U232" s="15"/>
      <c r="V232" s="15"/>
      <c r="W232" s="15"/>
      <c r="X232" s="15">
        <v>100146314</v>
      </c>
      <c r="Y232" s="15" t="s">
        <v>190</v>
      </c>
      <c r="Z232" s="15" t="s">
        <v>201</v>
      </c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>
        <v>1.55</v>
      </c>
      <c r="AX232" s="15">
        <v>2799.2468067900004</v>
      </c>
      <c r="AY232" s="15"/>
      <c r="AZ232" s="15"/>
      <c r="BA232" s="15"/>
      <c r="BB232" s="15"/>
      <c r="BC232" s="15"/>
      <c r="BD232" s="61"/>
      <c r="BE232" s="61"/>
      <c r="BF232" s="15" t="s">
        <v>219</v>
      </c>
      <c r="BG232" s="15"/>
      <c r="BH232" s="15"/>
      <c r="BI232" s="15"/>
      <c r="BJ232" s="15"/>
      <c r="BK232" s="15"/>
      <c r="BL232" s="15"/>
      <c r="BM232" s="15"/>
      <c r="BN232" s="62">
        <v>0</v>
      </c>
      <c r="BO232" s="64"/>
      <c r="BP232" s="15"/>
      <c r="BQ232" s="15"/>
      <c r="BR232" s="15"/>
      <c r="BS232" s="64"/>
      <c r="BT232" s="64"/>
      <c r="BU232" s="64">
        <v>46127</v>
      </c>
      <c r="BV232" s="15"/>
      <c r="BW232" s="64"/>
      <c r="BX232" s="64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68"/>
      <c r="EG232" s="68"/>
      <c r="EH232" s="68"/>
      <c r="EI232" s="68"/>
      <c r="EJ232" s="68"/>
      <c r="EK232" s="68"/>
      <c r="EL232" s="68"/>
      <c r="EM232" s="15"/>
      <c r="EN232" s="15"/>
      <c r="EO232" s="15"/>
      <c r="EP232" s="15"/>
      <c r="EQ232" s="65">
        <f t="shared" si="26"/>
        <v>0</v>
      </c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" t="str">
        <f t="shared" si="27"/>
        <v>710548535002TBC</v>
      </c>
      <c r="FI232" s="1" t="str">
        <f t="shared" si="28"/>
        <v>TBC</v>
      </c>
      <c r="FJ232" s="38"/>
      <c r="FL232" s="13"/>
    </row>
    <row r="233" spans="1:168" ht="21" hidden="1" x14ac:dyDescent="0.25">
      <c r="A233" s="15" t="s">
        <v>140</v>
      </c>
      <c r="B233" s="15">
        <v>999</v>
      </c>
      <c r="C233" s="15" t="s">
        <v>467</v>
      </c>
      <c r="D233" s="15" t="s">
        <v>140</v>
      </c>
      <c r="E233" s="15" t="s">
        <v>140</v>
      </c>
      <c r="F233" s="15"/>
      <c r="G233" s="15"/>
      <c r="H233" s="15" t="s">
        <v>211</v>
      </c>
      <c r="I233" s="15" t="s">
        <v>212</v>
      </c>
      <c r="J233" s="15" t="s">
        <v>213</v>
      </c>
      <c r="K233" s="15"/>
      <c r="L233" s="15" t="s">
        <v>214</v>
      </c>
      <c r="M233" s="15" t="s">
        <v>215</v>
      </c>
      <c r="N233" s="63">
        <v>0</v>
      </c>
      <c r="O233" s="15"/>
      <c r="P233" s="15"/>
      <c r="Q233" s="15" t="s">
        <v>216</v>
      </c>
      <c r="R233" s="15"/>
      <c r="S233" s="15" t="s">
        <v>217</v>
      </c>
      <c r="T233" s="15"/>
      <c r="U233" s="15"/>
      <c r="V233" s="15"/>
      <c r="W233" s="15"/>
      <c r="X233" s="15">
        <v>100146314</v>
      </c>
      <c r="Y233" s="15" t="s">
        <v>190</v>
      </c>
      <c r="Z233" s="15" t="s">
        <v>201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>
        <v>1.55</v>
      </c>
      <c r="AX233" s="15">
        <v>0</v>
      </c>
      <c r="AY233" s="15"/>
      <c r="AZ233" s="15"/>
      <c r="BA233" s="15"/>
      <c r="BB233" s="15"/>
      <c r="BC233" s="15"/>
      <c r="BD233" s="61"/>
      <c r="BE233" s="61"/>
      <c r="BF233" s="15" t="s">
        <v>219</v>
      </c>
      <c r="BG233" s="15"/>
      <c r="BH233" s="15"/>
      <c r="BI233" s="15"/>
      <c r="BJ233" s="15"/>
      <c r="BK233" s="15"/>
      <c r="BL233" s="15"/>
      <c r="BM233" s="15"/>
      <c r="BN233" s="62">
        <v>0</v>
      </c>
      <c r="BO233" s="64"/>
      <c r="BP233" s="15"/>
      <c r="BQ233" s="15"/>
      <c r="BR233" s="15"/>
      <c r="BS233" s="64"/>
      <c r="BT233" s="64"/>
      <c r="BU233" s="64">
        <v>46127</v>
      </c>
      <c r="BV233" s="15"/>
      <c r="BW233" s="64"/>
      <c r="BX233" s="64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70"/>
      <c r="DK233" s="70"/>
      <c r="DL233" s="70"/>
      <c r="DM233" s="70"/>
      <c r="DN233" s="70"/>
      <c r="DO233" s="70"/>
      <c r="DP233" s="70"/>
      <c r="DQ233" s="70"/>
      <c r="DR233" s="70"/>
      <c r="DS233" s="70"/>
      <c r="DT233" s="70"/>
      <c r="DU233" s="70"/>
      <c r="DV233" s="70"/>
      <c r="DW233" s="70"/>
      <c r="DX233" s="70"/>
      <c r="DY233" s="70"/>
      <c r="DZ233" s="70"/>
      <c r="EA233" s="70"/>
      <c r="EB233" s="70"/>
      <c r="EC233" s="70"/>
      <c r="ED233" s="70"/>
      <c r="EE233" s="70"/>
      <c r="EF233" s="68"/>
      <c r="EG233" s="68"/>
      <c r="EH233" s="68"/>
      <c r="EI233" s="68"/>
      <c r="EJ233" s="68"/>
      <c r="EK233" s="68"/>
      <c r="EL233" s="68"/>
      <c r="EM233" s="15"/>
      <c r="EN233" s="15"/>
      <c r="EO233" s="15"/>
      <c r="EP233" s="15"/>
      <c r="EQ233" s="65">
        <f t="shared" si="26"/>
        <v>0</v>
      </c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" t="str">
        <f t="shared" si="27"/>
        <v>710548535003TBC</v>
      </c>
      <c r="FI233" s="1" t="str">
        <f t="shared" si="28"/>
        <v>TBC</v>
      </c>
      <c r="FJ233" s="38"/>
      <c r="FL233" s="13"/>
    </row>
    <row r="234" spans="1:168" ht="21" hidden="1" x14ac:dyDescent="0.25">
      <c r="A234" s="15" t="s">
        <v>140</v>
      </c>
      <c r="B234" s="15">
        <v>999</v>
      </c>
      <c r="C234" s="15" t="s">
        <v>467</v>
      </c>
      <c r="D234" s="15" t="s">
        <v>140</v>
      </c>
      <c r="E234" s="15" t="s">
        <v>140</v>
      </c>
      <c r="F234" s="15"/>
      <c r="G234" s="15"/>
      <c r="H234" s="15" t="s">
        <v>274</v>
      </c>
      <c r="I234" s="15" t="s">
        <v>212</v>
      </c>
      <c r="J234" s="15" t="s">
        <v>213</v>
      </c>
      <c r="K234" s="15"/>
      <c r="L234" s="15" t="s">
        <v>214</v>
      </c>
      <c r="M234" s="15" t="s">
        <v>275</v>
      </c>
      <c r="N234" s="63">
        <v>0</v>
      </c>
      <c r="O234" s="15"/>
      <c r="P234" s="15"/>
      <c r="Q234" s="15" t="s">
        <v>276</v>
      </c>
      <c r="R234" s="15"/>
      <c r="S234" s="15" t="s">
        <v>217</v>
      </c>
      <c r="T234" s="15"/>
      <c r="U234" s="15"/>
      <c r="V234" s="15"/>
      <c r="W234" s="15"/>
      <c r="X234" s="15">
        <v>100146314</v>
      </c>
      <c r="Y234" s="15" t="s">
        <v>190</v>
      </c>
      <c r="Z234" s="15" t="s">
        <v>201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>
        <v>1.55</v>
      </c>
      <c r="AX234" s="15">
        <v>0</v>
      </c>
      <c r="AY234" s="15"/>
      <c r="AZ234" s="15"/>
      <c r="BA234" s="15"/>
      <c r="BB234" s="15"/>
      <c r="BC234" s="15"/>
      <c r="BD234" s="61"/>
      <c r="BE234" s="61"/>
      <c r="BF234" s="15" t="s">
        <v>219</v>
      </c>
      <c r="BG234" s="15"/>
      <c r="BH234" s="15"/>
      <c r="BI234" s="15"/>
      <c r="BJ234" s="15"/>
      <c r="BK234" s="15"/>
      <c r="BL234" s="15"/>
      <c r="BM234" s="15"/>
      <c r="BN234" s="62">
        <v>0</v>
      </c>
      <c r="BO234" s="64"/>
      <c r="BP234" s="15"/>
      <c r="BQ234" s="15"/>
      <c r="BR234" s="15"/>
      <c r="BS234" s="64"/>
      <c r="BT234" s="64"/>
      <c r="BU234" s="64">
        <v>46127</v>
      </c>
      <c r="BV234" s="15"/>
      <c r="BW234" s="64"/>
      <c r="BX234" s="64"/>
      <c r="BY234" s="70"/>
      <c r="BZ234" s="70"/>
      <c r="CA234" s="70"/>
      <c r="CB234" s="70"/>
      <c r="CC234" s="70"/>
      <c r="CD234" s="70"/>
      <c r="CE234" s="70"/>
      <c r="CF234" s="70"/>
      <c r="CG234" s="70"/>
      <c r="CH234" s="70"/>
      <c r="CI234" s="70"/>
      <c r="CJ234" s="70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70"/>
      <c r="DK234" s="70"/>
      <c r="DL234" s="70"/>
      <c r="DM234" s="70"/>
      <c r="DN234" s="70"/>
      <c r="DO234" s="70"/>
      <c r="DP234" s="70"/>
      <c r="DQ234" s="70"/>
      <c r="DR234" s="70"/>
      <c r="DS234" s="70"/>
      <c r="DT234" s="70"/>
      <c r="DU234" s="70"/>
      <c r="DV234" s="70"/>
      <c r="DW234" s="70"/>
      <c r="DX234" s="70"/>
      <c r="DY234" s="70"/>
      <c r="DZ234" s="70"/>
      <c r="EA234" s="70"/>
      <c r="EB234" s="70"/>
      <c r="EC234" s="70"/>
      <c r="ED234" s="70"/>
      <c r="EE234" s="70"/>
      <c r="EF234" s="68"/>
      <c r="EG234" s="68"/>
      <c r="EH234" s="68"/>
      <c r="EI234" s="68"/>
      <c r="EJ234" s="68"/>
      <c r="EK234" s="68"/>
      <c r="EL234" s="68"/>
      <c r="EM234" s="15"/>
      <c r="EN234" s="15"/>
      <c r="EO234" s="15"/>
      <c r="EP234" s="15"/>
      <c r="EQ234" s="65">
        <f t="shared" si="26"/>
        <v>0</v>
      </c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" t="str">
        <f t="shared" si="27"/>
        <v>710548535004TBC</v>
      </c>
      <c r="FI234" s="1" t="str">
        <f t="shared" si="28"/>
        <v>TBC</v>
      </c>
      <c r="FJ234" s="38"/>
      <c r="FL234" s="13"/>
    </row>
    <row r="235" spans="1:168" ht="21" hidden="1" x14ac:dyDescent="0.25">
      <c r="A235" s="15" t="s">
        <v>140</v>
      </c>
      <c r="B235" s="15">
        <v>999</v>
      </c>
      <c r="C235" s="15" t="s">
        <v>467</v>
      </c>
      <c r="D235" s="15" t="s">
        <v>140</v>
      </c>
      <c r="E235" s="15" t="s">
        <v>140</v>
      </c>
      <c r="F235" s="15"/>
      <c r="G235" s="15"/>
      <c r="H235" s="15" t="s">
        <v>277</v>
      </c>
      <c r="I235" s="15" t="s">
        <v>212</v>
      </c>
      <c r="J235" s="15" t="s">
        <v>213</v>
      </c>
      <c r="K235" s="15"/>
      <c r="L235" s="15" t="s">
        <v>214</v>
      </c>
      <c r="M235" s="15" t="s">
        <v>278</v>
      </c>
      <c r="N235" s="63">
        <v>0</v>
      </c>
      <c r="O235" s="15"/>
      <c r="P235" s="15"/>
      <c r="Q235" s="15" t="s">
        <v>279</v>
      </c>
      <c r="R235" s="15"/>
      <c r="S235" s="15" t="s">
        <v>217</v>
      </c>
      <c r="T235" s="15"/>
      <c r="U235" s="15"/>
      <c r="V235" s="15"/>
      <c r="W235" s="15"/>
      <c r="X235" s="15">
        <v>100146314</v>
      </c>
      <c r="Y235" s="15" t="s">
        <v>190</v>
      </c>
      <c r="Z235" s="15" t="s">
        <v>201</v>
      </c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>
        <v>1.55</v>
      </c>
      <c r="AX235" s="15">
        <v>0</v>
      </c>
      <c r="AY235" s="15"/>
      <c r="AZ235" s="15"/>
      <c r="BA235" s="15"/>
      <c r="BB235" s="15"/>
      <c r="BC235" s="15"/>
      <c r="BD235" s="61"/>
      <c r="BE235" s="61"/>
      <c r="BF235" s="15" t="s">
        <v>219</v>
      </c>
      <c r="BG235" s="15"/>
      <c r="BH235" s="15"/>
      <c r="BI235" s="15"/>
      <c r="BJ235" s="15"/>
      <c r="BK235" s="15"/>
      <c r="BL235" s="15"/>
      <c r="BM235" s="15"/>
      <c r="BN235" s="62">
        <v>0</v>
      </c>
      <c r="BO235" s="64"/>
      <c r="BP235" s="15"/>
      <c r="BQ235" s="15"/>
      <c r="BR235" s="15"/>
      <c r="BS235" s="64"/>
      <c r="BT235" s="64"/>
      <c r="BU235" s="64">
        <v>46127</v>
      </c>
      <c r="BV235" s="15"/>
      <c r="BW235" s="64"/>
      <c r="BX235" s="64"/>
      <c r="BY235" s="70"/>
      <c r="BZ235" s="70"/>
      <c r="CA235" s="70"/>
      <c r="CB235" s="70"/>
      <c r="CC235" s="70"/>
      <c r="CD235" s="70"/>
      <c r="CE235" s="70"/>
      <c r="CF235" s="70"/>
      <c r="CG235" s="70"/>
      <c r="CH235" s="70"/>
      <c r="CI235" s="70"/>
      <c r="CJ235" s="70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70"/>
      <c r="DK235" s="70"/>
      <c r="DL235" s="70"/>
      <c r="DM235" s="70"/>
      <c r="DN235" s="70"/>
      <c r="DO235" s="70"/>
      <c r="DP235" s="70"/>
      <c r="DQ235" s="70"/>
      <c r="DR235" s="70"/>
      <c r="DS235" s="70"/>
      <c r="DT235" s="70"/>
      <c r="DU235" s="70"/>
      <c r="DV235" s="70"/>
      <c r="DW235" s="70"/>
      <c r="DX235" s="70"/>
      <c r="DY235" s="70"/>
      <c r="DZ235" s="70"/>
      <c r="EA235" s="70"/>
      <c r="EB235" s="70"/>
      <c r="EC235" s="70"/>
      <c r="ED235" s="70"/>
      <c r="EE235" s="70"/>
      <c r="EF235" s="68"/>
      <c r="EG235" s="68"/>
      <c r="EH235" s="68"/>
      <c r="EI235" s="68"/>
      <c r="EJ235" s="68"/>
      <c r="EK235" s="68"/>
      <c r="EL235" s="68"/>
      <c r="EM235" s="15"/>
      <c r="EN235" s="15"/>
      <c r="EO235" s="15"/>
      <c r="EP235" s="15"/>
      <c r="EQ235" s="65">
        <f t="shared" si="26"/>
        <v>0</v>
      </c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" t="str">
        <f t="shared" si="27"/>
        <v>710548535005TBC</v>
      </c>
      <c r="FI235" s="1" t="str">
        <f t="shared" si="28"/>
        <v>TBC</v>
      </c>
      <c r="FJ235" s="38"/>
      <c r="FL235" s="13"/>
    </row>
    <row r="236" spans="1:168" ht="21" hidden="1" x14ac:dyDescent="0.25">
      <c r="A236" s="15" t="s">
        <v>140</v>
      </c>
      <c r="B236" s="15">
        <v>999</v>
      </c>
      <c r="C236" s="15" t="s">
        <v>467</v>
      </c>
      <c r="D236" s="15" t="s">
        <v>140</v>
      </c>
      <c r="E236" s="15" t="s">
        <v>140</v>
      </c>
      <c r="F236" s="15"/>
      <c r="G236" s="15"/>
      <c r="H236" s="15" t="s">
        <v>220</v>
      </c>
      <c r="I236" s="15" t="s">
        <v>212</v>
      </c>
      <c r="J236" s="15" t="s">
        <v>213</v>
      </c>
      <c r="K236" s="15"/>
      <c r="L236" s="15" t="s">
        <v>214</v>
      </c>
      <c r="M236" s="15" t="s">
        <v>221</v>
      </c>
      <c r="N236" s="63">
        <v>1750</v>
      </c>
      <c r="O236" s="15"/>
      <c r="P236" s="15"/>
      <c r="Q236" s="15" t="s">
        <v>222</v>
      </c>
      <c r="R236" s="15"/>
      <c r="S236" s="15" t="s">
        <v>217</v>
      </c>
      <c r="T236" s="15"/>
      <c r="U236" s="15"/>
      <c r="V236" s="15"/>
      <c r="W236" s="15"/>
      <c r="X236" s="15">
        <v>100146314</v>
      </c>
      <c r="Y236" s="15" t="s">
        <v>190</v>
      </c>
      <c r="Z236" s="15" t="s">
        <v>201</v>
      </c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>
        <v>1.6</v>
      </c>
      <c r="AX236" s="15">
        <v>3123.35016</v>
      </c>
      <c r="AY236" s="15"/>
      <c r="AZ236" s="15"/>
      <c r="BA236" s="15"/>
      <c r="BB236" s="15"/>
      <c r="BC236" s="15"/>
      <c r="BD236" s="61"/>
      <c r="BE236" s="61"/>
      <c r="BF236" s="15" t="s">
        <v>219</v>
      </c>
      <c r="BG236" s="15"/>
      <c r="BH236" s="15"/>
      <c r="BI236" s="15"/>
      <c r="BJ236" s="15"/>
      <c r="BK236" s="15"/>
      <c r="BL236" s="15"/>
      <c r="BM236" s="15"/>
      <c r="BN236" s="62">
        <v>0</v>
      </c>
      <c r="BO236" s="64"/>
      <c r="BP236" s="15"/>
      <c r="BQ236" s="15"/>
      <c r="BR236" s="15"/>
      <c r="BS236" s="64"/>
      <c r="BT236" s="64"/>
      <c r="BU236" s="64">
        <v>46127</v>
      </c>
      <c r="BV236" s="15"/>
      <c r="BW236" s="64"/>
      <c r="BX236" s="64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68"/>
      <c r="EG236" s="68"/>
      <c r="EH236" s="68"/>
      <c r="EI236" s="68"/>
      <c r="EJ236" s="68"/>
      <c r="EK236" s="68"/>
      <c r="EL236" s="68"/>
      <c r="EM236" s="15"/>
      <c r="EN236" s="15"/>
      <c r="EO236" s="15"/>
      <c r="EP236" s="15"/>
      <c r="EQ236" s="65">
        <f t="shared" si="26"/>
        <v>0</v>
      </c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" t="str">
        <f t="shared" si="27"/>
        <v>710548535006TBC</v>
      </c>
      <c r="FI236" s="1" t="str">
        <f t="shared" si="28"/>
        <v>TBC</v>
      </c>
      <c r="FJ236" s="38"/>
      <c r="FL236" s="13"/>
    </row>
    <row r="237" spans="1:168" ht="21" hidden="1" x14ac:dyDescent="0.25">
      <c r="A237" s="15" t="s">
        <v>140</v>
      </c>
      <c r="B237" s="15">
        <v>999</v>
      </c>
      <c r="C237" s="15" t="s">
        <v>467</v>
      </c>
      <c r="D237" s="15" t="s">
        <v>140</v>
      </c>
      <c r="E237" s="15" t="s">
        <v>140</v>
      </c>
      <c r="F237" s="15"/>
      <c r="G237" s="15"/>
      <c r="H237" s="15" t="s">
        <v>280</v>
      </c>
      <c r="I237" s="15" t="s">
        <v>212</v>
      </c>
      <c r="J237" s="15" t="s">
        <v>213</v>
      </c>
      <c r="K237" s="15"/>
      <c r="L237" s="15" t="s">
        <v>214</v>
      </c>
      <c r="M237" s="15" t="s">
        <v>281</v>
      </c>
      <c r="N237" s="63">
        <v>0</v>
      </c>
      <c r="O237" s="15"/>
      <c r="P237" s="15"/>
      <c r="Q237" s="15" t="s">
        <v>282</v>
      </c>
      <c r="R237" s="15"/>
      <c r="S237" s="15" t="s">
        <v>217</v>
      </c>
      <c r="T237" s="15"/>
      <c r="U237" s="15"/>
      <c r="V237" s="15"/>
      <c r="W237" s="15"/>
      <c r="X237" s="15">
        <v>100146314</v>
      </c>
      <c r="Y237" s="15" t="s">
        <v>190</v>
      </c>
      <c r="Z237" s="15" t="s">
        <v>201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>
        <v>1.73</v>
      </c>
      <c r="AX237" s="15">
        <v>0</v>
      </c>
      <c r="AY237" s="15"/>
      <c r="AZ237" s="15"/>
      <c r="BA237" s="15"/>
      <c r="BB237" s="15"/>
      <c r="BC237" s="15"/>
      <c r="BD237" s="61"/>
      <c r="BE237" s="61"/>
      <c r="BF237" s="15" t="s">
        <v>219</v>
      </c>
      <c r="BG237" s="15"/>
      <c r="BH237" s="15"/>
      <c r="BI237" s="15"/>
      <c r="BJ237" s="15"/>
      <c r="BK237" s="15"/>
      <c r="BL237" s="15"/>
      <c r="BM237" s="15"/>
      <c r="BN237" s="62">
        <v>0</v>
      </c>
      <c r="BO237" s="64"/>
      <c r="BP237" s="15"/>
      <c r="BQ237" s="15"/>
      <c r="BR237" s="15"/>
      <c r="BS237" s="64"/>
      <c r="BT237" s="64"/>
      <c r="BU237" s="64">
        <v>46127</v>
      </c>
      <c r="BV237" s="15"/>
      <c r="BW237" s="64"/>
      <c r="BX237" s="64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68"/>
      <c r="EG237" s="68"/>
      <c r="EH237" s="68"/>
      <c r="EI237" s="68"/>
      <c r="EJ237" s="68"/>
      <c r="EK237" s="68"/>
      <c r="EL237" s="68"/>
      <c r="EM237" s="15"/>
      <c r="EN237" s="15"/>
      <c r="EO237" s="15"/>
      <c r="EP237" s="15"/>
      <c r="EQ237" s="65">
        <f t="shared" si="26"/>
        <v>0</v>
      </c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" t="str">
        <f t="shared" si="27"/>
        <v>710548535007TBC</v>
      </c>
      <c r="FI237" s="1" t="str">
        <f t="shared" si="28"/>
        <v>TBC</v>
      </c>
      <c r="FJ237" s="38"/>
      <c r="FL237" s="13"/>
    </row>
    <row r="238" spans="1:168" ht="21" hidden="1" x14ac:dyDescent="0.25">
      <c r="A238" s="15" t="s">
        <v>140</v>
      </c>
      <c r="B238" s="15">
        <v>999</v>
      </c>
      <c r="C238" s="15" t="s">
        <v>467</v>
      </c>
      <c r="D238" s="15" t="s">
        <v>140</v>
      </c>
      <c r="E238" s="15" t="s">
        <v>140</v>
      </c>
      <c r="F238" s="15"/>
      <c r="G238" s="15"/>
      <c r="H238" s="15" t="s">
        <v>283</v>
      </c>
      <c r="I238" s="15" t="s">
        <v>284</v>
      </c>
      <c r="J238" s="15" t="s">
        <v>213</v>
      </c>
      <c r="K238" s="15"/>
      <c r="L238" s="15" t="s">
        <v>214</v>
      </c>
      <c r="M238" s="15" t="s">
        <v>285</v>
      </c>
      <c r="N238" s="63">
        <v>660</v>
      </c>
      <c r="O238" s="15"/>
      <c r="P238" s="15"/>
      <c r="Q238" s="15" t="s">
        <v>286</v>
      </c>
      <c r="R238" s="15"/>
      <c r="S238" s="15" t="s">
        <v>217</v>
      </c>
      <c r="T238" s="15"/>
      <c r="U238" s="15"/>
      <c r="V238" s="15"/>
      <c r="W238" s="15"/>
      <c r="X238" s="15">
        <v>100146314</v>
      </c>
      <c r="Y238" s="15" t="s">
        <v>190</v>
      </c>
      <c r="Z238" s="15" t="s">
        <v>201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>
        <v>1.81</v>
      </c>
      <c r="AX238" s="15">
        <v>1332.5550361200001</v>
      </c>
      <c r="AY238" s="15"/>
      <c r="AZ238" s="15"/>
      <c r="BA238" s="15"/>
      <c r="BB238" s="15"/>
      <c r="BC238" s="15"/>
      <c r="BD238" s="61"/>
      <c r="BE238" s="61"/>
      <c r="BF238" s="15" t="s">
        <v>219</v>
      </c>
      <c r="BG238" s="15"/>
      <c r="BH238" s="15"/>
      <c r="BI238" s="15"/>
      <c r="BJ238" s="15"/>
      <c r="BK238" s="15"/>
      <c r="BL238" s="15"/>
      <c r="BM238" s="15"/>
      <c r="BN238" s="62">
        <v>0</v>
      </c>
      <c r="BO238" s="64"/>
      <c r="BP238" s="15"/>
      <c r="BQ238" s="15"/>
      <c r="BR238" s="15"/>
      <c r="BS238" s="64"/>
      <c r="BT238" s="64"/>
      <c r="BU238" s="64">
        <v>46127</v>
      </c>
      <c r="BV238" s="15"/>
      <c r="BW238" s="64"/>
      <c r="BX238" s="64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68"/>
      <c r="EG238" s="68"/>
      <c r="EH238" s="68"/>
      <c r="EI238" s="68"/>
      <c r="EJ238" s="68"/>
      <c r="EK238" s="68"/>
      <c r="EL238" s="68"/>
      <c r="EM238" s="15"/>
      <c r="EN238" s="15"/>
      <c r="EO238" s="15"/>
      <c r="EP238" s="15"/>
      <c r="EQ238" s="65">
        <f t="shared" si="26"/>
        <v>0</v>
      </c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" t="str">
        <f t="shared" si="27"/>
        <v>710631989017TBC</v>
      </c>
      <c r="FI238" s="1" t="str">
        <f t="shared" si="28"/>
        <v>TBC</v>
      </c>
      <c r="FJ238" s="38"/>
      <c r="FL238" s="13"/>
    </row>
    <row r="239" spans="1:168" ht="21" hidden="1" x14ac:dyDescent="0.25">
      <c r="A239" s="15" t="s">
        <v>140</v>
      </c>
      <c r="B239" s="15">
        <v>999</v>
      </c>
      <c r="C239" s="15" t="s">
        <v>467</v>
      </c>
      <c r="D239" s="15" t="s">
        <v>140</v>
      </c>
      <c r="E239" s="15" t="s">
        <v>140</v>
      </c>
      <c r="F239" s="15"/>
      <c r="G239" s="15"/>
      <c r="H239" s="15" t="s">
        <v>398</v>
      </c>
      <c r="I239" s="15" t="s">
        <v>381</v>
      </c>
      <c r="J239" s="15" t="s">
        <v>382</v>
      </c>
      <c r="K239" s="15"/>
      <c r="L239" s="15" t="s">
        <v>383</v>
      </c>
      <c r="M239" s="15" t="s">
        <v>268</v>
      </c>
      <c r="N239" s="63">
        <v>0</v>
      </c>
      <c r="O239" s="15"/>
      <c r="P239" s="15"/>
      <c r="Q239" s="15" t="s">
        <v>399</v>
      </c>
      <c r="R239" s="15"/>
      <c r="S239" s="15" t="s">
        <v>217</v>
      </c>
      <c r="T239" s="15"/>
      <c r="U239" s="15"/>
      <c r="V239" s="15"/>
      <c r="W239" s="15"/>
      <c r="X239" s="15">
        <v>100146314</v>
      </c>
      <c r="Y239" s="15" t="s">
        <v>190</v>
      </c>
      <c r="Z239" s="15" t="s">
        <v>201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>
        <v>1.45</v>
      </c>
      <c r="AX239" s="15">
        <v>0</v>
      </c>
      <c r="AY239" s="15"/>
      <c r="AZ239" s="15"/>
      <c r="BA239" s="15"/>
      <c r="BB239" s="15"/>
      <c r="BC239" s="15"/>
      <c r="BD239" s="61"/>
      <c r="BE239" s="61"/>
      <c r="BF239" s="15" t="s">
        <v>219</v>
      </c>
      <c r="BG239" s="15"/>
      <c r="BH239" s="15"/>
      <c r="BI239" s="15"/>
      <c r="BJ239" s="15"/>
      <c r="BK239" s="15"/>
      <c r="BL239" s="15"/>
      <c r="BM239" s="15"/>
      <c r="BN239" s="62">
        <v>0</v>
      </c>
      <c r="BO239" s="64"/>
      <c r="BP239" s="15"/>
      <c r="BQ239" s="15"/>
      <c r="BR239" s="15"/>
      <c r="BS239" s="64"/>
      <c r="BT239" s="64"/>
      <c r="BU239" s="64">
        <v>46127</v>
      </c>
      <c r="BV239" s="15"/>
      <c r="BW239" s="64"/>
      <c r="BX239" s="64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68"/>
      <c r="EG239" s="68"/>
      <c r="EH239" s="68"/>
      <c r="EI239" s="68"/>
      <c r="EJ239" s="68"/>
      <c r="EK239" s="68"/>
      <c r="EL239" s="68"/>
      <c r="EM239" s="15"/>
      <c r="EN239" s="15"/>
      <c r="EO239" s="15"/>
      <c r="EP239" s="15"/>
      <c r="EQ239" s="65">
        <f t="shared" si="26"/>
        <v>0</v>
      </c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" t="str">
        <f t="shared" si="27"/>
        <v>710549084006TBC</v>
      </c>
      <c r="FI239" s="1" t="str">
        <f t="shared" si="28"/>
        <v>TBC</v>
      </c>
      <c r="FJ239" s="38"/>
      <c r="FL239" s="13"/>
    </row>
    <row r="240" spans="1:168" ht="21" hidden="1" x14ac:dyDescent="0.25">
      <c r="A240" s="15" t="s">
        <v>140</v>
      </c>
      <c r="B240" s="15">
        <v>999</v>
      </c>
      <c r="C240" s="15" t="s">
        <v>467</v>
      </c>
      <c r="D240" s="15" t="s">
        <v>140</v>
      </c>
      <c r="E240" s="15" t="s">
        <v>140</v>
      </c>
      <c r="F240" s="15"/>
      <c r="G240" s="15"/>
      <c r="H240" s="15" t="s">
        <v>380</v>
      </c>
      <c r="I240" s="15" t="s">
        <v>381</v>
      </c>
      <c r="J240" s="15" t="s">
        <v>382</v>
      </c>
      <c r="K240" s="15"/>
      <c r="L240" s="15" t="s">
        <v>383</v>
      </c>
      <c r="M240" s="15" t="s">
        <v>272</v>
      </c>
      <c r="N240" s="63">
        <v>0</v>
      </c>
      <c r="O240" s="15"/>
      <c r="P240" s="15"/>
      <c r="Q240" s="15" t="s">
        <v>384</v>
      </c>
      <c r="R240" s="15"/>
      <c r="S240" s="15" t="s">
        <v>217</v>
      </c>
      <c r="T240" s="15"/>
      <c r="U240" s="15"/>
      <c r="V240" s="15"/>
      <c r="W240" s="15"/>
      <c r="X240" s="15">
        <v>100146314</v>
      </c>
      <c r="Y240" s="15" t="s">
        <v>190</v>
      </c>
      <c r="Z240" s="15" t="s">
        <v>201</v>
      </c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>
        <v>1.45</v>
      </c>
      <c r="AX240" s="15">
        <v>0</v>
      </c>
      <c r="AY240" s="15"/>
      <c r="AZ240" s="15"/>
      <c r="BA240" s="15"/>
      <c r="BB240" s="15"/>
      <c r="BC240" s="15"/>
      <c r="BD240" s="61"/>
      <c r="BE240" s="61"/>
      <c r="BF240" s="15" t="s">
        <v>219</v>
      </c>
      <c r="BG240" s="15"/>
      <c r="BH240" s="15"/>
      <c r="BI240" s="15"/>
      <c r="BJ240" s="15"/>
      <c r="BK240" s="15"/>
      <c r="BL240" s="15"/>
      <c r="BM240" s="15"/>
      <c r="BN240" s="62">
        <v>0</v>
      </c>
      <c r="BO240" s="64"/>
      <c r="BP240" s="15"/>
      <c r="BQ240" s="15"/>
      <c r="BR240" s="15"/>
      <c r="BS240" s="64"/>
      <c r="BT240" s="64"/>
      <c r="BU240" s="64">
        <v>46127</v>
      </c>
      <c r="BV240" s="15"/>
      <c r="BW240" s="64"/>
      <c r="BX240" s="64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68"/>
      <c r="EG240" s="68"/>
      <c r="EH240" s="68"/>
      <c r="EI240" s="68"/>
      <c r="EJ240" s="68"/>
      <c r="EK240" s="68"/>
      <c r="EL240" s="68"/>
      <c r="EM240" s="15"/>
      <c r="EN240" s="15"/>
      <c r="EO240" s="15"/>
      <c r="EP240" s="15"/>
      <c r="EQ240" s="65">
        <f t="shared" si="26"/>
        <v>0</v>
      </c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" t="str">
        <f t="shared" si="27"/>
        <v>710549084007TBC</v>
      </c>
      <c r="FI240" s="1" t="str">
        <f t="shared" si="28"/>
        <v>TBC</v>
      </c>
      <c r="FJ240" s="38"/>
      <c r="FL240" s="13"/>
    </row>
    <row r="241" spans="1:168" ht="21" hidden="1" x14ac:dyDescent="0.25">
      <c r="A241" s="15" t="s">
        <v>140</v>
      </c>
      <c r="B241" s="15">
        <v>999</v>
      </c>
      <c r="C241" s="15" t="s">
        <v>467</v>
      </c>
      <c r="D241" s="15" t="s">
        <v>140</v>
      </c>
      <c r="E241" s="15" t="s">
        <v>140</v>
      </c>
      <c r="F241" s="15"/>
      <c r="G241" s="15"/>
      <c r="H241" s="15" t="s">
        <v>406</v>
      </c>
      <c r="I241" s="15" t="s">
        <v>381</v>
      </c>
      <c r="J241" s="15" t="s">
        <v>382</v>
      </c>
      <c r="K241" s="15"/>
      <c r="L241" s="15" t="s">
        <v>383</v>
      </c>
      <c r="M241" s="15" t="s">
        <v>275</v>
      </c>
      <c r="N241" s="63">
        <v>0</v>
      </c>
      <c r="O241" s="15"/>
      <c r="P241" s="15"/>
      <c r="Q241" s="15" t="s">
        <v>407</v>
      </c>
      <c r="R241" s="15"/>
      <c r="S241" s="15" t="s">
        <v>217</v>
      </c>
      <c r="T241" s="15"/>
      <c r="U241" s="15"/>
      <c r="V241" s="15"/>
      <c r="W241" s="15"/>
      <c r="X241" s="15">
        <v>100146314</v>
      </c>
      <c r="Y241" s="15" t="s">
        <v>190</v>
      </c>
      <c r="Z241" s="15" t="s">
        <v>201</v>
      </c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>
        <v>1.45</v>
      </c>
      <c r="AX241" s="15">
        <v>0</v>
      </c>
      <c r="AY241" s="15"/>
      <c r="AZ241" s="15"/>
      <c r="BA241" s="15"/>
      <c r="BB241" s="15"/>
      <c r="BC241" s="15"/>
      <c r="BD241" s="61"/>
      <c r="BE241" s="61"/>
      <c r="BF241" s="15" t="s">
        <v>219</v>
      </c>
      <c r="BG241" s="15"/>
      <c r="BH241" s="15"/>
      <c r="BI241" s="15"/>
      <c r="BJ241" s="15"/>
      <c r="BK241" s="15"/>
      <c r="BL241" s="15"/>
      <c r="BM241" s="15"/>
      <c r="BN241" s="62">
        <v>0</v>
      </c>
      <c r="BO241" s="64"/>
      <c r="BP241" s="15"/>
      <c r="BQ241" s="15"/>
      <c r="BR241" s="15"/>
      <c r="BS241" s="64"/>
      <c r="BT241" s="64"/>
      <c r="BU241" s="64">
        <v>46127</v>
      </c>
      <c r="BV241" s="15"/>
      <c r="BW241" s="64"/>
      <c r="BX241" s="64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68"/>
      <c r="EG241" s="68"/>
      <c r="EH241" s="68"/>
      <c r="EI241" s="68"/>
      <c r="EJ241" s="68"/>
      <c r="EK241" s="68"/>
      <c r="EL241" s="68"/>
      <c r="EM241" s="15"/>
      <c r="EN241" s="15"/>
      <c r="EO241" s="15"/>
      <c r="EP241" s="15"/>
      <c r="EQ241" s="65">
        <f t="shared" si="26"/>
        <v>0</v>
      </c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" t="str">
        <f t="shared" si="27"/>
        <v>710549084008TBC</v>
      </c>
      <c r="FI241" s="1" t="str">
        <f t="shared" si="28"/>
        <v>TBC</v>
      </c>
      <c r="FJ241" s="38"/>
      <c r="FL241" s="13"/>
    </row>
    <row r="242" spans="1:168" ht="21" hidden="1" x14ac:dyDescent="0.25">
      <c r="A242" s="15" t="s">
        <v>140</v>
      </c>
      <c r="B242" s="15">
        <v>999</v>
      </c>
      <c r="C242" s="15" t="s">
        <v>467</v>
      </c>
      <c r="D242" s="15" t="s">
        <v>140</v>
      </c>
      <c r="E242" s="15" t="s">
        <v>140</v>
      </c>
      <c r="F242" s="15"/>
      <c r="G242" s="15"/>
      <c r="H242" s="15" t="s">
        <v>400</v>
      </c>
      <c r="I242" s="15" t="s">
        <v>381</v>
      </c>
      <c r="J242" s="15" t="s">
        <v>382</v>
      </c>
      <c r="K242" s="15"/>
      <c r="L242" s="15" t="s">
        <v>383</v>
      </c>
      <c r="M242" s="15" t="s">
        <v>221</v>
      </c>
      <c r="N242" s="63">
        <v>0</v>
      </c>
      <c r="O242" s="15"/>
      <c r="P242" s="15"/>
      <c r="Q242" s="15" t="s">
        <v>401</v>
      </c>
      <c r="R242" s="15"/>
      <c r="S242" s="15" t="s">
        <v>217</v>
      </c>
      <c r="T242" s="15"/>
      <c r="U242" s="15"/>
      <c r="V242" s="15"/>
      <c r="W242" s="15"/>
      <c r="X242" s="15">
        <v>100146314</v>
      </c>
      <c r="Y242" s="15" t="s">
        <v>190</v>
      </c>
      <c r="Z242" s="15" t="s">
        <v>201</v>
      </c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>
        <v>1.5</v>
      </c>
      <c r="AX242" s="15">
        <v>0</v>
      </c>
      <c r="AY242" s="15"/>
      <c r="AZ242" s="15"/>
      <c r="BA242" s="15"/>
      <c r="BB242" s="15"/>
      <c r="BC242" s="15"/>
      <c r="BD242" s="61"/>
      <c r="BE242" s="61"/>
      <c r="BF242" s="15" t="s">
        <v>219</v>
      </c>
      <c r="BG242" s="15"/>
      <c r="BH242" s="15"/>
      <c r="BI242" s="15"/>
      <c r="BJ242" s="15"/>
      <c r="BK242" s="15"/>
      <c r="BL242" s="15"/>
      <c r="BM242" s="15"/>
      <c r="BN242" s="62">
        <v>0</v>
      </c>
      <c r="BO242" s="64"/>
      <c r="BP242" s="15"/>
      <c r="BQ242" s="15"/>
      <c r="BR242" s="15"/>
      <c r="BS242" s="64"/>
      <c r="BT242" s="64"/>
      <c r="BU242" s="64">
        <v>46127</v>
      </c>
      <c r="BV242" s="15"/>
      <c r="BW242" s="64"/>
      <c r="BX242" s="64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68"/>
      <c r="EG242" s="68"/>
      <c r="EH242" s="68"/>
      <c r="EI242" s="68"/>
      <c r="EJ242" s="68"/>
      <c r="EK242" s="68"/>
      <c r="EL242" s="68"/>
      <c r="EM242" s="15"/>
      <c r="EN242" s="15"/>
      <c r="EO242" s="15"/>
      <c r="EP242" s="15"/>
      <c r="EQ242" s="65">
        <f t="shared" si="26"/>
        <v>0</v>
      </c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" t="str">
        <f t="shared" si="27"/>
        <v>710549084009TBC</v>
      </c>
      <c r="FI242" s="1" t="str">
        <f t="shared" si="28"/>
        <v>TBC</v>
      </c>
      <c r="FJ242" s="38"/>
      <c r="FL242" s="13"/>
    </row>
    <row r="243" spans="1:168" ht="21" hidden="1" x14ac:dyDescent="0.25">
      <c r="A243" s="15" t="s">
        <v>140</v>
      </c>
      <c r="B243" s="15">
        <v>999</v>
      </c>
      <c r="C243" s="15" t="s">
        <v>467</v>
      </c>
      <c r="D243" s="15" t="s">
        <v>140</v>
      </c>
      <c r="E243" s="15" t="s">
        <v>140</v>
      </c>
      <c r="F243" s="15"/>
      <c r="G243" s="15"/>
      <c r="H243" s="15" t="s">
        <v>402</v>
      </c>
      <c r="I243" s="15" t="s">
        <v>381</v>
      </c>
      <c r="J243" s="15" t="s">
        <v>382</v>
      </c>
      <c r="K243" s="15"/>
      <c r="L243" s="15" t="s">
        <v>383</v>
      </c>
      <c r="M243" s="15" t="s">
        <v>281</v>
      </c>
      <c r="N243" s="63">
        <v>0</v>
      </c>
      <c r="O243" s="15"/>
      <c r="P243" s="15"/>
      <c r="Q243" s="15" t="s">
        <v>403</v>
      </c>
      <c r="R243" s="15"/>
      <c r="S243" s="15" t="s">
        <v>217</v>
      </c>
      <c r="T243" s="15"/>
      <c r="U243" s="15"/>
      <c r="V243" s="15"/>
      <c r="W243" s="15"/>
      <c r="X243" s="15">
        <v>100146314</v>
      </c>
      <c r="Y243" s="15" t="s">
        <v>190</v>
      </c>
      <c r="Z243" s="15" t="s">
        <v>201</v>
      </c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>
        <v>1.68</v>
      </c>
      <c r="AX243" s="15">
        <v>0</v>
      </c>
      <c r="AY243" s="15"/>
      <c r="AZ243" s="15"/>
      <c r="BA243" s="15"/>
      <c r="BB243" s="15"/>
      <c r="BC243" s="15"/>
      <c r="BD243" s="61"/>
      <c r="BE243" s="61"/>
      <c r="BF243" s="15" t="s">
        <v>219</v>
      </c>
      <c r="BG243" s="15"/>
      <c r="BH243" s="15"/>
      <c r="BI243" s="15"/>
      <c r="BJ243" s="15"/>
      <c r="BK243" s="15"/>
      <c r="BL243" s="15"/>
      <c r="BM243" s="15"/>
      <c r="BN243" s="62">
        <v>0</v>
      </c>
      <c r="BO243" s="64"/>
      <c r="BP243" s="15"/>
      <c r="BQ243" s="15"/>
      <c r="BR243" s="15"/>
      <c r="BS243" s="64"/>
      <c r="BT243" s="64"/>
      <c r="BU243" s="64">
        <v>46127</v>
      </c>
      <c r="BV243" s="15"/>
      <c r="BW243" s="64"/>
      <c r="BX243" s="64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68"/>
      <c r="EG243" s="68"/>
      <c r="EH243" s="68"/>
      <c r="EI243" s="68"/>
      <c r="EJ243" s="68"/>
      <c r="EK243" s="68"/>
      <c r="EL243" s="68"/>
      <c r="EM243" s="15"/>
      <c r="EN243" s="15"/>
      <c r="EO243" s="15"/>
      <c r="EP243" s="15"/>
      <c r="EQ243" s="65">
        <f t="shared" si="26"/>
        <v>0</v>
      </c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" t="str">
        <f t="shared" si="27"/>
        <v>710549084010TBC</v>
      </c>
      <c r="FI243" s="1" t="str">
        <f t="shared" si="28"/>
        <v>TBC</v>
      </c>
      <c r="FJ243" s="38"/>
      <c r="FL243" s="13"/>
    </row>
    <row r="244" spans="1:168" ht="21" hidden="1" x14ac:dyDescent="0.25">
      <c r="A244" s="15" t="s">
        <v>140</v>
      </c>
      <c r="B244" s="15">
        <v>999</v>
      </c>
      <c r="C244" s="15" t="s">
        <v>467</v>
      </c>
      <c r="D244" s="15" t="s">
        <v>140</v>
      </c>
      <c r="E244" s="15" t="s">
        <v>140</v>
      </c>
      <c r="F244" s="15"/>
      <c r="G244" s="15"/>
      <c r="H244" s="15" t="s">
        <v>287</v>
      </c>
      <c r="I244" s="15" t="s">
        <v>288</v>
      </c>
      <c r="J244" s="15" t="s">
        <v>289</v>
      </c>
      <c r="K244" s="15"/>
      <c r="L244" s="15" t="s">
        <v>290</v>
      </c>
      <c r="M244" s="15" t="s">
        <v>268</v>
      </c>
      <c r="N244" s="63">
        <v>1214</v>
      </c>
      <c r="O244" s="15"/>
      <c r="P244" s="15"/>
      <c r="Q244" s="15" t="s">
        <v>291</v>
      </c>
      <c r="R244" s="15"/>
      <c r="S244" s="15" t="s">
        <v>217</v>
      </c>
      <c r="T244" s="15"/>
      <c r="U244" s="15"/>
      <c r="V244" s="15"/>
      <c r="W244" s="15"/>
      <c r="X244" s="15">
        <v>100146314</v>
      </c>
      <c r="Y244" s="15" t="s">
        <v>190</v>
      </c>
      <c r="Z244" s="15" t="s">
        <v>201</v>
      </c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>
        <v>1.26</v>
      </c>
      <c r="AX244" s="15">
        <v>1706.2861924080003</v>
      </c>
      <c r="AY244" s="15"/>
      <c r="AZ244" s="15"/>
      <c r="BA244" s="15"/>
      <c r="BB244" s="15"/>
      <c r="BC244" s="15"/>
      <c r="BD244" s="61"/>
      <c r="BE244" s="61"/>
      <c r="BF244" s="15" t="s">
        <v>219</v>
      </c>
      <c r="BG244" s="15"/>
      <c r="BH244" s="15"/>
      <c r="BI244" s="15"/>
      <c r="BJ244" s="15"/>
      <c r="BK244" s="15"/>
      <c r="BL244" s="15"/>
      <c r="BM244" s="15"/>
      <c r="BN244" s="62">
        <v>0</v>
      </c>
      <c r="BO244" s="64"/>
      <c r="BP244" s="15"/>
      <c r="BQ244" s="15"/>
      <c r="BR244" s="15"/>
      <c r="BS244" s="64"/>
      <c r="BT244" s="64"/>
      <c r="BU244" s="64">
        <v>46127</v>
      </c>
      <c r="BV244" s="15"/>
      <c r="BW244" s="64"/>
      <c r="BX244" s="64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68"/>
      <c r="EG244" s="68"/>
      <c r="EH244" s="68"/>
      <c r="EI244" s="68"/>
      <c r="EJ244" s="68"/>
      <c r="EK244" s="68"/>
      <c r="EL244" s="68"/>
      <c r="EM244" s="15"/>
      <c r="EN244" s="15"/>
      <c r="EO244" s="15"/>
      <c r="EP244" s="15"/>
      <c r="EQ244" s="65">
        <f t="shared" si="26"/>
        <v>0</v>
      </c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" t="str">
        <f t="shared" si="27"/>
        <v>710794942001TBC</v>
      </c>
      <c r="FI244" s="1" t="str">
        <f t="shared" si="28"/>
        <v>TBC</v>
      </c>
      <c r="FJ244" s="38"/>
      <c r="FL244" s="13"/>
    </row>
    <row r="245" spans="1:168" ht="21" hidden="1" x14ac:dyDescent="0.25">
      <c r="A245" s="15" t="s">
        <v>140</v>
      </c>
      <c r="B245" s="15">
        <v>999</v>
      </c>
      <c r="C245" s="15" t="s">
        <v>467</v>
      </c>
      <c r="D245" s="15" t="s">
        <v>140</v>
      </c>
      <c r="E245" s="15" t="s">
        <v>140</v>
      </c>
      <c r="F245" s="15"/>
      <c r="G245" s="15"/>
      <c r="H245" s="15" t="s">
        <v>292</v>
      </c>
      <c r="I245" s="15" t="s">
        <v>288</v>
      </c>
      <c r="J245" s="15" t="s">
        <v>289</v>
      </c>
      <c r="K245" s="15"/>
      <c r="L245" s="15" t="s">
        <v>290</v>
      </c>
      <c r="M245" s="15" t="s">
        <v>272</v>
      </c>
      <c r="N245" s="63">
        <v>591</v>
      </c>
      <c r="O245" s="15"/>
      <c r="P245" s="15"/>
      <c r="Q245" s="15" t="s">
        <v>293</v>
      </c>
      <c r="R245" s="15"/>
      <c r="S245" s="15" t="s">
        <v>217</v>
      </c>
      <c r="T245" s="15"/>
      <c r="U245" s="15"/>
      <c r="V245" s="15"/>
      <c r="W245" s="15"/>
      <c r="X245" s="15">
        <v>100146314</v>
      </c>
      <c r="Y245" s="15" t="s">
        <v>190</v>
      </c>
      <c r="Z245" s="15" t="s">
        <v>201</v>
      </c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>
        <v>1.26</v>
      </c>
      <c r="AX245" s="15">
        <v>830.65497505199994</v>
      </c>
      <c r="AY245" s="15"/>
      <c r="AZ245" s="15"/>
      <c r="BA245" s="15"/>
      <c r="BB245" s="15"/>
      <c r="BC245" s="15"/>
      <c r="BD245" s="61"/>
      <c r="BE245" s="61"/>
      <c r="BF245" s="15" t="s">
        <v>219</v>
      </c>
      <c r="BG245" s="15"/>
      <c r="BH245" s="15"/>
      <c r="BI245" s="15"/>
      <c r="BJ245" s="15"/>
      <c r="BK245" s="15"/>
      <c r="BL245" s="15"/>
      <c r="BM245" s="15"/>
      <c r="BN245" s="62">
        <v>0</v>
      </c>
      <c r="BO245" s="64"/>
      <c r="BP245" s="15"/>
      <c r="BQ245" s="15"/>
      <c r="BR245" s="15"/>
      <c r="BS245" s="64"/>
      <c r="BT245" s="64"/>
      <c r="BU245" s="64">
        <v>46127</v>
      </c>
      <c r="BV245" s="15"/>
      <c r="BW245" s="64"/>
      <c r="BX245" s="64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68"/>
      <c r="EG245" s="68"/>
      <c r="EH245" s="68"/>
      <c r="EI245" s="68"/>
      <c r="EJ245" s="68"/>
      <c r="EK245" s="68"/>
      <c r="EL245" s="68"/>
      <c r="EM245" s="15"/>
      <c r="EN245" s="15"/>
      <c r="EO245" s="15"/>
      <c r="EP245" s="15"/>
      <c r="EQ245" s="65">
        <f t="shared" si="26"/>
        <v>0</v>
      </c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" t="str">
        <f t="shared" si="27"/>
        <v>710794942002TBC</v>
      </c>
      <c r="FI245" s="1" t="str">
        <f t="shared" si="28"/>
        <v>TBC</v>
      </c>
      <c r="FJ245" s="38"/>
      <c r="FL245" s="13"/>
    </row>
    <row r="246" spans="1:168" ht="21" hidden="1" x14ac:dyDescent="0.25">
      <c r="A246" s="15" t="s">
        <v>140</v>
      </c>
      <c r="B246" s="15">
        <v>999</v>
      </c>
      <c r="C246" s="15" t="s">
        <v>467</v>
      </c>
      <c r="D246" s="15" t="s">
        <v>140</v>
      </c>
      <c r="E246" s="15" t="s">
        <v>140</v>
      </c>
      <c r="F246" s="15"/>
      <c r="G246" s="15"/>
      <c r="H246" s="15" t="s">
        <v>294</v>
      </c>
      <c r="I246" s="15" t="s">
        <v>288</v>
      </c>
      <c r="J246" s="15" t="s">
        <v>289</v>
      </c>
      <c r="K246" s="15"/>
      <c r="L246" s="15" t="s">
        <v>290</v>
      </c>
      <c r="M246" s="15" t="s">
        <v>275</v>
      </c>
      <c r="N246" s="63">
        <v>300</v>
      </c>
      <c r="O246" s="15"/>
      <c r="P246" s="15"/>
      <c r="Q246" s="15" t="s">
        <v>295</v>
      </c>
      <c r="R246" s="15"/>
      <c r="S246" s="15" t="s">
        <v>217</v>
      </c>
      <c r="T246" s="15"/>
      <c r="U246" s="15"/>
      <c r="V246" s="15"/>
      <c r="W246" s="15"/>
      <c r="X246" s="15">
        <v>100146314</v>
      </c>
      <c r="Y246" s="15" t="s">
        <v>190</v>
      </c>
      <c r="Z246" s="15" t="s">
        <v>201</v>
      </c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>
        <v>1.26</v>
      </c>
      <c r="AX246" s="15">
        <v>421.65227160000001</v>
      </c>
      <c r="AY246" s="15"/>
      <c r="AZ246" s="15"/>
      <c r="BA246" s="15"/>
      <c r="BB246" s="15"/>
      <c r="BC246" s="15"/>
      <c r="BD246" s="61"/>
      <c r="BE246" s="61"/>
      <c r="BF246" s="15" t="s">
        <v>219</v>
      </c>
      <c r="BG246" s="15"/>
      <c r="BH246" s="15"/>
      <c r="BI246" s="15"/>
      <c r="BJ246" s="15"/>
      <c r="BK246" s="15"/>
      <c r="BL246" s="15"/>
      <c r="BM246" s="15"/>
      <c r="BN246" s="62">
        <v>0</v>
      </c>
      <c r="BO246" s="64"/>
      <c r="BP246" s="15"/>
      <c r="BQ246" s="15"/>
      <c r="BR246" s="15"/>
      <c r="BS246" s="64"/>
      <c r="BT246" s="64"/>
      <c r="BU246" s="64">
        <v>46127</v>
      </c>
      <c r="BV246" s="15"/>
      <c r="BW246" s="64"/>
      <c r="BX246" s="64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68"/>
      <c r="EG246" s="68"/>
      <c r="EH246" s="68"/>
      <c r="EI246" s="68"/>
      <c r="EJ246" s="68"/>
      <c r="EK246" s="68"/>
      <c r="EL246" s="68"/>
      <c r="EM246" s="15"/>
      <c r="EN246" s="15"/>
      <c r="EO246" s="15"/>
      <c r="EP246" s="15"/>
      <c r="EQ246" s="65">
        <f t="shared" si="26"/>
        <v>0</v>
      </c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" t="str">
        <f t="shared" si="27"/>
        <v>710794942003TBC</v>
      </c>
      <c r="FI246" s="1" t="str">
        <f t="shared" si="28"/>
        <v>TBC</v>
      </c>
      <c r="FJ246" s="38"/>
      <c r="FL246" s="13"/>
    </row>
    <row r="247" spans="1:168" ht="21" hidden="1" x14ac:dyDescent="0.25">
      <c r="A247" s="15" t="s">
        <v>837</v>
      </c>
      <c r="B247" s="15" t="s">
        <v>149</v>
      </c>
      <c r="C247" s="15" t="s">
        <v>625</v>
      </c>
      <c r="D247" s="15" t="s">
        <v>831</v>
      </c>
      <c r="E247" s="15" t="s">
        <v>253</v>
      </c>
      <c r="F247" s="15" t="s">
        <v>254</v>
      </c>
      <c r="G247" s="15" t="s">
        <v>368</v>
      </c>
      <c r="H247" s="15" t="s">
        <v>827</v>
      </c>
      <c r="I247" s="15" t="s">
        <v>933</v>
      </c>
      <c r="J247" s="15" t="s">
        <v>836</v>
      </c>
      <c r="K247" s="15" t="s">
        <v>258</v>
      </c>
      <c r="L247" s="15" t="s">
        <v>247</v>
      </c>
      <c r="M247" s="15" t="s">
        <v>829</v>
      </c>
      <c r="N247" s="63">
        <v>420</v>
      </c>
      <c r="O247" s="15"/>
      <c r="P247" s="15">
        <v>8.16</v>
      </c>
      <c r="Q247" s="15"/>
      <c r="R247" s="15"/>
      <c r="S247" s="15" t="s">
        <v>235</v>
      </c>
      <c r="T247" s="15"/>
      <c r="U247" s="15"/>
      <c r="V247" s="15"/>
      <c r="W247" s="15"/>
      <c r="X247" s="15"/>
      <c r="Y247" s="15" t="s">
        <v>218</v>
      </c>
      <c r="Z247" s="15" t="s">
        <v>236</v>
      </c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61">
        <v>46070</v>
      </c>
      <c r="BE247" s="61" t="s">
        <v>192</v>
      </c>
      <c r="BF247" s="15" t="s">
        <v>199</v>
      </c>
      <c r="BG247" s="15"/>
      <c r="BH247" s="15"/>
      <c r="BI247" s="15" t="s">
        <v>199</v>
      </c>
      <c r="BJ247" s="15"/>
      <c r="BK247" s="15"/>
      <c r="BL247" s="15"/>
      <c r="BM247" s="15"/>
      <c r="BN247" s="15"/>
      <c r="BO247" s="64"/>
      <c r="BP247" s="64">
        <v>46170</v>
      </c>
      <c r="BQ247" s="15"/>
      <c r="BR247" s="15"/>
      <c r="BS247" s="64"/>
      <c r="BT247" s="64">
        <v>46180</v>
      </c>
      <c r="BU247" s="64">
        <v>46218</v>
      </c>
      <c r="BV247" s="15"/>
      <c r="BW247" s="64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15">
        <v>26</v>
      </c>
      <c r="CL247" s="68">
        <v>105</v>
      </c>
      <c r="CM247" s="68">
        <v>157</v>
      </c>
      <c r="CN247" s="68">
        <v>93</v>
      </c>
      <c r="CO247" s="68">
        <v>29</v>
      </c>
      <c r="CP247" s="68">
        <v>10</v>
      </c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  <c r="EE247" s="68"/>
      <c r="EF247" s="68"/>
      <c r="EG247" s="68"/>
      <c r="EH247" s="68"/>
      <c r="EI247" s="68"/>
      <c r="EJ247" s="68"/>
      <c r="EK247" s="68"/>
      <c r="EL247" s="68"/>
      <c r="EM247" s="68"/>
      <c r="EN247" s="68"/>
      <c r="EO247" s="68"/>
      <c r="EP247" s="68"/>
      <c r="EQ247" s="65">
        <f t="shared" si="26"/>
        <v>420</v>
      </c>
      <c r="ER247" s="6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 t="s">
        <v>176</v>
      </c>
      <c r="FF247" s="15"/>
      <c r="FG247" s="15"/>
      <c r="FH247" s="1" t="str">
        <f t="shared" si="27"/>
        <v>7109216415004702108651</v>
      </c>
      <c r="FI247" s="1" t="str">
        <f t="shared" si="28"/>
        <v>PRLS/25/13487</v>
      </c>
      <c r="FJ247" s="38" t="e">
        <f>VLOOKUP(FH247,[1]Sheet3!$A:$D,4,0)</f>
        <v>#N/A</v>
      </c>
      <c r="FL247" s="13"/>
    </row>
    <row r="248" spans="1:168" ht="21" hidden="1" x14ac:dyDescent="0.25">
      <c r="A248" s="15" t="s">
        <v>837</v>
      </c>
      <c r="B248" s="15" t="s">
        <v>149</v>
      </c>
      <c r="C248" s="15" t="s">
        <v>625</v>
      </c>
      <c r="D248" s="15" t="s">
        <v>832</v>
      </c>
      <c r="E248" s="15" t="s">
        <v>253</v>
      </c>
      <c r="F248" s="15" t="s">
        <v>254</v>
      </c>
      <c r="G248" s="15" t="s">
        <v>367</v>
      </c>
      <c r="H248" s="15" t="s">
        <v>827</v>
      </c>
      <c r="I248" s="15" t="s">
        <v>933</v>
      </c>
      <c r="J248" s="15" t="s">
        <v>836</v>
      </c>
      <c r="K248" s="15" t="s">
        <v>258</v>
      </c>
      <c r="L248" s="15" t="s">
        <v>247</v>
      </c>
      <c r="M248" s="15" t="s">
        <v>829</v>
      </c>
      <c r="N248" s="63">
        <v>491</v>
      </c>
      <c r="O248" s="15"/>
      <c r="P248" s="15">
        <v>8.16</v>
      </c>
      <c r="Q248" s="15"/>
      <c r="R248" s="15"/>
      <c r="S248" s="15" t="s">
        <v>235</v>
      </c>
      <c r="T248" s="15"/>
      <c r="U248" s="15"/>
      <c r="V248" s="15"/>
      <c r="W248" s="15"/>
      <c r="X248" s="15"/>
      <c r="Y248" s="15" t="s">
        <v>218</v>
      </c>
      <c r="Z248" s="15" t="s">
        <v>236</v>
      </c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61">
        <v>46070</v>
      </c>
      <c r="BE248" s="61" t="s">
        <v>192</v>
      </c>
      <c r="BF248" s="15" t="s">
        <v>199</v>
      </c>
      <c r="BG248" s="15"/>
      <c r="BH248" s="15"/>
      <c r="BI248" s="15" t="s">
        <v>199</v>
      </c>
      <c r="BJ248" s="15"/>
      <c r="BK248" s="15"/>
      <c r="BL248" s="15"/>
      <c r="BM248" s="15"/>
      <c r="BN248" s="15"/>
      <c r="BO248" s="64"/>
      <c r="BP248" s="64">
        <v>46170</v>
      </c>
      <c r="BQ248" s="15"/>
      <c r="BR248" s="15"/>
      <c r="BS248" s="64"/>
      <c r="BT248" s="64">
        <v>46180</v>
      </c>
      <c r="BU248" s="64">
        <v>46218</v>
      </c>
      <c r="BV248" s="15"/>
      <c r="BW248" s="64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15">
        <v>28</v>
      </c>
      <c r="CL248" s="68">
        <v>105</v>
      </c>
      <c r="CM248" s="68">
        <v>161</v>
      </c>
      <c r="CN248" s="68">
        <v>116</v>
      </c>
      <c r="CO248" s="68">
        <v>55</v>
      </c>
      <c r="CP248" s="68">
        <v>26</v>
      </c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  <c r="EE248" s="68"/>
      <c r="EF248" s="68"/>
      <c r="EG248" s="68"/>
      <c r="EH248" s="68"/>
      <c r="EI248" s="68"/>
      <c r="EJ248" s="68"/>
      <c r="EK248" s="68"/>
      <c r="EL248" s="68"/>
      <c r="EM248" s="68"/>
      <c r="EN248" s="68"/>
      <c r="EO248" s="68"/>
      <c r="EP248" s="68"/>
      <c r="EQ248" s="65">
        <f t="shared" si="26"/>
        <v>491</v>
      </c>
      <c r="ER248" s="6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 t="s">
        <v>176</v>
      </c>
      <c r="FF248" s="15"/>
      <c r="FG248" s="15"/>
      <c r="FH248" s="1" t="str">
        <f t="shared" si="27"/>
        <v>7109216415004702108653</v>
      </c>
      <c r="FI248" s="1" t="str">
        <f t="shared" si="28"/>
        <v>PRLS/25/13487</v>
      </c>
      <c r="FJ248" s="38" t="e">
        <f>VLOOKUP(FH248,[1]Sheet3!$A:$D,4,0)</f>
        <v>#N/A</v>
      </c>
      <c r="FL248" s="13"/>
    </row>
    <row r="249" spans="1:168" ht="21" hidden="1" x14ac:dyDescent="0.25">
      <c r="A249" s="15" t="s">
        <v>837</v>
      </c>
      <c r="B249" s="15" t="s">
        <v>149</v>
      </c>
      <c r="C249" s="15" t="s">
        <v>625</v>
      </c>
      <c r="D249" s="15" t="s">
        <v>833</v>
      </c>
      <c r="E249" s="15" t="s">
        <v>253</v>
      </c>
      <c r="F249" s="15" t="s">
        <v>254</v>
      </c>
      <c r="G249" s="15" t="s">
        <v>376</v>
      </c>
      <c r="H249" s="15" t="s">
        <v>827</v>
      </c>
      <c r="I249" s="15" t="s">
        <v>933</v>
      </c>
      <c r="J249" s="15" t="s">
        <v>836</v>
      </c>
      <c r="K249" s="15" t="s">
        <v>258</v>
      </c>
      <c r="L249" s="15" t="s">
        <v>247</v>
      </c>
      <c r="M249" s="15" t="s">
        <v>829</v>
      </c>
      <c r="N249" s="63">
        <v>18</v>
      </c>
      <c r="O249" s="15"/>
      <c r="P249" s="15">
        <v>8.16</v>
      </c>
      <c r="Q249" s="15"/>
      <c r="R249" s="15"/>
      <c r="S249" s="15" t="s">
        <v>235</v>
      </c>
      <c r="T249" s="15"/>
      <c r="U249" s="15"/>
      <c r="V249" s="15"/>
      <c r="W249" s="15"/>
      <c r="X249" s="15"/>
      <c r="Y249" s="15" t="s">
        <v>218</v>
      </c>
      <c r="Z249" s="15" t="s">
        <v>236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61">
        <v>46070</v>
      </c>
      <c r="BE249" s="61" t="s">
        <v>192</v>
      </c>
      <c r="BF249" s="15" t="s">
        <v>199</v>
      </c>
      <c r="BG249" s="15"/>
      <c r="BH249" s="15"/>
      <c r="BI249" s="15" t="s">
        <v>199</v>
      </c>
      <c r="BJ249" s="15"/>
      <c r="BK249" s="15"/>
      <c r="BL249" s="15"/>
      <c r="BM249" s="15"/>
      <c r="BN249" s="15"/>
      <c r="BO249" s="64"/>
      <c r="BP249" s="64">
        <v>46170</v>
      </c>
      <c r="BQ249" s="15"/>
      <c r="BR249" s="15"/>
      <c r="BS249" s="64"/>
      <c r="BT249" s="64">
        <v>46180</v>
      </c>
      <c r="BU249" s="64">
        <v>46218</v>
      </c>
      <c r="BV249" s="15"/>
      <c r="BW249" s="64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15">
        <v>2</v>
      </c>
      <c r="CL249" s="68">
        <v>4</v>
      </c>
      <c r="CM249" s="68">
        <v>4</v>
      </c>
      <c r="CN249" s="68">
        <v>4</v>
      </c>
      <c r="CO249" s="68">
        <v>2</v>
      </c>
      <c r="CP249" s="68">
        <v>2</v>
      </c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  <c r="EE249" s="68"/>
      <c r="EF249" s="68"/>
      <c r="EG249" s="68"/>
      <c r="EH249" s="68"/>
      <c r="EI249" s="68"/>
      <c r="EJ249" s="68"/>
      <c r="EK249" s="68"/>
      <c r="EL249" s="68"/>
      <c r="EM249" s="68"/>
      <c r="EN249" s="68"/>
      <c r="EO249" s="68"/>
      <c r="EP249" s="68"/>
      <c r="EQ249" s="65">
        <f t="shared" si="26"/>
        <v>18</v>
      </c>
      <c r="ER249" s="6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 t="s">
        <v>176</v>
      </c>
      <c r="FF249" s="15"/>
      <c r="FG249" s="15"/>
      <c r="FH249" s="1" t="str">
        <f t="shared" si="27"/>
        <v>7109216415004702108655</v>
      </c>
      <c r="FI249" s="1" t="str">
        <f t="shared" si="28"/>
        <v>PRLS/25/13487</v>
      </c>
      <c r="FJ249" s="38" t="e">
        <f>VLOOKUP(FH249,[1]Sheet3!$A:$D,4,0)</f>
        <v>#N/A</v>
      </c>
      <c r="FL249" s="13"/>
    </row>
    <row r="250" spans="1:168" ht="21" hidden="1" x14ac:dyDescent="0.25">
      <c r="A250" s="15" t="s">
        <v>838</v>
      </c>
      <c r="B250" s="15" t="s">
        <v>149</v>
      </c>
      <c r="C250" s="15" t="s">
        <v>625</v>
      </c>
      <c r="D250" s="15" t="s">
        <v>831</v>
      </c>
      <c r="E250" s="15" t="s">
        <v>253</v>
      </c>
      <c r="F250" s="15" t="s">
        <v>254</v>
      </c>
      <c r="G250" s="15" t="s">
        <v>368</v>
      </c>
      <c r="H250" s="15" t="s">
        <v>828</v>
      </c>
      <c r="I250" s="15" t="s">
        <v>933</v>
      </c>
      <c r="J250" s="15" t="s">
        <v>836</v>
      </c>
      <c r="K250" s="15" t="s">
        <v>258</v>
      </c>
      <c r="L250" s="15" t="s">
        <v>247</v>
      </c>
      <c r="M250" s="15" t="s">
        <v>830</v>
      </c>
      <c r="N250" s="63">
        <v>285</v>
      </c>
      <c r="O250" s="15"/>
      <c r="P250" s="15">
        <v>8.16</v>
      </c>
      <c r="Q250" s="15"/>
      <c r="R250" s="15"/>
      <c r="S250" s="15" t="s">
        <v>235</v>
      </c>
      <c r="T250" s="15"/>
      <c r="U250" s="15"/>
      <c r="V250" s="15"/>
      <c r="W250" s="15"/>
      <c r="X250" s="15"/>
      <c r="Y250" s="15" t="s">
        <v>218</v>
      </c>
      <c r="Z250" s="15" t="s">
        <v>236</v>
      </c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61">
        <v>46070</v>
      </c>
      <c r="BE250" s="61" t="s">
        <v>192</v>
      </c>
      <c r="BF250" s="15" t="s">
        <v>199</v>
      </c>
      <c r="BG250" s="15"/>
      <c r="BH250" s="15"/>
      <c r="BI250" s="15" t="s">
        <v>199</v>
      </c>
      <c r="BJ250" s="15"/>
      <c r="BK250" s="15"/>
      <c r="BL250" s="15"/>
      <c r="BM250" s="15"/>
      <c r="BN250" s="15"/>
      <c r="BO250" s="64"/>
      <c r="BP250" s="64">
        <v>46170</v>
      </c>
      <c r="BQ250" s="15"/>
      <c r="BR250" s="15"/>
      <c r="BS250" s="64"/>
      <c r="BT250" s="64">
        <v>46180</v>
      </c>
      <c r="BU250" s="64">
        <v>46218</v>
      </c>
      <c r="BV250" s="15"/>
      <c r="BW250" s="64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15">
        <v>17</v>
      </c>
      <c r="CL250" s="68">
        <v>72</v>
      </c>
      <c r="CM250" s="68">
        <v>107</v>
      </c>
      <c r="CN250" s="68">
        <v>63</v>
      </c>
      <c r="CO250" s="68">
        <v>19</v>
      </c>
      <c r="CP250" s="68">
        <v>7</v>
      </c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  <c r="EE250" s="68"/>
      <c r="EF250" s="68"/>
      <c r="EG250" s="68"/>
      <c r="EH250" s="68"/>
      <c r="EI250" s="68"/>
      <c r="EJ250" s="68"/>
      <c r="EK250" s="68"/>
      <c r="EL250" s="68"/>
      <c r="EM250" s="68"/>
      <c r="EN250" s="68"/>
      <c r="EO250" s="68"/>
      <c r="EP250" s="68"/>
      <c r="EQ250" s="65">
        <f t="shared" si="26"/>
        <v>285</v>
      </c>
      <c r="ER250" s="6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 t="s">
        <v>176</v>
      </c>
      <c r="FF250" s="15"/>
      <c r="FG250" s="15"/>
      <c r="FH250" s="1" t="str">
        <f t="shared" si="27"/>
        <v>7109216415014702108651</v>
      </c>
      <c r="FI250" s="1" t="str">
        <f t="shared" si="28"/>
        <v>PRLS/25/13489</v>
      </c>
      <c r="FJ250" s="38" t="e">
        <f>VLOOKUP(FH250,[1]Sheet3!$A:$D,4,0)</f>
        <v>#N/A</v>
      </c>
      <c r="FL250" s="13"/>
    </row>
    <row r="251" spans="1:168" ht="21" hidden="1" x14ac:dyDescent="0.25">
      <c r="A251" s="15" t="s">
        <v>838</v>
      </c>
      <c r="B251" s="15" t="s">
        <v>149</v>
      </c>
      <c r="C251" s="15" t="s">
        <v>625</v>
      </c>
      <c r="D251" s="15" t="s">
        <v>832</v>
      </c>
      <c r="E251" s="15" t="s">
        <v>253</v>
      </c>
      <c r="F251" s="15" t="s">
        <v>254</v>
      </c>
      <c r="G251" s="15" t="s">
        <v>367</v>
      </c>
      <c r="H251" s="15" t="s">
        <v>828</v>
      </c>
      <c r="I251" s="15" t="s">
        <v>933</v>
      </c>
      <c r="J251" s="15" t="s">
        <v>836</v>
      </c>
      <c r="K251" s="15" t="s">
        <v>258</v>
      </c>
      <c r="L251" s="15" t="s">
        <v>247</v>
      </c>
      <c r="M251" s="15" t="s">
        <v>830</v>
      </c>
      <c r="N251" s="63">
        <v>361</v>
      </c>
      <c r="O251" s="15"/>
      <c r="P251" s="15">
        <v>8.16</v>
      </c>
      <c r="Q251" s="15"/>
      <c r="R251" s="15"/>
      <c r="S251" s="15" t="s">
        <v>235</v>
      </c>
      <c r="T251" s="15"/>
      <c r="U251" s="15"/>
      <c r="V251" s="15"/>
      <c r="W251" s="15"/>
      <c r="X251" s="15"/>
      <c r="Y251" s="15" t="s">
        <v>218</v>
      </c>
      <c r="Z251" s="15" t="s">
        <v>236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61">
        <v>46070</v>
      </c>
      <c r="BE251" s="61" t="s">
        <v>192</v>
      </c>
      <c r="BF251" s="15" t="s">
        <v>199</v>
      </c>
      <c r="BG251" s="15"/>
      <c r="BH251" s="15"/>
      <c r="BI251" s="15" t="s">
        <v>199</v>
      </c>
      <c r="BJ251" s="15"/>
      <c r="BK251" s="15"/>
      <c r="BL251" s="15"/>
      <c r="BM251" s="15"/>
      <c r="BN251" s="15"/>
      <c r="BO251" s="64"/>
      <c r="BP251" s="64">
        <v>46170</v>
      </c>
      <c r="BQ251" s="15"/>
      <c r="BR251" s="15"/>
      <c r="BS251" s="64"/>
      <c r="BT251" s="64">
        <v>46180</v>
      </c>
      <c r="BU251" s="64">
        <v>46218</v>
      </c>
      <c r="BV251" s="15"/>
      <c r="BW251" s="64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15">
        <v>20</v>
      </c>
      <c r="CL251" s="68">
        <v>74</v>
      </c>
      <c r="CM251" s="68">
        <v>120</v>
      </c>
      <c r="CN251" s="68">
        <v>88</v>
      </c>
      <c r="CO251" s="68">
        <v>39</v>
      </c>
      <c r="CP251" s="68">
        <v>20</v>
      </c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  <c r="EE251" s="68"/>
      <c r="EF251" s="68"/>
      <c r="EG251" s="68"/>
      <c r="EH251" s="68"/>
      <c r="EI251" s="68"/>
      <c r="EJ251" s="68"/>
      <c r="EK251" s="68"/>
      <c r="EL251" s="68"/>
      <c r="EM251" s="68"/>
      <c r="EN251" s="68"/>
      <c r="EO251" s="68"/>
      <c r="EP251" s="68"/>
      <c r="EQ251" s="65">
        <f t="shared" si="26"/>
        <v>361</v>
      </c>
      <c r="ER251" s="6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 t="s">
        <v>176</v>
      </c>
      <c r="FF251" s="15"/>
      <c r="FG251" s="15"/>
      <c r="FH251" s="1" t="str">
        <f t="shared" si="27"/>
        <v>7109216415014702108653</v>
      </c>
      <c r="FI251" s="1" t="str">
        <f t="shared" si="28"/>
        <v>PRLS/25/13489</v>
      </c>
      <c r="FJ251" s="38" t="e">
        <f>VLOOKUP(FH251,[1]Sheet3!$A:$D,4,0)</f>
        <v>#N/A</v>
      </c>
      <c r="FL251" s="13"/>
    </row>
    <row r="252" spans="1:168" ht="21" hidden="1" x14ac:dyDescent="0.25">
      <c r="A252" s="15" t="s">
        <v>838</v>
      </c>
      <c r="B252" s="15" t="s">
        <v>149</v>
      </c>
      <c r="C252" s="15" t="s">
        <v>625</v>
      </c>
      <c r="D252" s="15" t="s">
        <v>833</v>
      </c>
      <c r="E252" s="15" t="s">
        <v>253</v>
      </c>
      <c r="F252" s="15" t="s">
        <v>254</v>
      </c>
      <c r="G252" s="15" t="s">
        <v>376</v>
      </c>
      <c r="H252" s="15" t="s">
        <v>828</v>
      </c>
      <c r="I252" s="15" t="s">
        <v>933</v>
      </c>
      <c r="J252" s="15" t="s">
        <v>836</v>
      </c>
      <c r="K252" s="15" t="s">
        <v>258</v>
      </c>
      <c r="L252" s="15" t="s">
        <v>247</v>
      </c>
      <c r="M252" s="15" t="s">
        <v>830</v>
      </c>
      <c r="N252" s="63">
        <v>18</v>
      </c>
      <c r="O252" s="15"/>
      <c r="P252" s="15">
        <v>8.16</v>
      </c>
      <c r="Q252" s="15"/>
      <c r="R252" s="15"/>
      <c r="S252" s="15" t="s">
        <v>235</v>
      </c>
      <c r="T252" s="15"/>
      <c r="U252" s="15"/>
      <c r="V252" s="15"/>
      <c r="W252" s="15"/>
      <c r="X252" s="15"/>
      <c r="Y252" s="15" t="s">
        <v>218</v>
      </c>
      <c r="Z252" s="15" t="s">
        <v>236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61">
        <v>46070</v>
      </c>
      <c r="BE252" s="61" t="s">
        <v>192</v>
      </c>
      <c r="BF252" s="15" t="s">
        <v>199</v>
      </c>
      <c r="BG252" s="15"/>
      <c r="BH252" s="15"/>
      <c r="BI252" s="15" t="s">
        <v>199</v>
      </c>
      <c r="BJ252" s="15"/>
      <c r="BK252" s="15"/>
      <c r="BL252" s="15"/>
      <c r="BM252" s="15"/>
      <c r="BN252" s="15"/>
      <c r="BO252" s="64"/>
      <c r="BP252" s="64">
        <v>46170</v>
      </c>
      <c r="BQ252" s="15"/>
      <c r="BR252" s="15"/>
      <c r="BS252" s="64"/>
      <c r="BT252" s="64">
        <v>46180</v>
      </c>
      <c r="BU252" s="64">
        <v>46218</v>
      </c>
      <c r="BV252" s="15"/>
      <c r="BW252" s="64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15">
        <v>2</v>
      </c>
      <c r="CL252" s="68">
        <v>4</v>
      </c>
      <c r="CM252" s="68">
        <v>4</v>
      </c>
      <c r="CN252" s="68">
        <v>4</v>
      </c>
      <c r="CO252" s="68">
        <v>2</v>
      </c>
      <c r="CP252" s="68">
        <v>2</v>
      </c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  <c r="EE252" s="68"/>
      <c r="EF252" s="68"/>
      <c r="EG252" s="68"/>
      <c r="EH252" s="68"/>
      <c r="EI252" s="68"/>
      <c r="EJ252" s="68"/>
      <c r="EK252" s="68"/>
      <c r="EL252" s="68"/>
      <c r="EM252" s="68"/>
      <c r="EN252" s="68"/>
      <c r="EO252" s="68"/>
      <c r="EP252" s="68"/>
      <c r="EQ252" s="65">
        <f t="shared" si="26"/>
        <v>18</v>
      </c>
      <c r="ER252" s="6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 t="s">
        <v>176</v>
      </c>
      <c r="FF252" s="15"/>
      <c r="FG252" s="15"/>
      <c r="FH252" s="1" t="str">
        <f t="shared" si="27"/>
        <v>7109216415014702108655</v>
      </c>
      <c r="FI252" s="1" t="str">
        <f t="shared" si="28"/>
        <v>PRLS/25/13489</v>
      </c>
      <c r="FJ252" s="38" t="e">
        <f>VLOOKUP(FH252,[1]Sheet3!$A:$D,4,0)</f>
        <v>#N/A</v>
      </c>
      <c r="FL252" s="13"/>
    </row>
    <row r="253" spans="1:168" ht="21" hidden="1" x14ac:dyDescent="0.25">
      <c r="A253" s="15" t="s">
        <v>837</v>
      </c>
      <c r="B253" s="15" t="s">
        <v>149</v>
      </c>
      <c r="C253" s="15" t="s">
        <v>625</v>
      </c>
      <c r="D253" s="15" t="s">
        <v>834</v>
      </c>
      <c r="E253" s="15" t="s">
        <v>237</v>
      </c>
      <c r="F253" s="15" t="s">
        <v>238</v>
      </c>
      <c r="G253" s="15" t="s">
        <v>365</v>
      </c>
      <c r="H253" s="15" t="s">
        <v>827</v>
      </c>
      <c r="I253" s="15" t="s">
        <v>933</v>
      </c>
      <c r="J253" s="15" t="s">
        <v>836</v>
      </c>
      <c r="K253" s="15" t="s">
        <v>258</v>
      </c>
      <c r="L253" s="15" t="s">
        <v>247</v>
      </c>
      <c r="M253" s="15" t="s">
        <v>829</v>
      </c>
      <c r="N253" s="63">
        <v>420</v>
      </c>
      <c r="O253" s="15"/>
      <c r="P253" s="15">
        <v>8.16</v>
      </c>
      <c r="Q253" s="15"/>
      <c r="R253" s="15"/>
      <c r="S253" s="15" t="s">
        <v>235</v>
      </c>
      <c r="T253" s="15"/>
      <c r="U253" s="15"/>
      <c r="V253" s="15"/>
      <c r="W253" s="15"/>
      <c r="X253" s="15"/>
      <c r="Y253" s="15" t="s">
        <v>218</v>
      </c>
      <c r="Z253" s="15" t="s">
        <v>236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 t="e">
        <v>#N/A</v>
      </c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61">
        <v>46070</v>
      </c>
      <c r="BE253" s="61" t="s">
        <v>192</v>
      </c>
      <c r="BF253" s="15" t="s">
        <v>219</v>
      </c>
      <c r="BG253" s="15"/>
      <c r="BH253" s="15"/>
      <c r="BI253" s="15" t="s">
        <v>199</v>
      </c>
      <c r="BJ253" s="15"/>
      <c r="BK253" s="15"/>
      <c r="BL253" s="15"/>
      <c r="BM253" s="15"/>
      <c r="BN253" s="15"/>
      <c r="BO253" s="64"/>
      <c r="BP253" s="64">
        <v>46156</v>
      </c>
      <c r="BQ253" s="15"/>
      <c r="BR253" s="15"/>
      <c r="BS253" s="64"/>
      <c r="BT253" s="64">
        <v>46166</v>
      </c>
      <c r="BU253" s="64">
        <v>46218</v>
      </c>
      <c r="BV253" s="15"/>
      <c r="BW253" s="64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15">
        <v>46</v>
      </c>
      <c r="CL253" s="68">
        <v>110</v>
      </c>
      <c r="CM253" s="68">
        <v>137</v>
      </c>
      <c r="CN253" s="68">
        <v>87</v>
      </c>
      <c r="CO253" s="68">
        <v>31</v>
      </c>
      <c r="CP253" s="68">
        <v>9</v>
      </c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  <c r="EE253" s="68"/>
      <c r="EF253" s="68"/>
      <c r="EG253" s="68"/>
      <c r="EH253" s="68"/>
      <c r="EI253" s="68"/>
      <c r="EJ253" s="68"/>
      <c r="EK253" s="68"/>
      <c r="EL253" s="68"/>
      <c r="EM253" s="68"/>
      <c r="EN253" s="68"/>
      <c r="EO253" s="68"/>
      <c r="EP253" s="68"/>
      <c r="EQ253" s="65">
        <f t="shared" si="26"/>
        <v>420</v>
      </c>
      <c r="ER253" s="6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 t="s">
        <v>176</v>
      </c>
      <c r="FF253" s="15"/>
      <c r="FG253" s="15"/>
      <c r="FH253" s="1" t="str">
        <f t="shared" si="27"/>
        <v>7109216415004702108659</v>
      </c>
      <c r="FI253" s="1" t="str">
        <f t="shared" si="28"/>
        <v>PRLS/25/13487</v>
      </c>
      <c r="FJ253" s="38" t="e">
        <f>VLOOKUP(FH253,[1]Sheet3!$A:$D,4,0)</f>
        <v>#N/A</v>
      </c>
      <c r="FL253" s="13"/>
    </row>
    <row r="254" spans="1:168" ht="21" hidden="1" x14ac:dyDescent="0.25">
      <c r="A254" s="15" t="s">
        <v>838</v>
      </c>
      <c r="B254" s="15" t="s">
        <v>149</v>
      </c>
      <c r="C254" s="15" t="s">
        <v>625</v>
      </c>
      <c r="D254" s="15" t="s">
        <v>834</v>
      </c>
      <c r="E254" s="15" t="s">
        <v>237</v>
      </c>
      <c r="F254" s="15" t="s">
        <v>238</v>
      </c>
      <c r="G254" s="15" t="s">
        <v>365</v>
      </c>
      <c r="H254" s="15" t="s">
        <v>828</v>
      </c>
      <c r="I254" s="15" t="s">
        <v>933</v>
      </c>
      <c r="J254" s="15" t="s">
        <v>836</v>
      </c>
      <c r="K254" s="15" t="s">
        <v>258</v>
      </c>
      <c r="L254" s="15" t="s">
        <v>247</v>
      </c>
      <c r="M254" s="15" t="s">
        <v>830</v>
      </c>
      <c r="N254" s="63">
        <v>255</v>
      </c>
      <c r="O254" s="15"/>
      <c r="P254" s="15">
        <v>8.16</v>
      </c>
      <c r="Q254" s="15"/>
      <c r="R254" s="15"/>
      <c r="S254" s="15" t="s">
        <v>235</v>
      </c>
      <c r="T254" s="15"/>
      <c r="U254" s="15"/>
      <c r="V254" s="15"/>
      <c r="W254" s="15"/>
      <c r="X254" s="15"/>
      <c r="Y254" s="15" t="s">
        <v>218</v>
      </c>
      <c r="Z254" s="15" t="s">
        <v>236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 t="e">
        <v>#N/A</v>
      </c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61">
        <v>46070</v>
      </c>
      <c r="BE254" s="61" t="s">
        <v>192</v>
      </c>
      <c r="BF254" s="15" t="s">
        <v>219</v>
      </c>
      <c r="BG254" s="15"/>
      <c r="BH254" s="15"/>
      <c r="BI254" s="15" t="s">
        <v>199</v>
      </c>
      <c r="BJ254" s="15"/>
      <c r="BK254" s="15"/>
      <c r="BL254" s="15"/>
      <c r="BM254" s="15"/>
      <c r="BN254" s="15"/>
      <c r="BO254" s="64"/>
      <c r="BP254" s="64">
        <v>46156</v>
      </c>
      <c r="BQ254" s="15"/>
      <c r="BR254" s="15"/>
      <c r="BS254" s="64"/>
      <c r="BT254" s="64">
        <v>46166</v>
      </c>
      <c r="BU254" s="64">
        <v>46218</v>
      </c>
      <c r="BV254" s="15"/>
      <c r="BW254" s="64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15">
        <v>28</v>
      </c>
      <c r="CL254" s="68">
        <v>67</v>
      </c>
      <c r="CM254" s="68">
        <v>82</v>
      </c>
      <c r="CN254" s="68">
        <v>53</v>
      </c>
      <c r="CO254" s="68">
        <v>19</v>
      </c>
      <c r="CP254" s="68">
        <v>6</v>
      </c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  <c r="EQ254" s="65">
        <f t="shared" si="26"/>
        <v>255</v>
      </c>
      <c r="ER254" s="6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 t="s">
        <v>176</v>
      </c>
      <c r="FF254" s="15"/>
      <c r="FG254" s="15"/>
      <c r="FH254" s="1" t="str">
        <f t="shared" si="27"/>
        <v>7109216415014702108659</v>
      </c>
      <c r="FI254" s="1" t="str">
        <f t="shared" si="28"/>
        <v>PRLS/25/13489</v>
      </c>
      <c r="FJ254" s="38" t="e">
        <f>VLOOKUP(FH254,[1]Sheet3!$A:$D,4,0)</f>
        <v>#N/A</v>
      </c>
      <c r="FL254" s="13"/>
    </row>
    <row r="255" spans="1:168" ht="21" hidden="1" x14ac:dyDescent="0.25">
      <c r="A255" s="15" t="s">
        <v>837</v>
      </c>
      <c r="B255" s="15" t="s">
        <v>149</v>
      </c>
      <c r="C255" s="15" t="s">
        <v>625</v>
      </c>
      <c r="D255" s="15" t="s">
        <v>835</v>
      </c>
      <c r="E255" s="15" t="s">
        <v>227</v>
      </c>
      <c r="F255" s="15" t="s">
        <v>228</v>
      </c>
      <c r="G255" s="15" t="s">
        <v>366</v>
      </c>
      <c r="H255" s="15" t="s">
        <v>827</v>
      </c>
      <c r="I255" s="15" t="s">
        <v>933</v>
      </c>
      <c r="J255" s="15" t="s">
        <v>836</v>
      </c>
      <c r="K255" s="15" t="s">
        <v>258</v>
      </c>
      <c r="L255" s="15" t="s">
        <v>247</v>
      </c>
      <c r="M255" s="15" t="s">
        <v>829</v>
      </c>
      <c r="N255" s="63">
        <v>430</v>
      </c>
      <c r="O255" s="15"/>
      <c r="P255" s="15">
        <v>8.16</v>
      </c>
      <c r="Q255" s="15"/>
      <c r="R255" s="15"/>
      <c r="S255" s="15" t="s">
        <v>235</v>
      </c>
      <c r="T255" s="15"/>
      <c r="U255" s="15"/>
      <c r="V255" s="15"/>
      <c r="W255" s="15"/>
      <c r="X255" s="15"/>
      <c r="Y255" s="15" t="s">
        <v>218</v>
      </c>
      <c r="Z255" s="15" t="s">
        <v>236</v>
      </c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 t="e">
        <v>#N/A</v>
      </c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61">
        <v>46070</v>
      </c>
      <c r="BE255" s="61" t="s">
        <v>192</v>
      </c>
      <c r="BF255" s="15" t="s">
        <v>219</v>
      </c>
      <c r="BG255" s="15"/>
      <c r="BH255" s="15"/>
      <c r="BI255" s="15" t="s">
        <v>199</v>
      </c>
      <c r="BJ255" s="15"/>
      <c r="BK255" s="15"/>
      <c r="BL255" s="15"/>
      <c r="BM255" s="15"/>
      <c r="BN255" s="15"/>
      <c r="BO255" s="64"/>
      <c r="BP255" s="64">
        <v>46163</v>
      </c>
      <c r="BQ255" s="15"/>
      <c r="BR255" s="15"/>
      <c r="BS255" s="64"/>
      <c r="BT255" s="64">
        <v>46173</v>
      </c>
      <c r="BU255" s="64">
        <v>46218</v>
      </c>
      <c r="BV255" s="15"/>
      <c r="BW255" s="64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15">
        <v>10</v>
      </c>
      <c r="CL255" s="68">
        <v>46</v>
      </c>
      <c r="CM255" s="68">
        <v>124</v>
      </c>
      <c r="CN255" s="68">
        <v>152</v>
      </c>
      <c r="CO255" s="68">
        <v>81</v>
      </c>
      <c r="CP255" s="68">
        <v>17</v>
      </c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  <c r="EQ255" s="65">
        <f t="shared" si="26"/>
        <v>430</v>
      </c>
      <c r="ER255" s="6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 t="s">
        <v>176</v>
      </c>
      <c r="FF255" s="15"/>
      <c r="FG255" s="15"/>
      <c r="FH255" s="1" t="str">
        <f t="shared" si="27"/>
        <v>7109216415004702108657</v>
      </c>
      <c r="FI255" s="1" t="str">
        <f t="shared" si="28"/>
        <v>PRLS/25/13487</v>
      </c>
      <c r="FJ255" s="38" t="e">
        <f>VLOOKUP(FH255,[1]Sheet3!$A:$D,4,0)</f>
        <v>#N/A</v>
      </c>
      <c r="FL255" s="13"/>
    </row>
    <row r="256" spans="1:168" ht="21" hidden="1" x14ac:dyDescent="0.25">
      <c r="A256" s="15" t="s">
        <v>838</v>
      </c>
      <c r="B256" s="15" t="s">
        <v>149</v>
      </c>
      <c r="C256" s="15" t="s">
        <v>625</v>
      </c>
      <c r="D256" s="15" t="s">
        <v>835</v>
      </c>
      <c r="E256" s="15" t="s">
        <v>227</v>
      </c>
      <c r="F256" s="15" t="s">
        <v>228</v>
      </c>
      <c r="G256" s="15" t="s">
        <v>366</v>
      </c>
      <c r="H256" s="15" t="s">
        <v>828</v>
      </c>
      <c r="I256" s="15" t="s">
        <v>933</v>
      </c>
      <c r="J256" s="15" t="s">
        <v>836</v>
      </c>
      <c r="K256" s="15" t="s">
        <v>258</v>
      </c>
      <c r="L256" s="15" t="s">
        <v>247</v>
      </c>
      <c r="M256" s="15" t="s">
        <v>830</v>
      </c>
      <c r="N256" s="63">
        <v>180</v>
      </c>
      <c r="O256" s="15"/>
      <c r="P256" s="15">
        <v>8.16</v>
      </c>
      <c r="Q256" s="15"/>
      <c r="R256" s="15"/>
      <c r="S256" s="15" t="s">
        <v>235</v>
      </c>
      <c r="T256" s="15"/>
      <c r="U256" s="15"/>
      <c r="V256" s="15"/>
      <c r="W256" s="15"/>
      <c r="X256" s="15"/>
      <c r="Y256" s="15" t="s">
        <v>218</v>
      </c>
      <c r="Z256" s="15" t="s">
        <v>236</v>
      </c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 t="e">
        <v>#N/A</v>
      </c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61">
        <v>46070</v>
      </c>
      <c r="BE256" s="61" t="s">
        <v>192</v>
      </c>
      <c r="BF256" s="15" t="s">
        <v>219</v>
      </c>
      <c r="BG256" s="15"/>
      <c r="BH256" s="15"/>
      <c r="BI256" s="15" t="s">
        <v>199</v>
      </c>
      <c r="BJ256" s="15"/>
      <c r="BK256" s="15"/>
      <c r="BL256" s="15"/>
      <c r="BM256" s="15"/>
      <c r="BN256" s="15"/>
      <c r="BO256" s="64"/>
      <c r="BP256" s="64">
        <v>46163</v>
      </c>
      <c r="BQ256" s="15"/>
      <c r="BR256" s="15"/>
      <c r="BS256" s="64"/>
      <c r="BT256" s="64">
        <v>46173</v>
      </c>
      <c r="BU256" s="64">
        <v>46218</v>
      </c>
      <c r="BV256" s="15"/>
      <c r="BW256" s="64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15">
        <v>4</v>
      </c>
      <c r="CL256" s="68">
        <v>19</v>
      </c>
      <c r="CM256" s="68">
        <v>52</v>
      </c>
      <c r="CN256" s="68">
        <v>64</v>
      </c>
      <c r="CO256" s="68">
        <v>34</v>
      </c>
      <c r="CP256" s="68">
        <v>7</v>
      </c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  <c r="EQ256" s="65">
        <f t="shared" si="26"/>
        <v>180</v>
      </c>
      <c r="ER256" s="6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 t="s">
        <v>176</v>
      </c>
      <c r="FF256" s="15"/>
      <c r="FG256" s="15"/>
      <c r="FH256" s="1" t="str">
        <f t="shared" si="27"/>
        <v>7109216415014702108657</v>
      </c>
      <c r="FI256" s="1" t="str">
        <f t="shared" si="28"/>
        <v>PRLS/25/13489</v>
      </c>
      <c r="FJ256" s="38" t="e">
        <f>VLOOKUP(FH256,[1]Sheet3!$A:$D,4,0)</f>
        <v>#N/A</v>
      </c>
      <c r="FL256" s="13"/>
    </row>
    <row r="257" spans="1:168" ht="21" hidden="1" x14ac:dyDescent="0.25">
      <c r="A257" s="15" t="s">
        <v>862</v>
      </c>
      <c r="B257" s="15" t="s">
        <v>149</v>
      </c>
      <c r="C257" s="15" t="s">
        <v>845</v>
      </c>
      <c r="D257" s="15" t="s">
        <v>842</v>
      </c>
      <c r="E257" s="15" t="s">
        <v>265</v>
      </c>
      <c r="F257" s="15" t="s">
        <v>844</v>
      </c>
      <c r="G257" s="15" t="s">
        <v>843</v>
      </c>
      <c r="H257" s="15" t="s">
        <v>839</v>
      </c>
      <c r="I257" s="15" t="s">
        <v>963</v>
      </c>
      <c r="J257" s="15" t="s">
        <v>840</v>
      </c>
      <c r="K257" s="15"/>
      <c r="L257" s="15" t="s">
        <v>247</v>
      </c>
      <c r="M257" s="15" t="s">
        <v>841</v>
      </c>
      <c r="N257" s="63">
        <v>2700</v>
      </c>
      <c r="O257" s="15"/>
      <c r="P257" s="15">
        <v>12.79</v>
      </c>
      <c r="Q257" s="15"/>
      <c r="R257" s="15"/>
      <c r="S257" s="15" t="s">
        <v>235</v>
      </c>
      <c r="T257" s="15"/>
      <c r="U257" s="15"/>
      <c r="V257" s="15"/>
      <c r="W257" s="15"/>
      <c r="X257" s="15"/>
      <c r="Y257" s="15" t="s">
        <v>320</v>
      </c>
      <c r="Z257" s="15" t="s">
        <v>191</v>
      </c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 t="s">
        <v>977</v>
      </c>
      <c r="AL257" s="15"/>
      <c r="AM257" s="15">
        <v>6</v>
      </c>
      <c r="AN257" s="15"/>
      <c r="AO257" s="15"/>
      <c r="AP257" s="15"/>
      <c r="AQ257" s="15"/>
      <c r="AR257" s="15"/>
      <c r="AS257" s="15" t="s">
        <v>448</v>
      </c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61">
        <v>46109</v>
      </c>
      <c r="BE257" s="61" t="s">
        <v>864</v>
      </c>
      <c r="BF257" s="15" t="s">
        <v>219</v>
      </c>
      <c r="BG257" s="15" t="s">
        <v>171</v>
      </c>
      <c r="BH257" s="15" t="s">
        <v>171</v>
      </c>
      <c r="BI257" s="15" t="s">
        <v>171</v>
      </c>
      <c r="BJ257" s="15"/>
      <c r="BK257" s="15"/>
      <c r="BL257" s="15"/>
      <c r="BM257" s="15"/>
      <c r="BN257" s="15"/>
      <c r="BO257" s="64"/>
      <c r="BP257" s="64">
        <v>46135</v>
      </c>
      <c r="BQ257" s="15"/>
      <c r="BR257" s="15"/>
      <c r="BS257" s="64"/>
      <c r="BT257" s="64">
        <v>46145</v>
      </c>
      <c r="BU257" s="64">
        <v>46214</v>
      </c>
      <c r="BV257" s="15"/>
      <c r="BW257" s="64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15"/>
      <c r="CL257" s="68">
        <v>450</v>
      </c>
      <c r="CM257" s="68">
        <v>900</v>
      </c>
      <c r="CN257" s="68">
        <v>900</v>
      </c>
      <c r="CO257" s="68">
        <v>450</v>
      </c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  <c r="EE257" s="68"/>
      <c r="EF257" s="68"/>
      <c r="EG257" s="68"/>
      <c r="EH257" s="68"/>
      <c r="EI257" s="68"/>
      <c r="EJ257" s="68"/>
      <c r="EK257" s="68"/>
      <c r="EL257" s="68"/>
      <c r="EM257" s="68"/>
      <c r="EN257" s="68"/>
      <c r="EO257" s="68"/>
      <c r="EP257" s="68"/>
      <c r="EQ257" s="65">
        <f t="shared" si="26"/>
        <v>2700</v>
      </c>
      <c r="ER257" s="6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 t="s">
        <v>176</v>
      </c>
      <c r="FF257" s="15"/>
      <c r="FG257" s="15"/>
      <c r="FH257" s="1" t="str">
        <f t="shared" si="27"/>
        <v>710B348880014702109542</v>
      </c>
      <c r="FI257" s="1" t="str">
        <f t="shared" si="28"/>
        <v>PRLS/25/13716</v>
      </c>
      <c r="FJ257" s="38" t="e">
        <f>VLOOKUP(FH257,[1]Sheet3!$A:$D,4,0)</f>
        <v>#N/A</v>
      </c>
      <c r="FL257" s="13"/>
    </row>
    <row r="258" spans="1:168" ht="21" hidden="1" x14ac:dyDescent="0.25">
      <c r="A258" s="15" t="s">
        <v>862</v>
      </c>
      <c r="B258" s="15" t="s">
        <v>149</v>
      </c>
      <c r="C258" s="15" t="s">
        <v>845</v>
      </c>
      <c r="D258" s="15">
        <v>4702109543</v>
      </c>
      <c r="E258" s="15" t="s">
        <v>265</v>
      </c>
      <c r="F258" s="15" t="s">
        <v>845</v>
      </c>
      <c r="G258" s="15" t="s">
        <v>843</v>
      </c>
      <c r="H258" s="15" t="s">
        <v>839</v>
      </c>
      <c r="I258" s="15" t="s">
        <v>963</v>
      </c>
      <c r="J258" s="15" t="s">
        <v>840</v>
      </c>
      <c r="K258" s="15"/>
      <c r="L258" s="15" t="s">
        <v>247</v>
      </c>
      <c r="M258" s="15" t="s">
        <v>841</v>
      </c>
      <c r="N258" s="63">
        <v>2100</v>
      </c>
      <c r="O258" s="15"/>
      <c r="P258" s="15">
        <v>12.79</v>
      </c>
      <c r="Q258" s="15"/>
      <c r="R258" s="15"/>
      <c r="S258" s="15" t="s">
        <v>235</v>
      </c>
      <c r="T258" s="15"/>
      <c r="U258" s="15"/>
      <c r="V258" s="15"/>
      <c r="W258" s="15"/>
      <c r="X258" s="15"/>
      <c r="Y258" s="15" t="s">
        <v>320</v>
      </c>
      <c r="Z258" s="15" t="s">
        <v>191</v>
      </c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 t="s">
        <v>977</v>
      </c>
      <c r="AL258" s="15"/>
      <c r="AM258" s="15">
        <v>6</v>
      </c>
      <c r="AN258" s="15"/>
      <c r="AO258" s="15"/>
      <c r="AP258" s="15"/>
      <c r="AQ258" s="15"/>
      <c r="AR258" s="15"/>
      <c r="AS258" s="15" t="s">
        <v>448</v>
      </c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61">
        <v>46109</v>
      </c>
      <c r="BE258" s="61" t="s">
        <v>864</v>
      </c>
      <c r="BF258" s="15" t="s">
        <v>219</v>
      </c>
      <c r="BG258" s="15" t="s">
        <v>171</v>
      </c>
      <c r="BH258" s="15" t="s">
        <v>171</v>
      </c>
      <c r="BI258" s="15" t="s">
        <v>171</v>
      </c>
      <c r="BJ258" s="15"/>
      <c r="BK258" s="15"/>
      <c r="BL258" s="15"/>
      <c r="BM258" s="15"/>
      <c r="BN258" s="15"/>
      <c r="BO258" s="64"/>
      <c r="BP258" s="64">
        <v>46135</v>
      </c>
      <c r="BQ258" s="15"/>
      <c r="BR258" s="15"/>
      <c r="BS258" s="64"/>
      <c r="BT258" s="64">
        <v>46145</v>
      </c>
      <c r="BU258" s="64">
        <v>46214</v>
      </c>
      <c r="BV258" s="15"/>
      <c r="BW258" s="64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15"/>
      <c r="CL258" s="68">
        <v>350</v>
      </c>
      <c r="CM258" s="68">
        <v>700</v>
      </c>
      <c r="CN258" s="68">
        <v>700</v>
      </c>
      <c r="CO258" s="68">
        <v>350</v>
      </c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  <c r="EE258" s="68"/>
      <c r="EF258" s="68"/>
      <c r="EG258" s="68"/>
      <c r="EH258" s="68"/>
      <c r="EI258" s="68"/>
      <c r="EJ258" s="68"/>
      <c r="EK258" s="68"/>
      <c r="EL258" s="68"/>
      <c r="EM258" s="68"/>
      <c r="EN258" s="68"/>
      <c r="EO258" s="68"/>
      <c r="EP258" s="68"/>
      <c r="EQ258" s="65">
        <f t="shared" si="26"/>
        <v>2100</v>
      </c>
      <c r="ER258" s="6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 t="s">
        <v>176</v>
      </c>
      <c r="FF258" s="15"/>
      <c r="FG258" s="15"/>
      <c r="FH258" s="1" t="str">
        <f t="shared" si="27"/>
        <v>710B348880014702109543</v>
      </c>
      <c r="FI258" s="1" t="str">
        <f t="shared" si="28"/>
        <v>PRLS/25/13716</v>
      </c>
      <c r="FJ258" s="38" t="e">
        <f>VLOOKUP(FH258,[1]Sheet3!$A:$D,4,0)</f>
        <v>#N/A</v>
      </c>
      <c r="FL258" s="13"/>
    </row>
    <row r="259" spans="1:168" ht="21" hidden="1" x14ac:dyDescent="0.25">
      <c r="A259" s="15" t="s">
        <v>857</v>
      </c>
      <c r="B259" s="15" t="s">
        <v>149</v>
      </c>
      <c r="C259" s="15" t="s">
        <v>625</v>
      </c>
      <c r="D259" s="15" t="s">
        <v>852</v>
      </c>
      <c r="E259" s="15" t="s">
        <v>227</v>
      </c>
      <c r="F259" s="15" t="s">
        <v>228</v>
      </c>
      <c r="G259" s="15" t="s">
        <v>322</v>
      </c>
      <c r="H259" s="15" t="s">
        <v>846</v>
      </c>
      <c r="I259" s="15" t="s">
        <v>964</v>
      </c>
      <c r="J259" s="15" t="s">
        <v>849</v>
      </c>
      <c r="K259" s="15" t="s">
        <v>185</v>
      </c>
      <c r="L259" s="15" t="s">
        <v>264</v>
      </c>
      <c r="M259" s="15" t="s">
        <v>850</v>
      </c>
      <c r="N259" s="63">
        <v>400</v>
      </c>
      <c r="O259" s="15"/>
      <c r="P259" s="15">
        <v>15.62</v>
      </c>
      <c r="Q259" s="15"/>
      <c r="R259" s="15"/>
      <c r="S259" s="15" t="s">
        <v>863</v>
      </c>
      <c r="T259" s="15"/>
      <c r="U259" s="15"/>
      <c r="V259" s="15"/>
      <c r="W259" s="15"/>
      <c r="X259" s="15"/>
      <c r="Y259" s="15" t="s">
        <v>190</v>
      </c>
      <c r="Z259" s="15" t="s">
        <v>201</v>
      </c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 t="s">
        <v>1131</v>
      </c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61">
        <v>46083</v>
      </c>
      <c r="BE259" s="61" t="s">
        <v>192</v>
      </c>
      <c r="BF259" s="15" t="s">
        <v>199</v>
      </c>
      <c r="BG259" s="15" t="s">
        <v>199</v>
      </c>
      <c r="BH259" s="15" t="s">
        <v>199</v>
      </c>
      <c r="BI259" s="15" t="s">
        <v>199</v>
      </c>
      <c r="BJ259" s="15"/>
      <c r="BK259" s="15"/>
      <c r="BL259" s="15"/>
      <c r="BM259" s="15"/>
      <c r="BN259" s="15"/>
      <c r="BO259" s="64"/>
      <c r="BP259" s="64">
        <v>46128</v>
      </c>
      <c r="BQ259" s="15"/>
      <c r="BR259" s="15"/>
      <c r="BS259" s="64"/>
      <c r="BT259" s="64">
        <v>46138</v>
      </c>
      <c r="BU259" s="64">
        <v>46189</v>
      </c>
      <c r="BV259" s="15"/>
      <c r="BW259" s="64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15"/>
      <c r="CL259" s="68">
        <v>64</v>
      </c>
      <c r="CM259" s="68">
        <v>128</v>
      </c>
      <c r="CN259" s="68">
        <v>148</v>
      </c>
      <c r="CO259" s="68">
        <v>52</v>
      </c>
      <c r="CP259" s="68">
        <v>8</v>
      </c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  <c r="EE259" s="68"/>
      <c r="EF259" s="68"/>
      <c r="EG259" s="68"/>
      <c r="EH259" s="68"/>
      <c r="EI259" s="68"/>
      <c r="EJ259" s="68"/>
      <c r="EK259" s="68"/>
      <c r="EL259" s="68"/>
      <c r="EM259" s="68"/>
      <c r="EN259" s="68"/>
      <c r="EO259" s="68"/>
      <c r="EP259" s="68"/>
      <c r="EQ259" s="65">
        <f t="shared" si="26"/>
        <v>400</v>
      </c>
      <c r="ER259" s="6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 t="s">
        <v>176</v>
      </c>
      <c r="FF259" s="15"/>
      <c r="FG259" s="15"/>
      <c r="FH259" s="1" t="str">
        <f t="shared" si="27"/>
        <v>7109664275004702110010</v>
      </c>
      <c r="FI259" s="1" t="str">
        <f t="shared" si="28"/>
        <v>PRLS/25/13274</v>
      </c>
      <c r="FJ259" s="38" t="e">
        <f>VLOOKUP(FH259,[1]Sheet3!$A:$D,4,0)</f>
        <v>#N/A</v>
      </c>
      <c r="FL259" s="13"/>
    </row>
    <row r="260" spans="1:168" ht="21" hidden="1" x14ac:dyDescent="0.25">
      <c r="A260" s="15" t="s">
        <v>858</v>
      </c>
      <c r="B260" s="15" t="s">
        <v>149</v>
      </c>
      <c r="C260" s="15" t="s">
        <v>625</v>
      </c>
      <c r="D260" s="15" t="s">
        <v>853</v>
      </c>
      <c r="E260" s="15" t="s">
        <v>208</v>
      </c>
      <c r="F260" s="15" t="s">
        <v>181</v>
      </c>
      <c r="G260" s="15" t="s">
        <v>321</v>
      </c>
      <c r="H260" s="15" t="s">
        <v>847</v>
      </c>
      <c r="I260" s="15" t="s">
        <v>965</v>
      </c>
      <c r="J260" s="15" t="s">
        <v>806</v>
      </c>
      <c r="K260" s="15" t="s">
        <v>185</v>
      </c>
      <c r="L260" s="15" t="s">
        <v>332</v>
      </c>
      <c r="M260" s="15" t="s">
        <v>851</v>
      </c>
      <c r="N260" s="63">
        <v>52</v>
      </c>
      <c r="O260" s="15"/>
      <c r="P260" s="15">
        <v>25.07</v>
      </c>
      <c r="Q260" s="15"/>
      <c r="R260" s="15"/>
      <c r="S260" s="15" t="s">
        <v>863</v>
      </c>
      <c r="T260" s="15"/>
      <c r="U260" s="15"/>
      <c r="V260" s="15"/>
      <c r="W260" s="15"/>
      <c r="X260" s="15"/>
      <c r="Y260" s="15" t="s">
        <v>190</v>
      </c>
      <c r="Z260" s="15" t="s">
        <v>201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 t="s">
        <v>1131</v>
      </c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61">
        <v>46081</v>
      </c>
      <c r="BE260" s="61" t="s">
        <v>192</v>
      </c>
      <c r="BF260" s="15" t="s">
        <v>199</v>
      </c>
      <c r="BG260" s="15" t="s">
        <v>199</v>
      </c>
      <c r="BH260" s="15" t="s">
        <v>911</v>
      </c>
      <c r="BI260" s="15" t="s">
        <v>199</v>
      </c>
      <c r="BJ260" s="15"/>
      <c r="BK260" s="15" t="s">
        <v>171</v>
      </c>
      <c r="BL260" s="15"/>
      <c r="BM260" s="15"/>
      <c r="BN260" s="15"/>
      <c r="BO260" s="64"/>
      <c r="BP260" s="64">
        <v>46114</v>
      </c>
      <c r="BQ260" s="15"/>
      <c r="BR260" s="15"/>
      <c r="BS260" s="64"/>
      <c r="BT260" s="64">
        <v>46124</v>
      </c>
      <c r="BU260" s="64">
        <v>46189</v>
      </c>
      <c r="BV260" s="15"/>
      <c r="BW260" s="64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15">
        <v>1</v>
      </c>
      <c r="CL260" s="68">
        <v>4</v>
      </c>
      <c r="CM260" s="68">
        <v>13</v>
      </c>
      <c r="CN260" s="68">
        <v>16</v>
      </c>
      <c r="CO260" s="68">
        <v>12</v>
      </c>
      <c r="CP260" s="68">
        <v>6</v>
      </c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  <c r="EE260" s="68"/>
      <c r="EF260" s="68"/>
      <c r="EG260" s="68"/>
      <c r="EH260" s="68"/>
      <c r="EI260" s="68"/>
      <c r="EJ260" s="68"/>
      <c r="EK260" s="68"/>
      <c r="EL260" s="68"/>
      <c r="EM260" s="68"/>
      <c r="EN260" s="68"/>
      <c r="EO260" s="68"/>
      <c r="EP260" s="68"/>
      <c r="EQ260" s="65">
        <f t="shared" si="26"/>
        <v>52</v>
      </c>
      <c r="ER260" s="6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 t="s">
        <v>176</v>
      </c>
      <c r="FF260" s="15"/>
      <c r="FG260" s="15"/>
      <c r="FH260" s="1" t="str">
        <f t="shared" si="27"/>
        <v>710B242590014702110012</v>
      </c>
      <c r="FI260" s="1" t="str">
        <f t="shared" si="28"/>
        <v>PRLS/25/13280</v>
      </c>
      <c r="FJ260" s="38" t="e">
        <f>VLOOKUP(FH260,[1]Sheet3!$A:$D,4,0)</f>
        <v>#N/A</v>
      </c>
      <c r="FL260" s="13"/>
    </row>
    <row r="261" spans="1:168" ht="21" hidden="1" x14ac:dyDescent="0.25">
      <c r="A261" s="15" t="s">
        <v>858</v>
      </c>
      <c r="B261" s="15" t="s">
        <v>149</v>
      </c>
      <c r="C261" s="15" t="s">
        <v>625</v>
      </c>
      <c r="D261" s="15" t="s">
        <v>854</v>
      </c>
      <c r="E261" s="15" t="s">
        <v>180</v>
      </c>
      <c r="F261" s="15" t="s">
        <v>181</v>
      </c>
      <c r="G261" s="15" t="s">
        <v>321</v>
      </c>
      <c r="H261" s="15" t="s">
        <v>847</v>
      </c>
      <c r="I261" s="15" t="s">
        <v>965</v>
      </c>
      <c r="J261" s="15" t="s">
        <v>806</v>
      </c>
      <c r="K261" s="15" t="s">
        <v>185</v>
      </c>
      <c r="L261" s="15" t="s">
        <v>332</v>
      </c>
      <c r="M261" s="15" t="s">
        <v>851</v>
      </c>
      <c r="N261" s="63">
        <v>320</v>
      </c>
      <c r="O261" s="15"/>
      <c r="P261" s="15">
        <v>25.07</v>
      </c>
      <c r="Q261" s="15"/>
      <c r="R261" s="15"/>
      <c r="S261" s="15" t="s">
        <v>863</v>
      </c>
      <c r="T261" s="15"/>
      <c r="U261" s="15"/>
      <c r="V261" s="15"/>
      <c r="W261" s="15"/>
      <c r="X261" s="15"/>
      <c r="Y261" s="15" t="s">
        <v>190</v>
      </c>
      <c r="Z261" s="15" t="s">
        <v>201</v>
      </c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 t="s">
        <v>1131</v>
      </c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61">
        <v>46081</v>
      </c>
      <c r="BE261" s="61" t="s">
        <v>192</v>
      </c>
      <c r="BF261" s="15" t="s">
        <v>199</v>
      </c>
      <c r="BG261" s="15" t="s">
        <v>199</v>
      </c>
      <c r="BH261" s="15" t="s">
        <v>911</v>
      </c>
      <c r="BI261" s="15" t="s">
        <v>199</v>
      </c>
      <c r="BJ261" s="15"/>
      <c r="BK261" s="15" t="s">
        <v>171</v>
      </c>
      <c r="BL261" s="15"/>
      <c r="BM261" s="15"/>
      <c r="BN261" s="15"/>
      <c r="BO261" s="64"/>
      <c r="BP261" s="64">
        <v>46114</v>
      </c>
      <c r="BQ261" s="15"/>
      <c r="BR261" s="15"/>
      <c r="BS261" s="64"/>
      <c r="BT261" s="64">
        <v>46124</v>
      </c>
      <c r="BU261" s="64">
        <v>46189</v>
      </c>
      <c r="BV261" s="15"/>
      <c r="BW261" s="64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15">
        <v>5</v>
      </c>
      <c r="CL261" s="68">
        <v>34</v>
      </c>
      <c r="CM261" s="68">
        <v>93</v>
      </c>
      <c r="CN261" s="68">
        <v>99</v>
      </c>
      <c r="CO261" s="68">
        <v>60</v>
      </c>
      <c r="CP261" s="68">
        <v>29</v>
      </c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  <c r="EE261" s="68"/>
      <c r="EF261" s="68"/>
      <c r="EG261" s="68"/>
      <c r="EH261" s="68"/>
      <c r="EI261" s="68"/>
      <c r="EJ261" s="68"/>
      <c r="EK261" s="68"/>
      <c r="EL261" s="68"/>
      <c r="EM261" s="68"/>
      <c r="EN261" s="68"/>
      <c r="EO261" s="68"/>
      <c r="EP261" s="68"/>
      <c r="EQ261" s="65">
        <f t="shared" si="26"/>
        <v>320</v>
      </c>
      <c r="ER261" s="6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 t="s">
        <v>176</v>
      </c>
      <c r="FF261" s="15"/>
      <c r="FG261" s="15"/>
      <c r="FH261" s="1" t="str">
        <f t="shared" si="27"/>
        <v>710B242590014702110011</v>
      </c>
      <c r="FI261" s="1" t="str">
        <f t="shared" si="28"/>
        <v>PRLS/25/13280</v>
      </c>
      <c r="FJ261" s="38" t="e">
        <f>VLOOKUP(FH261,[1]Sheet3!$A:$D,4,0)</f>
        <v>#N/A</v>
      </c>
      <c r="FL261" s="13"/>
    </row>
    <row r="262" spans="1:168" ht="21" hidden="1" x14ac:dyDescent="0.25">
      <c r="A262" s="15" t="s">
        <v>860</v>
      </c>
      <c r="B262" s="15" t="s">
        <v>149</v>
      </c>
      <c r="C262" s="15" t="s">
        <v>625</v>
      </c>
      <c r="D262" s="15" t="s">
        <v>855</v>
      </c>
      <c r="E262" s="15" t="s">
        <v>210</v>
      </c>
      <c r="F262" s="15" t="s">
        <v>152</v>
      </c>
      <c r="G262" s="15" t="s">
        <v>321</v>
      </c>
      <c r="H262" s="15" t="s">
        <v>848</v>
      </c>
      <c r="I262" s="15" t="s">
        <v>958</v>
      </c>
      <c r="J262" s="15" t="s">
        <v>849</v>
      </c>
      <c r="K262" s="15" t="s">
        <v>185</v>
      </c>
      <c r="L262" s="15" t="s">
        <v>405</v>
      </c>
      <c r="M262" s="15" t="s">
        <v>850</v>
      </c>
      <c r="N262" s="63">
        <v>1600</v>
      </c>
      <c r="O262" s="15"/>
      <c r="P262" s="15">
        <v>15.57</v>
      </c>
      <c r="Q262" s="15"/>
      <c r="R262" s="15"/>
      <c r="S262" s="15" t="s">
        <v>863</v>
      </c>
      <c r="T262" s="15"/>
      <c r="U262" s="15"/>
      <c r="V262" s="15"/>
      <c r="W262" s="15"/>
      <c r="X262" s="15"/>
      <c r="Y262" s="15" t="s">
        <v>190</v>
      </c>
      <c r="Z262" s="15" t="s">
        <v>201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 t="s">
        <v>1131</v>
      </c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61">
        <v>46083</v>
      </c>
      <c r="BE262" s="61" t="s">
        <v>192</v>
      </c>
      <c r="BF262" s="15" t="s">
        <v>199</v>
      </c>
      <c r="BG262" s="15" t="s">
        <v>199</v>
      </c>
      <c r="BH262" s="15" t="s">
        <v>199</v>
      </c>
      <c r="BI262" s="15" t="s">
        <v>199</v>
      </c>
      <c r="BJ262" s="15"/>
      <c r="BK262" s="15"/>
      <c r="BL262" s="15"/>
      <c r="BM262" s="15"/>
      <c r="BN262" s="15"/>
      <c r="BO262" s="64"/>
      <c r="BP262" s="64">
        <v>46121</v>
      </c>
      <c r="BQ262" s="15"/>
      <c r="BR262" s="15"/>
      <c r="BS262" s="64"/>
      <c r="BT262" s="64">
        <v>46131</v>
      </c>
      <c r="BU262" s="64">
        <v>46189</v>
      </c>
      <c r="BV262" s="15"/>
      <c r="BW262" s="64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15">
        <v>21</v>
      </c>
      <c r="CL262" s="68">
        <v>197</v>
      </c>
      <c r="CM262" s="68">
        <v>461</v>
      </c>
      <c r="CN262" s="68">
        <v>493</v>
      </c>
      <c r="CO262" s="68">
        <v>294</v>
      </c>
      <c r="CP262" s="68">
        <v>134</v>
      </c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  <c r="EE262" s="68"/>
      <c r="EF262" s="68"/>
      <c r="EG262" s="68"/>
      <c r="EH262" s="68"/>
      <c r="EI262" s="68"/>
      <c r="EJ262" s="68"/>
      <c r="EK262" s="68"/>
      <c r="EL262" s="68"/>
      <c r="EM262" s="68"/>
      <c r="EN262" s="68"/>
      <c r="EO262" s="68"/>
      <c r="EP262" s="68"/>
      <c r="EQ262" s="65">
        <f t="shared" si="26"/>
        <v>1600</v>
      </c>
      <c r="ER262" s="6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 t="s">
        <v>176</v>
      </c>
      <c r="FF262" s="15"/>
      <c r="FG262" s="15"/>
      <c r="FH262" s="1" t="str">
        <f t="shared" si="27"/>
        <v>710P006295024702110013</v>
      </c>
      <c r="FI262" s="1" t="str">
        <f t="shared" si="28"/>
        <v>PRLS/25/13281</v>
      </c>
      <c r="FJ262" s="38" t="e">
        <f>VLOOKUP(FH262,[1]Sheet3!$A:$D,4,0)</f>
        <v>#N/A</v>
      </c>
      <c r="FL262" s="13"/>
    </row>
    <row r="263" spans="1:168" ht="21" hidden="1" x14ac:dyDescent="0.25">
      <c r="A263" s="15" t="s">
        <v>861</v>
      </c>
      <c r="B263" s="15" t="s">
        <v>149</v>
      </c>
      <c r="C263" s="15" t="s">
        <v>625</v>
      </c>
      <c r="D263" s="15">
        <v>4702110009</v>
      </c>
      <c r="E263" s="15" t="s">
        <v>210</v>
      </c>
      <c r="F263" s="15" t="s">
        <v>152</v>
      </c>
      <c r="G263" s="15" t="s">
        <v>321</v>
      </c>
      <c r="H263" s="15" t="s">
        <v>340</v>
      </c>
      <c r="I263" s="15" t="s">
        <v>341</v>
      </c>
      <c r="J263" s="15" t="s">
        <v>771</v>
      </c>
      <c r="K263" s="15" t="s">
        <v>185</v>
      </c>
      <c r="L263" s="15" t="s">
        <v>342</v>
      </c>
      <c r="M263" s="15" t="s">
        <v>187</v>
      </c>
      <c r="N263" s="63">
        <v>300</v>
      </c>
      <c r="O263" s="15"/>
      <c r="P263" s="15">
        <v>36.68</v>
      </c>
      <c r="Q263" s="15"/>
      <c r="R263" s="15"/>
      <c r="S263" s="15" t="s">
        <v>304</v>
      </c>
      <c r="T263" s="15"/>
      <c r="U263" s="15"/>
      <c r="V263" s="15"/>
      <c r="W263" s="15"/>
      <c r="X263" s="15"/>
      <c r="Y263" s="15" t="s">
        <v>190</v>
      </c>
      <c r="Z263" s="15" t="s">
        <v>191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 t="s">
        <v>448</v>
      </c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61">
        <v>46090</v>
      </c>
      <c r="BE263" s="61" t="s">
        <v>192</v>
      </c>
      <c r="BF263" s="15" t="s">
        <v>171</v>
      </c>
      <c r="BG263" s="15" t="s">
        <v>199</v>
      </c>
      <c r="BH263" s="15" t="s">
        <v>171</v>
      </c>
      <c r="BI263" s="15" t="s">
        <v>199</v>
      </c>
      <c r="BJ263" s="15"/>
      <c r="BK263" s="15"/>
      <c r="BL263" s="15"/>
      <c r="BM263" s="15"/>
      <c r="BN263" s="15"/>
      <c r="BO263" s="64"/>
      <c r="BP263" s="64">
        <v>46142</v>
      </c>
      <c r="BQ263" s="15"/>
      <c r="BR263" s="15"/>
      <c r="BS263" s="64"/>
      <c r="BT263" s="64">
        <v>46152</v>
      </c>
      <c r="BU263" s="64">
        <v>46218</v>
      </c>
      <c r="BV263" s="15"/>
      <c r="BW263" s="64"/>
      <c r="BX263" s="68"/>
      <c r="BY263" s="68">
        <v>15</v>
      </c>
      <c r="BZ263" s="68">
        <v>40</v>
      </c>
      <c r="CA263" s="68">
        <v>61</v>
      </c>
      <c r="CB263" s="68">
        <v>59</v>
      </c>
      <c r="CC263" s="68">
        <v>51</v>
      </c>
      <c r="CD263" s="68">
        <v>37</v>
      </c>
      <c r="CE263" s="68">
        <v>26</v>
      </c>
      <c r="CF263" s="68">
        <v>9</v>
      </c>
      <c r="CG263" s="68">
        <v>2</v>
      </c>
      <c r="CH263" s="68"/>
      <c r="CI263" s="68"/>
      <c r="CJ263" s="68"/>
      <c r="CK263" s="15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  <c r="EE263" s="68"/>
      <c r="EF263" s="68"/>
      <c r="EG263" s="68"/>
      <c r="EH263" s="68"/>
      <c r="EI263" s="68"/>
      <c r="EJ263" s="68"/>
      <c r="EK263" s="68"/>
      <c r="EL263" s="68"/>
      <c r="EM263" s="68"/>
      <c r="EN263" s="68"/>
      <c r="EO263" s="68"/>
      <c r="EP263" s="68"/>
      <c r="EQ263" s="65">
        <f t="shared" si="26"/>
        <v>300</v>
      </c>
      <c r="ER263" s="6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 t="s">
        <v>176</v>
      </c>
      <c r="FF263" s="15"/>
      <c r="FG263" s="15"/>
      <c r="FH263" s="1" t="str">
        <f t="shared" si="27"/>
        <v>7129173240014702110009</v>
      </c>
      <c r="FI263" s="1" t="str">
        <f t="shared" si="28"/>
        <v>PRLS/25/13276</v>
      </c>
      <c r="FJ263" s="38" t="e">
        <f>VLOOKUP(FH263,[1]Sheet3!$A:$D,4,0)</f>
        <v>#N/A</v>
      </c>
      <c r="FL263" s="13"/>
    </row>
    <row r="264" spans="1:168" ht="21" hidden="1" x14ac:dyDescent="0.25">
      <c r="A264" s="15" t="s">
        <v>859</v>
      </c>
      <c r="B264" s="15" t="s">
        <v>149</v>
      </c>
      <c r="C264" s="15" t="s">
        <v>625</v>
      </c>
      <c r="D264" s="15" t="s">
        <v>856</v>
      </c>
      <c r="E264" s="15" t="s">
        <v>210</v>
      </c>
      <c r="F264" s="15" t="s">
        <v>152</v>
      </c>
      <c r="G264" s="15" t="s">
        <v>321</v>
      </c>
      <c r="H264" s="15" t="s">
        <v>848</v>
      </c>
      <c r="I264" s="15" t="s">
        <v>958</v>
      </c>
      <c r="J264" s="15" t="s">
        <v>849</v>
      </c>
      <c r="K264" s="15" t="s">
        <v>185</v>
      </c>
      <c r="L264" s="15" t="s">
        <v>405</v>
      </c>
      <c r="M264" s="15" t="s">
        <v>850</v>
      </c>
      <c r="N264" s="63">
        <v>1200</v>
      </c>
      <c r="O264" s="15"/>
      <c r="P264" s="15">
        <v>15.88</v>
      </c>
      <c r="Q264" s="15"/>
      <c r="R264" s="15"/>
      <c r="S264" s="15" t="s">
        <v>863</v>
      </c>
      <c r="T264" s="15"/>
      <c r="U264" s="15"/>
      <c r="V264" s="15"/>
      <c r="W264" s="15"/>
      <c r="X264" s="15"/>
      <c r="Y264" s="15" t="s">
        <v>190</v>
      </c>
      <c r="Z264" s="15" t="s">
        <v>201</v>
      </c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 t="s">
        <v>448</v>
      </c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61">
        <v>46104</v>
      </c>
      <c r="BE264" s="15" t="s">
        <v>864</v>
      </c>
      <c r="BF264" s="15" t="s">
        <v>219</v>
      </c>
      <c r="BG264" s="15" t="s">
        <v>199</v>
      </c>
      <c r="BH264" s="15" t="s">
        <v>199</v>
      </c>
      <c r="BI264" s="15" t="s">
        <v>171</v>
      </c>
      <c r="BJ264" s="15"/>
      <c r="BK264" s="15"/>
      <c r="BL264" s="15"/>
      <c r="BM264" s="15"/>
      <c r="BN264" s="15"/>
      <c r="BO264" s="64"/>
      <c r="BP264" s="64">
        <v>46142</v>
      </c>
      <c r="BQ264" s="15"/>
      <c r="BR264" s="15"/>
      <c r="BS264" s="64"/>
      <c r="BT264" s="64">
        <v>46152</v>
      </c>
      <c r="BU264" s="64">
        <v>46218</v>
      </c>
      <c r="BV264" s="15"/>
      <c r="BW264" s="64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15">
        <v>11</v>
      </c>
      <c r="CL264" s="68">
        <v>142</v>
      </c>
      <c r="CM264" s="68">
        <v>350</v>
      </c>
      <c r="CN264" s="68">
        <v>379</v>
      </c>
      <c r="CO264" s="68">
        <v>226</v>
      </c>
      <c r="CP264" s="68">
        <v>92</v>
      </c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  <c r="EE264" s="68"/>
      <c r="EF264" s="68"/>
      <c r="EG264" s="68"/>
      <c r="EH264" s="68"/>
      <c r="EI264" s="68"/>
      <c r="EJ264" s="68"/>
      <c r="EK264" s="68"/>
      <c r="EL264" s="68"/>
      <c r="EM264" s="68"/>
      <c r="EN264" s="68"/>
      <c r="EO264" s="68"/>
      <c r="EP264" s="68"/>
      <c r="EQ264" s="65">
        <f t="shared" si="26"/>
        <v>1200</v>
      </c>
      <c r="ER264" s="6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 t="s">
        <v>176</v>
      </c>
      <c r="FF264" s="15"/>
      <c r="FG264" s="15"/>
      <c r="FH264" s="1" t="str">
        <f t="shared" si="27"/>
        <v>710P006295024702110282</v>
      </c>
      <c r="FI264" s="1" t="str">
        <f t="shared" si="28"/>
        <v>PRLS/25/13499</v>
      </c>
      <c r="FJ264" s="38" t="e">
        <f>VLOOKUP(FH264,[1]Sheet3!$A:$D,4,0)</f>
        <v>#N/A</v>
      </c>
      <c r="FL264" s="13"/>
    </row>
    <row r="265" spans="1:168" ht="21" hidden="1" x14ac:dyDescent="0.25">
      <c r="A265" s="15" t="s">
        <v>876</v>
      </c>
      <c r="B265" s="15" t="s">
        <v>149</v>
      </c>
      <c r="C265" s="15" t="s">
        <v>660</v>
      </c>
      <c r="D265" s="15" t="s">
        <v>874</v>
      </c>
      <c r="E265" s="15" t="s">
        <v>257</v>
      </c>
      <c r="F265" s="15" t="s">
        <v>181</v>
      </c>
      <c r="G265" s="15" t="s">
        <v>321</v>
      </c>
      <c r="H265" s="15" t="s">
        <v>434</v>
      </c>
      <c r="I265" s="15" t="s">
        <v>432</v>
      </c>
      <c r="J265" s="15" t="s">
        <v>433</v>
      </c>
      <c r="K265" s="15" t="s">
        <v>258</v>
      </c>
      <c r="L265" s="15" t="s">
        <v>247</v>
      </c>
      <c r="M265" s="15" t="s">
        <v>198</v>
      </c>
      <c r="N265" s="63">
        <v>501</v>
      </c>
      <c r="O265" s="15"/>
      <c r="P265" s="15">
        <v>9.5</v>
      </c>
      <c r="Q265" s="15"/>
      <c r="R265" s="15"/>
      <c r="S265" s="15" t="s">
        <v>200</v>
      </c>
      <c r="T265" s="15"/>
      <c r="U265" s="15"/>
      <c r="V265" s="15"/>
      <c r="W265" s="15"/>
      <c r="X265" s="15"/>
      <c r="Y265" s="15" t="s">
        <v>162</v>
      </c>
      <c r="Z265" s="15" t="s">
        <v>1118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61">
        <v>46111</v>
      </c>
      <c r="BE265" s="61"/>
      <c r="BF265" s="15" t="s">
        <v>219</v>
      </c>
      <c r="BG265" s="15"/>
      <c r="BH265" s="15"/>
      <c r="BI265" s="15"/>
      <c r="BJ265" s="15"/>
      <c r="BK265" s="15"/>
      <c r="BL265" s="15"/>
      <c r="BM265" s="15"/>
      <c r="BN265" s="15"/>
      <c r="BO265" s="64"/>
      <c r="BP265" s="15"/>
      <c r="BQ265" s="15"/>
      <c r="BR265" s="15"/>
      <c r="BS265" s="64"/>
      <c r="BT265" s="64">
        <v>46152</v>
      </c>
      <c r="BU265" s="64">
        <v>46188</v>
      </c>
      <c r="BV265" s="15"/>
      <c r="BW265" s="64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15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  <c r="EE265" s="68"/>
      <c r="EF265" s="68"/>
      <c r="EG265" s="68">
        <v>60</v>
      </c>
      <c r="EH265" s="68">
        <v>80</v>
      </c>
      <c r="EI265" s="68">
        <v>88</v>
      </c>
      <c r="EJ265" s="68">
        <v>90</v>
      </c>
      <c r="EK265" s="68">
        <v>90</v>
      </c>
      <c r="EL265" s="68">
        <v>93</v>
      </c>
      <c r="EM265" s="68"/>
      <c r="EN265" s="68"/>
      <c r="EO265" s="68"/>
      <c r="EP265" s="68"/>
      <c r="EQ265" s="65">
        <f t="shared" si="26"/>
        <v>501</v>
      </c>
      <c r="ER265" s="6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 t="s">
        <v>202</v>
      </c>
      <c r="FF265" s="15"/>
      <c r="FG265" s="15"/>
      <c r="FH265" s="1" t="str">
        <f t="shared" si="27"/>
        <v>3229680980024702112444</v>
      </c>
      <c r="FI265" s="1" t="str">
        <f t="shared" si="28"/>
        <v>PRLS/25/13722</v>
      </c>
      <c r="FJ265" s="38" t="e">
        <f>VLOOKUP(FH265,[1]Sheet3!$A:$D,4,0)</f>
        <v>#N/A</v>
      </c>
      <c r="FL265" s="13"/>
    </row>
    <row r="266" spans="1:168" ht="21" hidden="1" x14ac:dyDescent="0.25">
      <c r="A266" s="15" t="s">
        <v>877</v>
      </c>
      <c r="B266" s="15" t="s">
        <v>149</v>
      </c>
      <c r="C266" s="15" t="s">
        <v>660</v>
      </c>
      <c r="D266" s="15" t="s">
        <v>874</v>
      </c>
      <c r="E266" s="15" t="s">
        <v>257</v>
      </c>
      <c r="F266" s="15" t="s">
        <v>181</v>
      </c>
      <c r="G266" s="15" t="s">
        <v>321</v>
      </c>
      <c r="H266" s="15" t="s">
        <v>435</v>
      </c>
      <c r="I266" s="15" t="s">
        <v>432</v>
      </c>
      <c r="J266" s="15" t="s">
        <v>433</v>
      </c>
      <c r="K266" s="15" t="s">
        <v>258</v>
      </c>
      <c r="L266" s="15" t="s">
        <v>247</v>
      </c>
      <c r="M266" s="15" t="s">
        <v>187</v>
      </c>
      <c r="N266" s="63">
        <v>60</v>
      </c>
      <c r="O266" s="15"/>
      <c r="P266" s="15">
        <v>8.26</v>
      </c>
      <c r="Q266" s="15"/>
      <c r="R266" s="15"/>
      <c r="S266" s="15" t="s">
        <v>200</v>
      </c>
      <c r="T266" s="15"/>
      <c r="U266" s="15"/>
      <c r="V266" s="15"/>
      <c r="W266" s="15"/>
      <c r="X266" s="15"/>
      <c r="Y266" s="15" t="s">
        <v>162</v>
      </c>
      <c r="Z266" s="15" t="s">
        <v>1118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61">
        <v>46105</v>
      </c>
      <c r="BE266" s="61" t="s">
        <v>864</v>
      </c>
      <c r="BF266" s="15" t="s">
        <v>219</v>
      </c>
      <c r="BG266" s="15" t="s">
        <v>199</v>
      </c>
      <c r="BH266" s="15" t="s">
        <v>199</v>
      </c>
      <c r="BI266" s="15" t="s">
        <v>171</v>
      </c>
      <c r="BJ266" s="15"/>
      <c r="BK266" s="15"/>
      <c r="BL266" s="15"/>
      <c r="BM266" s="15"/>
      <c r="BN266" s="15"/>
      <c r="BO266" s="64"/>
      <c r="BP266" s="15"/>
      <c r="BQ266" s="15"/>
      <c r="BR266" s="15"/>
      <c r="BS266" s="64"/>
      <c r="BT266" s="64">
        <v>46152</v>
      </c>
      <c r="BU266" s="64">
        <v>46188</v>
      </c>
      <c r="BV266" s="15"/>
      <c r="BW266" s="64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15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  <c r="EE266" s="68"/>
      <c r="EF266" s="68"/>
      <c r="EG266" s="68">
        <v>60</v>
      </c>
      <c r="EH266" s="68"/>
      <c r="EI266" s="68"/>
      <c r="EJ266" s="68"/>
      <c r="EK266" s="68"/>
      <c r="EL266" s="68"/>
      <c r="EM266" s="68"/>
      <c r="EN266" s="68"/>
      <c r="EO266" s="68"/>
      <c r="EP266" s="68"/>
      <c r="EQ266" s="65">
        <f t="shared" si="26"/>
        <v>60</v>
      </c>
      <c r="ER266" s="6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 t="s">
        <v>202</v>
      </c>
      <c r="FF266" s="15"/>
      <c r="FG266" s="15"/>
      <c r="FH266" s="1" t="str">
        <f t="shared" si="27"/>
        <v>3229680980034702112444</v>
      </c>
      <c r="FI266" s="1" t="str">
        <f t="shared" si="28"/>
        <v>PRLS/25/13723</v>
      </c>
      <c r="FJ266" s="38" t="e">
        <f>VLOOKUP(FH266,[1]Sheet3!$A:$D,4,0)</f>
        <v>#N/A</v>
      </c>
      <c r="FL266" s="13"/>
    </row>
    <row r="267" spans="1:168" ht="21" hidden="1" x14ac:dyDescent="0.25">
      <c r="A267" s="15" t="s">
        <v>878</v>
      </c>
      <c r="B267" s="15" t="s">
        <v>149</v>
      </c>
      <c r="C267" s="15" t="s">
        <v>660</v>
      </c>
      <c r="D267" s="15" t="s">
        <v>875</v>
      </c>
      <c r="E267" s="15" t="s">
        <v>257</v>
      </c>
      <c r="F267" s="15" t="s">
        <v>181</v>
      </c>
      <c r="G267" s="15" t="s">
        <v>321</v>
      </c>
      <c r="H267" s="15" t="s">
        <v>436</v>
      </c>
      <c r="I267" s="15" t="s">
        <v>437</v>
      </c>
      <c r="J267" s="15" t="s">
        <v>433</v>
      </c>
      <c r="K267" s="15" t="s">
        <v>258</v>
      </c>
      <c r="L267" s="15" t="s">
        <v>247</v>
      </c>
      <c r="M267" s="15" t="s">
        <v>198</v>
      </c>
      <c r="N267" s="63">
        <v>650</v>
      </c>
      <c r="O267" s="15"/>
      <c r="P267" s="15">
        <v>12.37</v>
      </c>
      <c r="Q267" s="15"/>
      <c r="R267" s="15"/>
      <c r="S267" s="15" t="s">
        <v>200</v>
      </c>
      <c r="T267" s="15"/>
      <c r="U267" s="15"/>
      <c r="V267" s="15"/>
      <c r="W267" s="15"/>
      <c r="X267" s="15"/>
      <c r="Y267" s="15" t="s">
        <v>162</v>
      </c>
      <c r="Z267" s="15" t="s">
        <v>1118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61">
        <v>46111</v>
      </c>
      <c r="BE267" s="61"/>
      <c r="BF267" s="15" t="s">
        <v>219</v>
      </c>
      <c r="BG267" s="15"/>
      <c r="BH267" s="15"/>
      <c r="BI267" s="15"/>
      <c r="BJ267" s="15"/>
      <c r="BK267" s="15"/>
      <c r="BL267" s="15"/>
      <c r="BM267" s="15"/>
      <c r="BN267" s="15"/>
      <c r="BO267" s="64"/>
      <c r="BP267" s="15"/>
      <c r="BQ267" s="15"/>
      <c r="BR267" s="15"/>
      <c r="BS267" s="64"/>
      <c r="BT267" s="64">
        <v>46152</v>
      </c>
      <c r="BU267" s="64">
        <v>46188</v>
      </c>
      <c r="BV267" s="15"/>
      <c r="BW267" s="64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15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  <c r="EE267" s="68"/>
      <c r="EF267" s="68"/>
      <c r="EG267" s="68"/>
      <c r="EH267" s="68"/>
      <c r="EI267" s="68"/>
      <c r="EJ267" s="68"/>
      <c r="EK267" s="68"/>
      <c r="EL267" s="68"/>
      <c r="EM267" s="68">
        <v>90</v>
      </c>
      <c r="EN267" s="68">
        <v>140</v>
      </c>
      <c r="EO267" s="68">
        <v>420</v>
      </c>
      <c r="EP267" s="68"/>
      <c r="EQ267" s="65">
        <f t="shared" si="26"/>
        <v>650</v>
      </c>
      <c r="ER267" s="6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 t="s">
        <v>202</v>
      </c>
      <c r="FF267" s="15"/>
      <c r="FG267" s="15"/>
      <c r="FH267" s="1" t="str">
        <f t="shared" si="27"/>
        <v>3239680980024702112445</v>
      </c>
      <c r="FI267" s="1" t="str">
        <f t="shared" si="28"/>
        <v>PRLS/25/13724</v>
      </c>
      <c r="FJ267" s="38" t="e">
        <f>VLOOKUP(FH267,[1]Sheet3!$A:$D,4,0)</f>
        <v>#N/A</v>
      </c>
      <c r="FL267" s="13"/>
    </row>
    <row r="268" spans="1:168" ht="21" hidden="1" x14ac:dyDescent="0.25">
      <c r="A268" s="15" t="s">
        <v>877</v>
      </c>
      <c r="B268" s="15" t="s">
        <v>149</v>
      </c>
      <c r="C268" s="15" t="s">
        <v>660</v>
      </c>
      <c r="D268" s="15" t="s">
        <v>874</v>
      </c>
      <c r="E268" s="15" t="s">
        <v>257</v>
      </c>
      <c r="F268" s="15" t="s">
        <v>181</v>
      </c>
      <c r="G268" s="15" t="s">
        <v>321</v>
      </c>
      <c r="H268" s="15" t="s">
        <v>435</v>
      </c>
      <c r="I268" s="15" t="s">
        <v>432</v>
      </c>
      <c r="J268" s="15" t="s">
        <v>433</v>
      </c>
      <c r="K268" s="15" t="s">
        <v>258</v>
      </c>
      <c r="L268" s="15" t="s">
        <v>247</v>
      </c>
      <c r="M268" s="15" t="s">
        <v>187</v>
      </c>
      <c r="N268" s="63">
        <v>441</v>
      </c>
      <c r="O268" s="15"/>
      <c r="P268" s="15">
        <v>8.26</v>
      </c>
      <c r="Q268" s="15"/>
      <c r="R268" s="15"/>
      <c r="S268" s="15" t="s">
        <v>200</v>
      </c>
      <c r="T268" s="15"/>
      <c r="U268" s="15"/>
      <c r="V268" s="15"/>
      <c r="W268" s="15"/>
      <c r="X268" s="15"/>
      <c r="Y268" s="15" t="s">
        <v>162</v>
      </c>
      <c r="Z268" s="15" t="s">
        <v>1118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61">
        <v>46105</v>
      </c>
      <c r="BE268" s="61" t="s">
        <v>864</v>
      </c>
      <c r="BF268" s="15" t="s">
        <v>219</v>
      </c>
      <c r="BG268" s="15" t="s">
        <v>199</v>
      </c>
      <c r="BH268" s="15" t="s">
        <v>199</v>
      </c>
      <c r="BI268" s="15" t="s">
        <v>171</v>
      </c>
      <c r="BJ268" s="15"/>
      <c r="BK268" s="15"/>
      <c r="BL268" s="15"/>
      <c r="BM268" s="15"/>
      <c r="BN268" s="15"/>
      <c r="BO268" s="64"/>
      <c r="BP268" s="15"/>
      <c r="BQ268" s="15"/>
      <c r="BR268" s="15"/>
      <c r="BS268" s="64"/>
      <c r="BT268" s="64">
        <v>46145</v>
      </c>
      <c r="BU268" s="64">
        <v>46188</v>
      </c>
      <c r="BV268" s="15"/>
      <c r="BW268" s="64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15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  <c r="EE268" s="68"/>
      <c r="EF268" s="68"/>
      <c r="EG268" s="68"/>
      <c r="EH268" s="68">
        <v>80</v>
      </c>
      <c r="EI268" s="68">
        <v>88</v>
      </c>
      <c r="EJ268" s="68">
        <v>90</v>
      </c>
      <c r="EK268" s="68">
        <v>90</v>
      </c>
      <c r="EL268" s="68">
        <v>93</v>
      </c>
      <c r="EM268" s="68"/>
      <c r="EN268" s="68"/>
      <c r="EO268" s="68"/>
      <c r="EP268" s="68"/>
      <c r="EQ268" s="65">
        <f t="shared" si="26"/>
        <v>441</v>
      </c>
      <c r="ER268" s="6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 t="s">
        <v>202</v>
      </c>
      <c r="FF268" s="15"/>
      <c r="FG268" s="15"/>
      <c r="FH268" s="1" t="str">
        <f t="shared" si="27"/>
        <v>3229680980034702112444</v>
      </c>
      <c r="FI268" s="1" t="str">
        <f t="shared" si="28"/>
        <v>PRLS/25/13723</v>
      </c>
      <c r="FJ268" s="38" t="e">
        <f>VLOOKUP(FH268,[1]Sheet3!$A:$D,4,0)</f>
        <v>#N/A</v>
      </c>
      <c r="FL268" s="13"/>
    </row>
    <row r="269" spans="1:168" ht="21" hidden="1" x14ac:dyDescent="0.25">
      <c r="A269" s="15" t="s">
        <v>878</v>
      </c>
      <c r="B269" s="15" t="s">
        <v>149</v>
      </c>
      <c r="C269" s="15" t="s">
        <v>660</v>
      </c>
      <c r="D269" s="15" t="s">
        <v>875</v>
      </c>
      <c r="E269" s="15" t="s">
        <v>257</v>
      </c>
      <c r="F269" s="15" t="s">
        <v>181</v>
      </c>
      <c r="G269" s="15" t="s">
        <v>321</v>
      </c>
      <c r="H269" s="15" t="s">
        <v>436</v>
      </c>
      <c r="I269" s="15" t="s">
        <v>437</v>
      </c>
      <c r="J269" s="15" t="s">
        <v>433</v>
      </c>
      <c r="K269" s="15" t="s">
        <v>258</v>
      </c>
      <c r="L269" s="15" t="s">
        <v>247</v>
      </c>
      <c r="M269" s="15" t="s">
        <v>198</v>
      </c>
      <c r="N269" s="63">
        <v>350</v>
      </c>
      <c r="O269" s="15"/>
      <c r="P269" s="15">
        <v>12.37</v>
      </c>
      <c r="Q269" s="15"/>
      <c r="R269" s="15"/>
      <c r="S269" s="15" t="s">
        <v>200</v>
      </c>
      <c r="T269" s="15"/>
      <c r="U269" s="15"/>
      <c r="V269" s="15"/>
      <c r="W269" s="15"/>
      <c r="X269" s="15"/>
      <c r="Y269" s="15" t="s">
        <v>162</v>
      </c>
      <c r="Z269" s="15" t="s">
        <v>1118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61">
        <v>46111</v>
      </c>
      <c r="BE269" s="61" t="s">
        <v>864</v>
      </c>
      <c r="BF269" s="15" t="s">
        <v>219</v>
      </c>
      <c r="BG269" s="15" t="s">
        <v>199</v>
      </c>
      <c r="BH269" s="15" t="s">
        <v>199</v>
      </c>
      <c r="BI269" s="15" t="s">
        <v>171</v>
      </c>
      <c r="BJ269" s="15"/>
      <c r="BK269" s="15"/>
      <c r="BL269" s="15"/>
      <c r="BM269" s="15"/>
      <c r="BN269" s="15"/>
      <c r="BO269" s="64"/>
      <c r="BP269" s="15"/>
      <c r="BQ269" s="15"/>
      <c r="BR269" s="15"/>
      <c r="BS269" s="64"/>
      <c r="BT269" s="64">
        <v>46152</v>
      </c>
      <c r="BU269" s="64">
        <v>46188</v>
      </c>
      <c r="BV269" s="15"/>
      <c r="BW269" s="64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15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  <c r="EE269" s="68"/>
      <c r="EF269" s="68"/>
      <c r="EG269" s="68"/>
      <c r="EH269" s="68"/>
      <c r="EI269" s="68"/>
      <c r="EJ269" s="68"/>
      <c r="EK269" s="68"/>
      <c r="EL269" s="68"/>
      <c r="EM269" s="68"/>
      <c r="EN269" s="68"/>
      <c r="EO269" s="68"/>
      <c r="EP269" s="68">
        <v>350</v>
      </c>
      <c r="EQ269" s="65">
        <f t="shared" si="26"/>
        <v>350</v>
      </c>
      <c r="ER269" s="6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 t="s">
        <v>202</v>
      </c>
      <c r="FF269" s="15"/>
      <c r="FG269" s="15"/>
      <c r="FH269" s="1" t="str">
        <f t="shared" si="27"/>
        <v>3239680980024702112445</v>
      </c>
      <c r="FI269" s="1" t="str">
        <f t="shared" si="28"/>
        <v>PRLS/25/13724</v>
      </c>
      <c r="FJ269" s="38" t="e">
        <f>VLOOKUP(FH269,[1]Sheet3!$A:$D,4,0)</f>
        <v>#N/A</v>
      </c>
      <c r="FL269" s="13"/>
    </row>
    <row r="270" spans="1:168" ht="21" hidden="1" x14ac:dyDescent="0.25">
      <c r="A270" s="15" t="s">
        <v>879</v>
      </c>
      <c r="B270" s="15" t="s">
        <v>149</v>
      </c>
      <c r="C270" s="15" t="s">
        <v>660</v>
      </c>
      <c r="D270" s="15" t="s">
        <v>875</v>
      </c>
      <c r="E270" s="15" t="s">
        <v>257</v>
      </c>
      <c r="F270" s="15" t="s">
        <v>181</v>
      </c>
      <c r="G270" s="15" t="s">
        <v>321</v>
      </c>
      <c r="H270" s="15" t="s">
        <v>438</v>
      </c>
      <c r="I270" s="15" t="s">
        <v>437</v>
      </c>
      <c r="J270" s="15" t="s">
        <v>433</v>
      </c>
      <c r="K270" s="15" t="s">
        <v>258</v>
      </c>
      <c r="L270" s="15" t="s">
        <v>247</v>
      </c>
      <c r="M270" s="15" t="s">
        <v>187</v>
      </c>
      <c r="N270" s="63">
        <v>4000</v>
      </c>
      <c r="O270" s="15"/>
      <c r="P270" s="15">
        <v>10.63</v>
      </c>
      <c r="Q270" s="15"/>
      <c r="R270" s="15"/>
      <c r="S270" s="15" t="s">
        <v>200</v>
      </c>
      <c r="T270" s="15"/>
      <c r="U270" s="15"/>
      <c r="V270" s="15"/>
      <c r="W270" s="15"/>
      <c r="X270" s="15"/>
      <c r="Y270" s="15" t="s">
        <v>162</v>
      </c>
      <c r="Z270" s="15" t="s">
        <v>1118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61">
        <v>46105</v>
      </c>
      <c r="BE270" s="61" t="s">
        <v>864</v>
      </c>
      <c r="BF270" s="15" t="s">
        <v>219</v>
      </c>
      <c r="BG270" s="15" t="s">
        <v>199</v>
      </c>
      <c r="BH270" s="15" t="s">
        <v>199</v>
      </c>
      <c r="BI270" s="15" t="s">
        <v>171</v>
      </c>
      <c r="BJ270" s="15"/>
      <c r="BK270" s="15"/>
      <c r="BL270" s="15"/>
      <c r="BM270" s="15"/>
      <c r="BN270" s="15"/>
      <c r="BO270" s="64"/>
      <c r="BP270" s="15"/>
      <c r="BQ270" s="15"/>
      <c r="BR270" s="15"/>
      <c r="BS270" s="64"/>
      <c r="BT270" s="64">
        <v>46145</v>
      </c>
      <c r="BU270" s="64">
        <v>46188</v>
      </c>
      <c r="BV270" s="15"/>
      <c r="BW270" s="64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15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  <c r="EE270" s="68"/>
      <c r="EF270" s="68"/>
      <c r="EG270" s="68"/>
      <c r="EH270" s="68"/>
      <c r="EI270" s="68"/>
      <c r="EJ270" s="68"/>
      <c r="EK270" s="68"/>
      <c r="EL270" s="68"/>
      <c r="EM270" s="68">
        <v>360</v>
      </c>
      <c r="EN270" s="68">
        <v>560</v>
      </c>
      <c r="EO270" s="68">
        <v>1680</v>
      </c>
      <c r="EP270" s="68">
        <v>1400</v>
      </c>
      <c r="EQ270" s="65">
        <f t="shared" si="26"/>
        <v>4000</v>
      </c>
      <c r="ER270" s="6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 t="s">
        <v>202</v>
      </c>
      <c r="FF270" s="15"/>
      <c r="FG270" s="15"/>
      <c r="FH270" s="1" t="str">
        <f t="shared" si="27"/>
        <v>3239680980034702112445</v>
      </c>
      <c r="FI270" s="1" t="str">
        <f t="shared" si="28"/>
        <v>PRLS/25/13725</v>
      </c>
      <c r="FJ270" s="38" t="e">
        <f>VLOOKUP(FH270,[1]Sheet3!$A:$D,4,0)</f>
        <v>#N/A</v>
      </c>
      <c r="FL270" s="13"/>
    </row>
    <row r="271" spans="1:168" ht="21" hidden="1" x14ac:dyDescent="0.25">
      <c r="A271" s="15" t="s">
        <v>894</v>
      </c>
      <c r="B271" s="15" t="s">
        <v>149</v>
      </c>
      <c r="C271" s="15" t="s">
        <v>625</v>
      </c>
      <c r="D271" s="15" t="s">
        <v>887</v>
      </c>
      <c r="E271" s="15" t="s">
        <v>257</v>
      </c>
      <c r="F271" s="15" t="s">
        <v>181</v>
      </c>
      <c r="G271" s="15" t="s">
        <v>321</v>
      </c>
      <c r="H271" s="15" t="s">
        <v>884</v>
      </c>
      <c r="I271" s="15" t="s">
        <v>715</v>
      </c>
      <c r="J271" s="15" t="s">
        <v>630</v>
      </c>
      <c r="K271" s="15"/>
      <c r="L271" s="15" t="s">
        <v>247</v>
      </c>
      <c r="M271" s="15" t="s">
        <v>880</v>
      </c>
      <c r="N271" s="63">
        <v>3580</v>
      </c>
      <c r="O271" s="15"/>
      <c r="P271" s="15">
        <v>12.51</v>
      </c>
      <c r="Q271" s="15"/>
      <c r="R271" s="15"/>
      <c r="S271" s="15" t="s">
        <v>235</v>
      </c>
      <c r="T271" s="15"/>
      <c r="U271" s="15"/>
      <c r="V271" s="15"/>
      <c r="W271" s="15"/>
      <c r="X271" s="15"/>
      <c r="Y271" s="15" t="s">
        <v>320</v>
      </c>
      <c r="Z271" s="15" t="s">
        <v>191</v>
      </c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 t="s">
        <v>448</v>
      </c>
      <c r="AT271" s="15"/>
      <c r="AU271" s="15"/>
      <c r="AV271" s="15"/>
      <c r="AW271" s="15"/>
      <c r="AX271" s="15"/>
      <c r="AY271" s="15"/>
      <c r="AZ271" s="15"/>
      <c r="BA271" s="15"/>
      <c r="BB271" s="15"/>
      <c r="BC271" s="15" t="s">
        <v>1039</v>
      </c>
      <c r="BD271" s="61">
        <v>46098</v>
      </c>
      <c r="BE271" s="61"/>
      <c r="BF271" s="15" t="s">
        <v>199</v>
      </c>
      <c r="BG271" s="15" t="s">
        <v>171</v>
      </c>
      <c r="BH271" s="15" t="s">
        <v>171</v>
      </c>
      <c r="BI271" s="15" t="s">
        <v>171</v>
      </c>
      <c r="BJ271" s="15"/>
      <c r="BK271" s="15"/>
      <c r="BL271" s="15"/>
      <c r="BM271" s="15"/>
      <c r="BN271" s="15"/>
      <c r="BO271" s="64"/>
      <c r="BP271" s="15"/>
      <c r="BQ271" s="15"/>
      <c r="BR271" s="15"/>
      <c r="BS271" s="64"/>
      <c r="BT271" s="64">
        <v>46138</v>
      </c>
      <c r="BU271" s="64">
        <v>46218</v>
      </c>
      <c r="BV271" s="15"/>
      <c r="BW271" s="64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15"/>
      <c r="CL271" s="68">
        <v>382</v>
      </c>
      <c r="CM271" s="68">
        <v>1003</v>
      </c>
      <c r="CN271" s="68">
        <v>1182</v>
      </c>
      <c r="CO271" s="68">
        <v>686</v>
      </c>
      <c r="CP271" s="68">
        <v>327</v>
      </c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8"/>
      <c r="DE271" s="68"/>
      <c r="DF271" s="68"/>
      <c r="DG271" s="68"/>
      <c r="DH271" s="68"/>
      <c r="DI271" s="68"/>
      <c r="DJ271" s="68"/>
      <c r="DK271" s="68"/>
      <c r="DL271" s="68"/>
      <c r="DM271" s="68"/>
      <c r="DN271" s="68"/>
      <c r="DO271" s="68"/>
      <c r="DP271" s="68"/>
      <c r="DQ271" s="68"/>
      <c r="DR271" s="68"/>
      <c r="DS271" s="68"/>
      <c r="DT271" s="68"/>
      <c r="DU271" s="68"/>
      <c r="DV271" s="68"/>
      <c r="DW271" s="68"/>
      <c r="DX271" s="68"/>
      <c r="DY271" s="68"/>
      <c r="DZ271" s="68"/>
      <c r="EA271" s="68"/>
      <c r="EB271" s="68"/>
      <c r="EC271" s="68"/>
      <c r="ED271" s="68"/>
      <c r="EE271" s="68"/>
      <c r="EF271" s="68"/>
      <c r="EG271" s="68"/>
      <c r="EH271" s="68"/>
      <c r="EI271" s="68"/>
      <c r="EJ271" s="68"/>
      <c r="EK271" s="68"/>
      <c r="EL271" s="68"/>
      <c r="EM271" s="68"/>
      <c r="EN271" s="68"/>
      <c r="EO271" s="68"/>
      <c r="EP271" s="68"/>
      <c r="EQ271" s="65">
        <f t="shared" si="26"/>
        <v>3580</v>
      </c>
      <c r="ER271" s="6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 t="s">
        <v>176</v>
      </c>
      <c r="FF271" s="15"/>
      <c r="FG271" s="15"/>
      <c r="FH271" s="1" t="str">
        <f t="shared" si="27"/>
        <v>710B293670044702111952</v>
      </c>
      <c r="FI271" s="1" t="str">
        <f t="shared" si="28"/>
        <v>PRLS/25/13463</v>
      </c>
      <c r="FJ271" s="38" t="e">
        <f>VLOOKUP(FH271,[1]Sheet3!$A:$D,4,0)</f>
        <v>#N/A</v>
      </c>
      <c r="FL271" s="13"/>
    </row>
    <row r="272" spans="1:168" ht="21" hidden="1" x14ac:dyDescent="0.25">
      <c r="A272" s="15" t="s">
        <v>895</v>
      </c>
      <c r="B272" s="15" t="s">
        <v>149</v>
      </c>
      <c r="C272" s="15" t="s">
        <v>625</v>
      </c>
      <c r="D272" s="15" t="s">
        <v>888</v>
      </c>
      <c r="E272" s="15" t="s">
        <v>257</v>
      </c>
      <c r="F272" s="15" t="s">
        <v>181</v>
      </c>
      <c r="G272" s="15" t="s">
        <v>321</v>
      </c>
      <c r="H272" s="15" t="s">
        <v>885</v>
      </c>
      <c r="I272" s="15" t="s">
        <v>966</v>
      </c>
      <c r="J272" s="15" t="s">
        <v>630</v>
      </c>
      <c r="K272" s="15"/>
      <c r="L272" s="15" t="s">
        <v>375</v>
      </c>
      <c r="M272" s="15" t="s">
        <v>881</v>
      </c>
      <c r="N272" s="63">
        <v>3120</v>
      </c>
      <c r="O272" s="15"/>
      <c r="P272" s="15">
        <v>12.51</v>
      </c>
      <c r="Q272" s="15"/>
      <c r="R272" s="15"/>
      <c r="S272" s="15" t="s">
        <v>235</v>
      </c>
      <c r="T272" s="15"/>
      <c r="U272" s="15"/>
      <c r="V272" s="15"/>
      <c r="W272" s="15"/>
      <c r="X272" s="15"/>
      <c r="Y272" s="15" t="s">
        <v>320</v>
      </c>
      <c r="Z272" s="15" t="s">
        <v>191</v>
      </c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 t="e">
        <v>#N/A</v>
      </c>
      <c r="AT272" s="15"/>
      <c r="AU272" s="15"/>
      <c r="AV272" s="15"/>
      <c r="AW272" s="15"/>
      <c r="AX272" s="15"/>
      <c r="AY272" s="15"/>
      <c r="AZ272" s="15"/>
      <c r="BA272" s="15"/>
      <c r="BB272" s="15"/>
      <c r="BC272" s="15" t="s">
        <v>1039</v>
      </c>
      <c r="BD272" s="61">
        <v>46098</v>
      </c>
      <c r="BE272" s="61"/>
      <c r="BF272" s="15" t="s">
        <v>171</v>
      </c>
      <c r="BG272" s="15" t="s">
        <v>171</v>
      </c>
      <c r="BH272" s="15" t="s">
        <v>171</v>
      </c>
      <c r="BI272" s="15" t="s">
        <v>171</v>
      </c>
      <c r="BJ272" s="15"/>
      <c r="BK272" s="15"/>
      <c r="BL272" s="15"/>
      <c r="BM272" s="15"/>
      <c r="BN272" s="15"/>
      <c r="BO272" s="64"/>
      <c r="BP272" s="15"/>
      <c r="BQ272" s="15"/>
      <c r="BR272" s="15"/>
      <c r="BS272" s="64"/>
      <c r="BT272" s="64">
        <v>46138</v>
      </c>
      <c r="BU272" s="64">
        <v>46218</v>
      </c>
      <c r="BV272" s="15"/>
      <c r="BW272" s="64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15"/>
      <c r="CL272" s="68">
        <v>333</v>
      </c>
      <c r="CM272" s="68">
        <v>874</v>
      </c>
      <c r="CN272" s="68">
        <v>1030</v>
      </c>
      <c r="CO272" s="68">
        <v>598</v>
      </c>
      <c r="CP272" s="68">
        <v>285</v>
      </c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5">
        <f t="shared" si="26"/>
        <v>3120</v>
      </c>
      <c r="ER272" s="6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 t="s">
        <v>176</v>
      </c>
      <c r="FF272" s="15"/>
      <c r="FG272" s="15"/>
      <c r="FH272" s="1" t="str">
        <f t="shared" si="27"/>
        <v>710B293680014702111955</v>
      </c>
      <c r="FI272" s="1" t="str">
        <f t="shared" si="28"/>
        <v>PRLS/25/13465</v>
      </c>
      <c r="FJ272" s="38" t="e">
        <f>VLOOKUP(FH272,[1]Sheet3!$A:$D,4,0)</f>
        <v>#N/A</v>
      </c>
      <c r="FL272" s="13"/>
    </row>
    <row r="273" spans="1:168" ht="21" hidden="1" x14ac:dyDescent="0.25">
      <c r="A273" s="15" t="s">
        <v>894</v>
      </c>
      <c r="B273" s="15" t="s">
        <v>149</v>
      </c>
      <c r="C273" s="15" t="s">
        <v>625</v>
      </c>
      <c r="D273" s="15" t="s">
        <v>889</v>
      </c>
      <c r="E273" s="15" t="s">
        <v>257</v>
      </c>
      <c r="F273" s="15" t="s">
        <v>181</v>
      </c>
      <c r="G273" s="15" t="s">
        <v>374</v>
      </c>
      <c r="H273" s="15" t="s">
        <v>884</v>
      </c>
      <c r="I273" s="15" t="s">
        <v>715</v>
      </c>
      <c r="J273" s="15" t="s">
        <v>630</v>
      </c>
      <c r="K273" s="15"/>
      <c r="L273" s="15" t="s">
        <v>247</v>
      </c>
      <c r="M273" s="15" t="s">
        <v>880</v>
      </c>
      <c r="N273" s="63">
        <v>100</v>
      </c>
      <c r="O273" s="15"/>
      <c r="P273" s="15">
        <v>12.51</v>
      </c>
      <c r="Q273" s="15"/>
      <c r="R273" s="15"/>
      <c r="S273" s="15" t="s">
        <v>235</v>
      </c>
      <c r="T273" s="15"/>
      <c r="U273" s="15"/>
      <c r="V273" s="15"/>
      <c r="W273" s="15"/>
      <c r="X273" s="15"/>
      <c r="Y273" s="15" t="s">
        <v>320</v>
      </c>
      <c r="Z273" s="15" t="s">
        <v>191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 t="s">
        <v>448</v>
      </c>
      <c r="AT273" s="15"/>
      <c r="AU273" s="15"/>
      <c r="AV273" s="15"/>
      <c r="AW273" s="15"/>
      <c r="AX273" s="15"/>
      <c r="AY273" s="15"/>
      <c r="AZ273" s="15"/>
      <c r="BA273" s="15"/>
      <c r="BB273" s="15"/>
      <c r="BC273" s="15" t="s">
        <v>1039</v>
      </c>
      <c r="BD273" s="61">
        <v>46098</v>
      </c>
      <c r="BE273" s="61"/>
      <c r="BF273" s="15" t="s">
        <v>199</v>
      </c>
      <c r="BG273" s="15" t="s">
        <v>171</v>
      </c>
      <c r="BH273" s="15" t="s">
        <v>171</v>
      </c>
      <c r="BI273" s="15" t="s">
        <v>171</v>
      </c>
      <c r="BJ273" s="15"/>
      <c r="BK273" s="15"/>
      <c r="BL273" s="15"/>
      <c r="BM273" s="15"/>
      <c r="BN273" s="15"/>
      <c r="BO273" s="64"/>
      <c r="BP273" s="15"/>
      <c r="BQ273" s="15"/>
      <c r="BR273" s="15"/>
      <c r="BS273" s="64"/>
      <c r="BT273" s="64">
        <v>46138</v>
      </c>
      <c r="BU273" s="64">
        <v>46218</v>
      </c>
      <c r="BV273" s="15"/>
      <c r="BW273" s="64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15"/>
      <c r="CL273" s="68">
        <v>11</v>
      </c>
      <c r="CM273" s="68">
        <v>28</v>
      </c>
      <c r="CN273" s="68">
        <v>33</v>
      </c>
      <c r="CO273" s="68">
        <v>19</v>
      </c>
      <c r="CP273" s="68">
        <v>9</v>
      </c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5">
        <f t="shared" si="26"/>
        <v>100</v>
      </c>
      <c r="ER273" s="6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 t="s">
        <v>176</v>
      </c>
      <c r="FF273" s="15"/>
      <c r="FG273" s="15"/>
      <c r="FH273" s="1" t="str">
        <f t="shared" si="27"/>
        <v>710B293670044702111953</v>
      </c>
      <c r="FI273" s="1" t="str">
        <f t="shared" si="28"/>
        <v>PRLS/25/13463</v>
      </c>
      <c r="FJ273" s="38" t="e">
        <f>VLOOKUP(FH273,[1]Sheet3!$A:$D,4,0)</f>
        <v>#N/A</v>
      </c>
      <c r="FL273" s="13"/>
    </row>
    <row r="274" spans="1:168" ht="21" hidden="1" x14ac:dyDescent="0.25">
      <c r="A274" s="15" t="s">
        <v>895</v>
      </c>
      <c r="B274" s="15" t="s">
        <v>149</v>
      </c>
      <c r="C274" s="15" t="s">
        <v>625</v>
      </c>
      <c r="D274" s="15" t="s">
        <v>890</v>
      </c>
      <c r="E274" s="15" t="s">
        <v>257</v>
      </c>
      <c r="F274" s="15" t="s">
        <v>181</v>
      </c>
      <c r="G274" s="15" t="s">
        <v>374</v>
      </c>
      <c r="H274" s="15" t="s">
        <v>885</v>
      </c>
      <c r="I274" s="15" t="s">
        <v>966</v>
      </c>
      <c r="J274" s="15" t="s">
        <v>630</v>
      </c>
      <c r="K274" s="15"/>
      <c r="L274" s="15" t="s">
        <v>375</v>
      </c>
      <c r="M274" s="15" t="s">
        <v>881</v>
      </c>
      <c r="N274" s="63">
        <v>100</v>
      </c>
      <c r="O274" s="15"/>
      <c r="P274" s="15">
        <v>12.51</v>
      </c>
      <c r="Q274" s="15"/>
      <c r="R274" s="15"/>
      <c r="S274" s="15" t="s">
        <v>235</v>
      </c>
      <c r="T274" s="15"/>
      <c r="U274" s="15"/>
      <c r="V274" s="15"/>
      <c r="W274" s="15"/>
      <c r="X274" s="15"/>
      <c r="Y274" s="15" t="s">
        <v>320</v>
      </c>
      <c r="Z274" s="15" t="s">
        <v>191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 t="e">
        <v>#N/A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 t="s">
        <v>1039</v>
      </c>
      <c r="BD274" s="61">
        <v>46098</v>
      </c>
      <c r="BE274" s="61"/>
      <c r="BF274" s="15" t="s">
        <v>171</v>
      </c>
      <c r="BG274" s="15" t="s">
        <v>171</v>
      </c>
      <c r="BH274" s="15" t="s">
        <v>171</v>
      </c>
      <c r="BI274" s="15" t="s">
        <v>171</v>
      </c>
      <c r="BJ274" s="15"/>
      <c r="BK274" s="15"/>
      <c r="BL274" s="15"/>
      <c r="BM274" s="15"/>
      <c r="BN274" s="15"/>
      <c r="BO274" s="64"/>
      <c r="BP274" s="15"/>
      <c r="BQ274" s="15"/>
      <c r="BR274" s="15"/>
      <c r="BS274" s="64"/>
      <c r="BT274" s="64">
        <v>46138</v>
      </c>
      <c r="BU274" s="64">
        <v>46218</v>
      </c>
      <c r="BV274" s="15"/>
      <c r="BW274" s="64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15"/>
      <c r="CL274" s="68">
        <v>11</v>
      </c>
      <c r="CM274" s="68">
        <v>28</v>
      </c>
      <c r="CN274" s="68">
        <v>33</v>
      </c>
      <c r="CO274" s="68">
        <v>19</v>
      </c>
      <c r="CP274" s="68">
        <v>9</v>
      </c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5">
        <f t="shared" si="26"/>
        <v>100</v>
      </c>
      <c r="ER274" s="6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 t="s">
        <v>176</v>
      </c>
      <c r="FF274" s="15"/>
      <c r="FG274" s="15"/>
      <c r="FH274" s="1" t="str">
        <f t="shared" si="27"/>
        <v>710B293680014702111956</v>
      </c>
      <c r="FI274" s="1" t="str">
        <f t="shared" si="28"/>
        <v>PRLS/25/13465</v>
      </c>
      <c r="FJ274" s="38" t="e">
        <f>VLOOKUP(FH274,[1]Sheet3!$A:$D,4,0)</f>
        <v>#N/A</v>
      </c>
      <c r="FL274" s="13"/>
    </row>
    <row r="275" spans="1:168" ht="21" hidden="1" x14ac:dyDescent="0.25">
      <c r="A275" s="15" t="s">
        <v>894</v>
      </c>
      <c r="B275" s="15" t="s">
        <v>149</v>
      </c>
      <c r="C275" s="15" t="s">
        <v>625</v>
      </c>
      <c r="D275" s="15" t="s">
        <v>891</v>
      </c>
      <c r="E275" s="15" t="s">
        <v>259</v>
      </c>
      <c r="F275" s="15" t="s">
        <v>260</v>
      </c>
      <c r="G275" s="15" t="s">
        <v>321</v>
      </c>
      <c r="H275" s="15" t="s">
        <v>884</v>
      </c>
      <c r="I275" s="15" t="s">
        <v>715</v>
      </c>
      <c r="J275" s="15" t="s">
        <v>630</v>
      </c>
      <c r="K275" s="15"/>
      <c r="L275" s="15" t="s">
        <v>247</v>
      </c>
      <c r="M275" s="15" t="s">
        <v>880</v>
      </c>
      <c r="N275" s="63">
        <v>320</v>
      </c>
      <c r="O275" s="15"/>
      <c r="P275" s="15">
        <v>12.51</v>
      </c>
      <c r="Q275" s="15"/>
      <c r="R275" s="15"/>
      <c r="S275" s="15" t="s">
        <v>235</v>
      </c>
      <c r="T275" s="15"/>
      <c r="U275" s="15"/>
      <c r="V275" s="15"/>
      <c r="W275" s="15"/>
      <c r="X275" s="15"/>
      <c r="Y275" s="15" t="s">
        <v>320</v>
      </c>
      <c r="Z275" s="15" t="s">
        <v>191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 t="s">
        <v>448</v>
      </c>
      <c r="AT275" s="15"/>
      <c r="AU275" s="15"/>
      <c r="AV275" s="15"/>
      <c r="AW275" s="15"/>
      <c r="AX275" s="15"/>
      <c r="AY275" s="15"/>
      <c r="AZ275" s="15"/>
      <c r="BA275" s="15"/>
      <c r="BB275" s="15"/>
      <c r="BC275" s="15" t="s">
        <v>1039</v>
      </c>
      <c r="BD275" s="61">
        <v>46098</v>
      </c>
      <c r="BE275" s="61"/>
      <c r="BF275" s="15" t="s">
        <v>219</v>
      </c>
      <c r="BG275" s="15" t="s">
        <v>171</v>
      </c>
      <c r="BH275" s="15" t="s">
        <v>171</v>
      </c>
      <c r="BI275" s="15" t="s">
        <v>171</v>
      </c>
      <c r="BJ275" s="15"/>
      <c r="BK275" s="15"/>
      <c r="BL275" s="15"/>
      <c r="BM275" s="15"/>
      <c r="BN275" s="15"/>
      <c r="BO275" s="64"/>
      <c r="BP275" s="15"/>
      <c r="BQ275" s="15"/>
      <c r="BR275" s="15"/>
      <c r="BS275" s="64"/>
      <c r="BT275" s="64">
        <v>46152</v>
      </c>
      <c r="BU275" s="64">
        <v>46218</v>
      </c>
      <c r="BV275" s="15"/>
      <c r="BW275" s="64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15"/>
      <c r="CL275" s="68">
        <v>40</v>
      </c>
      <c r="CM275" s="68">
        <v>98</v>
      </c>
      <c r="CN275" s="68">
        <v>103</v>
      </c>
      <c r="CO275" s="68">
        <v>53</v>
      </c>
      <c r="CP275" s="68">
        <v>26</v>
      </c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5">
        <f t="shared" si="26"/>
        <v>320</v>
      </c>
      <c r="ER275" s="6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 t="s">
        <v>176</v>
      </c>
      <c r="FF275" s="15"/>
      <c r="FG275" s="15"/>
      <c r="FH275" s="1" t="str">
        <f t="shared" si="27"/>
        <v>710B293670044702111954</v>
      </c>
      <c r="FI275" s="1" t="str">
        <f t="shared" si="28"/>
        <v>PRLS/25/13463</v>
      </c>
      <c r="FJ275" s="38" t="e">
        <f>VLOOKUP(FH275,[1]Sheet3!$A:$D,4,0)</f>
        <v>#N/A</v>
      </c>
      <c r="FL275" s="13"/>
    </row>
    <row r="276" spans="1:168" ht="21" hidden="1" x14ac:dyDescent="0.25">
      <c r="A276" s="15" t="s">
        <v>895</v>
      </c>
      <c r="B276" s="15" t="s">
        <v>149</v>
      </c>
      <c r="C276" s="15" t="s">
        <v>625</v>
      </c>
      <c r="D276" s="15" t="s">
        <v>892</v>
      </c>
      <c r="E276" s="15" t="s">
        <v>259</v>
      </c>
      <c r="F276" s="15" t="s">
        <v>260</v>
      </c>
      <c r="G276" s="15" t="s">
        <v>321</v>
      </c>
      <c r="H276" s="15" t="s">
        <v>885</v>
      </c>
      <c r="I276" s="15" t="s">
        <v>966</v>
      </c>
      <c r="J276" s="15" t="s">
        <v>630</v>
      </c>
      <c r="K276" s="15"/>
      <c r="L276" s="15" t="s">
        <v>375</v>
      </c>
      <c r="M276" s="15" t="s">
        <v>881</v>
      </c>
      <c r="N276" s="63">
        <v>280</v>
      </c>
      <c r="O276" s="15"/>
      <c r="P276" s="15">
        <v>12.51</v>
      </c>
      <c r="Q276" s="15"/>
      <c r="R276" s="15"/>
      <c r="S276" s="15" t="s">
        <v>235</v>
      </c>
      <c r="T276" s="15"/>
      <c r="U276" s="15"/>
      <c r="V276" s="15"/>
      <c r="W276" s="15"/>
      <c r="X276" s="15"/>
      <c r="Y276" s="15" t="s">
        <v>320</v>
      </c>
      <c r="Z276" s="15" t="s">
        <v>191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 t="e">
        <v>#N/A</v>
      </c>
      <c r="AT276" s="15"/>
      <c r="AU276" s="15"/>
      <c r="AV276" s="15"/>
      <c r="AW276" s="15"/>
      <c r="AX276" s="15"/>
      <c r="AY276" s="15"/>
      <c r="AZ276" s="15"/>
      <c r="BA276" s="15"/>
      <c r="BB276" s="15"/>
      <c r="BC276" s="15" t="s">
        <v>1039</v>
      </c>
      <c r="BD276" s="61">
        <v>46098</v>
      </c>
      <c r="BE276" s="61"/>
      <c r="BF276" s="15" t="s">
        <v>171</v>
      </c>
      <c r="BG276" s="15" t="s">
        <v>171</v>
      </c>
      <c r="BH276" s="15" t="s">
        <v>171</v>
      </c>
      <c r="BI276" s="15" t="s">
        <v>171</v>
      </c>
      <c r="BJ276" s="15"/>
      <c r="BK276" s="15"/>
      <c r="BL276" s="15"/>
      <c r="BM276" s="15"/>
      <c r="BN276" s="15"/>
      <c r="BO276" s="64"/>
      <c r="BP276" s="15"/>
      <c r="BQ276" s="15"/>
      <c r="BR276" s="15"/>
      <c r="BS276" s="64"/>
      <c r="BT276" s="64">
        <v>46152</v>
      </c>
      <c r="BU276" s="64">
        <v>46218</v>
      </c>
      <c r="BV276" s="15"/>
      <c r="BW276" s="64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15"/>
      <c r="CL276" s="68">
        <v>34</v>
      </c>
      <c r="CM276" s="68">
        <v>86</v>
      </c>
      <c r="CN276" s="68">
        <v>91</v>
      </c>
      <c r="CO276" s="68">
        <v>46</v>
      </c>
      <c r="CP276" s="68">
        <v>23</v>
      </c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5">
        <f t="shared" si="26"/>
        <v>280</v>
      </c>
      <c r="ER276" s="6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 t="s">
        <v>176</v>
      </c>
      <c r="FF276" s="15"/>
      <c r="FG276" s="15"/>
      <c r="FH276" s="1" t="str">
        <f t="shared" si="27"/>
        <v>710B293680014702111957</v>
      </c>
      <c r="FI276" s="1" t="str">
        <f t="shared" si="28"/>
        <v>PRLS/25/13465</v>
      </c>
      <c r="FJ276" s="38" t="e">
        <f>VLOOKUP(FH276,[1]Sheet3!$A:$D,4,0)</f>
        <v>#N/A</v>
      </c>
      <c r="FL276" s="13"/>
    </row>
    <row r="277" spans="1:168" ht="21" hidden="1" x14ac:dyDescent="0.25">
      <c r="A277" s="15" t="s">
        <v>896</v>
      </c>
      <c r="B277" s="15" t="s">
        <v>149</v>
      </c>
      <c r="C277" s="15" t="s">
        <v>625</v>
      </c>
      <c r="D277" s="15" t="s">
        <v>1014</v>
      </c>
      <c r="E277" s="15" t="s">
        <v>265</v>
      </c>
      <c r="F277" s="15" t="s">
        <v>266</v>
      </c>
      <c r="G277" s="15" t="s">
        <v>331</v>
      </c>
      <c r="H277" s="15" t="s">
        <v>886</v>
      </c>
      <c r="I277" s="15" t="s">
        <v>442</v>
      </c>
      <c r="J277" s="15" t="s">
        <v>883</v>
      </c>
      <c r="K277" s="15"/>
      <c r="L277" s="15" t="s">
        <v>247</v>
      </c>
      <c r="M277" s="15" t="s">
        <v>882</v>
      </c>
      <c r="N277" s="63">
        <v>126</v>
      </c>
      <c r="O277" s="15"/>
      <c r="P277" s="15">
        <v>11.42</v>
      </c>
      <c r="Q277" s="15"/>
      <c r="R277" s="15"/>
      <c r="S277" s="15" t="s">
        <v>235</v>
      </c>
      <c r="T277" s="15"/>
      <c r="U277" s="15"/>
      <c r="V277" s="15"/>
      <c r="W277" s="15"/>
      <c r="X277" s="15"/>
      <c r="Y277" s="15" t="s">
        <v>320</v>
      </c>
      <c r="Z277" s="15" t="s">
        <v>191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 t="s">
        <v>448</v>
      </c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61">
        <v>46108</v>
      </c>
      <c r="BE277" s="61" t="s">
        <v>864</v>
      </c>
      <c r="BF277" s="15" t="s">
        <v>219</v>
      </c>
      <c r="BG277" s="15" t="s">
        <v>171</v>
      </c>
      <c r="BH277" s="15" t="s">
        <v>171</v>
      </c>
      <c r="BI277" s="15" t="s">
        <v>171</v>
      </c>
      <c r="BJ277" s="15"/>
      <c r="BK277" s="15"/>
      <c r="BL277" s="15"/>
      <c r="BM277" s="15"/>
      <c r="BN277" s="15"/>
      <c r="BO277" s="64"/>
      <c r="BP277" s="15"/>
      <c r="BQ277" s="15"/>
      <c r="BR277" s="15"/>
      <c r="BS277" s="64"/>
      <c r="BT277" s="64">
        <v>46145</v>
      </c>
      <c r="BU277" s="64">
        <v>46218</v>
      </c>
      <c r="BV277" s="15"/>
      <c r="BW277" s="64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15"/>
      <c r="CL277" s="68">
        <v>22</v>
      </c>
      <c r="CM277" s="68">
        <v>40</v>
      </c>
      <c r="CN277" s="68">
        <v>34</v>
      </c>
      <c r="CO277" s="68">
        <v>20</v>
      </c>
      <c r="CP277" s="68">
        <v>10</v>
      </c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5">
        <f t="shared" si="26"/>
        <v>126</v>
      </c>
      <c r="ER277" s="6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 t="s">
        <v>176</v>
      </c>
      <c r="FF277" s="15"/>
      <c r="FG277" s="15"/>
      <c r="FH277" s="1" t="str">
        <f t="shared" si="27"/>
        <v>710P038540044702121295</v>
      </c>
      <c r="FI277" s="1" t="str">
        <f t="shared" si="28"/>
        <v>PRLS/25/13719</v>
      </c>
      <c r="FJ277" s="38" t="e">
        <f>VLOOKUP(FH277,[1]Sheet3!$A:$D,4,0)</f>
        <v>#N/A</v>
      </c>
      <c r="FL277" s="13"/>
    </row>
    <row r="278" spans="1:168" ht="21" hidden="1" x14ac:dyDescent="0.25">
      <c r="A278" s="15" t="s">
        <v>896</v>
      </c>
      <c r="B278" s="15" t="s">
        <v>149</v>
      </c>
      <c r="C278" s="15" t="s">
        <v>625</v>
      </c>
      <c r="D278" s="15" t="s">
        <v>1015</v>
      </c>
      <c r="E278" s="15" t="s">
        <v>265</v>
      </c>
      <c r="F278" s="15" t="s">
        <v>266</v>
      </c>
      <c r="G278" s="15" t="s">
        <v>331</v>
      </c>
      <c r="H278" s="15" t="s">
        <v>886</v>
      </c>
      <c r="I278" s="15" t="s">
        <v>442</v>
      </c>
      <c r="J278" s="15" t="s">
        <v>883</v>
      </c>
      <c r="K278" s="15"/>
      <c r="L278" s="15" t="s">
        <v>247</v>
      </c>
      <c r="M278" s="15" t="s">
        <v>882</v>
      </c>
      <c r="N278" s="63">
        <v>84</v>
      </c>
      <c r="O278" s="15"/>
      <c r="P278" s="15">
        <v>11.42</v>
      </c>
      <c r="Q278" s="15"/>
      <c r="R278" s="15"/>
      <c r="S278" s="15" t="s">
        <v>235</v>
      </c>
      <c r="T278" s="15"/>
      <c r="U278" s="15"/>
      <c r="V278" s="15"/>
      <c r="W278" s="15"/>
      <c r="X278" s="15"/>
      <c r="Y278" s="15" t="s">
        <v>320</v>
      </c>
      <c r="Z278" s="15" t="s">
        <v>191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 t="s">
        <v>448</v>
      </c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61">
        <v>46108</v>
      </c>
      <c r="BE278" s="61" t="s">
        <v>864</v>
      </c>
      <c r="BF278" s="15" t="s">
        <v>219</v>
      </c>
      <c r="BG278" s="15" t="s">
        <v>171</v>
      </c>
      <c r="BH278" s="15" t="s">
        <v>171</v>
      </c>
      <c r="BI278" s="15" t="s">
        <v>171</v>
      </c>
      <c r="BJ278" s="15"/>
      <c r="BK278" s="15"/>
      <c r="BL278" s="15"/>
      <c r="BM278" s="15"/>
      <c r="BN278" s="15"/>
      <c r="BO278" s="64"/>
      <c r="BP278" s="15"/>
      <c r="BQ278" s="15"/>
      <c r="BR278" s="15"/>
      <c r="BS278" s="64"/>
      <c r="BT278" s="64">
        <v>46145</v>
      </c>
      <c r="BU278" s="64">
        <v>46218</v>
      </c>
      <c r="BV278" s="15"/>
      <c r="BW278" s="64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15"/>
      <c r="CL278" s="68">
        <v>13</v>
      </c>
      <c r="CM278" s="68">
        <v>27</v>
      </c>
      <c r="CN278" s="68">
        <v>24</v>
      </c>
      <c r="CO278" s="68">
        <v>13</v>
      </c>
      <c r="CP278" s="68">
        <v>7</v>
      </c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5">
        <f t="shared" si="26"/>
        <v>84</v>
      </c>
      <c r="ER278" s="6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 t="s">
        <v>176</v>
      </c>
      <c r="FF278" s="15"/>
      <c r="FG278" s="15"/>
      <c r="FH278" s="1" t="str">
        <f>H278&amp;D278</f>
        <v>710P038540044702121294</v>
      </c>
      <c r="FI278" s="1" t="str">
        <f>A278</f>
        <v>PRLS/25/13719</v>
      </c>
      <c r="FJ278" s="38" t="e">
        <f>VLOOKUP(FH278,[1]Sheet3!$A:$D,4,0)</f>
        <v>#N/A</v>
      </c>
      <c r="FL278" s="13"/>
    </row>
    <row r="279" spans="1:168" ht="21" hidden="1" x14ac:dyDescent="0.25">
      <c r="A279" s="15" t="s">
        <v>896</v>
      </c>
      <c r="B279" s="15" t="s">
        <v>149</v>
      </c>
      <c r="C279" s="15" t="s">
        <v>625</v>
      </c>
      <c r="D279" s="15" t="s">
        <v>893</v>
      </c>
      <c r="E279" s="15" t="s">
        <v>208</v>
      </c>
      <c r="F279" s="15" t="s">
        <v>181</v>
      </c>
      <c r="G279" s="15" t="s">
        <v>321</v>
      </c>
      <c r="H279" s="15" t="s">
        <v>886</v>
      </c>
      <c r="I279" s="15" t="s">
        <v>442</v>
      </c>
      <c r="J279" s="15" t="s">
        <v>883</v>
      </c>
      <c r="K279" s="15"/>
      <c r="L279" s="15" t="s">
        <v>247</v>
      </c>
      <c r="M279" s="15" t="s">
        <v>882</v>
      </c>
      <c r="N279" s="63">
        <v>2144</v>
      </c>
      <c r="O279" s="15"/>
      <c r="P279" s="15">
        <v>11.42</v>
      </c>
      <c r="Q279" s="15"/>
      <c r="R279" s="15"/>
      <c r="S279" s="15" t="s">
        <v>235</v>
      </c>
      <c r="T279" s="15"/>
      <c r="U279" s="15"/>
      <c r="V279" s="15"/>
      <c r="W279" s="15"/>
      <c r="X279" s="15"/>
      <c r="Y279" s="15" t="s">
        <v>320</v>
      </c>
      <c r="Z279" s="15" t="s">
        <v>191</v>
      </c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 t="s">
        <v>448</v>
      </c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61">
        <v>46108</v>
      </c>
      <c r="BE279" s="61" t="s">
        <v>864</v>
      </c>
      <c r="BF279" s="15" t="s">
        <v>219</v>
      </c>
      <c r="BG279" s="15" t="s">
        <v>171</v>
      </c>
      <c r="BH279" s="15" t="s">
        <v>171</v>
      </c>
      <c r="BI279" s="15" t="s">
        <v>171</v>
      </c>
      <c r="BJ279" s="15"/>
      <c r="BK279" s="15"/>
      <c r="BL279" s="15"/>
      <c r="BM279" s="15"/>
      <c r="BN279" s="15"/>
      <c r="BO279" s="64"/>
      <c r="BP279" s="15"/>
      <c r="BQ279" s="15"/>
      <c r="BR279" s="15"/>
      <c r="BS279" s="64"/>
      <c r="BT279" s="64">
        <v>46145</v>
      </c>
      <c r="BU279" s="64">
        <v>46218</v>
      </c>
      <c r="BV279" s="15"/>
      <c r="BW279" s="64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15">
        <v>11</v>
      </c>
      <c r="CL279" s="68">
        <v>232</v>
      </c>
      <c r="CM279" s="68">
        <v>460</v>
      </c>
      <c r="CN279" s="68">
        <v>635</v>
      </c>
      <c r="CO279" s="68">
        <v>520</v>
      </c>
      <c r="CP279" s="68">
        <v>286</v>
      </c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5">
        <f t="shared" si="26"/>
        <v>2144</v>
      </c>
      <c r="ER279" s="6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 t="s">
        <v>176</v>
      </c>
      <c r="FF279" s="15"/>
      <c r="FG279" s="15"/>
      <c r="FH279" s="1" t="str">
        <f t="shared" si="27"/>
        <v>710P038540044702111958</v>
      </c>
      <c r="FI279" s="1" t="str">
        <f t="shared" si="28"/>
        <v>PRLS/25/13719</v>
      </c>
      <c r="FJ279" s="38" t="e">
        <f>VLOOKUP(FH279,[1]Sheet3!$A:$D,4,0)</f>
        <v>#N/A</v>
      </c>
      <c r="FL279" s="13"/>
    </row>
    <row r="280" spans="1:168" ht="21" hidden="1" x14ac:dyDescent="0.25">
      <c r="A280" s="15" t="s">
        <v>897</v>
      </c>
      <c r="B280" s="15" t="s">
        <v>149</v>
      </c>
      <c r="C280" s="15" t="s">
        <v>625</v>
      </c>
      <c r="D280" s="15" t="s">
        <v>898</v>
      </c>
      <c r="E280" s="15" t="s">
        <v>180</v>
      </c>
      <c r="F280" s="15" t="s">
        <v>181</v>
      </c>
      <c r="G280" s="15" t="s">
        <v>321</v>
      </c>
      <c r="H280" s="15" t="s">
        <v>899</v>
      </c>
      <c r="I280" s="15" t="s">
        <v>967</v>
      </c>
      <c r="J280" s="15" t="s">
        <v>900</v>
      </c>
      <c r="K280" s="15"/>
      <c r="L280" s="15" t="s">
        <v>264</v>
      </c>
      <c r="M280" s="15" t="s">
        <v>850</v>
      </c>
      <c r="N280" s="63">
        <v>450</v>
      </c>
      <c r="O280" s="15"/>
      <c r="P280" s="15">
        <v>17.22</v>
      </c>
      <c r="Q280" s="15"/>
      <c r="R280" s="15"/>
      <c r="S280" s="15" t="s">
        <v>863</v>
      </c>
      <c r="T280" s="15"/>
      <c r="U280" s="15"/>
      <c r="V280" s="15"/>
      <c r="W280" s="15"/>
      <c r="X280" s="15"/>
      <c r="Y280" s="15" t="s">
        <v>190</v>
      </c>
      <c r="Z280" s="15" t="s">
        <v>201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 t="s">
        <v>1131</v>
      </c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61">
        <v>46083</v>
      </c>
      <c r="BE280" s="61" t="s">
        <v>192</v>
      </c>
      <c r="BF280" s="15" t="s">
        <v>199</v>
      </c>
      <c r="BG280" s="15" t="s">
        <v>199</v>
      </c>
      <c r="BH280" s="15" t="s">
        <v>199</v>
      </c>
      <c r="BI280" s="15" t="s">
        <v>199</v>
      </c>
      <c r="BJ280" s="15"/>
      <c r="BK280" s="15"/>
      <c r="BL280" s="15"/>
      <c r="BM280" s="15"/>
      <c r="BN280" s="15"/>
      <c r="BO280" s="64"/>
      <c r="BP280" s="15"/>
      <c r="BQ280" s="15"/>
      <c r="BR280" s="15"/>
      <c r="BS280" s="64"/>
      <c r="BT280" s="64">
        <v>46131</v>
      </c>
      <c r="BU280" s="64">
        <v>46189</v>
      </c>
      <c r="BV280" s="15"/>
      <c r="BW280" s="64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15"/>
      <c r="CL280" s="68"/>
      <c r="CM280" s="68"/>
      <c r="CN280" s="68"/>
      <c r="CO280" s="68"/>
      <c r="CP280" s="68"/>
      <c r="CQ280" s="68"/>
      <c r="CR280" s="68"/>
      <c r="CS280" s="68"/>
      <c r="CT280" s="68">
        <v>36</v>
      </c>
      <c r="CU280" s="68">
        <v>54</v>
      </c>
      <c r="CV280" s="68">
        <v>63</v>
      </c>
      <c r="CW280" s="68">
        <v>41</v>
      </c>
      <c r="CX280" s="68">
        <v>23</v>
      </c>
      <c r="CY280" s="68"/>
      <c r="CZ280" s="68"/>
      <c r="DA280" s="68">
        <v>89</v>
      </c>
      <c r="DB280" s="68">
        <v>85</v>
      </c>
      <c r="DC280" s="68">
        <v>36</v>
      </c>
      <c r="DD280" s="68">
        <v>23</v>
      </c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5">
        <f t="shared" si="26"/>
        <v>450</v>
      </c>
      <c r="ER280" s="6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 t="s">
        <v>176</v>
      </c>
      <c r="FF280" s="15"/>
      <c r="FG280" s="15"/>
      <c r="FH280" s="1" t="str">
        <f t="shared" si="27"/>
        <v>7119664275014702112401</v>
      </c>
      <c r="FI280" s="1" t="str">
        <f t="shared" si="28"/>
        <v>PRLS/25/13275</v>
      </c>
      <c r="FJ280" s="38" t="e">
        <f>VLOOKUP(FH280,[1]Sheet3!$A:$D,4,0)</f>
        <v>#N/A</v>
      </c>
      <c r="FL280" s="13"/>
    </row>
    <row r="281" spans="1:168" ht="21" hidden="1" x14ac:dyDescent="0.25">
      <c r="A281" s="15" t="s">
        <v>904</v>
      </c>
      <c r="B281" s="15" t="s">
        <v>149</v>
      </c>
      <c r="C281" s="15" t="s">
        <v>660</v>
      </c>
      <c r="D281" s="15" t="s">
        <v>901</v>
      </c>
      <c r="E281" s="15" t="s">
        <v>208</v>
      </c>
      <c r="F281" s="15" t="s">
        <v>181</v>
      </c>
      <c r="G281" s="15" t="s">
        <v>321</v>
      </c>
      <c r="H281" s="15" t="s">
        <v>256</v>
      </c>
      <c r="I281" s="15" t="s">
        <v>255</v>
      </c>
      <c r="J281" s="15" t="s">
        <v>903</v>
      </c>
      <c r="K281" s="15"/>
      <c r="L281" s="15" t="s">
        <v>247</v>
      </c>
      <c r="M281" s="15" t="s">
        <v>187</v>
      </c>
      <c r="N281" s="63">
        <v>1590</v>
      </c>
      <c r="O281" s="15"/>
      <c r="P281" s="15">
        <v>8.26</v>
      </c>
      <c r="Q281" s="15"/>
      <c r="R281" s="15"/>
      <c r="S281" s="15" t="s">
        <v>200</v>
      </c>
      <c r="T281" s="15"/>
      <c r="U281" s="15"/>
      <c r="V281" s="15"/>
      <c r="W281" s="15"/>
      <c r="X281" s="15"/>
      <c r="Y281" s="15" t="s">
        <v>162</v>
      </c>
      <c r="Z281" s="15" t="s">
        <v>1118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 t="s">
        <v>170</v>
      </c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61">
        <v>46066</v>
      </c>
      <c r="BE281" s="61" t="s">
        <v>192</v>
      </c>
      <c r="BF281" s="15" t="s">
        <v>199</v>
      </c>
      <c r="BG281" s="15" t="s">
        <v>219</v>
      </c>
      <c r="BH281" s="15" t="s">
        <v>219</v>
      </c>
      <c r="BI281" s="15" t="s">
        <v>199</v>
      </c>
      <c r="BJ281" s="15"/>
      <c r="BK281" s="15"/>
      <c r="BL281" s="15"/>
      <c r="BM281" s="15"/>
      <c r="BN281" s="15"/>
      <c r="BO281" s="64"/>
      <c r="BP281" s="15"/>
      <c r="BQ281" s="15"/>
      <c r="BR281" s="15"/>
      <c r="BS281" s="64"/>
      <c r="BT281" s="64">
        <v>46117</v>
      </c>
      <c r="BU281" s="64">
        <v>46188</v>
      </c>
      <c r="BV281" s="15"/>
      <c r="BW281" s="64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15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>
        <v>253</v>
      </c>
      <c r="EH281" s="68">
        <v>282</v>
      </c>
      <c r="EI281" s="68">
        <v>264</v>
      </c>
      <c r="EJ281" s="68">
        <v>261</v>
      </c>
      <c r="EK281" s="68">
        <v>265</v>
      </c>
      <c r="EL281" s="68">
        <v>265</v>
      </c>
      <c r="EM281" s="68"/>
      <c r="EN281" s="68"/>
      <c r="EO281" s="68"/>
      <c r="EP281" s="68"/>
      <c r="EQ281" s="65">
        <f t="shared" ref="EQ281:EQ337" si="29">SUM(BX281:EP281)</f>
        <v>1590</v>
      </c>
      <c r="ER281" s="6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 t="s">
        <v>202</v>
      </c>
      <c r="FF281" s="15"/>
      <c r="FG281" s="15"/>
      <c r="FH281" s="1" t="str">
        <f t="shared" si="27"/>
        <v>3229676000034702113591</v>
      </c>
      <c r="FI281" s="1" t="str">
        <f t="shared" si="28"/>
        <v>PRLS/25/13143</v>
      </c>
      <c r="FJ281" s="38" t="e">
        <f>VLOOKUP(FH281,[1]Sheet3!$A:$D,4,0)</f>
        <v>#N/A</v>
      </c>
      <c r="FL281" s="13"/>
    </row>
    <row r="282" spans="1:168" ht="21" hidden="1" x14ac:dyDescent="0.25">
      <c r="A282" s="15" t="s">
        <v>905</v>
      </c>
      <c r="B282" s="15" t="s">
        <v>149</v>
      </c>
      <c r="C282" s="15" t="s">
        <v>660</v>
      </c>
      <c r="D282" s="15" t="s">
        <v>902</v>
      </c>
      <c r="E282" s="15" t="s">
        <v>208</v>
      </c>
      <c r="F282" s="15" t="s">
        <v>181</v>
      </c>
      <c r="G282" s="15" t="s">
        <v>321</v>
      </c>
      <c r="H282" s="15" t="s">
        <v>209</v>
      </c>
      <c r="I282" s="15" t="s">
        <v>197</v>
      </c>
      <c r="J282" s="15" t="s">
        <v>903</v>
      </c>
      <c r="K282" s="15"/>
      <c r="L282" s="15" t="s">
        <v>247</v>
      </c>
      <c r="M282" s="15" t="s">
        <v>187</v>
      </c>
      <c r="N282" s="63">
        <v>3378</v>
      </c>
      <c r="O282" s="15"/>
      <c r="P282" s="15">
        <v>10.63</v>
      </c>
      <c r="Q282" s="15"/>
      <c r="R282" s="15"/>
      <c r="S282" s="15" t="s">
        <v>200</v>
      </c>
      <c r="T282" s="15"/>
      <c r="U282" s="15"/>
      <c r="V282" s="15"/>
      <c r="W282" s="15"/>
      <c r="X282" s="15"/>
      <c r="Y282" s="15" t="s">
        <v>162</v>
      </c>
      <c r="Z282" s="15" t="s">
        <v>1118</v>
      </c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 t="s">
        <v>170</v>
      </c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61">
        <v>46066</v>
      </c>
      <c r="BE282" s="61" t="s">
        <v>192</v>
      </c>
      <c r="BF282" s="15" t="s">
        <v>199</v>
      </c>
      <c r="BG282" s="15" t="s">
        <v>219</v>
      </c>
      <c r="BH282" s="15" t="s">
        <v>219</v>
      </c>
      <c r="BI282" s="15" t="s">
        <v>199</v>
      </c>
      <c r="BJ282" s="15"/>
      <c r="BK282" s="15"/>
      <c r="BL282" s="15"/>
      <c r="BM282" s="15"/>
      <c r="BN282" s="15"/>
      <c r="BO282" s="64"/>
      <c r="BP282" s="15"/>
      <c r="BQ282" s="15"/>
      <c r="BR282" s="15"/>
      <c r="BS282" s="64"/>
      <c r="BT282" s="64">
        <v>46117</v>
      </c>
      <c r="BU282" s="64">
        <v>46188</v>
      </c>
      <c r="BV282" s="15"/>
      <c r="BW282" s="64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15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>
        <v>555</v>
      </c>
      <c r="EN282" s="68">
        <v>954</v>
      </c>
      <c r="EO282" s="68">
        <v>1144</v>
      </c>
      <c r="EP282" s="68">
        <v>725</v>
      </c>
      <c r="EQ282" s="65">
        <f t="shared" si="29"/>
        <v>3378</v>
      </c>
      <c r="ER282" s="6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 t="s">
        <v>202</v>
      </c>
      <c r="FF282" s="15"/>
      <c r="FG282" s="15"/>
      <c r="FH282" s="1" t="str">
        <f t="shared" si="27"/>
        <v>3239676000034702113592</v>
      </c>
      <c r="FI282" s="1" t="str">
        <f t="shared" si="28"/>
        <v>PRLS/25/13147</v>
      </c>
      <c r="FJ282" s="38" t="e">
        <f>VLOOKUP(FH282,[1]Sheet3!$A:$D,4,0)</f>
        <v>#N/A</v>
      </c>
      <c r="FL282" s="13"/>
    </row>
    <row r="283" spans="1:168" ht="21" hidden="1" x14ac:dyDescent="0.25">
      <c r="A283" s="15" t="s">
        <v>946</v>
      </c>
      <c r="B283" s="15" t="s">
        <v>149</v>
      </c>
      <c r="C283" s="15" t="s">
        <v>660</v>
      </c>
      <c r="D283" s="15" t="s">
        <v>934</v>
      </c>
      <c r="E283" s="15" t="s">
        <v>208</v>
      </c>
      <c r="F283" s="15" t="s">
        <v>181</v>
      </c>
      <c r="G283" s="15" t="s">
        <v>321</v>
      </c>
      <c r="H283" s="15" t="s">
        <v>256</v>
      </c>
      <c r="I283" s="15" t="s">
        <v>255</v>
      </c>
      <c r="J283" s="15" t="s">
        <v>903</v>
      </c>
      <c r="K283" s="15"/>
      <c r="L283" s="15" t="s">
        <v>247</v>
      </c>
      <c r="M283" s="15" t="s">
        <v>187</v>
      </c>
      <c r="N283" s="63">
        <v>109</v>
      </c>
      <c r="O283" s="15"/>
      <c r="P283" s="15">
        <v>8.26</v>
      </c>
      <c r="Q283" s="15"/>
      <c r="R283" s="15"/>
      <c r="S283" s="15" t="s">
        <v>200</v>
      </c>
      <c r="T283" s="15"/>
      <c r="U283" s="15"/>
      <c r="V283" s="15"/>
      <c r="W283" s="15"/>
      <c r="X283" s="15"/>
      <c r="Y283" s="15" t="s">
        <v>162</v>
      </c>
      <c r="Z283" s="15" t="s">
        <v>1118</v>
      </c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 t="s">
        <v>170</v>
      </c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61">
        <v>46078</v>
      </c>
      <c r="BE283" s="61" t="s">
        <v>192</v>
      </c>
      <c r="BF283" s="15" t="s">
        <v>199</v>
      </c>
      <c r="BG283" s="15" t="s">
        <v>219</v>
      </c>
      <c r="BH283" s="15" t="s">
        <v>219</v>
      </c>
      <c r="BI283" s="15" t="s">
        <v>199</v>
      </c>
      <c r="BJ283" s="15"/>
      <c r="BK283" s="15"/>
      <c r="BL283" s="15"/>
      <c r="BM283" s="15"/>
      <c r="BN283" s="15"/>
      <c r="BO283" s="64"/>
      <c r="BP283" s="15"/>
      <c r="BQ283" s="15"/>
      <c r="BR283" s="15"/>
      <c r="BS283" s="64"/>
      <c r="BT283" s="64">
        <v>46117</v>
      </c>
      <c r="BU283" s="64">
        <v>46188</v>
      </c>
      <c r="BV283" s="15"/>
      <c r="BW283" s="64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15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>
        <v>17</v>
      </c>
      <c r="EH283" s="68">
        <v>20</v>
      </c>
      <c r="EI283" s="68">
        <v>18</v>
      </c>
      <c r="EJ283" s="68">
        <v>18</v>
      </c>
      <c r="EK283" s="68">
        <v>18</v>
      </c>
      <c r="EL283" s="68">
        <v>18</v>
      </c>
      <c r="EM283" s="68"/>
      <c r="EN283" s="68"/>
      <c r="EO283" s="68"/>
      <c r="EP283" s="68"/>
      <c r="EQ283" s="65">
        <f t="shared" si="29"/>
        <v>109</v>
      </c>
      <c r="ER283" s="6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 t="s">
        <v>202</v>
      </c>
      <c r="FF283" s="15"/>
      <c r="FG283" s="15"/>
      <c r="FH283" s="1" t="str">
        <f t="shared" si="27"/>
        <v>3229676000034702116225</v>
      </c>
      <c r="FI283" s="1" t="str">
        <f t="shared" si="28"/>
        <v>PRLS/25/13827</v>
      </c>
      <c r="FJ283" s="38" t="e">
        <f>VLOOKUP(FH283,[1]Sheet3!$A:$D,4,0)</f>
        <v>#N/A</v>
      </c>
      <c r="FL283" s="13"/>
    </row>
    <row r="284" spans="1:168" ht="21" hidden="1" x14ac:dyDescent="0.25">
      <c r="A284" s="15" t="s">
        <v>947</v>
      </c>
      <c r="B284" s="15" t="s">
        <v>149</v>
      </c>
      <c r="C284" s="15" t="s">
        <v>660</v>
      </c>
      <c r="D284" s="15" t="s">
        <v>935</v>
      </c>
      <c r="E284" s="15" t="s">
        <v>208</v>
      </c>
      <c r="F284" s="15" t="s">
        <v>181</v>
      </c>
      <c r="G284" s="15" t="s">
        <v>321</v>
      </c>
      <c r="H284" s="15" t="s">
        <v>209</v>
      </c>
      <c r="I284" s="15" t="s">
        <v>197</v>
      </c>
      <c r="J284" s="15" t="s">
        <v>903</v>
      </c>
      <c r="K284" s="15"/>
      <c r="L284" s="15" t="s">
        <v>247</v>
      </c>
      <c r="M284" s="15" t="s">
        <v>187</v>
      </c>
      <c r="N284" s="63">
        <v>2236</v>
      </c>
      <c r="O284" s="15"/>
      <c r="P284" s="15">
        <v>14.45</v>
      </c>
      <c r="Q284" s="15"/>
      <c r="R284" s="15"/>
      <c r="S284" s="15" t="s">
        <v>200</v>
      </c>
      <c r="T284" s="15"/>
      <c r="U284" s="15"/>
      <c r="V284" s="15"/>
      <c r="W284" s="15"/>
      <c r="X284" s="15"/>
      <c r="Y284" s="15" t="s">
        <v>162</v>
      </c>
      <c r="Z284" s="15" t="s">
        <v>1118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61">
        <v>46121</v>
      </c>
      <c r="BE284" s="61"/>
      <c r="BF284" s="15" t="s">
        <v>219</v>
      </c>
      <c r="BG284" s="15"/>
      <c r="BH284" s="15"/>
      <c r="BI284" s="15"/>
      <c r="BJ284" s="15"/>
      <c r="BK284" s="15"/>
      <c r="BL284" s="15"/>
      <c r="BM284" s="15"/>
      <c r="BN284" s="15"/>
      <c r="BO284" s="64"/>
      <c r="BP284" s="15"/>
      <c r="BQ284" s="15"/>
      <c r="BR284" s="15"/>
      <c r="BS284" s="64"/>
      <c r="BT284" s="64">
        <v>46173</v>
      </c>
      <c r="BU284" s="64">
        <v>46249</v>
      </c>
      <c r="BV284" s="15"/>
      <c r="BW284" s="64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15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  <c r="EE284" s="68"/>
      <c r="EF284" s="68"/>
      <c r="EG284" s="68"/>
      <c r="EH284" s="68"/>
      <c r="EI284" s="68"/>
      <c r="EJ284" s="68"/>
      <c r="EK284" s="68"/>
      <c r="EL284" s="68"/>
      <c r="EM284" s="68">
        <v>24</v>
      </c>
      <c r="EN284" s="68">
        <v>292</v>
      </c>
      <c r="EO284" s="68">
        <v>959</v>
      </c>
      <c r="EP284" s="68">
        <v>961</v>
      </c>
      <c r="EQ284" s="65">
        <f t="shared" si="29"/>
        <v>2236</v>
      </c>
      <c r="ER284" s="6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 t="s">
        <v>202</v>
      </c>
      <c r="FF284" s="15"/>
      <c r="FG284" s="15"/>
      <c r="FH284" s="1" t="str">
        <f t="shared" si="27"/>
        <v>3239676000034702116226</v>
      </c>
      <c r="FI284" s="1" t="str">
        <f t="shared" si="28"/>
        <v>PRLS/25/13829</v>
      </c>
      <c r="FJ284" s="38" t="e">
        <f>VLOOKUP(FH284,[1]Sheet3!$A:$D,4,0)</f>
        <v>#N/A</v>
      </c>
      <c r="FL284" s="13"/>
    </row>
    <row r="285" spans="1:168" ht="21" hidden="1" x14ac:dyDescent="0.25">
      <c r="A285" s="15" t="s">
        <v>1021</v>
      </c>
      <c r="B285" s="15" t="s">
        <v>149</v>
      </c>
      <c r="C285" s="15" t="s">
        <v>625</v>
      </c>
      <c r="D285" s="15" t="s">
        <v>936</v>
      </c>
      <c r="E285" s="15" t="s">
        <v>151</v>
      </c>
      <c r="F285" s="15" t="s">
        <v>152</v>
      </c>
      <c r="G285" s="15" t="s">
        <v>321</v>
      </c>
      <c r="H285" s="15" t="s">
        <v>942</v>
      </c>
      <c r="I285" s="15" t="s">
        <v>968</v>
      </c>
      <c r="J285" s="15" t="s">
        <v>943</v>
      </c>
      <c r="K285" s="15"/>
      <c r="L285" s="15" t="s">
        <v>262</v>
      </c>
      <c r="M285" s="15" t="s">
        <v>417</v>
      </c>
      <c r="N285" s="63">
        <v>780</v>
      </c>
      <c r="O285" s="15"/>
      <c r="P285" s="15">
        <v>17.03</v>
      </c>
      <c r="Q285" s="15"/>
      <c r="R285" s="15"/>
      <c r="S285" s="15" t="s">
        <v>189</v>
      </c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61">
        <v>46174</v>
      </c>
      <c r="BE285" s="61"/>
      <c r="BF285" s="15" t="s">
        <v>171</v>
      </c>
      <c r="BG285" s="15" t="s">
        <v>171</v>
      </c>
      <c r="BH285" s="15" t="s">
        <v>171</v>
      </c>
      <c r="BI285" s="15" t="s">
        <v>171</v>
      </c>
      <c r="BJ285" s="15"/>
      <c r="BK285" s="15"/>
      <c r="BL285" s="15"/>
      <c r="BM285" s="15"/>
      <c r="BN285" s="15"/>
      <c r="BO285" s="64"/>
      <c r="BP285" s="15"/>
      <c r="BQ285" s="15"/>
      <c r="BR285" s="15"/>
      <c r="BS285" s="64"/>
      <c r="BT285" s="64">
        <v>46215</v>
      </c>
      <c r="BU285" s="64">
        <v>46280</v>
      </c>
      <c r="BV285" s="15"/>
      <c r="BW285" s="64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15">
        <v>42</v>
      </c>
      <c r="CL285" s="68">
        <v>78</v>
      </c>
      <c r="CM285" s="68">
        <v>211</v>
      </c>
      <c r="CN285" s="68">
        <v>260</v>
      </c>
      <c r="CO285" s="68">
        <v>144</v>
      </c>
      <c r="CP285" s="68">
        <v>45</v>
      </c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5">
        <f t="shared" si="29"/>
        <v>780</v>
      </c>
      <c r="ER285" s="6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 t="s">
        <v>176</v>
      </c>
      <c r="FF285" s="15"/>
      <c r="FG285" s="15"/>
      <c r="FH285" s="1" t="str">
        <f t="shared" si="27"/>
        <v>7109538910014702117732</v>
      </c>
      <c r="FI285" s="1" t="str">
        <f t="shared" si="28"/>
        <v>PRLS/25/13890</v>
      </c>
      <c r="FJ285" s="38"/>
      <c r="FL285" s="13"/>
    </row>
    <row r="286" spans="1:168" ht="21" hidden="1" x14ac:dyDescent="0.25">
      <c r="A286" s="15" t="s">
        <v>948</v>
      </c>
      <c r="B286" s="15" t="s">
        <v>149</v>
      </c>
      <c r="C286" s="15" t="s">
        <v>625</v>
      </c>
      <c r="D286" s="15" t="s">
        <v>937</v>
      </c>
      <c r="E286" s="15" t="s">
        <v>210</v>
      </c>
      <c r="F286" s="15" t="s">
        <v>152</v>
      </c>
      <c r="G286" s="15" t="s">
        <v>321</v>
      </c>
      <c r="H286" s="15" t="s">
        <v>848</v>
      </c>
      <c r="I286" s="15" t="s">
        <v>958</v>
      </c>
      <c r="J286" s="15" t="s">
        <v>849</v>
      </c>
      <c r="K286" s="15"/>
      <c r="L286" s="15" t="s">
        <v>405</v>
      </c>
      <c r="M286" s="15" t="s">
        <v>850</v>
      </c>
      <c r="N286" s="63">
        <v>1378</v>
      </c>
      <c r="O286" s="15"/>
      <c r="P286" s="15">
        <v>15.57</v>
      </c>
      <c r="Q286" s="15"/>
      <c r="R286" s="15"/>
      <c r="S286" s="15" t="s">
        <v>863</v>
      </c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61">
        <v>46127</v>
      </c>
      <c r="BE286" s="15" t="s">
        <v>864</v>
      </c>
      <c r="BF286" s="15" t="s">
        <v>219</v>
      </c>
      <c r="BG286" s="15" t="s">
        <v>219</v>
      </c>
      <c r="BH286" s="15" t="s">
        <v>219</v>
      </c>
      <c r="BI286" s="15" t="s">
        <v>219</v>
      </c>
      <c r="BJ286" s="15"/>
      <c r="BK286" s="15"/>
      <c r="BL286" s="15"/>
      <c r="BM286" s="15"/>
      <c r="BN286" s="15"/>
      <c r="BO286" s="64"/>
      <c r="BP286" s="15"/>
      <c r="BQ286" s="15"/>
      <c r="BR286" s="15"/>
      <c r="BS286" s="64"/>
      <c r="BT286" s="64">
        <v>46187</v>
      </c>
      <c r="BU286" s="64">
        <v>46249</v>
      </c>
      <c r="BV286" s="15"/>
      <c r="BW286" s="64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15">
        <v>4</v>
      </c>
      <c r="CL286" s="68">
        <v>193</v>
      </c>
      <c r="CM286" s="68">
        <v>437</v>
      </c>
      <c r="CN286" s="68">
        <v>414</v>
      </c>
      <c r="CO286" s="68">
        <v>262</v>
      </c>
      <c r="CP286" s="68">
        <v>68</v>
      </c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68"/>
      <c r="EO286" s="68"/>
      <c r="EP286" s="68"/>
      <c r="EQ286" s="65">
        <f t="shared" si="29"/>
        <v>1378</v>
      </c>
      <c r="ER286" s="6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 t="s">
        <v>176</v>
      </c>
      <c r="FF286" s="15"/>
      <c r="FG286" s="15"/>
      <c r="FH286" s="1" t="str">
        <f t="shared" si="27"/>
        <v>710P006295024702117733</v>
      </c>
      <c r="FI286" s="1" t="str">
        <f t="shared" si="28"/>
        <v>PRLS/25/13718</v>
      </c>
      <c r="FJ286" s="38" t="e">
        <f>VLOOKUP(FH286,[1]Sheet3!$A:$D,4,0)</f>
        <v>#N/A</v>
      </c>
      <c r="FL286" s="13"/>
    </row>
    <row r="287" spans="1:168" ht="21" hidden="1" x14ac:dyDescent="0.25">
      <c r="A287" s="15" t="s">
        <v>949</v>
      </c>
      <c r="B287" s="15" t="s">
        <v>149</v>
      </c>
      <c r="C287" s="15" t="s">
        <v>625</v>
      </c>
      <c r="D287" s="15" t="s">
        <v>938</v>
      </c>
      <c r="E287" s="15" t="s">
        <v>210</v>
      </c>
      <c r="F287" s="15" t="s">
        <v>152</v>
      </c>
      <c r="G287" s="15" t="s">
        <v>321</v>
      </c>
      <c r="H287" s="15" t="s">
        <v>301</v>
      </c>
      <c r="I287" s="15" t="s">
        <v>302</v>
      </c>
      <c r="J287" s="15" t="s">
        <v>730</v>
      </c>
      <c r="K287" s="15"/>
      <c r="L287" s="15" t="s">
        <v>303</v>
      </c>
      <c r="M287" s="15" t="s">
        <v>187</v>
      </c>
      <c r="N287" s="63">
        <v>362</v>
      </c>
      <c r="O287" s="15"/>
      <c r="P287" s="15">
        <v>24.2</v>
      </c>
      <c r="Q287" s="15"/>
      <c r="R287" s="15"/>
      <c r="S287" s="15" t="s">
        <v>304</v>
      </c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61">
        <v>46142</v>
      </c>
      <c r="BE287" s="61" t="s">
        <v>864</v>
      </c>
      <c r="BF287" s="15" t="s">
        <v>219</v>
      </c>
      <c r="BG287" s="15" t="s">
        <v>171</v>
      </c>
      <c r="BH287" s="15" t="s">
        <v>171</v>
      </c>
      <c r="BI287" s="15" t="s">
        <v>171</v>
      </c>
      <c r="BJ287" s="15"/>
      <c r="BK287" s="15"/>
      <c r="BL287" s="15"/>
      <c r="BM287" s="15"/>
      <c r="BN287" s="15"/>
      <c r="BO287" s="64"/>
      <c r="BP287" s="15"/>
      <c r="BQ287" s="15"/>
      <c r="BR287" s="15"/>
      <c r="BS287" s="64"/>
      <c r="BT287" s="64">
        <v>46187</v>
      </c>
      <c r="BU287" s="64">
        <v>46249</v>
      </c>
      <c r="BV287" s="15"/>
      <c r="BW287" s="64"/>
      <c r="BX287" s="68"/>
      <c r="BY287" s="68">
        <v>26</v>
      </c>
      <c r="BZ287" s="68">
        <v>47</v>
      </c>
      <c r="CA287" s="68">
        <v>38</v>
      </c>
      <c r="CB287" s="68">
        <v>57</v>
      </c>
      <c r="CC287" s="68">
        <v>60</v>
      </c>
      <c r="CD287" s="68">
        <v>54</v>
      </c>
      <c r="CE287" s="68">
        <v>49</v>
      </c>
      <c r="CF287" s="68">
        <v>26</v>
      </c>
      <c r="CG287" s="68">
        <v>5</v>
      </c>
      <c r="CH287" s="68"/>
      <c r="CI287" s="68"/>
      <c r="CJ287" s="68"/>
      <c r="CK287" s="15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68"/>
      <c r="EP287" s="68"/>
      <c r="EQ287" s="65">
        <f t="shared" si="29"/>
        <v>362</v>
      </c>
      <c r="ER287" s="6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 t="s">
        <v>176</v>
      </c>
      <c r="FF287" s="15"/>
      <c r="FG287" s="15"/>
      <c r="FH287" s="1" t="str">
        <f t="shared" ref="FH287:FH333" si="30">H287&amp;D287</f>
        <v>7129292780034702117735</v>
      </c>
      <c r="FI287" s="1" t="str">
        <f t="shared" ref="FI287:FI333" si="31">A287</f>
        <v>PRLS/25/13822</v>
      </c>
      <c r="FJ287" s="38" t="e">
        <f>VLOOKUP(FH287,[1]Sheet3!$A:$D,4,0)</f>
        <v>#N/A</v>
      </c>
      <c r="FL287" s="13"/>
    </row>
    <row r="288" spans="1:168" ht="21" hidden="1" x14ac:dyDescent="0.25">
      <c r="A288" s="15" t="s">
        <v>948</v>
      </c>
      <c r="B288" s="15" t="s">
        <v>149</v>
      </c>
      <c r="C288" s="15" t="s">
        <v>625</v>
      </c>
      <c r="D288" s="15" t="s">
        <v>939</v>
      </c>
      <c r="E288" s="15" t="s">
        <v>227</v>
      </c>
      <c r="F288" s="15" t="s">
        <v>228</v>
      </c>
      <c r="G288" s="15" t="s">
        <v>355</v>
      </c>
      <c r="H288" s="15" t="s">
        <v>848</v>
      </c>
      <c r="I288" s="15" t="s">
        <v>958</v>
      </c>
      <c r="J288" s="15" t="s">
        <v>849</v>
      </c>
      <c r="K288" s="15"/>
      <c r="L288" s="15" t="s">
        <v>405</v>
      </c>
      <c r="M288" s="15" t="s">
        <v>850</v>
      </c>
      <c r="N288" s="63">
        <v>22</v>
      </c>
      <c r="O288" s="15"/>
      <c r="P288" s="15">
        <v>15.57</v>
      </c>
      <c r="Q288" s="15"/>
      <c r="R288" s="15"/>
      <c r="S288" s="15" t="s">
        <v>863</v>
      </c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61">
        <v>46127</v>
      </c>
      <c r="BE288" s="15" t="s">
        <v>864</v>
      </c>
      <c r="BF288" s="15" t="s">
        <v>219</v>
      </c>
      <c r="BG288" s="15" t="s">
        <v>219</v>
      </c>
      <c r="BH288" s="15" t="s">
        <v>219</v>
      </c>
      <c r="BI288" s="15" t="s">
        <v>219</v>
      </c>
      <c r="BJ288" s="15"/>
      <c r="BK288" s="15"/>
      <c r="BL288" s="15"/>
      <c r="BM288" s="15"/>
      <c r="BN288" s="15"/>
      <c r="BO288" s="64"/>
      <c r="BP288" s="15"/>
      <c r="BQ288" s="15"/>
      <c r="BR288" s="15"/>
      <c r="BS288" s="64"/>
      <c r="BT288" s="64">
        <v>46201</v>
      </c>
      <c r="BU288" s="64">
        <v>46249</v>
      </c>
      <c r="BV288" s="15"/>
      <c r="BW288" s="64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15"/>
      <c r="CL288" s="68">
        <v>3</v>
      </c>
      <c r="CM288" s="68">
        <v>7</v>
      </c>
      <c r="CN288" s="68">
        <v>7</v>
      </c>
      <c r="CO288" s="68">
        <v>5</v>
      </c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68"/>
      <c r="EP288" s="68"/>
      <c r="EQ288" s="65">
        <f t="shared" si="29"/>
        <v>22</v>
      </c>
      <c r="ER288" s="6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 t="s">
        <v>176</v>
      </c>
      <c r="FF288" s="15"/>
      <c r="FG288" s="15"/>
      <c r="FH288" s="1" t="str">
        <f t="shared" si="30"/>
        <v>710P006295024702117734</v>
      </c>
      <c r="FI288" s="1" t="str">
        <f t="shared" si="31"/>
        <v>PRLS/25/13718</v>
      </c>
      <c r="FJ288" s="38" t="e">
        <f>VLOOKUP(FH288,[1]Sheet3!$A:$D,4,0)</f>
        <v>#N/A</v>
      </c>
      <c r="FL288" s="13"/>
    </row>
    <row r="289" spans="1:168" ht="21" hidden="1" x14ac:dyDescent="0.25">
      <c r="A289" s="15" t="s">
        <v>949</v>
      </c>
      <c r="B289" s="15" t="s">
        <v>149</v>
      </c>
      <c r="C289" s="15" t="s">
        <v>625</v>
      </c>
      <c r="D289" s="15" t="s">
        <v>940</v>
      </c>
      <c r="E289" s="15" t="s">
        <v>227</v>
      </c>
      <c r="F289" s="15" t="s">
        <v>228</v>
      </c>
      <c r="G289" s="15" t="s">
        <v>355</v>
      </c>
      <c r="H289" s="15" t="s">
        <v>301</v>
      </c>
      <c r="I289" s="15" t="s">
        <v>302</v>
      </c>
      <c r="J289" s="15" t="s">
        <v>730</v>
      </c>
      <c r="K289" s="15"/>
      <c r="L289" s="15" t="s">
        <v>303</v>
      </c>
      <c r="M289" s="15" t="s">
        <v>187</v>
      </c>
      <c r="N289" s="63">
        <v>18</v>
      </c>
      <c r="O289" s="15"/>
      <c r="P289" s="15">
        <v>24.2</v>
      </c>
      <c r="Q289" s="15"/>
      <c r="R289" s="15"/>
      <c r="S289" s="15" t="s">
        <v>304</v>
      </c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61">
        <v>46142</v>
      </c>
      <c r="BE289" s="61" t="s">
        <v>864</v>
      </c>
      <c r="BF289" s="15" t="s">
        <v>219</v>
      </c>
      <c r="BG289" s="15" t="s">
        <v>171</v>
      </c>
      <c r="BH289" s="15" t="s">
        <v>171</v>
      </c>
      <c r="BI289" s="15" t="s">
        <v>171</v>
      </c>
      <c r="BJ289" s="15"/>
      <c r="BK289" s="15"/>
      <c r="BL289" s="15"/>
      <c r="BM289" s="15"/>
      <c r="BN289" s="15"/>
      <c r="BO289" s="64"/>
      <c r="BP289" s="15"/>
      <c r="BQ289" s="15"/>
      <c r="BR289" s="15"/>
      <c r="BS289" s="64"/>
      <c r="BT289" s="64">
        <v>46201</v>
      </c>
      <c r="BU289" s="64">
        <v>46249</v>
      </c>
      <c r="BV289" s="15"/>
      <c r="BW289" s="64"/>
      <c r="BX289" s="68"/>
      <c r="BY289" s="68">
        <v>3</v>
      </c>
      <c r="BZ289" s="68">
        <v>3</v>
      </c>
      <c r="CA289" s="68"/>
      <c r="CB289" s="68">
        <v>4</v>
      </c>
      <c r="CC289" s="68"/>
      <c r="CD289" s="68">
        <v>4</v>
      </c>
      <c r="CE289" s="68"/>
      <c r="CF289" s="68">
        <v>4</v>
      </c>
      <c r="CG289" s="68"/>
      <c r="CH289" s="68"/>
      <c r="CI289" s="68"/>
      <c r="CJ289" s="68"/>
      <c r="CK289" s="15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68"/>
      <c r="EP289" s="68"/>
      <c r="EQ289" s="65">
        <f t="shared" si="29"/>
        <v>18</v>
      </c>
      <c r="ER289" s="6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 t="s">
        <v>176</v>
      </c>
      <c r="FF289" s="15"/>
      <c r="FG289" s="15"/>
      <c r="FH289" s="1" t="str">
        <f t="shared" si="30"/>
        <v>7129292780034702117737</v>
      </c>
      <c r="FI289" s="1" t="str">
        <f t="shared" si="31"/>
        <v>PRLS/25/13822</v>
      </c>
      <c r="FJ289" s="38" t="e">
        <f>VLOOKUP(FH289,[1]Sheet3!$A:$D,4,0)</f>
        <v>#N/A</v>
      </c>
      <c r="FL289" s="13"/>
    </row>
    <row r="290" spans="1:168" ht="21" hidden="1" x14ac:dyDescent="0.25">
      <c r="A290" s="15" t="s">
        <v>949</v>
      </c>
      <c r="B290" s="15" t="s">
        <v>149</v>
      </c>
      <c r="C290" s="15" t="s">
        <v>625</v>
      </c>
      <c r="D290" s="15" t="s">
        <v>1016</v>
      </c>
      <c r="E290" s="15" t="s">
        <v>265</v>
      </c>
      <c r="F290" s="15" t="s">
        <v>266</v>
      </c>
      <c r="G290" s="15" t="s">
        <v>331</v>
      </c>
      <c r="H290" s="15" t="s">
        <v>301</v>
      </c>
      <c r="I290" s="15" t="s">
        <v>302</v>
      </c>
      <c r="J290" s="15" t="s">
        <v>730</v>
      </c>
      <c r="K290" s="15"/>
      <c r="L290" s="15" t="s">
        <v>303</v>
      </c>
      <c r="M290" s="15" t="s">
        <v>187</v>
      </c>
      <c r="N290" s="63">
        <v>96</v>
      </c>
      <c r="O290" s="15"/>
      <c r="P290" s="15">
        <v>24.2</v>
      </c>
      <c r="Q290" s="15"/>
      <c r="R290" s="15"/>
      <c r="S290" s="15" t="s">
        <v>304</v>
      </c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61">
        <v>46142</v>
      </c>
      <c r="BE290" s="61" t="s">
        <v>864</v>
      </c>
      <c r="BF290" s="15" t="s">
        <v>199</v>
      </c>
      <c r="BG290" s="15" t="s">
        <v>171</v>
      </c>
      <c r="BH290" s="15" t="s">
        <v>171</v>
      </c>
      <c r="BI290" s="15" t="s">
        <v>171</v>
      </c>
      <c r="BJ290" s="15"/>
      <c r="BK290" s="15"/>
      <c r="BL290" s="15"/>
      <c r="BM290" s="15"/>
      <c r="BN290" s="15"/>
      <c r="BO290" s="64"/>
      <c r="BP290" s="15"/>
      <c r="BQ290" s="15"/>
      <c r="BR290" s="15"/>
      <c r="BS290" s="64"/>
      <c r="BT290" s="64">
        <v>46180</v>
      </c>
      <c r="BU290" s="64">
        <v>46249</v>
      </c>
      <c r="BV290" s="15"/>
      <c r="BW290" s="64"/>
      <c r="BX290" s="68"/>
      <c r="BY290" s="68">
        <v>5</v>
      </c>
      <c r="BZ290" s="68">
        <v>12</v>
      </c>
      <c r="CA290" s="68">
        <v>14</v>
      </c>
      <c r="CB290" s="68">
        <v>16</v>
      </c>
      <c r="CC290" s="68">
        <v>14</v>
      </c>
      <c r="CD290" s="68">
        <v>12</v>
      </c>
      <c r="CE290" s="68">
        <v>8</v>
      </c>
      <c r="CF290" s="68">
        <v>8</v>
      </c>
      <c r="CG290" s="68">
        <v>7</v>
      </c>
      <c r="CH290" s="68"/>
      <c r="CI290" s="68"/>
      <c r="CJ290" s="68"/>
      <c r="CK290" s="15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  <c r="EE290" s="68"/>
      <c r="EF290" s="68"/>
      <c r="EG290" s="68"/>
      <c r="EH290" s="68"/>
      <c r="EI290" s="68"/>
      <c r="EJ290" s="68"/>
      <c r="EK290" s="68"/>
      <c r="EL290" s="68"/>
      <c r="EM290" s="68"/>
      <c r="EN290" s="68"/>
      <c r="EO290" s="68"/>
      <c r="EP290" s="68"/>
      <c r="EQ290" s="65">
        <f t="shared" si="29"/>
        <v>96</v>
      </c>
      <c r="ER290" s="6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 t="s">
        <v>176</v>
      </c>
      <c r="FF290" s="15"/>
      <c r="FG290" s="15"/>
      <c r="FH290" s="1" t="str">
        <f>H290&amp;D290</f>
        <v>7129292780034702121296</v>
      </c>
      <c r="FI290" s="1" t="str">
        <f>A290</f>
        <v>PRLS/25/13822</v>
      </c>
      <c r="FJ290" s="38" t="e">
        <f>VLOOKUP(FH290,[1]Sheet3!$A:$D,4,0)</f>
        <v>#N/A</v>
      </c>
      <c r="FL290" s="13"/>
    </row>
    <row r="291" spans="1:168" ht="21" hidden="1" x14ac:dyDescent="0.25">
      <c r="A291" s="15" t="s">
        <v>949</v>
      </c>
      <c r="B291" s="15" t="s">
        <v>149</v>
      </c>
      <c r="C291" s="15" t="s">
        <v>625</v>
      </c>
      <c r="D291" s="15" t="s">
        <v>941</v>
      </c>
      <c r="E291" s="15" t="s">
        <v>208</v>
      </c>
      <c r="F291" s="15" t="s">
        <v>181</v>
      </c>
      <c r="G291" s="15" t="s">
        <v>321</v>
      </c>
      <c r="H291" s="15" t="s">
        <v>301</v>
      </c>
      <c r="I291" s="15" t="s">
        <v>302</v>
      </c>
      <c r="J291" s="15" t="s">
        <v>730</v>
      </c>
      <c r="K291" s="15"/>
      <c r="L291" s="15" t="s">
        <v>303</v>
      </c>
      <c r="M291" s="15" t="s">
        <v>187</v>
      </c>
      <c r="N291" s="63">
        <v>60</v>
      </c>
      <c r="O291" s="15"/>
      <c r="P291" s="15">
        <v>24.2</v>
      </c>
      <c r="Q291" s="15"/>
      <c r="R291" s="15"/>
      <c r="S291" s="15" t="s">
        <v>304</v>
      </c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61">
        <v>46142</v>
      </c>
      <c r="BE291" s="61" t="s">
        <v>864</v>
      </c>
      <c r="BF291" s="15" t="s">
        <v>199</v>
      </c>
      <c r="BG291" s="15" t="s">
        <v>171</v>
      </c>
      <c r="BH291" s="15" t="s">
        <v>171</v>
      </c>
      <c r="BI291" s="15" t="s">
        <v>171</v>
      </c>
      <c r="BJ291" s="15"/>
      <c r="BK291" s="15"/>
      <c r="BL291" s="15"/>
      <c r="BM291" s="15"/>
      <c r="BN291" s="15"/>
      <c r="BO291" s="64"/>
      <c r="BP291" s="15"/>
      <c r="BQ291" s="15"/>
      <c r="BR291" s="15"/>
      <c r="BS291" s="64"/>
      <c r="BT291" s="64">
        <v>46180</v>
      </c>
      <c r="BU291" s="64">
        <v>46249</v>
      </c>
      <c r="BV291" s="15"/>
      <c r="BW291" s="64"/>
      <c r="BX291" s="68"/>
      <c r="BY291" s="68">
        <v>1</v>
      </c>
      <c r="BZ291" s="68">
        <v>4</v>
      </c>
      <c r="CA291" s="68">
        <v>14</v>
      </c>
      <c r="CB291" s="68">
        <v>14</v>
      </c>
      <c r="CC291" s="68">
        <v>15</v>
      </c>
      <c r="CD291" s="68">
        <v>7</v>
      </c>
      <c r="CE291" s="68">
        <v>4</v>
      </c>
      <c r="CF291" s="68">
        <v>1</v>
      </c>
      <c r="CG291" s="68"/>
      <c r="CH291" s="68"/>
      <c r="CI291" s="68"/>
      <c r="CJ291" s="68"/>
      <c r="CK291" s="15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  <c r="EE291" s="68"/>
      <c r="EF291" s="68"/>
      <c r="EG291" s="68"/>
      <c r="EH291" s="68"/>
      <c r="EI291" s="68"/>
      <c r="EJ291" s="68"/>
      <c r="EK291" s="68"/>
      <c r="EL291" s="68"/>
      <c r="EM291" s="68"/>
      <c r="EN291" s="68"/>
      <c r="EO291" s="68"/>
      <c r="EP291" s="68"/>
      <c r="EQ291" s="65">
        <f t="shared" si="29"/>
        <v>60</v>
      </c>
      <c r="ER291" s="6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 t="s">
        <v>176</v>
      </c>
      <c r="FF291" s="15"/>
      <c r="FG291" s="15"/>
      <c r="FH291" s="1" t="str">
        <f t="shared" si="30"/>
        <v>7129292780034702117736</v>
      </c>
      <c r="FI291" s="1" t="str">
        <f t="shared" si="31"/>
        <v>PRLS/25/13822</v>
      </c>
      <c r="FJ291" s="38" t="e">
        <f>VLOOKUP(FH291,[1]Sheet3!$A:$D,4,0)</f>
        <v>#N/A</v>
      </c>
      <c r="FL291" s="13"/>
    </row>
    <row r="292" spans="1:168" ht="21" hidden="1" x14ac:dyDescent="0.25">
      <c r="A292" s="15" t="s">
        <v>950</v>
      </c>
      <c r="B292" s="15" t="s">
        <v>149</v>
      </c>
      <c r="C292" s="15" t="s">
        <v>625</v>
      </c>
      <c r="D292" s="15" t="s">
        <v>1017</v>
      </c>
      <c r="E292" s="15" t="s">
        <v>265</v>
      </c>
      <c r="F292" s="15" t="s">
        <v>266</v>
      </c>
      <c r="G292" s="15" t="s">
        <v>331</v>
      </c>
      <c r="H292" s="15" t="s">
        <v>305</v>
      </c>
      <c r="I292" s="15" t="s">
        <v>306</v>
      </c>
      <c r="J292" s="15" t="s">
        <v>730</v>
      </c>
      <c r="K292" s="15"/>
      <c r="L292" s="15" t="s">
        <v>303</v>
      </c>
      <c r="M292" s="15" t="s">
        <v>307</v>
      </c>
      <c r="N292" s="63">
        <v>96</v>
      </c>
      <c r="O292" s="15"/>
      <c r="P292" s="15">
        <v>25.33</v>
      </c>
      <c r="Q292" s="15"/>
      <c r="R292" s="15"/>
      <c r="S292" s="15" t="s">
        <v>304</v>
      </c>
      <c r="T292" s="15"/>
      <c r="U292" s="15"/>
      <c r="V292" s="15"/>
      <c r="W292" s="15"/>
      <c r="X292" s="15"/>
      <c r="Y292" s="15" t="s">
        <v>1119</v>
      </c>
      <c r="Z292" s="15" t="s">
        <v>191</v>
      </c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 t="s">
        <v>448</v>
      </c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61">
        <v>46127</v>
      </c>
      <c r="BE292" s="61" t="s">
        <v>864</v>
      </c>
      <c r="BF292" s="15" t="s">
        <v>219</v>
      </c>
      <c r="BG292" s="15" t="s">
        <v>199</v>
      </c>
      <c r="BH292" s="15" t="s">
        <v>199</v>
      </c>
      <c r="BI292" s="15" t="s">
        <v>199</v>
      </c>
      <c r="BJ292" s="15"/>
      <c r="BK292" s="15"/>
      <c r="BL292" s="15"/>
      <c r="BM292" s="15"/>
      <c r="BN292" s="15"/>
      <c r="BO292" s="64"/>
      <c r="BP292" s="15"/>
      <c r="BQ292" s="15"/>
      <c r="BR292" s="15"/>
      <c r="BS292" s="64"/>
      <c r="BT292" s="64">
        <v>46166</v>
      </c>
      <c r="BU292" s="64">
        <v>46249</v>
      </c>
      <c r="BV292" s="15"/>
      <c r="BW292" s="64"/>
      <c r="BX292" s="68"/>
      <c r="BY292" s="68">
        <v>5</v>
      </c>
      <c r="BZ292" s="68">
        <v>12</v>
      </c>
      <c r="CA292" s="68">
        <v>14</v>
      </c>
      <c r="CB292" s="68">
        <v>16</v>
      </c>
      <c r="CC292" s="68">
        <v>14</v>
      </c>
      <c r="CD292" s="68">
        <v>12</v>
      </c>
      <c r="CE292" s="68">
        <v>8</v>
      </c>
      <c r="CF292" s="68">
        <v>8</v>
      </c>
      <c r="CG292" s="68">
        <v>7</v>
      </c>
      <c r="CH292" s="68"/>
      <c r="CI292" s="68"/>
      <c r="CJ292" s="68"/>
      <c r="CK292" s="15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  <c r="EE292" s="68"/>
      <c r="EF292" s="68"/>
      <c r="EG292" s="68"/>
      <c r="EH292" s="68"/>
      <c r="EI292" s="68"/>
      <c r="EJ292" s="68"/>
      <c r="EK292" s="68"/>
      <c r="EL292" s="68"/>
      <c r="EM292" s="68"/>
      <c r="EN292" s="68"/>
      <c r="EO292" s="68"/>
      <c r="EP292" s="68"/>
      <c r="EQ292" s="65">
        <f t="shared" si="29"/>
        <v>96</v>
      </c>
      <c r="ER292" s="6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 t="s">
        <v>176</v>
      </c>
      <c r="FF292" s="15"/>
      <c r="FG292" s="15"/>
      <c r="FH292" s="1" t="str">
        <f>H292&amp;D292</f>
        <v>7129360180014702121297</v>
      </c>
      <c r="FI292" s="1" t="str">
        <f>A292</f>
        <v>PRLS/25/13715</v>
      </c>
      <c r="FJ292" s="38" t="e">
        <f>VLOOKUP(FH292,[1]Sheet3!$A:$D,4,0)</f>
        <v>#N/A</v>
      </c>
      <c r="FL292" s="13"/>
    </row>
    <row r="293" spans="1:168" ht="21" hidden="1" x14ac:dyDescent="0.25">
      <c r="A293" s="15" t="s">
        <v>950</v>
      </c>
      <c r="B293" s="15" t="s">
        <v>149</v>
      </c>
      <c r="C293" s="15" t="s">
        <v>625</v>
      </c>
      <c r="D293" s="15" t="s">
        <v>944</v>
      </c>
      <c r="E293" s="15" t="s">
        <v>208</v>
      </c>
      <c r="F293" s="15" t="s">
        <v>181</v>
      </c>
      <c r="G293" s="15" t="s">
        <v>321</v>
      </c>
      <c r="H293" s="15" t="s">
        <v>305</v>
      </c>
      <c r="I293" s="15" t="s">
        <v>306</v>
      </c>
      <c r="J293" s="15" t="s">
        <v>730</v>
      </c>
      <c r="K293" s="15"/>
      <c r="L293" s="15" t="s">
        <v>303</v>
      </c>
      <c r="M293" s="15" t="s">
        <v>307</v>
      </c>
      <c r="N293" s="63">
        <v>243</v>
      </c>
      <c r="O293" s="15"/>
      <c r="P293" s="15">
        <v>26.89</v>
      </c>
      <c r="Q293" s="15"/>
      <c r="R293" s="15"/>
      <c r="S293" s="15" t="s">
        <v>304</v>
      </c>
      <c r="T293" s="15"/>
      <c r="U293" s="15"/>
      <c r="V293" s="15"/>
      <c r="W293" s="15"/>
      <c r="X293" s="15"/>
      <c r="Y293" s="15" t="s">
        <v>1119</v>
      </c>
      <c r="Z293" s="15" t="s">
        <v>191</v>
      </c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 t="s">
        <v>448</v>
      </c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61">
        <v>46127</v>
      </c>
      <c r="BE293" s="61" t="s">
        <v>864</v>
      </c>
      <c r="BF293" s="15" t="s">
        <v>219</v>
      </c>
      <c r="BG293" s="15" t="s">
        <v>199</v>
      </c>
      <c r="BH293" s="15" t="s">
        <v>199</v>
      </c>
      <c r="BI293" s="15" t="s">
        <v>199</v>
      </c>
      <c r="BJ293" s="15"/>
      <c r="BK293" s="15"/>
      <c r="BL293" s="15"/>
      <c r="BM293" s="15"/>
      <c r="BN293" s="15"/>
      <c r="BO293" s="64"/>
      <c r="BP293" s="15"/>
      <c r="BQ293" s="15"/>
      <c r="BR293" s="15"/>
      <c r="BS293" s="64"/>
      <c r="BT293" s="64">
        <v>46166</v>
      </c>
      <c r="BU293" s="64">
        <v>46249</v>
      </c>
      <c r="BV293" s="15"/>
      <c r="BW293" s="64"/>
      <c r="BX293" s="68"/>
      <c r="BY293" s="68"/>
      <c r="BZ293" s="68">
        <v>14</v>
      </c>
      <c r="CA293" s="68">
        <v>51</v>
      </c>
      <c r="CB293" s="68">
        <v>67</v>
      </c>
      <c r="CC293" s="68">
        <v>65</v>
      </c>
      <c r="CD293" s="68">
        <v>30</v>
      </c>
      <c r="CE293" s="68">
        <v>16</v>
      </c>
      <c r="CF293" s="68"/>
      <c r="CG293" s="68"/>
      <c r="CH293" s="68"/>
      <c r="CI293" s="68"/>
      <c r="CJ293" s="68"/>
      <c r="CK293" s="15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  <c r="EE293" s="68"/>
      <c r="EF293" s="68"/>
      <c r="EG293" s="68"/>
      <c r="EH293" s="68"/>
      <c r="EI293" s="68"/>
      <c r="EJ293" s="68"/>
      <c r="EK293" s="68"/>
      <c r="EL293" s="68"/>
      <c r="EM293" s="68"/>
      <c r="EN293" s="68"/>
      <c r="EO293" s="68"/>
      <c r="EP293" s="68"/>
      <c r="EQ293" s="65">
        <f t="shared" si="29"/>
        <v>243</v>
      </c>
      <c r="ER293" s="6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 t="s">
        <v>176</v>
      </c>
      <c r="FF293" s="15"/>
      <c r="FG293" s="15"/>
      <c r="FH293" s="1" t="str">
        <f t="shared" si="30"/>
        <v>7129360180014702115113</v>
      </c>
      <c r="FI293" s="1" t="str">
        <f t="shared" si="31"/>
        <v>PRLS/25/13715</v>
      </c>
      <c r="FJ293" s="38" t="e">
        <f>VLOOKUP(FH293,[1]Sheet3!$A:$D,4,0)</f>
        <v>#N/A</v>
      </c>
      <c r="FL293" s="13"/>
    </row>
    <row r="294" spans="1:168" ht="21" hidden="1" x14ac:dyDescent="0.25">
      <c r="A294" s="15" t="s">
        <v>951</v>
      </c>
      <c r="B294" s="15" t="s">
        <v>149</v>
      </c>
      <c r="C294" s="15" t="s">
        <v>625</v>
      </c>
      <c r="D294" s="15" t="s">
        <v>1018</v>
      </c>
      <c r="E294" s="15" t="s">
        <v>265</v>
      </c>
      <c r="F294" s="15" t="s">
        <v>266</v>
      </c>
      <c r="G294" s="15" t="s">
        <v>331</v>
      </c>
      <c r="H294" s="15" t="s">
        <v>727</v>
      </c>
      <c r="I294" s="15" t="s">
        <v>769</v>
      </c>
      <c r="J294" s="15" t="s">
        <v>730</v>
      </c>
      <c r="K294" s="15"/>
      <c r="L294" s="15" t="s">
        <v>732</v>
      </c>
      <c r="M294" s="15" t="s">
        <v>737</v>
      </c>
      <c r="N294" s="63">
        <v>96</v>
      </c>
      <c r="O294" s="15"/>
      <c r="P294" s="15">
        <v>31.65</v>
      </c>
      <c r="Q294" s="15"/>
      <c r="R294" s="15"/>
      <c r="S294" s="15" t="s">
        <v>304</v>
      </c>
      <c r="T294" s="15"/>
      <c r="U294" s="15"/>
      <c r="V294" s="15"/>
      <c r="W294" s="15"/>
      <c r="X294" s="15"/>
      <c r="Y294" s="15" t="s">
        <v>1119</v>
      </c>
      <c r="Z294" s="15" t="s">
        <v>191</v>
      </c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 t="s">
        <v>448</v>
      </c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61">
        <v>46127</v>
      </c>
      <c r="BE294" s="61" t="s">
        <v>864</v>
      </c>
      <c r="BF294" s="15" t="s">
        <v>219</v>
      </c>
      <c r="BG294" s="15" t="s">
        <v>171</v>
      </c>
      <c r="BH294" s="15" t="s">
        <v>171</v>
      </c>
      <c r="BI294" s="15" t="s">
        <v>171</v>
      </c>
      <c r="BJ294" s="15"/>
      <c r="BK294" s="15"/>
      <c r="BL294" s="15"/>
      <c r="BM294" s="15"/>
      <c r="BN294" s="15"/>
      <c r="BO294" s="64"/>
      <c r="BP294" s="15"/>
      <c r="BQ294" s="15"/>
      <c r="BR294" s="15"/>
      <c r="BS294" s="64"/>
      <c r="BT294" s="64">
        <v>46166</v>
      </c>
      <c r="BU294" s="64">
        <v>46249</v>
      </c>
      <c r="BV294" s="15"/>
      <c r="BW294" s="64"/>
      <c r="BX294" s="68"/>
      <c r="BY294" s="68">
        <v>5</v>
      </c>
      <c r="BZ294" s="68">
        <v>12</v>
      </c>
      <c r="CA294" s="68">
        <v>14</v>
      </c>
      <c r="CB294" s="68">
        <v>16</v>
      </c>
      <c r="CC294" s="68">
        <v>14</v>
      </c>
      <c r="CD294" s="68">
        <v>12</v>
      </c>
      <c r="CE294" s="68">
        <v>8</v>
      </c>
      <c r="CF294" s="68">
        <v>8</v>
      </c>
      <c r="CG294" s="68">
        <v>7</v>
      </c>
      <c r="CH294" s="68"/>
      <c r="CI294" s="68"/>
      <c r="CJ294" s="68"/>
      <c r="CK294" s="15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  <c r="EE294" s="68"/>
      <c r="EF294" s="68"/>
      <c r="EG294" s="68"/>
      <c r="EH294" s="68"/>
      <c r="EI294" s="68"/>
      <c r="EJ294" s="68"/>
      <c r="EK294" s="68"/>
      <c r="EL294" s="68"/>
      <c r="EM294" s="68"/>
      <c r="EN294" s="68"/>
      <c r="EO294" s="68"/>
      <c r="EP294" s="68"/>
      <c r="EQ294" s="65">
        <f t="shared" si="29"/>
        <v>96</v>
      </c>
      <c r="ER294" s="6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 t="s">
        <v>176</v>
      </c>
      <c r="FF294" s="15"/>
      <c r="FG294" s="15"/>
      <c r="FH294" s="1" t="str">
        <f>H294&amp;D294</f>
        <v>712B268690024702121298</v>
      </c>
      <c r="FI294" s="1" t="str">
        <f>A294</f>
        <v>PRLS/25/13720</v>
      </c>
      <c r="FJ294" s="38" t="e">
        <f>VLOOKUP(FH294,[1]Sheet3!$A:$D,4,0)</f>
        <v>#N/A</v>
      </c>
      <c r="FL294" s="13"/>
    </row>
    <row r="295" spans="1:168" ht="21" hidden="1" x14ac:dyDescent="0.25">
      <c r="A295" s="15" t="s">
        <v>951</v>
      </c>
      <c r="B295" s="15" t="s">
        <v>149</v>
      </c>
      <c r="C295" s="15" t="s">
        <v>625</v>
      </c>
      <c r="D295" s="15" t="s">
        <v>945</v>
      </c>
      <c r="E295" s="15" t="s">
        <v>208</v>
      </c>
      <c r="F295" s="15" t="s">
        <v>181</v>
      </c>
      <c r="G295" s="15" t="s">
        <v>321</v>
      </c>
      <c r="H295" s="15" t="s">
        <v>727</v>
      </c>
      <c r="I295" s="15" t="s">
        <v>769</v>
      </c>
      <c r="J295" s="15" t="s">
        <v>730</v>
      </c>
      <c r="K295" s="15"/>
      <c r="L295" s="15" t="s">
        <v>732</v>
      </c>
      <c r="M295" s="15" t="s">
        <v>737</v>
      </c>
      <c r="N295" s="63">
        <v>227</v>
      </c>
      <c r="O295" s="15"/>
      <c r="P295" s="15">
        <v>33.21</v>
      </c>
      <c r="Q295" s="15"/>
      <c r="R295" s="15"/>
      <c r="S295" s="15" t="s">
        <v>304</v>
      </c>
      <c r="T295" s="15"/>
      <c r="U295" s="15"/>
      <c r="V295" s="15"/>
      <c r="W295" s="15"/>
      <c r="X295" s="15"/>
      <c r="Y295" s="15" t="s">
        <v>1119</v>
      </c>
      <c r="Z295" s="15" t="s">
        <v>191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 t="s">
        <v>448</v>
      </c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61">
        <v>46127</v>
      </c>
      <c r="BE295" s="61" t="s">
        <v>864</v>
      </c>
      <c r="BF295" s="15" t="s">
        <v>219</v>
      </c>
      <c r="BG295" s="15" t="s">
        <v>171</v>
      </c>
      <c r="BH295" s="15" t="s">
        <v>171</v>
      </c>
      <c r="BI295" s="15" t="s">
        <v>171</v>
      </c>
      <c r="BJ295" s="15"/>
      <c r="BK295" s="15"/>
      <c r="BL295" s="15"/>
      <c r="BM295" s="15"/>
      <c r="BN295" s="15"/>
      <c r="BO295" s="64"/>
      <c r="BP295" s="15"/>
      <c r="BQ295" s="15"/>
      <c r="BR295" s="15"/>
      <c r="BS295" s="64"/>
      <c r="BT295" s="64">
        <v>46166</v>
      </c>
      <c r="BU295" s="64">
        <v>46249</v>
      </c>
      <c r="BV295" s="15"/>
      <c r="BW295" s="64"/>
      <c r="BX295" s="68"/>
      <c r="BY295" s="68"/>
      <c r="BZ295" s="68">
        <v>14</v>
      </c>
      <c r="CA295" s="68">
        <v>47</v>
      </c>
      <c r="CB295" s="68">
        <v>60</v>
      </c>
      <c r="CC295" s="68">
        <v>61</v>
      </c>
      <c r="CD295" s="68">
        <v>29</v>
      </c>
      <c r="CE295" s="68">
        <v>16</v>
      </c>
      <c r="CF295" s="68"/>
      <c r="CG295" s="68"/>
      <c r="CH295" s="68"/>
      <c r="CI295" s="68"/>
      <c r="CJ295" s="68"/>
      <c r="CK295" s="15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  <c r="EE295" s="68"/>
      <c r="EF295" s="68"/>
      <c r="EG295" s="68"/>
      <c r="EH295" s="68"/>
      <c r="EI295" s="68"/>
      <c r="EJ295" s="68"/>
      <c r="EK295" s="68"/>
      <c r="EL295" s="68"/>
      <c r="EM295" s="68"/>
      <c r="EN295" s="68"/>
      <c r="EO295" s="68"/>
      <c r="EP295" s="68"/>
      <c r="EQ295" s="65">
        <f t="shared" si="29"/>
        <v>227</v>
      </c>
      <c r="ER295" s="6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 t="s">
        <v>176</v>
      </c>
      <c r="FF295" s="15"/>
      <c r="FG295" s="15"/>
      <c r="FH295" s="1" t="str">
        <f t="shared" si="30"/>
        <v>712B268690024702115114</v>
      </c>
      <c r="FI295" s="1" t="str">
        <f t="shared" si="31"/>
        <v>PRLS/25/13720</v>
      </c>
      <c r="FJ295" s="38" t="e">
        <f>VLOOKUP(FH295,[1]Sheet3!$A:$D,4,0)</f>
        <v>#N/A</v>
      </c>
      <c r="FL295" s="13"/>
    </row>
    <row r="296" spans="1:168" ht="21" hidden="1" x14ac:dyDescent="0.25">
      <c r="A296" s="15" t="s">
        <v>975</v>
      </c>
      <c r="B296" s="15" t="s">
        <v>149</v>
      </c>
      <c r="C296" s="15" t="s">
        <v>625</v>
      </c>
      <c r="D296" s="15" t="s">
        <v>969</v>
      </c>
      <c r="E296" s="15" t="s">
        <v>208</v>
      </c>
      <c r="F296" s="15" t="s">
        <v>181</v>
      </c>
      <c r="G296" s="15" t="s">
        <v>321</v>
      </c>
      <c r="H296" s="15" t="s">
        <v>209</v>
      </c>
      <c r="I296" s="15" t="s">
        <v>197</v>
      </c>
      <c r="J296" s="15" t="s">
        <v>903</v>
      </c>
      <c r="K296" s="15"/>
      <c r="L296" s="15" t="s">
        <v>247</v>
      </c>
      <c r="M296" s="15" t="s">
        <v>187</v>
      </c>
      <c r="N296" s="63">
        <v>204</v>
      </c>
      <c r="O296" s="15"/>
      <c r="P296" s="15">
        <v>10.63</v>
      </c>
      <c r="Q296" s="15"/>
      <c r="R296" s="15"/>
      <c r="S296" s="15" t="s">
        <v>200</v>
      </c>
      <c r="T296" s="15"/>
      <c r="U296" s="15"/>
      <c r="V296" s="15"/>
      <c r="W296" s="15"/>
      <c r="X296" s="15"/>
      <c r="Y296" s="15" t="s">
        <v>162</v>
      </c>
      <c r="Z296" s="15" t="s">
        <v>1118</v>
      </c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 t="s">
        <v>170</v>
      </c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61">
        <v>46078</v>
      </c>
      <c r="BE296" s="61" t="s">
        <v>192</v>
      </c>
      <c r="BF296" s="15" t="s">
        <v>199</v>
      </c>
      <c r="BG296" s="15" t="s">
        <v>219</v>
      </c>
      <c r="BH296" s="15" t="s">
        <v>219</v>
      </c>
      <c r="BI296" s="15" t="s">
        <v>199</v>
      </c>
      <c r="BJ296" s="15"/>
      <c r="BK296" s="15"/>
      <c r="BL296" s="15"/>
      <c r="BM296" s="15"/>
      <c r="BN296" s="15"/>
      <c r="BO296" s="64"/>
      <c r="BP296" s="15"/>
      <c r="BQ296" s="15"/>
      <c r="BR296" s="15"/>
      <c r="BS296" s="64"/>
      <c r="BT296" s="64">
        <v>46117</v>
      </c>
      <c r="BU296" s="64">
        <v>46188</v>
      </c>
      <c r="BV296" s="15"/>
      <c r="BW296" s="64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15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  <c r="EE296" s="68"/>
      <c r="EF296" s="68"/>
      <c r="EG296" s="68"/>
      <c r="EH296" s="68"/>
      <c r="EI296" s="68"/>
      <c r="EJ296" s="68"/>
      <c r="EK296" s="68"/>
      <c r="EL296" s="68"/>
      <c r="EM296" s="68">
        <v>25</v>
      </c>
      <c r="EN296" s="68">
        <v>38</v>
      </c>
      <c r="EO296" s="68">
        <v>66</v>
      </c>
      <c r="EP296" s="68">
        <v>75</v>
      </c>
      <c r="EQ296" s="65">
        <f t="shared" si="29"/>
        <v>204</v>
      </c>
      <c r="ER296" s="6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 t="s">
        <v>202</v>
      </c>
      <c r="FF296" s="15"/>
      <c r="FG296" s="15"/>
      <c r="FH296" s="1" t="str">
        <f t="shared" si="30"/>
        <v>3239676000034702116505</v>
      </c>
      <c r="FI296" s="1" t="str">
        <f t="shared" si="31"/>
        <v>PRLS/25/13828</v>
      </c>
      <c r="FJ296" s="38" t="e">
        <f>VLOOKUP(FH296,[1]Sheet3!$A:$D,4,0)</f>
        <v>#N/A</v>
      </c>
      <c r="FL296" s="13"/>
    </row>
    <row r="297" spans="1:168" ht="21" hidden="1" x14ac:dyDescent="0.25">
      <c r="A297" s="15" t="s">
        <v>975</v>
      </c>
      <c r="B297" s="15" t="s">
        <v>149</v>
      </c>
      <c r="C297" s="15" t="s">
        <v>625</v>
      </c>
      <c r="D297" s="15" t="s">
        <v>970</v>
      </c>
      <c r="E297" s="15" t="s">
        <v>270</v>
      </c>
      <c r="F297" s="15" t="s">
        <v>260</v>
      </c>
      <c r="G297" s="15" t="s">
        <v>321</v>
      </c>
      <c r="H297" s="15" t="s">
        <v>209</v>
      </c>
      <c r="I297" s="15" t="s">
        <v>197</v>
      </c>
      <c r="J297" s="15" t="s">
        <v>903</v>
      </c>
      <c r="K297" s="15"/>
      <c r="L297" s="15" t="s">
        <v>247</v>
      </c>
      <c r="M297" s="15" t="s">
        <v>187</v>
      </c>
      <c r="N297" s="63">
        <v>54</v>
      </c>
      <c r="O297" s="15"/>
      <c r="P297" s="15">
        <v>10.63</v>
      </c>
      <c r="Q297" s="15"/>
      <c r="R297" s="15"/>
      <c r="S297" s="15" t="s">
        <v>200</v>
      </c>
      <c r="T297" s="15"/>
      <c r="U297" s="15"/>
      <c r="V297" s="15"/>
      <c r="W297" s="15"/>
      <c r="X297" s="15"/>
      <c r="Y297" s="15" t="s">
        <v>162</v>
      </c>
      <c r="Z297" s="15" t="s">
        <v>1118</v>
      </c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 t="s">
        <v>170</v>
      </c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61">
        <v>46078</v>
      </c>
      <c r="BE297" s="61" t="s">
        <v>192</v>
      </c>
      <c r="BF297" s="15" t="s">
        <v>199</v>
      </c>
      <c r="BG297" s="15" t="s">
        <v>219</v>
      </c>
      <c r="BH297" s="15" t="s">
        <v>219</v>
      </c>
      <c r="BI297" s="15" t="s">
        <v>199</v>
      </c>
      <c r="BJ297" s="15"/>
      <c r="BK297" s="15"/>
      <c r="BL297" s="15"/>
      <c r="BM297" s="15"/>
      <c r="BN297" s="15"/>
      <c r="BO297" s="64"/>
      <c r="BP297" s="15"/>
      <c r="BQ297" s="15"/>
      <c r="BR297" s="15"/>
      <c r="BS297" s="64"/>
      <c r="BT297" s="64">
        <v>46117</v>
      </c>
      <c r="BU297" s="64">
        <v>46188</v>
      </c>
      <c r="BV297" s="15"/>
      <c r="BW297" s="64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15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  <c r="EE297" s="68"/>
      <c r="EF297" s="68"/>
      <c r="EG297" s="68"/>
      <c r="EH297" s="68"/>
      <c r="EI297" s="68"/>
      <c r="EJ297" s="68"/>
      <c r="EK297" s="68"/>
      <c r="EL297" s="68"/>
      <c r="EM297" s="68">
        <v>6</v>
      </c>
      <c r="EN297" s="68">
        <v>12</v>
      </c>
      <c r="EO297" s="68">
        <v>18</v>
      </c>
      <c r="EP297" s="68">
        <v>18</v>
      </c>
      <c r="EQ297" s="65">
        <f t="shared" si="29"/>
        <v>54</v>
      </c>
      <c r="ER297" s="6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 t="s">
        <v>202</v>
      </c>
      <c r="FF297" s="15"/>
      <c r="FG297" s="15"/>
      <c r="FH297" s="1" t="str">
        <f t="shared" si="30"/>
        <v>3239676000034702116506</v>
      </c>
      <c r="FI297" s="1" t="str">
        <f t="shared" si="31"/>
        <v>PRLS/25/13828</v>
      </c>
      <c r="FJ297" s="38" t="e">
        <f>VLOOKUP(FH297,[1]Sheet3!$A:$D,4,0)</f>
        <v>#N/A</v>
      </c>
      <c r="FL297" s="13"/>
    </row>
    <row r="298" spans="1:168" ht="21" hidden="1" x14ac:dyDescent="0.25">
      <c r="A298" s="15" t="s">
        <v>974</v>
      </c>
      <c r="B298" s="15" t="s">
        <v>149</v>
      </c>
      <c r="C298" s="15" t="s">
        <v>845</v>
      </c>
      <c r="D298" s="15" t="s">
        <v>972</v>
      </c>
      <c r="E298" s="15" t="s">
        <v>265</v>
      </c>
      <c r="F298" s="15" t="s">
        <v>844</v>
      </c>
      <c r="G298" s="15" t="s">
        <v>843</v>
      </c>
      <c r="H298" s="15" t="s">
        <v>971</v>
      </c>
      <c r="I298" s="15" t="s">
        <v>963</v>
      </c>
      <c r="J298" s="15" t="s">
        <v>840</v>
      </c>
      <c r="K298" s="15"/>
      <c r="L298" s="15" t="s">
        <v>247</v>
      </c>
      <c r="M298" s="15" t="s">
        <v>393</v>
      </c>
      <c r="N298" s="63">
        <v>5100</v>
      </c>
      <c r="O298" s="15"/>
      <c r="P298" s="15">
        <v>12.51</v>
      </c>
      <c r="Q298" s="15"/>
      <c r="R298" s="15"/>
      <c r="S298" s="15"/>
      <c r="T298" s="15"/>
      <c r="U298" s="15"/>
      <c r="V298" s="15"/>
      <c r="W298" s="15"/>
      <c r="X298" s="15"/>
      <c r="Y298" s="15" t="s">
        <v>320</v>
      </c>
      <c r="Z298" s="15" t="s">
        <v>191</v>
      </c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 t="s">
        <v>976</v>
      </c>
      <c r="AL298" s="15"/>
      <c r="AM298" s="15">
        <v>6</v>
      </c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61">
        <v>46139</v>
      </c>
      <c r="BE298" s="61" t="s">
        <v>171</v>
      </c>
      <c r="BF298" s="15" t="s">
        <v>199</v>
      </c>
      <c r="BG298" s="15" t="s">
        <v>171</v>
      </c>
      <c r="BH298" s="15" t="s">
        <v>171</v>
      </c>
      <c r="BI298" s="15" t="s">
        <v>171</v>
      </c>
      <c r="BJ298" s="15"/>
      <c r="BK298" s="15"/>
      <c r="BL298" s="15"/>
      <c r="BM298" s="15"/>
      <c r="BN298" s="15"/>
      <c r="BO298" s="64"/>
      <c r="BP298" s="15"/>
      <c r="BQ298" s="15"/>
      <c r="BR298" s="15"/>
      <c r="BS298" s="64"/>
      <c r="BT298" s="64">
        <v>46180</v>
      </c>
      <c r="BU298" s="64">
        <v>46249</v>
      </c>
      <c r="BV298" s="15"/>
      <c r="BW298" s="64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15"/>
      <c r="CL298" s="68">
        <v>850</v>
      </c>
      <c r="CM298" s="68">
        <v>850</v>
      </c>
      <c r="CN298" s="68">
        <v>1700</v>
      </c>
      <c r="CO298" s="68">
        <v>850</v>
      </c>
      <c r="CP298" s="68">
        <v>850</v>
      </c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  <c r="EE298" s="68"/>
      <c r="EF298" s="68"/>
      <c r="EG298" s="68"/>
      <c r="EH298" s="68"/>
      <c r="EI298" s="68"/>
      <c r="EJ298" s="68"/>
      <c r="EK298" s="68"/>
      <c r="EL298" s="68"/>
      <c r="EM298" s="68"/>
      <c r="EN298" s="68"/>
      <c r="EO298" s="68"/>
      <c r="EP298" s="68"/>
      <c r="EQ298" s="65">
        <f t="shared" si="29"/>
        <v>5100</v>
      </c>
      <c r="ER298" s="6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 t="s">
        <v>176</v>
      </c>
      <c r="FF298" s="15"/>
      <c r="FG298" s="15"/>
      <c r="FH298" s="1" t="str">
        <f t="shared" si="30"/>
        <v>710B348880024702118966</v>
      </c>
      <c r="FI298" s="1" t="str">
        <f t="shared" si="31"/>
        <v>PRLS/25/13717</v>
      </c>
      <c r="FJ298" s="38" t="e">
        <f>VLOOKUP(FH298,[1]Sheet3!$A:$D,4,0)</f>
        <v>#N/A</v>
      </c>
      <c r="FL298" s="13"/>
    </row>
    <row r="299" spans="1:168" ht="21" hidden="1" x14ac:dyDescent="0.25">
      <c r="A299" s="15" t="s">
        <v>974</v>
      </c>
      <c r="B299" s="15" t="s">
        <v>149</v>
      </c>
      <c r="C299" s="15" t="s">
        <v>845</v>
      </c>
      <c r="D299" s="15" t="s">
        <v>973</v>
      </c>
      <c r="E299" s="15" t="s">
        <v>265</v>
      </c>
      <c r="F299" s="15" t="s">
        <v>845</v>
      </c>
      <c r="G299" s="15" t="s">
        <v>843</v>
      </c>
      <c r="H299" s="15" t="s">
        <v>971</v>
      </c>
      <c r="I299" s="15" t="s">
        <v>963</v>
      </c>
      <c r="J299" s="15" t="s">
        <v>840</v>
      </c>
      <c r="K299" s="15"/>
      <c r="L299" s="15" t="s">
        <v>247</v>
      </c>
      <c r="M299" s="15" t="s">
        <v>393</v>
      </c>
      <c r="N299" s="63">
        <v>3900</v>
      </c>
      <c r="O299" s="15"/>
      <c r="P299" s="15">
        <v>12.51</v>
      </c>
      <c r="Q299" s="15"/>
      <c r="R299" s="15"/>
      <c r="S299" s="15"/>
      <c r="T299" s="15"/>
      <c r="U299" s="15"/>
      <c r="V299" s="15"/>
      <c r="W299" s="15"/>
      <c r="X299" s="15"/>
      <c r="Y299" s="15" t="s">
        <v>320</v>
      </c>
      <c r="Z299" s="15" t="s">
        <v>191</v>
      </c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 t="s">
        <v>976</v>
      </c>
      <c r="AL299" s="15"/>
      <c r="AM299" s="15">
        <v>6</v>
      </c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61">
        <v>46139</v>
      </c>
      <c r="BE299" s="61" t="s">
        <v>171</v>
      </c>
      <c r="BF299" s="15" t="s">
        <v>199</v>
      </c>
      <c r="BG299" s="15" t="s">
        <v>171</v>
      </c>
      <c r="BH299" s="15" t="s">
        <v>171</v>
      </c>
      <c r="BI299" s="15" t="s">
        <v>171</v>
      </c>
      <c r="BJ299" s="15"/>
      <c r="BK299" s="15"/>
      <c r="BL299" s="15"/>
      <c r="BM299" s="15"/>
      <c r="BN299" s="15"/>
      <c r="BO299" s="64"/>
      <c r="BP299" s="15"/>
      <c r="BQ299" s="15"/>
      <c r="BR299" s="15"/>
      <c r="BS299" s="64"/>
      <c r="BT299" s="64">
        <v>46180</v>
      </c>
      <c r="BU299" s="64">
        <v>46249</v>
      </c>
      <c r="BV299" s="15"/>
      <c r="BW299" s="64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15"/>
      <c r="CL299" s="68">
        <v>650</v>
      </c>
      <c r="CM299" s="68">
        <v>650</v>
      </c>
      <c r="CN299" s="68">
        <v>1300</v>
      </c>
      <c r="CO299" s="68">
        <v>650</v>
      </c>
      <c r="CP299" s="68">
        <v>650</v>
      </c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5">
        <f t="shared" si="29"/>
        <v>3900</v>
      </c>
      <c r="ER299" s="6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 t="s">
        <v>176</v>
      </c>
      <c r="FF299" s="15"/>
      <c r="FG299" s="15"/>
      <c r="FH299" s="1" t="str">
        <f t="shared" si="30"/>
        <v>710B348880024702118967</v>
      </c>
      <c r="FI299" s="1" t="str">
        <f t="shared" si="31"/>
        <v>PRLS/25/13717</v>
      </c>
      <c r="FJ299" s="38" t="e">
        <f>VLOOKUP(FH299,[1]Sheet3!$A:$D,4,0)</f>
        <v>#N/A</v>
      </c>
      <c r="FL299" s="13"/>
    </row>
    <row r="300" spans="1:168" ht="21" hidden="1" x14ac:dyDescent="0.25">
      <c r="A300" s="15" t="s">
        <v>994</v>
      </c>
      <c r="B300" s="15" t="s">
        <v>149</v>
      </c>
      <c r="C300" s="15" t="s">
        <v>625</v>
      </c>
      <c r="D300" s="15" t="s">
        <v>140</v>
      </c>
      <c r="E300" s="15" t="s">
        <v>140</v>
      </c>
      <c r="F300" s="15" t="s">
        <v>140</v>
      </c>
      <c r="G300" s="15"/>
      <c r="H300" s="15" t="s">
        <v>981</v>
      </c>
      <c r="I300" s="15" t="s">
        <v>447</v>
      </c>
      <c r="J300" s="15" t="s">
        <v>978</v>
      </c>
      <c r="K300" s="15"/>
      <c r="L300" s="15" t="s">
        <v>247</v>
      </c>
      <c r="M300" s="15" t="s">
        <v>797</v>
      </c>
      <c r="N300" s="63">
        <v>623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61">
        <v>46118</v>
      </c>
      <c r="BE300" s="61" t="s">
        <v>171</v>
      </c>
      <c r="BF300" s="15" t="s">
        <v>199</v>
      </c>
      <c r="BG300" s="15" t="s">
        <v>171</v>
      </c>
      <c r="BH300" s="15" t="s">
        <v>171</v>
      </c>
      <c r="BI300" s="15" t="s">
        <v>171</v>
      </c>
      <c r="BJ300" s="15"/>
      <c r="BK300" s="15"/>
      <c r="BL300" s="15"/>
      <c r="BM300" s="15"/>
      <c r="BN300" s="15"/>
      <c r="BO300" s="64"/>
      <c r="BP300" s="15"/>
      <c r="BQ300" s="15"/>
      <c r="BR300" s="15"/>
      <c r="BS300" s="64">
        <v>46166</v>
      </c>
      <c r="BT300" s="64"/>
      <c r="BU300" s="64"/>
      <c r="BV300" s="15"/>
      <c r="BW300" s="64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15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5">
        <f t="shared" si="29"/>
        <v>0</v>
      </c>
      <c r="ER300" s="6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" t="str">
        <f t="shared" si="30"/>
        <v>711P03855508TBC</v>
      </c>
      <c r="FI300" s="1" t="str">
        <f t="shared" si="31"/>
        <v>PRLS/25/13516</v>
      </c>
      <c r="FJ300" s="38"/>
      <c r="FL300" s="13"/>
    </row>
    <row r="301" spans="1:168" ht="21" hidden="1" x14ac:dyDescent="0.25">
      <c r="A301" s="15" t="s">
        <v>995</v>
      </c>
      <c r="B301" s="15" t="s">
        <v>149</v>
      </c>
      <c r="C301" s="15" t="s">
        <v>625</v>
      </c>
      <c r="D301" s="15" t="s">
        <v>140</v>
      </c>
      <c r="E301" s="15" t="s">
        <v>140</v>
      </c>
      <c r="F301" s="15" t="s">
        <v>140</v>
      </c>
      <c r="G301" s="15"/>
      <c r="H301" s="15" t="s">
        <v>982</v>
      </c>
      <c r="I301" s="15" t="s">
        <v>447</v>
      </c>
      <c r="J301" s="15" t="s">
        <v>978</v>
      </c>
      <c r="K301" s="15"/>
      <c r="L301" s="15" t="s">
        <v>247</v>
      </c>
      <c r="M301" s="15" t="s">
        <v>986</v>
      </c>
      <c r="N301" s="63">
        <v>361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61">
        <v>46118</v>
      </c>
      <c r="BE301" s="61" t="s">
        <v>171</v>
      </c>
      <c r="BF301" s="15" t="s">
        <v>171</v>
      </c>
      <c r="BG301" s="15" t="s">
        <v>171</v>
      </c>
      <c r="BH301" s="15" t="s">
        <v>171</v>
      </c>
      <c r="BI301" s="15" t="s">
        <v>171</v>
      </c>
      <c r="BJ301" s="15"/>
      <c r="BK301" s="15"/>
      <c r="BL301" s="15"/>
      <c r="BM301" s="15"/>
      <c r="BN301" s="15"/>
      <c r="BO301" s="64"/>
      <c r="BP301" s="15"/>
      <c r="BQ301" s="15"/>
      <c r="BR301" s="15"/>
      <c r="BS301" s="64">
        <v>46166</v>
      </c>
      <c r="BT301" s="64"/>
      <c r="BU301" s="64"/>
      <c r="BV301" s="15"/>
      <c r="BW301" s="64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15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5">
        <f t="shared" si="29"/>
        <v>0</v>
      </c>
      <c r="ER301" s="6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" t="str">
        <f t="shared" si="30"/>
        <v>711P03855510TBC</v>
      </c>
      <c r="FI301" s="1" t="str">
        <f t="shared" si="31"/>
        <v>PRLS/25/13518</v>
      </c>
      <c r="FJ301" s="38"/>
      <c r="FL301" s="13"/>
    </row>
    <row r="302" spans="1:168" ht="21" hidden="1" x14ac:dyDescent="0.25">
      <c r="A302" s="15" t="s">
        <v>996</v>
      </c>
      <c r="B302" s="15" t="s">
        <v>149</v>
      </c>
      <c r="C302" s="15" t="s">
        <v>625</v>
      </c>
      <c r="D302" s="15" t="s">
        <v>1001</v>
      </c>
      <c r="E302" s="15" t="s">
        <v>180</v>
      </c>
      <c r="F302" s="15" t="s">
        <v>181</v>
      </c>
      <c r="G302" s="15" t="s">
        <v>321</v>
      </c>
      <c r="H302" s="15" t="s">
        <v>983</v>
      </c>
      <c r="I302" s="15" t="s">
        <v>964</v>
      </c>
      <c r="J302" s="15" t="s">
        <v>849</v>
      </c>
      <c r="K302" s="15"/>
      <c r="L302" s="15" t="s">
        <v>264</v>
      </c>
      <c r="M302" s="15" t="s">
        <v>987</v>
      </c>
      <c r="N302" s="63">
        <v>1400</v>
      </c>
      <c r="O302" s="15"/>
      <c r="P302" s="15">
        <v>15.62</v>
      </c>
      <c r="Q302" s="15"/>
      <c r="R302" s="15"/>
      <c r="S302" s="15" t="s">
        <v>863</v>
      </c>
      <c r="T302" s="15"/>
      <c r="U302" s="15"/>
      <c r="V302" s="15"/>
      <c r="W302" s="15"/>
      <c r="X302" s="15"/>
      <c r="Y302" s="15" t="s">
        <v>218</v>
      </c>
      <c r="Z302" s="15" t="s">
        <v>373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 t="s">
        <v>448</v>
      </c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61">
        <v>46127</v>
      </c>
      <c r="BE302" s="15" t="s">
        <v>864</v>
      </c>
      <c r="BF302" s="15" t="s">
        <v>219</v>
      </c>
      <c r="BG302" s="15" t="s">
        <v>171</v>
      </c>
      <c r="BH302" s="15" t="s">
        <v>171</v>
      </c>
      <c r="BI302" s="15" t="s">
        <v>171</v>
      </c>
      <c r="BJ302" s="15"/>
      <c r="BK302" s="15"/>
      <c r="BL302" s="15"/>
      <c r="BM302" s="15"/>
      <c r="BN302" s="15"/>
      <c r="BO302" s="64"/>
      <c r="BP302" s="15"/>
      <c r="BQ302" s="15"/>
      <c r="BR302" s="15"/>
      <c r="BS302" s="64"/>
      <c r="BT302" s="64">
        <v>46173</v>
      </c>
      <c r="BU302" s="64">
        <v>46249</v>
      </c>
      <c r="BV302" s="15"/>
      <c r="BW302" s="64"/>
      <c r="BX302" s="68"/>
      <c r="BY302" s="68"/>
      <c r="BZ302" s="68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15">
        <v>28</v>
      </c>
      <c r="CL302" s="68">
        <v>140</v>
      </c>
      <c r="CM302" s="68">
        <v>378</v>
      </c>
      <c r="CN302" s="68">
        <v>420</v>
      </c>
      <c r="CO302" s="68">
        <v>280</v>
      </c>
      <c r="CP302" s="68">
        <v>154</v>
      </c>
      <c r="CQ302" s="68"/>
      <c r="CR302" s="68"/>
      <c r="CS302" s="68"/>
      <c r="CT302" s="68"/>
      <c r="CU302" s="68"/>
      <c r="CV302" s="68"/>
      <c r="CW302" s="68"/>
      <c r="CX302" s="68"/>
      <c r="CY302" s="68"/>
      <c r="CZ302" s="68"/>
      <c r="DA302" s="68"/>
      <c r="DB302" s="68"/>
      <c r="DC302" s="68"/>
      <c r="DD302" s="68"/>
      <c r="DE302" s="68"/>
      <c r="DF302" s="68"/>
      <c r="DG302" s="68"/>
      <c r="DH302" s="68"/>
      <c r="DI302" s="68"/>
      <c r="DJ302" s="68"/>
      <c r="DK302" s="68"/>
      <c r="DL302" s="68"/>
      <c r="DM302" s="68"/>
      <c r="DN302" s="68"/>
      <c r="DO302" s="68"/>
      <c r="DP302" s="68"/>
      <c r="DQ302" s="68"/>
      <c r="DR302" s="68"/>
      <c r="DS302" s="68"/>
      <c r="DT302" s="68"/>
      <c r="DU302" s="68"/>
      <c r="DV302" s="68"/>
      <c r="DW302" s="68"/>
      <c r="DX302" s="68"/>
      <c r="DY302" s="68"/>
      <c r="DZ302" s="68"/>
      <c r="EA302" s="68"/>
      <c r="EB302" s="68"/>
      <c r="EC302" s="68"/>
      <c r="ED302" s="68"/>
      <c r="EE302" s="68"/>
      <c r="EF302" s="68"/>
      <c r="EG302" s="68"/>
      <c r="EH302" s="68"/>
      <c r="EI302" s="68"/>
      <c r="EJ302" s="68"/>
      <c r="EK302" s="68"/>
      <c r="EL302" s="68"/>
      <c r="EM302" s="68"/>
      <c r="EN302" s="68"/>
      <c r="EO302" s="68"/>
      <c r="EP302" s="68"/>
      <c r="EQ302" s="65">
        <f t="shared" si="29"/>
        <v>1400</v>
      </c>
      <c r="ER302" s="6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 t="s">
        <v>176</v>
      </c>
      <c r="FF302" s="15"/>
      <c r="FG302" s="15"/>
      <c r="FH302" s="1" t="str">
        <f t="shared" si="30"/>
        <v>7109664275014702119596</v>
      </c>
      <c r="FI302" s="1" t="str">
        <f t="shared" si="31"/>
        <v>PRLS/25/13714</v>
      </c>
      <c r="FJ302" s="38" t="e">
        <f>VLOOKUP(FH302,[1]Sheet3!$A:$D,4,0)</f>
        <v>#N/A</v>
      </c>
      <c r="FL302" s="13"/>
    </row>
    <row r="303" spans="1:168" ht="21" hidden="1" x14ac:dyDescent="0.25">
      <c r="A303" s="15" t="s">
        <v>996</v>
      </c>
      <c r="B303" s="15" t="s">
        <v>149</v>
      </c>
      <c r="C303" s="15" t="s">
        <v>625</v>
      </c>
      <c r="D303" s="15" t="s">
        <v>1002</v>
      </c>
      <c r="E303" s="15" t="s">
        <v>208</v>
      </c>
      <c r="F303" s="15" t="s">
        <v>181</v>
      </c>
      <c r="G303" s="15" t="s">
        <v>321</v>
      </c>
      <c r="H303" s="15" t="s">
        <v>983</v>
      </c>
      <c r="I303" s="15" t="s">
        <v>964</v>
      </c>
      <c r="J303" s="15" t="s">
        <v>849</v>
      </c>
      <c r="K303" s="15"/>
      <c r="L303" s="15" t="s">
        <v>264</v>
      </c>
      <c r="M303" s="15" t="s">
        <v>987</v>
      </c>
      <c r="N303" s="63">
        <v>6086</v>
      </c>
      <c r="O303" s="15"/>
      <c r="P303" s="15">
        <v>15.62</v>
      </c>
      <c r="Q303" s="15"/>
      <c r="R303" s="15"/>
      <c r="S303" s="15" t="s">
        <v>863</v>
      </c>
      <c r="T303" s="15"/>
      <c r="U303" s="15"/>
      <c r="V303" s="15"/>
      <c r="W303" s="15"/>
      <c r="X303" s="15"/>
      <c r="Y303" s="15" t="s">
        <v>218</v>
      </c>
      <c r="Z303" s="15" t="s">
        <v>373</v>
      </c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 t="s">
        <v>448</v>
      </c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61">
        <v>46127</v>
      </c>
      <c r="BE303" s="15" t="s">
        <v>864</v>
      </c>
      <c r="BF303" s="15" t="s">
        <v>219</v>
      </c>
      <c r="BG303" s="15" t="s">
        <v>171</v>
      </c>
      <c r="BH303" s="15" t="s">
        <v>171</v>
      </c>
      <c r="BI303" s="15" t="s">
        <v>171</v>
      </c>
      <c r="BJ303" s="15"/>
      <c r="BK303" s="15"/>
      <c r="BL303" s="15"/>
      <c r="BM303" s="15"/>
      <c r="BN303" s="15"/>
      <c r="BO303" s="64"/>
      <c r="BP303" s="15"/>
      <c r="BQ303" s="15"/>
      <c r="BR303" s="15"/>
      <c r="BS303" s="64"/>
      <c r="BT303" s="64">
        <v>46173</v>
      </c>
      <c r="BU303" s="64">
        <v>46249</v>
      </c>
      <c r="BV303" s="15"/>
      <c r="BW303" s="64"/>
      <c r="BX303" s="68"/>
      <c r="BY303" s="68"/>
      <c r="BZ303" s="68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15">
        <v>22</v>
      </c>
      <c r="CL303" s="68">
        <v>643</v>
      </c>
      <c r="CM303" s="68">
        <v>1382</v>
      </c>
      <c r="CN303" s="68">
        <v>1921</v>
      </c>
      <c r="CO303" s="68">
        <v>1352</v>
      </c>
      <c r="CP303" s="68">
        <v>766</v>
      </c>
      <c r="CQ303" s="68"/>
      <c r="CR303" s="68"/>
      <c r="CS303" s="68"/>
      <c r="CT303" s="68"/>
      <c r="CU303" s="68"/>
      <c r="CV303" s="68"/>
      <c r="CW303" s="68"/>
      <c r="CX303" s="68"/>
      <c r="CY303" s="68"/>
      <c r="CZ303" s="68"/>
      <c r="DA303" s="68"/>
      <c r="DB303" s="68"/>
      <c r="DC303" s="68"/>
      <c r="DD303" s="68"/>
      <c r="DE303" s="68"/>
      <c r="DF303" s="68"/>
      <c r="DG303" s="68"/>
      <c r="DH303" s="68"/>
      <c r="DI303" s="68"/>
      <c r="DJ303" s="68"/>
      <c r="DK303" s="68"/>
      <c r="DL303" s="68"/>
      <c r="DM303" s="68"/>
      <c r="DN303" s="68"/>
      <c r="DO303" s="68"/>
      <c r="DP303" s="68"/>
      <c r="DQ303" s="68"/>
      <c r="DR303" s="68"/>
      <c r="DS303" s="68"/>
      <c r="DT303" s="68"/>
      <c r="DU303" s="68"/>
      <c r="DV303" s="68"/>
      <c r="DW303" s="68"/>
      <c r="DX303" s="68"/>
      <c r="DY303" s="68"/>
      <c r="DZ303" s="68"/>
      <c r="EA303" s="68"/>
      <c r="EB303" s="68"/>
      <c r="EC303" s="68"/>
      <c r="ED303" s="68"/>
      <c r="EE303" s="68"/>
      <c r="EF303" s="68"/>
      <c r="EG303" s="68"/>
      <c r="EH303" s="68"/>
      <c r="EI303" s="68"/>
      <c r="EJ303" s="68"/>
      <c r="EK303" s="68"/>
      <c r="EL303" s="68"/>
      <c r="EM303" s="68"/>
      <c r="EN303" s="68"/>
      <c r="EO303" s="68"/>
      <c r="EP303" s="68"/>
      <c r="EQ303" s="65">
        <f t="shared" si="29"/>
        <v>6086</v>
      </c>
      <c r="ER303" s="6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 t="s">
        <v>176</v>
      </c>
      <c r="FF303" s="15"/>
      <c r="FG303" s="15"/>
      <c r="FH303" s="1" t="str">
        <f t="shared" si="30"/>
        <v>7109664275014702119597</v>
      </c>
      <c r="FI303" s="1" t="str">
        <f t="shared" si="31"/>
        <v>PRLS/25/13714</v>
      </c>
      <c r="FJ303" s="38" t="e">
        <f>VLOOKUP(FH303,[1]Sheet3!$A:$D,4,0)</f>
        <v>#N/A</v>
      </c>
      <c r="FL303" s="13"/>
    </row>
    <row r="304" spans="1:168" ht="21" hidden="1" x14ac:dyDescent="0.25">
      <c r="A304" s="15" t="s">
        <v>996</v>
      </c>
      <c r="B304" s="15" t="s">
        <v>149</v>
      </c>
      <c r="C304" s="15" t="s">
        <v>625</v>
      </c>
      <c r="D304" s="15" t="s">
        <v>1003</v>
      </c>
      <c r="E304" s="15" t="s">
        <v>270</v>
      </c>
      <c r="F304" s="15" t="s">
        <v>260</v>
      </c>
      <c r="G304" s="15" t="s">
        <v>321</v>
      </c>
      <c r="H304" s="15" t="s">
        <v>983</v>
      </c>
      <c r="I304" s="15" t="s">
        <v>964</v>
      </c>
      <c r="J304" s="15" t="s">
        <v>849</v>
      </c>
      <c r="K304" s="15"/>
      <c r="L304" s="15" t="s">
        <v>264</v>
      </c>
      <c r="M304" s="15" t="s">
        <v>987</v>
      </c>
      <c r="N304" s="63">
        <v>316</v>
      </c>
      <c r="O304" s="15"/>
      <c r="P304" s="15">
        <v>15.62</v>
      </c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61">
        <v>46127</v>
      </c>
      <c r="BE304" s="15" t="s">
        <v>864</v>
      </c>
      <c r="BF304" s="15" t="s">
        <v>199</v>
      </c>
      <c r="BG304" s="15" t="s">
        <v>171</v>
      </c>
      <c r="BH304" s="15" t="s">
        <v>171</v>
      </c>
      <c r="BI304" s="15" t="s">
        <v>171</v>
      </c>
      <c r="BJ304" s="15"/>
      <c r="BK304" s="15"/>
      <c r="BL304" s="15"/>
      <c r="BM304" s="15"/>
      <c r="BN304" s="15"/>
      <c r="BO304" s="64"/>
      <c r="BP304" s="15"/>
      <c r="BQ304" s="15"/>
      <c r="BR304" s="15"/>
      <c r="BS304" s="64"/>
      <c r="BT304" s="64">
        <v>46180</v>
      </c>
      <c r="BU304" s="64">
        <v>46249</v>
      </c>
      <c r="BV304" s="15"/>
      <c r="BW304" s="64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15">
        <v>8</v>
      </c>
      <c r="CL304" s="68">
        <v>31</v>
      </c>
      <c r="CM304" s="68">
        <v>101</v>
      </c>
      <c r="CN304" s="68">
        <v>111</v>
      </c>
      <c r="CO304" s="68">
        <v>51</v>
      </c>
      <c r="CP304" s="68">
        <v>14</v>
      </c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  <c r="EE304" s="68"/>
      <c r="EF304" s="68"/>
      <c r="EG304" s="68"/>
      <c r="EH304" s="68"/>
      <c r="EI304" s="68"/>
      <c r="EJ304" s="68"/>
      <c r="EK304" s="68"/>
      <c r="EL304" s="68"/>
      <c r="EM304" s="68"/>
      <c r="EN304" s="68"/>
      <c r="EO304" s="68"/>
      <c r="EP304" s="68"/>
      <c r="EQ304" s="65">
        <f t="shared" si="29"/>
        <v>316</v>
      </c>
      <c r="ER304" s="6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 t="s">
        <v>176</v>
      </c>
      <c r="FF304" s="15"/>
      <c r="FG304" s="15"/>
      <c r="FH304" s="1" t="str">
        <f t="shared" si="30"/>
        <v>7109664275014702119598</v>
      </c>
      <c r="FI304" s="1" t="str">
        <f t="shared" si="31"/>
        <v>PRLS/25/13714</v>
      </c>
      <c r="FJ304" s="38" t="e">
        <f>VLOOKUP(FH304,[1]Sheet3!$A:$D,4,0)</f>
        <v>#N/A</v>
      </c>
      <c r="FL304" s="13"/>
    </row>
    <row r="305" spans="1:168" ht="21" hidden="1" x14ac:dyDescent="0.25">
      <c r="A305" s="15" t="s">
        <v>991</v>
      </c>
      <c r="B305" s="15" t="s">
        <v>149</v>
      </c>
      <c r="C305" s="15" t="s">
        <v>625</v>
      </c>
      <c r="D305" s="15" t="s">
        <v>1152</v>
      </c>
      <c r="E305" s="15" t="s">
        <v>270</v>
      </c>
      <c r="F305" s="15" t="s">
        <v>260</v>
      </c>
      <c r="G305" s="15" t="s">
        <v>321</v>
      </c>
      <c r="H305" s="15" t="s">
        <v>441</v>
      </c>
      <c r="I305" s="15" t="s">
        <v>442</v>
      </c>
      <c r="J305" s="15" t="s">
        <v>883</v>
      </c>
      <c r="K305" s="15"/>
      <c r="L305" s="15" t="s">
        <v>247</v>
      </c>
      <c r="M305" s="15" t="s">
        <v>272</v>
      </c>
      <c r="N305" s="63">
        <v>140</v>
      </c>
      <c r="O305" s="15"/>
      <c r="P305" s="15">
        <v>11.42</v>
      </c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61">
        <v>46113</v>
      </c>
      <c r="BE305" s="61" t="s">
        <v>171</v>
      </c>
      <c r="BF305" s="15" t="s">
        <v>199</v>
      </c>
      <c r="BG305" s="15" t="s">
        <v>171</v>
      </c>
      <c r="BH305" s="15" t="s">
        <v>171</v>
      </c>
      <c r="BI305" s="15" t="s">
        <v>171</v>
      </c>
      <c r="BJ305" s="15"/>
      <c r="BK305" s="15"/>
      <c r="BL305" s="15"/>
      <c r="BM305" s="15"/>
      <c r="BN305" s="15"/>
      <c r="BO305" s="64"/>
      <c r="BP305" s="15"/>
      <c r="BQ305" s="15"/>
      <c r="BR305" s="15"/>
      <c r="BS305" s="64"/>
      <c r="BT305" s="64">
        <v>46180</v>
      </c>
      <c r="BU305" s="64">
        <v>46249</v>
      </c>
      <c r="BV305" s="15"/>
      <c r="BW305" s="64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15">
        <v>6</v>
      </c>
      <c r="CL305" s="68">
        <v>15</v>
      </c>
      <c r="CM305" s="68">
        <v>41</v>
      </c>
      <c r="CN305" s="68">
        <v>43</v>
      </c>
      <c r="CO305" s="68">
        <v>27</v>
      </c>
      <c r="CP305" s="68">
        <v>8</v>
      </c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  <c r="EE305" s="68"/>
      <c r="EF305" s="68"/>
      <c r="EG305" s="68"/>
      <c r="EH305" s="68"/>
      <c r="EI305" s="68"/>
      <c r="EJ305" s="68"/>
      <c r="EK305" s="68"/>
      <c r="EL305" s="68"/>
      <c r="EM305" s="68"/>
      <c r="EN305" s="68"/>
      <c r="EO305" s="68"/>
      <c r="EP305" s="68"/>
      <c r="EQ305" s="65">
        <f t="shared" si="29"/>
        <v>140</v>
      </c>
      <c r="ER305" s="6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 t="s">
        <v>176</v>
      </c>
      <c r="FF305" s="15" t="s">
        <v>1007</v>
      </c>
      <c r="FG305" s="15"/>
      <c r="FH305" s="1" t="str">
        <f t="shared" si="30"/>
        <v>710P038540014702130673</v>
      </c>
      <c r="FI305" s="1" t="str">
        <f t="shared" si="31"/>
        <v>PRLS/25/13509</v>
      </c>
      <c r="FJ305" s="38" t="str">
        <f>VLOOKUP(FH305,[1]Sheet3!$A:$D,4,0)</f>
        <v>BSR BLUE</v>
      </c>
      <c r="FL305" s="13"/>
    </row>
    <row r="306" spans="1:168" ht="21" hidden="1" x14ac:dyDescent="0.25">
      <c r="A306" s="15" t="s">
        <v>988</v>
      </c>
      <c r="B306" s="15" t="s">
        <v>149</v>
      </c>
      <c r="C306" s="15" t="s">
        <v>625</v>
      </c>
      <c r="D306" s="15" t="s">
        <v>1007</v>
      </c>
      <c r="E306" s="15" t="s">
        <v>270</v>
      </c>
      <c r="F306" s="15" t="s">
        <v>260</v>
      </c>
      <c r="G306" s="15" t="s">
        <v>321</v>
      </c>
      <c r="H306" s="15" t="s">
        <v>443</v>
      </c>
      <c r="I306" s="15" t="s">
        <v>442</v>
      </c>
      <c r="J306" s="15" t="s">
        <v>883</v>
      </c>
      <c r="K306" s="15"/>
      <c r="L306" s="15" t="s">
        <v>247</v>
      </c>
      <c r="M306" s="15" t="s">
        <v>268</v>
      </c>
      <c r="N306" s="63">
        <v>140</v>
      </c>
      <c r="O306" s="15"/>
      <c r="P306" s="15">
        <v>10.76</v>
      </c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61">
        <v>46108</v>
      </c>
      <c r="BE306" s="61"/>
      <c r="BF306" s="15" t="s">
        <v>199</v>
      </c>
      <c r="BG306" s="15" t="s">
        <v>171</v>
      </c>
      <c r="BH306" s="15" t="s">
        <v>171</v>
      </c>
      <c r="BI306" s="15" t="s">
        <v>171</v>
      </c>
      <c r="BJ306" s="15"/>
      <c r="BK306" s="15"/>
      <c r="BL306" s="15"/>
      <c r="BM306" s="15"/>
      <c r="BN306" s="15"/>
      <c r="BO306" s="64"/>
      <c r="BP306" s="15"/>
      <c r="BQ306" s="15"/>
      <c r="BR306" s="15"/>
      <c r="BS306" s="64"/>
      <c r="BT306" s="64">
        <v>46180</v>
      </c>
      <c r="BU306" s="64">
        <v>46249</v>
      </c>
      <c r="BV306" s="15"/>
      <c r="BW306" s="64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15">
        <v>6</v>
      </c>
      <c r="CL306" s="68">
        <v>15</v>
      </c>
      <c r="CM306" s="68">
        <v>41</v>
      </c>
      <c r="CN306" s="68">
        <v>43</v>
      </c>
      <c r="CO306" s="68">
        <v>27</v>
      </c>
      <c r="CP306" s="68">
        <v>8</v>
      </c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  <c r="EE306" s="68"/>
      <c r="EF306" s="68"/>
      <c r="EG306" s="68"/>
      <c r="EH306" s="68"/>
      <c r="EI306" s="68"/>
      <c r="EJ306" s="68"/>
      <c r="EK306" s="68"/>
      <c r="EL306" s="68"/>
      <c r="EM306" s="68"/>
      <c r="EN306" s="68"/>
      <c r="EO306" s="68"/>
      <c r="EP306" s="68"/>
      <c r="EQ306" s="65">
        <f t="shared" si="29"/>
        <v>140</v>
      </c>
      <c r="ER306" s="6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 t="s">
        <v>202</v>
      </c>
      <c r="FF306" s="15"/>
      <c r="FG306" s="15"/>
      <c r="FH306" s="1" t="str">
        <f t="shared" si="30"/>
        <v>710P038540024702120723</v>
      </c>
      <c r="FI306" s="1" t="str">
        <f t="shared" si="31"/>
        <v>PRLS/25/13510</v>
      </c>
      <c r="FJ306" s="38" t="e">
        <f>VLOOKUP(FH306,[1]Sheet3!$A:$D,4,0)</f>
        <v>#N/A</v>
      </c>
      <c r="FL306" s="13"/>
    </row>
    <row r="307" spans="1:168" ht="21" hidden="1" x14ac:dyDescent="0.25">
      <c r="A307" s="15" t="s">
        <v>997</v>
      </c>
      <c r="B307" s="15" t="s">
        <v>149</v>
      </c>
      <c r="C307" s="15" t="s">
        <v>625</v>
      </c>
      <c r="D307" s="15" t="s">
        <v>1123</v>
      </c>
      <c r="E307" s="15" t="s">
        <v>265</v>
      </c>
      <c r="F307" s="15" t="s">
        <v>266</v>
      </c>
      <c r="G307" s="15" t="s">
        <v>331</v>
      </c>
      <c r="H307" s="15" t="s">
        <v>984</v>
      </c>
      <c r="I307" s="15" t="s">
        <v>440</v>
      </c>
      <c r="J307" s="15" t="s">
        <v>883</v>
      </c>
      <c r="K307" s="15"/>
      <c r="L307" s="15" t="s">
        <v>247</v>
      </c>
      <c r="M307" s="15" t="s">
        <v>797</v>
      </c>
      <c r="N307" s="63">
        <v>210</v>
      </c>
      <c r="O307" s="15"/>
      <c r="P307" s="15">
        <v>12.57</v>
      </c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61">
        <v>46139</v>
      </c>
      <c r="BE307" s="61" t="s">
        <v>171</v>
      </c>
      <c r="BF307" s="15" t="s">
        <v>199</v>
      </c>
      <c r="BG307" s="15" t="s">
        <v>171</v>
      </c>
      <c r="BH307" s="15" t="s">
        <v>171</v>
      </c>
      <c r="BI307" s="15" t="s">
        <v>171</v>
      </c>
      <c r="BJ307" s="15"/>
      <c r="BK307" s="15"/>
      <c r="BL307" s="15"/>
      <c r="BM307" s="15"/>
      <c r="BN307" s="15"/>
      <c r="BO307" s="64"/>
      <c r="BP307" s="15"/>
      <c r="BQ307" s="15"/>
      <c r="BR307" s="15"/>
      <c r="BS307" s="64"/>
      <c r="BT307" s="64">
        <v>46180</v>
      </c>
      <c r="BU307" s="64">
        <v>46249</v>
      </c>
      <c r="BV307" s="15"/>
      <c r="BW307" s="64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15"/>
      <c r="CL307" s="68">
        <v>37</v>
      </c>
      <c r="CM307" s="68">
        <v>66</v>
      </c>
      <c r="CN307" s="68">
        <v>57</v>
      </c>
      <c r="CO307" s="68">
        <v>33</v>
      </c>
      <c r="CP307" s="68">
        <v>17</v>
      </c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  <c r="EE307" s="68"/>
      <c r="EF307" s="68"/>
      <c r="EG307" s="68"/>
      <c r="EH307" s="68"/>
      <c r="EI307" s="68"/>
      <c r="EJ307" s="68"/>
      <c r="EK307" s="68"/>
      <c r="EL307" s="68"/>
      <c r="EM307" s="68"/>
      <c r="EN307" s="68"/>
      <c r="EO307" s="68"/>
      <c r="EP307" s="68"/>
      <c r="EQ307" s="65">
        <f>SUM(BX307:EP307)</f>
        <v>210</v>
      </c>
      <c r="ER307" s="6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 t="s">
        <v>202</v>
      </c>
      <c r="FF307" s="15"/>
      <c r="FG307" s="15"/>
      <c r="FH307" s="1" t="str">
        <f t="shared" si="30"/>
        <v>710P038555074702126957</v>
      </c>
      <c r="FI307" s="1" t="str">
        <f t="shared" si="31"/>
        <v>PRLS/25/13511</v>
      </c>
      <c r="FJ307" s="38" t="e">
        <f>VLOOKUP(FH307,[1]Sheet3!$A:$D,4,0)</f>
        <v>#N/A</v>
      </c>
      <c r="FL307" s="13"/>
    </row>
    <row r="308" spans="1:168" ht="21" hidden="1" x14ac:dyDescent="0.25">
      <c r="A308" s="15" t="s">
        <v>997</v>
      </c>
      <c r="B308" s="15" t="s">
        <v>149</v>
      </c>
      <c r="C308" s="15" t="s">
        <v>625</v>
      </c>
      <c r="D308" s="15" t="s">
        <v>1124</v>
      </c>
      <c r="E308" s="15" t="s">
        <v>265</v>
      </c>
      <c r="F308" s="15" t="s">
        <v>266</v>
      </c>
      <c r="G308" s="15" t="s">
        <v>331</v>
      </c>
      <c r="H308" s="15" t="s">
        <v>984</v>
      </c>
      <c r="I308" s="15" t="s">
        <v>440</v>
      </c>
      <c r="J308" s="15" t="s">
        <v>883</v>
      </c>
      <c r="K308" s="15"/>
      <c r="L308" s="15" t="s">
        <v>247</v>
      </c>
      <c r="M308" s="15" t="s">
        <v>797</v>
      </c>
      <c r="N308" s="63">
        <v>394</v>
      </c>
      <c r="O308" s="15"/>
      <c r="P308" s="15">
        <v>12.57</v>
      </c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61">
        <v>46139</v>
      </c>
      <c r="BE308" s="61" t="s">
        <v>171</v>
      </c>
      <c r="BF308" s="15" t="s">
        <v>199</v>
      </c>
      <c r="BG308" s="15" t="s">
        <v>171</v>
      </c>
      <c r="BH308" s="15" t="s">
        <v>171</v>
      </c>
      <c r="BI308" s="15" t="s">
        <v>171</v>
      </c>
      <c r="BJ308" s="15"/>
      <c r="BK308" s="15"/>
      <c r="BL308" s="15"/>
      <c r="BM308" s="15"/>
      <c r="BN308" s="15"/>
      <c r="BO308" s="64"/>
      <c r="BP308" s="15"/>
      <c r="BQ308" s="15"/>
      <c r="BR308" s="15"/>
      <c r="BS308" s="64"/>
      <c r="BT308" s="64">
        <v>46180</v>
      </c>
      <c r="BU308" s="64">
        <v>46249</v>
      </c>
      <c r="BV308" s="15"/>
      <c r="BW308" s="64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15"/>
      <c r="CL308" s="68">
        <v>63</v>
      </c>
      <c r="CM308" s="68">
        <v>126</v>
      </c>
      <c r="CN308" s="68">
        <v>114</v>
      </c>
      <c r="CO308" s="68">
        <v>59</v>
      </c>
      <c r="CP308" s="68">
        <v>32</v>
      </c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  <c r="EE308" s="68"/>
      <c r="EF308" s="68"/>
      <c r="EG308" s="68"/>
      <c r="EH308" s="68"/>
      <c r="EI308" s="68"/>
      <c r="EJ308" s="68"/>
      <c r="EK308" s="68"/>
      <c r="EL308" s="68"/>
      <c r="EM308" s="68"/>
      <c r="EN308" s="68"/>
      <c r="EO308" s="68"/>
      <c r="EP308" s="68"/>
      <c r="EQ308" s="65">
        <f t="shared" si="29"/>
        <v>394</v>
      </c>
      <c r="ER308" s="6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 t="s">
        <v>202</v>
      </c>
      <c r="FF308" s="15"/>
      <c r="FG308" s="15"/>
      <c r="FH308" s="1" t="str">
        <f>H308&amp;D308</f>
        <v>710P038555074702126956</v>
      </c>
      <c r="FI308" s="1" t="str">
        <f>A308</f>
        <v>PRLS/25/13511</v>
      </c>
      <c r="FJ308" s="38" t="e">
        <f>VLOOKUP(FH308,[1]Sheet3!$A:$D,4,0)</f>
        <v>#N/A</v>
      </c>
      <c r="FL308" s="13"/>
    </row>
    <row r="309" spans="1:168" ht="21" hidden="1" x14ac:dyDescent="0.25">
      <c r="A309" s="15" t="s">
        <v>997</v>
      </c>
      <c r="B309" s="15" t="s">
        <v>149</v>
      </c>
      <c r="C309" s="15" t="s">
        <v>625</v>
      </c>
      <c r="D309" s="15" t="s">
        <v>1008</v>
      </c>
      <c r="E309" s="15" t="s">
        <v>208</v>
      </c>
      <c r="F309" s="15" t="s">
        <v>181</v>
      </c>
      <c r="G309" s="15" t="s">
        <v>321</v>
      </c>
      <c r="H309" s="15" t="s">
        <v>984</v>
      </c>
      <c r="I309" s="15" t="s">
        <v>440</v>
      </c>
      <c r="J309" s="15" t="s">
        <v>883</v>
      </c>
      <c r="K309" s="15"/>
      <c r="L309" s="15" t="s">
        <v>247</v>
      </c>
      <c r="M309" s="15" t="s">
        <v>797</v>
      </c>
      <c r="N309" s="63">
        <v>4288</v>
      </c>
      <c r="O309" s="15"/>
      <c r="P309" s="15">
        <v>12.57</v>
      </c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61">
        <v>46139</v>
      </c>
      <c r="BE309" s="61" t="s">
        <v>171</v>
      </c>
      <c r="BF309" s="15" t="s">
        <v>199</v>
      </c>
      <c r="BG309" s="15" t="s">
        <v>171</v>
      </c>
      <c r="BH309" s="15" t="s">
        <v>171</v>
      </c>
      <c r="BI309" s="15" t="s">
        <v>171</v>
      </c>
      <c r="BJ309" s="15"/>
      <c r="BK309" s="15"/>
      <c r="BL309" s="15"/>
      <c r="BM309" s="15"/>
      <c r="BN309" s="15"/>
      <c r="BO309" s="64"/>
      <c r="BP309" s="15"/>
      <c r="BQ309" s="15"/>
      <c r="BR309" s="15"/>
      <c r="BS309" s="64"/>
      <c r="BT309" s="64">
        <v>46180</v>
      </c>
      <c r="BU309" s="64">
        <v>46249</v>
      </c>
      <c r="BV309" s="15"/>
      <c r="BW309" s="64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15">
        <v>18</v>
      </c>
      <c r="CL309" s="68">
        <v>483</v>
      </c>
      <c r="CM309" s="68">
        <v>955</v>
      </c>
      <c r="CN309" s="68">
        <v>1314</v>
      </c>
      <c r="CO309" s="68">
        <v>974</v>
      </c>
      <c r="CP309" s="68">
        <v>544</v>
      </c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  <c r="EE309" s="68"/>
      <c r="EF309" s="68"/>
      <c r="EG309" s="68"/>
      <c r="EH309" s="68"/>
      <c r="EI309" s="68"/>
      <c r="EJ309" s="68"/>
      <c r="EK309" s="68"/>
      <c r="EL309" s="68"/>
      <c r="EM309" s="68"/>
      <c r="EN309" s="68"/>
      <c r="EO309" s="68"/>
      <c r="EP309" s="68"/>
      <c r="EQ309" s="65">
        <f t="shared" si="29"/>
        <v>4288</v>
      </c>
      <c r="ER309" s="6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 t="s">
        <v>202</v>
      </c>
      <c r="FF309" s="15"/>
      <c r="FG309" s="15"/>
      <c r="FH309" s="1" t="str">
        <f t="shared" si="30"/>
        <v>710P038555074702120724</v>
      </c>
      <c r="FI309" s="1" t="str">
        <f t="shared" si="31"/>
        <v>PRLS/25/13511</v>
      </c>
      <c r="FJ309" s="38" t="e">
        <f>VLOOKUP(FH309,[1]Sheet3!$A:$D,4,0)</f>
        <v>#N/A</v>
      </c>
      <c r="FL309" s="13"/>
    </row>
    <row r="310" spans="1:168" ht="21" hidden="1" x14ac:dyDescent="0.25">
      <c r="A310" s="15" t="s">
        <v>997</v>
      </c>
      <c r="B310" s="15" t="s">
        <v>149</v>
      </c>
      <c r="C310" s="15" t="s">
        <v>625</v>
      </c>
      <c r="D310" s="15" t="s">
        <v>1009</v>
      </c>
      <c r="E310" s="15" t="s">
        <v>270</v>
      </c>
      <c r="F310" s="15" t="s">
        <v>260</v>
      </c>
      <c r="G310" s="15" t="s">
        <v>321</v>
      </c>
      <c r="H310" s="15" t="s">
        <v>984</v>
      </c>
      <c r="I310" s="15" t="s">
        <v>440</v>
      </c>
      <c r="J310" s="15" t="s">
        <v>883</v>
      </c>
      <c r="K310" s="15"/>
      <c r="L310" s="15" t="s">
        <v>247</v>
      </c>
      <c r="M310" s="15" t="s">
        <v>797</v>
      </c>
      <c r="N310" s="63">
        <v>36</v>
      </c>
      <c r="O310" s="15"/>
      <c r="P310" s="15">
        <v>12.57</v>
      </c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61">
        <v>46139</v>
      </c>
      <c r="BE310" s="61" t="s">
        <v>171</v>
      </c>
      <c r="BF310" s="15" t="s">
        <v>199</v>
      </c>
      <c r="BG310" s="15" t="s">
        <v>171</v>
      </c>
      <c r="BH310" s="15" t="s">
        <v>171</v>
      </c>
      <c r="BI310" s="15" t="s">
        <v>171</v>
      </c>
      <c r="BJ310" s="15"/>
      <c r="BK310" s="15"/>
      <c r="BL310" s="15"/>
      <c r="BM310" s="15"/>
      <c r="BN310" s="15"/>
      <c r="BO310" s="64"/>
      <c r="BP310" s="15"/>
      <c r="BQ310" s="15"/>
      <c r="BR310" s="15"/>
      <c r="BS310" s="64"/>
      <c r="BT310" s="64">
        <v>46180</v>
      </c>
      <c r="BU310" s="64">
        <v>46249</v>
      </c>
      <c r="BV310" s="15"/>
      <c r="BW310" s="64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15">
        <v>1</v>
      </c>
      <c r="CL310" s="68">
        <v>4</v>
      </c>
      <c r="CM310" s="68">
        <v>10</v>
      </c>
      <c r="CN310" s="68">
        <v>12</v>
      </c>
      <c r="CO310" s="68">
        <v>7</v>
      </c>
      <c r="CP310" s="68">
        <v>2</v>
      </c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  <c r="EE310" s="68"/>
      <c r="EF310" s="68"/>
      <c r="EG310" s="68"/>
      <c r="EH310" s="68"/>
      <c r="EI310" s="68"/>
      <c r="EJ310" s="68"/>
      <c r="EK310" s="68"/>
      <c r="EL310" s="68"/>
      <c r="EM310" s="68"/>
      <c r="EN310" s="68"/>
      <c r="EO310" s="68"/>
      <c r="EP310" s="68"/>
      <c r="EQ310" s="65">
        <f t="shared" si="29"/>
        <v>36</v>
      </c>
      <c r="ER310" s="6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 t="s">
        <v>202</v>
      </c>
      <c r="FF310" s="15"/>
      <c r="FG310" s="15"/>
      <c r="FH310" s="1" t="str">
        <f t="shared" si="30"/>
        <v>710P038555074702120725</v>
      </c>
      <c r="FI310" s="1" t="str">
        <f t="shared" si="31"/>
        <v>PRLS/25/13511</v>
      </c>
      <c r="FJ310" s="38" t="e">
        <f>VLOOKUP(FH310,[1]Sheet3!$A:$D,4,0)</f>
        <v>#N/A</v>
      </c>
      <c r="FL310" s="13"/>
    </row>
    <row r="311" spans="1:168" ht="21" hidden="1" x14ac:dyDescent="0.25">
      <c r="A311" s="15" t="s">
        <v>998</v>
      </c>
      <c r="B311" s="15" t="s">
        <v>149</v>
      </c>
      <c r="C311" s="15" t="s">
        <v>625</v>
      </c>
      <c r="D311" s="15" t="s">
        <v>1123</v>
      </c>
      <c r="E311" s="15" t="s">
        <v>265</v>
      </c>
      <c r="F311" s="15" t="s">
        <v>266</v>
      </c>
      <c r="G311" s="15" t="s">
        <v>331</v>
      </c>
      <c r="H311" s="15" t="s">
        <v>985</v>
      </c>
      <c r="I311" s="15" t="s">
        <v>440</v>
      </c>
      <c r="J311" s="15" t="s">
        <v>883</v>
      </c>
      <c r="K311" s="15"/>
      <c r="L311" s="15" t="s">
        <v>247</v>
      </c>
      <c r="M311" s="15" t="s">
        <v>986</v>
      </c>
      <c r="N311" s="63">
        <v>162</v>
      </c>
      <c r="O311" s="15"/>
      <c r="P311" s="15">
        <v>12.63</v>
      </c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61">
        <v>46139</v>
      </c>
      <c r="BE311" s="61" t="s">
        <v>171</v>
      </c>
      <c r="BF311" s="15" t="s">
        <v>199</v>
      </c>
      <c r="BG311" s="15" t="s">
        <v>171</v>
      </c>
      <c r="BH311" s="15" t="s">
        <v>171</v>
      </c>
      <c r="BI311" s="15" t="s">
        <v>171</v>
      </c>
      <c r="BJ311" s="15"/>
      <c r="BK311" s="15"/>
      <c r="BL311" s="15"/>
      <c r="BM311" s="15"/>
      <c r="BN311" s="15"/>
      <c r="BO311" s="64"/>
      <c r="BP311" s="15"/>
      <c r="BQ311" s="15"/>
      <c r="BR311" s="15"/>
      <c r="BS311" s="64"/>
      <c r="BT311" s="64">
        <v>46180</v>
      </c>
      <c r="BU311" s="64">
        <v>46249</v>
      </c>
      <c r="BV311" s="15"/>
      <c r="BW311" s="64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15"/>
      <c r="CL311" s="68">
        <v>29</v>
      </c>
      <c r="CM311" s="68">
        <v>51</v>
      </c>
      <c r="CN311" s="68">
        <v>44</v>
      </c>
      <c r="CO311" s="68">
        <v>25</v>
      </c>
      <c r="CP311" s="68">
        <v>13</v>
      </c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  <c r="EE311" s="68"/>
      <c r="EF311" s="68"/>
      <c r="EG311" s="68"/>
      <c r="EH311" s="68"/>
      <c r="EI311" s="68"/>
      <c r="EJ311" s="68"/>
      <c r="EK311" s="68"/>
      <c r="EL311" s="68"/>
      <c r="EM311" s="68"/>
      <c r="EN311" s="68"/>
      <c r="EO311" s="68"/>
      <c r="EP311" s="68"/>
      <c r="EQ311" s="65">
        <f>SUM(BX311:EP311)</f>
        <v>162</v>
      </c>
      <c r="ER311" s="6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 t="s">
        <v>202</v>
      </c>
      <c r="FF311" s="15"/>
      <c r="FG311" s="15"/>
      <c r="FH311" s="1" t="str">
        <f t="shared" si="30"/>
        <v>710P038555094702126957</v>
      </c>
      <c r="FI311" s="1" t="str">
        <f t="shared" si="31"/>
        <v>PRLS/25/13513</v>
      </c>
      <c r="FJ311" s="38" t="e">
        <f>VLOOKUP(FH311,[1]Sheet3!$A:$D,4,0)</f>
        <v>#N/A</v>
      </c>
      <c r="FL311" s="13"/>
    </row>
    <row r="312" spans="1:168" ht="21" hidden="1" x14ac:dyDescent="0.25">
      <c r="A312" s="15" t="s">
        <v>998</v>
      </c>
      <c r="B312" s="15" t="s">
        <v>149</v>
      </c>
      <c r="C312" s="15" t="s">
        <v>625</v>
      </c>
      <c r="D312" s="15" t="s">
        <v>1124</v>
      </c>
      <c r="E312" s="15" t="s">
        <v>265</v>
      </c>
      <c r="F312" s="15" t="s">
        <v>266</v>
      </c>
      <c r="G312" s="15" t="s">
        <v>331</v>
      </c>
      <c r="H312" s="15" t="s">
        <v>985</v>
      </c>
      <c r="I312" s="15" t="s">
        <v>440</v>
      </c>
      <c r="J312" s="15" t="s">
        <v>883</v>
      </c>
      <c r="K312" s="15"/>
      <c r="L312" s="15" t="s">
        <v>247</v>
      </c>
      <c r="M312" s="15" t="s">
        <v>986</v>
      </c>
      <c r="N312" s="63">
        <v>362</v>
      </c>
      <c r="O312" s="15"/>
      <c r="P312" s="15">
        <v>12.63</v>
      </c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61">
        <v>46139</v>
      </c>
      <c r="BE312" s="61" t="s">
        <v>171</v>
      </c>
      <c r="BF312" s="15" t="s">
        <v>199</v>
      </c>
      <c r="BG312" s="15" t="s">
        <v>171</v>
      </c>
      <c r="BH312" s="15" t="s">
        <v>171</v>
      </c>
      <c r="BI312" s="15" t="s">
        <v>171</v>
      </c>
      <c r="BJ312" s="15"/>
      <c r="BK312" s="15"/>
      <c r="BL312" s="15"/>
      <c r="BM312" s="15"/>
      <c r="BN312" s="15"/>
      <c r="BO312" s="64"/>
      <c r="BP312" s="15"/>
      <c r="BQ312" s="15"/>
      <c r="BR312" s="15"/>
      <c r="BS312" s="64"/>
      <c r="BT312" s="64">
        <v>46180</v>
      </c>
      <c r="BU312" s="64">
        <v>46249</v>
      </c>
      <c r="BV312" s="15"/>
      <c r="BW312" s="64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15"/>
      <c r="CL312" s="68">
        <v>58</v>
      </c>
      <c r="CM312" s="68">
        <v>116</v>
      </c>
      <c r="CN312" s="68">
        <v>105</v>
      </c>
      <c r="CO312" s="68">
        <v>54</v>
      </c>
      <c r="CP312" s="68">
        <v>29</v>
      </c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  <c r="EE312" s="68"/>
      <c r="EF312" s="68"/>
      <c r="EG312" s="68"/>
      <c r="EH312" s="68"/>
      <c r="EI312" s="68"/>
      <c r="EJ312" s="68"/>
      <c r="EK312" s="68"/>
      <c r="EL312" s="68"/>
      <c r="EM312" s="68"/>
      <c r="EN312" s="68"/>
      <c r="EO312" s="68"/>
      <c r="EP312" s="68"/>
      <c r="EQ312" s="65">
        <f t="shared" si="29"/>
        <v>362</v>
      </c>
      <c r="ER312" s="6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 t="s">
        <v>202</v>
      </c>
      <c r="FF312" s="15"/>
      <c r="FG312" s="15"/>
      <c r="FH312" s="1" t="str">
        <f>H312&amp;D312</f>
        <v>710P038555094702126956</v>
      </c>
      <c r="FI312" s="1" t="str">
        <f>A312</f>
        <v>PRLS/25/13513</v>
      </c>
      <c r="FJ312" s="38" t="e">
        <f>VLOOKUP(FH312,[1]Sheet3!$A:$D,4,0)</f>
        <v>#N/A</v>
      </c>
      <c r="FL312" s="13"/>
    </row>
    <row r="313" spans="1:168" ht="21" hidden="1" x14ac:dyDescent="0.25">
      <c r="A313" s="15" t="s">
        <v>998</v>
      </c>
      <c r="B313" s="15" t="s">
        <v>149</v>
      </c>
      <c r="C313" s="15" t="s">
        <v>625</v>
      </c>
      <c r="D313" s="15" t="s">
        <v>1008</v>
      </c>
      <c r="E313" s="15" t="s">
        <v>208</v>
      </c>
      <c r="F313" s="15" t="s">
        <v>181</v>
      </c>
      <c r="G313" s="15" t="s">
        <v>321</v>
      </c>
      <c r="H313" s="15" t="s">
        <v>985</v>
      </c>
      <c r="I313" s="15" t="s">
        <v>440</v>
      </c>
      <c r="J313" s="15" t="s">
        <v>883</v>
      </c>
      <c r="K313" s="15"/>
      <c r="L313" s="15" t="s">
        <v>247</v>
      </c>
      <c r="M313" s="15" t="s">
        <v>986</v>
      </c>
      <c r="N313" s="63">
        <v>3430</v>
      </c>
      <c r="O313" s="15"/>
      <c r="P313" s="15">
        <v>12.63</v>
      </c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61">
        <v>46139</v>
      </c>
      <c r="BE313" s="61" t="s">
        <v>171</v>
      </c>
      <c r="BF313" s="15" t="s">
        <v>199</v>
      </c>
      <c r="BG313" s="15" t="s">
        <v>171</v>
      </c>
      <c r="BH313" s="15" t="s">
        <v>171</v>
      </c>
      <c r="BI313" s="15" t="s">
        <v>171</v>
      </c>
      <c r="BJ313" s="15"/>
      <c r="BK313" s="15"/>
      <c r="BL313" s="15"/>
      <c r="BM313" s="15"/>
      <c r="BN313" s="15"/>
      <c r="BO313" s="64"/>
      <c r="BP313" s="15"/>
      <c r="BQ313" s="15"/>
      <c r="BR313" s="15"/>
      <c r="BS313" s="64"/>
      <c r="BT313" s="64">
        <v>46180</v>
      </c>
      <c r="BU313" s="64">
        <v>46249</v>
      </c>
      <c r="BV313" s="15"/>
      <c r="BW313" s="64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15">
        <v>14</v>
      </c>
      <c r="CL313" s="68">
        <v>390</v>
      </c>
      <c r="CM313" s="68">
        <v>779</v>
      </c>
      <c r="CN313" s="68">
        <v>1040</v>
      </c>
      <c r="CO313" s="68">
        <v>781</v>
      </c>
      <c r="CP313" s="68">
        <v>426</v>
      </c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  <c r="EE313" s="68"/>
      <c r="EF313" s="68"/>
      <c r="EG313" s="68"/>
      <c r="EH313" s="68"/>
      <c r="EI313" s="68"/>
      <c r="EJ313" s="68"/>
      <c r="EK313" s="68"/>
      <c r="EL313" s="68"/>
      <c r="EM313" s="68"/>
      <c r="EN313" s="68"/>
      <c r="EO313" s="68"/>
      <c r="EP313" s="68"/>
      <c r="EQ313" s="65">
        <f t="shared" si="29"/>
        <v>3430</v>
      </c>
      <c r="ER313" s="6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 t="s">
        <v>202</v>
      </c>
      <c r="FF313" s="15"/>
      <c r="FG313" s="15"/>
      <c r="FH313" s="1" t="str">
        <f t="shared" si="30"/>
        <v>710P038555094702120724</v>
      </c>
      <c r="FI313" s="1" t="str">
        <f t="shared" si="31"/>
        <v>PRLS/25/13513</v>
      </c>
      <c r="FJ313" s="38" t="e">
        <f>VLOOKUP(FH313,[1]Sheet3!$A:$D,4,0)</f>
        <v>#N/A</v>
      </c>
      <c r="FL313" s="13"/>
    </row>
    <row r="314" spans="1:168" ht="21" hidden="1" x14ac:dyDescent="0.25">
      <c r="A314" s="15" t="s">
        <v>991</v>
      </c>
      <c r="B314" s="15" t="s">
        <v>149</v>
      </c>
      <c r="C314" s="15" t="s">
        <v>625</v>
      </c>
      <c r="D314" s="15" t="s">
        <v>1155</v>
      </c>
      <c r="E314" s="15" t="s">
        <v>265</v>
      </c>
      <c r="F314" s="15" t="s">
        <v>331</v>
      </c>
      <c r="G314" s="15" t="s">
        <v>321</v>
      </c>
      <c r="H314" s="15" t="s">
        <v>441</v>
      </c>
      <c r="I314" s="15" t="s">
        <v>442</v>
      </c>
      <c r="J314" s="15" t="s">
        <v>883</v>
      </c>
      <c r="K314" s="15"/>
      <c r="L314" s="15" t="s">
        <v>247</v>
      </c>
      <c r="M314" s="15" t="s">
        <v>272</v>
      </c>
      <c r="N314" s="63">
        <v>492</v>
      </c>
      <c r="O314" s="15"/>
      <c r="P314" s="15">
        <v>11.42</v>
      </c>
      <c r="Q314" s="15"/>
      <c r="R314" s="15"/>
      <c r="S314" s="15" t="s">
        <v>235</v>
      </c>
      <c r="T314" s="15"/>
      <c r="U314" s="15"/>
      <c r="V314" s="15"/>
      <c r="W314" s="15"/>
      <c r="X314" s="15"/>
      <c r="Y314" s="15" t="s">
        <v>320</v>
      </c>
      <c r="Z314" s="15" t="s">
        <v>191</v>
      </c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61">
        <v>46113</v>
      </c>
      <c r="BE314" s="61" t="s">
        <v>171</v>
      </c>
      <c r="BF314" s="15" t="s">
        <v>219</v>
      </c>
      <c r="BG314" s="15" t="s">
        <v>171</v>
      </c>
      <c r="BH314" s="15" t="s">
        <v>171</v>
      </c>
      <c r="BI314" s="15" t="s">
        <v>171</v>
      </c>
      <c r="BJ314" s="15"/>
      <c r="BK314" s="15"/>
      <c r="BL314" s="15"/>
      <c r="BM314" s="15"/>
      <c r="BN314" s="15"/>
      <c r="BO314" s="64"/>
      <c r="BP314" s="15"/>
      <c r="BQ314" s="15"/>
      <c r="BR314" s="15"/>
      <c r="BS314" s="64"/>
      <c r="BT314" s="64">
        <v>46166</v>
      </c>
      <c r="BU314" s="64">
        <v>46249</v>
      </c>
      <c r="BV314" s="15"/>
      <c r="BW314" s="64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15"/>
      <c r="CL314" s="68">
        <v>87</v>
      </c>
      <c r="CM314" s="68">
        <v>157</v>
      </c>
      <c r="CN314" s="68">
        <v>133</v>
      </c>
      <c r="CO314" s="68">
        <v>76</v>
      </c>
      <c r="CP314" s="68">
        <v>39</v>
      </c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  <c r="EE314" s="68"/>
      <c r="EF314" s="68"/>
      <c r="EG314" s="68"/>
      <c r="EH314" s="68"/>
      <c r="EI314" s="68"/>
      <c r="EJ314" s="68"/>
      <c r="EK314" s="68"/>
      <c r="EL314" s="68"/>
      <c r="EM314" s="68"/>
      <c r="EN314" s="68"/>
      <c r="EO314" s="68"/>
      <c r="EP314" s="68"/>
      <c r="EQ314" s="65">
        <f t="shared" si="29"/>
        <v>492</v>
      </c>
      <c r="ER314" s="6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 t="s">
        <v>176</v>
      </c>
      <c r="FF314" s="15" t="s">
        <v>1121</v>
      </c>
      <c r="FG314" s="15"/>
      <c r="FH314" s="1" t="str">
        <f t="shared" si="30"/>
        <v>710P038540014702129854</v>
      </c>
      <c r="FI314" s="1" t="str">
        <f t="shared" si="31"/>
        <v>PRLS/25/13509</v>
      </c>
      <c r="FJ314" s="38" t="str">
        <f>VLOOKUP(FH314,[1]Sheet3!$A:$D,4,0)</f>
        <v>BSR BLUE</v>
      </c>
      <c r="FL314" s="13"/>
    </row>
    <row r="315" spans="1:168" ht="21" hidden="1" x14ac:dyDescent="0.25">
      <c r="A315" s="15" t="s">
        <v>991</v>
      </c>
      <c r="B315" s="15" t="s">
        <v>149</v>
      </c>
      <c r="C315" s="15" t="s">
        <v>625</v>
      </c>
      <c r="D315" s="15" t="s">
        <v>1154</v>
      </c>
      <c r="E315" s="15" t="s">
        <v>265</v>
      </c>
      <c r="F315" s="15" t="s">
        <v>331</v>
      </c>
      <c r="G315" s="15" t="s">
        <v>321</v>
      </c>
      <c r="H315" s="15" t="s">
        <v>441</v>
      </c>
      <c r="I315" s="15" t="s">
        <v>442</v>
      </c>
      <c r="J315" s="15" t="s">
        <v>883</v>
      </c>
      <c r="K315" s="15"/>
      <c r="L315" s="15" t="s">
        <v>247</v>
      </c>
      <c r="M315" s="15" t="s">
        <v>272</v>
      </c>
      <c r="N315" s="63">
        <v>594</v>
      </c>
      <c r="O315" s="15"/>
      <c r="P315" s="15">
        <v>11.42</v>
      </c>
      <c r="Q315" s="15"/>
      <c r="R315" s="15"/>
      <c r="S315" s="15" t="s">
        <v>235</v>
      </c>
      <c r="T315" s="15"/>
      <c r="U315" s="15"/>
      <c r="V315" s="15"/>
      <c r="W315" s="15"/>
      <c r="X315" s="15"/>
      <c r="Y315" s="15" t="s">
        <v>320</v>
      </c>
      <c r="Z315" s="15" t="s">
        <v>191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61">
        <v>46113</v>
      </c>
      <c r="BE315" s="61" t="s">
        <v>171</v>
      </c>
      <c r="BF315" s="15" t="s">
        <v>219</v>
      </c>
      <c r="BG315" s="15" t="s">
        <v>171</v>
      </c>
      <c r="BH315" s="15" t="s">
        <v>171</v>
      </c>
      <c r="BI315" s="15" t="s">
        <v>171</v>
      </c>
      <c r="BJ315" s="15"/>
      <c r="BK315" s="15"/>
      <c r="BL315" s="15"/>
      <c r="BM315" s="15"/>
      <c r="BN315" s="15"/>
      <c r="BO315" s="64"/>
      <c r="BP315" s="15"/>
      <c r="BQ315" s="15"/>
      <c r="BR315" s="15"/>
      <c r="BS315" s="64"/>
      <c r="BT315" s="64">
        <v>46166</v>
      </c>
      <c r="BU315" s="64">
        <v>46249</v>
      </c>
      <c r="BV315" s="15"/>
      <c r="BW315" s="64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15"/>
      <c r="CL315" s="68">
        <v>95</v>
      </c>
      <c r="CM315" s="68">
        <v>190</v>
      </c>
      <c r="CN315" s="68">
        <v>172</v>
      </c>
      <c r="CO315" s="68">
        <v>89</v>
      </c>
      <c r="CP315" s="68">
        <v>48</v>
      </c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  <c r="EE315" s="68"/>
      <c r="EF315" s="68"/>
      <c r="EG315" s="68"/>
      <c r="EH315" s="68"/>
      <c r="EI315" s="68"/>
      <c r="EJ315" s="68"/>
      <c r="EK315" s="68"/>
      <c r="EL315" s="68"/>
      <c r="EM315" s="68"/>
      <c r="EN315" s="68"/>
      <c r="EO315" s="68"/>
      <c r="EP315" s="68"/>
      <c r="EQ315" s="65">
        <f>SUM(BX315:EP315)</f>
        <v>594</v>
      </c>
      <c r="ER315" s="6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 t="s">
        <v>176</v>
      </c>
      <c r="FF315" s="15" t="s">
        <v>1122</v>
      </c>
      <c r="FG315" s="15"/>
      <c r="FH315" s="1" t="str">
        <f>H315&amp;D315</f>
        <v>710P038540014702129853</v>
      </c>
      <c r="FI315" s="1" t="str">
        <f>A315</f>
        <v>PRLS/25/13509</v>
      </c>
      <c r="FJ315" s="38" t="str">
        <f>VLOOKUP(FH315,[1]Sheet3!$A:$D,4,0)</f>
        <v>BSR BLUE</v>
      </c>
      <c r="FL315" s="13"/>
    </row>
    <row r="316" spans="1:168" ht="21" hidden="1" x14ac:dyDescent="0.25">
      <c r="A316" s="15" t="s">
        <v>991</v>
      </c>
      <c r="B316" s="15" t="s">
        <v>149</v>
      </c>
      <c r="C316" s="15" t="s">
        <v>625</v>
      </c>
      <c r="D316" s="15" t="s">
        <v>1153</v>
      </c>
      <c r="E316" s="15" t="s">
        <v>208</v>
      </c>
      <c r="F316" s="15" t="s">
        <v>321</v>
      </c>
      <c r="G316" s="15" t="s">
        <v>321</v>
      </c>
      <c r="H316" s="15" t="s">
        <v>441</v>
      </c>
      <c r="I316" s="15" t="s">
        <v>442</v>
      </c>
      <c r="J316" s="15" t="s">
        <v>883</v>
      </c>
      <c r="K316" s="15"/>
      <c r="L316" s="15" t="s">
        <v>247</v>
      </c>
      <c r="M316" s="15" t="s">
        <v>272</v>
      </c>
      <c r="N316" s="63">
        <v>3066</v>
      </c>
      <c r="O316" s="15"/>
      <c r="P316" s="15">
        <v>11.42</v>
      </c>
      <c r="Q316" s="15"/>
      <c r="R316" s="15"/>
      <c r="S316" s="15" t="s">
        <v>235</v>
      </c>
      <c r="T316" s="15"/>
      <c r="U316" s="15"/>
      <c r="V316" s="15"/>
      <c r="W316" s="15"/>
      <c r="X316" s="15"/>
      <c r="Y316" s="15" t="s">
        <v>320</v>
      </c>
      <c r="Z316" s="15" t="s">
        <v>191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61">
        <v>46113</v>
      </c>
      <c r="BE316" s="61" t="s">
        <v>171</v>
      </c>
      <c r="BF316" s="15" t="s">
        <v>219</v>
      </c>
      <c r="BG316" s="15" t="s">
        <v>171</v>
      </c>
      <c r="BH316" s="15" t="s">
        <v>171</v>
      </c>
      <c r="BI316" s="15" t="s">
        <v>171</v>
      </c>
      <c r="BJ316" s="15"/>
      <c r="BK316" s="15"/>
      <c r="BL316" s="15"/>
      <c r="BM316" s="15"/>
      <c r="BN316" s="15"/>
      <c r="BO316" s="64"/>
      <c r="BP316" s="15"/>
      <c r="BQ316" s="15"/>
      <c r="BR316" s="15"/>
      <c r="BS316" s="64"/>
      <c r="BT316" s="64">
        <v>46166</v>
      </c>
      <c r="BU316" s="64">
        <v>46249</v>
      </c>
      <c r="BV316" s="15"/>
      <c r="BW316" s="64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15">
        <v>28</v>
      </c>
      <c r="CL316" s="68">
        <v>327</v>
      </c>
      <c r="CM316" s="68">
        <v>725</v>
      </c>
      <c r="CN316" s="68">
        <v>978</v>
      </c>
      <c r="CO316" s="68">
        <v>659</v>
      </c>
      <c r="CP316" s="68">
        <v>349</v>
      </c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  <c r="EE316" s="68"/>
      <c r="EF316" s="68"/>
      <c r="EG316" s="68"/>
      <c r="EH316" s="68"/>
      <c r="EI316" s="68"/>
      <c r="EJ316" s="68"/>
      <c r="EK316" s="68"/>
      <c r="EL316" s="68"/>
      <c r="EM316" s="68"/>
      <c r="EN316" s="68"/>
      <c r="EO316" s="68"/>
      <c r="EP316" s="68"/>
      <c r="EQ316" s="65">
        <f t="shared" si="29"/>
        <v>3066</v>
      </c>
      <c r="ER316" s="6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 t="s">
        <v>176</v>
      </c>
      <c r="FF316" s="15" t="s">
        <v>1010</v>
      </c>
      <c r="FG316" s="15"/>
      <c r="FH316" s="1" t="str">
        <f t="shared" si="30"/>
        <v>710P038540014702130672</v>
      </c>
      <c r="FI316" s="1" t="str">
        <f t="shared" si="31"/>
        <v>PRLS/25/13509</v>
      </c>
      <c r="FJ316" s="38" t="str">
        <f>VLOOKUP(FH316,[1]Sheet3!$A:$D,4,0)</f>
        <v>BSR BLUE</v>
      </c>
      <c r="FL316" s="13"/>
    </row>
    <row r="317" spans="1:168" ht="21" hidden="1" x14ac:dyDescent="0.25">
      <c r="A317" s="15" t="s">
        <v>988</v>
      </c>
      <c r="B317" s="15" t="s">
        <v>149</v>
      </c>
      <c r="C317" s="15" t="s">
        <v>625</v>
      </c>
      <c r="D317" s="15" t="s">
        <v>1121</v>
      </c>
      <c r="E317" s="15" t="s">
        <v>265</v>
      </c>
      <c r="F317" s="15" t="s">
        <v>266</v>
      </c>
      <c r="G317" s="15" t="s">
        <v>331</v>
      </c>
      <c r="H317" s="15" t="s">
        <v>443</v>
      </c>
      <c r="I317" s="15" t="s">
        <v>442</v>
      </c>
      <c r="J317" s="15" t="s">
        <v>883</v>
      </c>
      <c r="K317" s="15"/>
      <c r="L317" s="15" t="s">
        <v>247</v>
      </c>
      <c r="M317" s="15" t="s">
        <v>268</v>
      </c>
      <c r="N317" s="63">
        <v>492</v>
      </c>
      <c r="O317" s="15"/>
      <c r="P317" s="15">
        <v>10.76</v>
      </c>
      <c r="Q317" s="15"/>
      <c r="R317" s="15"/>
      <c r="S317" s="15" t="s">
        <v>235</v>
      </c>
      <c r="T317" s="15"/>
      <c r="U317" s="15"/>
      <c r="V317" s="15"/>
      <c r="W317" s="15"/>
      <c r="X317" s="15"/>
      <c r="Y317" s="15" t="s">
        <v>320</v>
      </c>
      <c r="Z317" s="15" t="s">
        <v>191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61">
        <v>46108</v>
      </c>
      <c r="BE317" s="61"/>
      <c r="BF317" s="15" t="s">
        <v>219</v>
      </c>
      <c r="BG317" s="15" t="s">
        <v>171</v>
      </c>
      <c r="BH317" s="15" t="s">
        <v>171</v>
      </c>
      <c r="BI317" s="15" t="s">
        <v>171</v>
      </c>
      <c r="BJ317" s="15"/>
      <c r="BK317" s="15"/>
      <c r="BL317" s="15"/>
      <c r="BM317" s="15"/>
      <c r="BN317" s="15"/>
      <c r="BO317" s="64"/>
      <c r="BP317" s="15"/>
      <c r="BQ317" s="15"/>
      <c r="BR317" s="15"/>
      <c r="BS317" s="64"/>
      <c r="BT317" s="64">
        <v>46166</v>
      </c>
      <c r="BU317" s="64">
        <v>46249</v>
      </c>
      <c r="BV317" s="15"/>
      <c r="BW317" s="64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15"/>
      <c r="CL317" s="68">
        <v>87</v>
      </c>
      <c r="CM317" s="68">
        <v>157</v>
      </c>
      <c r="CN317" s="68">
        <v>133</v>
      </c>
      <c r="CO317" s="68">
        <v>76</v>
      </c>
      <c r="CP317" s="68">
        <v>39</v>
      </c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  <c r="EE317" s="68"/>
      <c r="EF317" s="68"/>
      <c r="EG317" s="68"/>
      <c r="EH317" s="68"/>
      <c r="EI317" s="68"/>
      <c r="EJ317" s="68"/>
      <c r="EK317" s="68"/>
      <c r="EL317" s="68"/>
      <c r="EM317" s="68"/>
      <c r="EN317" s="68"/>
      <c r="EO317" s="68"/>
      <c r="EP317" s="68"/>
      <c r="EQ317" s="65">
        <f t="shared" si="29"/>
        <v>492</v>
      </c>
      <c r="ER317" s="6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 t="s">
        <v>202</v>
      </c>
      <c r="FF317" s="15"/>
      <c r="FG317" s="15"/>
      <c r="FH317" s="1" t="str">
        <f>H317&amp;D317</f>
        <v>710P038540024702126955</v>
      </c>
      <c r="FI317" s="1" t="str">
        <f>A317</f>
        <v>PRLS/25/13510</v>
      </c>
      <c r="FJ317" s="38" t="e">
        <f>VLOOKUP(FH317,[1]Sheet3!$A:$D,4,0)</f>
        <v>#N/A</v>
      </c>
      <c r="FL317" s="13"/>
    </row>
    <row r="318" spans="1:168" ht="21" hidden="1" x14ac:dyDescent="0.25">
      <c r="A318" s="15" t="s">
        <v>988</v>
      </c>
      <c r="B318" s="15" t="s">
        <v>149</v>
      </c>
      <c r="C318" s="15" t="s">
        <v>625</v>
      </c>
      <c r="D318" s="15" t="s">
        <v>1122</v>
      </c>
      <c r="E318" s="15" t="s">
        <v>265</v>
      </c>
      <c r="F318" s="15" t="s">
        <v>266</v>
      </c>
      <c r="G318" s="15" t="s">
        <v>331</v>
      </c>
      <c r="H318" s="15" t="s">
        <v>443</v>
      </c>
      <c r="I318" s="15" t="s">
        <v>442</v>
      </c>
      <c r="J318" s="15" t="s">
        <v>883</v>
      </c>
      <c r="K318" s="15"/>
      <c r="L318" s="15" t="s">
        <v>247</v>
      </c>
      <c r="M318" s="15" t="s">
        <v>268</v>
      </c>
      <c r="N318" s="63">
        <v>610</v>
      </c>
      <c r="O318" s="15"/>
      <c r="P318" s="15">
        <v>10.76</v>
      </c>
      <c r="Q318" s="15"/>
      <c r="R318" s="15"/>
      <c r="S318" s="15" t="s">
        <v>235</v>
      </c>
      <c r="T318" s="15"/>
      <c r="U318" s="15"/>
      <c r="V318" s="15"/>
      <c r="W318" s="15"/>
      <c r="X318" s="15"/>
      <c r="Y318" s="15" t="s">
        <v>320</v>
      </c>
      <c r="Z318" s="15" t="s">
        <v>191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61">
        <v>46108</v>
      </c>
      <c r="BE318" s="61"/>
      <c r="BF318" s="15" t="s">
        <v>219</v>
      </c>
      <c r="BG318" s="15" t="s">
        <v>171</v>
      </c>
      <c r="BH318" s="15" t="s">
        <v>171</v>
      </c>
      <c r="BI318" s="15" t="s">
        <v>171</v>
      </c>
      <c r="BJ318" s="15"/>
      <c r="BK318" s="15"/>
      <c r="BL318" s="15"/>
      <c r="BM318" s="15"/>
      <c r="BN318" s="15"/>
      <c r="BO318" s="64"/>
      <c r="BP318" s="15"/>
      <c r="BQ318" s="15"/>
      <c r="BR318" s="15"/>
      <c r="BS318" s="64"/>
      <c r="BT318" s="64">
        <v>46166</v>
      </c>
      <c r="BU318" s="64">
        <v>46249</v>
      </c>
      <c r="BV318" s="15"/>
      <c r="BW318" s="64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15"/>
      <c r="CL318" s="68">
        <v>98</v>
      </c>
      <c r="CM318" s="68">
        <v>194</v>
      </c>
      <c r="CN318" s="68">
        <v>177</v>
      </c>
      <c r="CO318" s="68">
        <v>92</v>
      </c>
      <c r="CP318" s="68">
        <v>49</v>
      </c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  <c r="EE318" s="68"/>
      <c r="EF318" s="68"/>
      <c r="EG318" s="68"/>
      <c r="EH318" s="68"/>
      <c r="EI318" s="68"/>
      <c r="EJ318" s="68"/>
      <c r="EK318" s="68"/>
      <c r="EL318" s="68"/>
      <c r="EM318" s="68"/>
      <c r="EN318" s="68"/>
      <c r="EO318" s="68"/>
      <c r="EP318" s="68"/>
      <c r="EQ318" s="65">
        <f>SUM(BX318:EP318)</f>
        <v>610</v>
      </c>
      <c r="ER318" s="6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 t="s">
        <v>202</v>
      </c>
      <c r="FF318" s="15"/>
      <c r="FG318" s="15"/>
      <c r="FH318" s="1" t="str">
        <f>H318&amp;D318</f>
        <v>710P038540024702126954</v>
      </c>
      <c r="FI318" s="1" t="str">
        <f>A318</f>
        <v>PRLS/25/13510</v>
      </c>
      <c r="FJ318" s="38" t="e">
        <f>VLOOKUP(FH318,[1]Sheet3!$A:$D,4,0)</f>
        <v>#N/A</v>
      </c>
      <c r="FL318" s="13"/>
    </row>
    <row r="319" spans="1:168" ht="21" hidden="1" x14ac:dyDescent="0.25">
      <c r="A319" s="15" t="s">
        <v>988</v>
      </c>
      <c r="B319" s="15" t="s">
        <v>149</v>
      </c>
      <c r="C319" s="15" t="s">
        <v>625</v>
      </c>
      <c r="D319" s="15" t="s">
        <v>1010</v>
      </c>
      <c r="E319" s="15" t="s">
        <v>208</v>
      </c>
      <c r="F319" s="15" t="s">
        <v>181</v>
      </c>
      <c r="G319" s="15" t="s">
        <v>321</v>
      </c>
      <c r="H319" s="15" t="s">
        <v>443</v>
      </c>
      <c r="I319" s="15" t="s">
        <v>442</v>
      </c>
      <c r="J319" s="15" t="s">
        <v>883</v>
      </c>
      <c r="K319" s="15"/>
      <c r="L319" s="15" t="s">
        <v>247</v>
      </c>
      <c r="M319" s="15" t="s">
        <v>268</v>
      </c>
      <c r="N319" s="63">
        <v>3272</v>
      </c>
      <c r="O319" s="15"/>
      <c r="P319" s="15">
        <v>10.76</v>
      </c>
      <c r="Q319" s="15"/>
      <c r="R319" s="15"/>
      <c r="S319" s="15" t="s">
        <v>235</v>
      </c>
      <c r="T319" s="15"/>
      <c r="U319" s="15"/>
      <c r="V319" s="15"/>
      <c r="W319" s="15"/>
      <c r="X319" s="15"/>
      <c r="Y319" s="15" t="s">
        <v>320</v>
      </c>
      <c r="Z319" s="15" t="s">
        <v>191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61">
        <v>46108</v>
      </c>
      <c r="BE319" s="61"/>
      <c r="BF319" s="15" t="s">
        <v>219</v>
      </c>
      <c r="BG319" s="15" t="s">
        <v>171</v>
      </c>
      <c r="BH319" s="15" t="s">
        <v>171</v>
      </c>
      <c r="BI319" s="15" t="s">
        <v>171</v>
      </c>
      <c r="BJ319" s="15"/>
      <c r="BK319" s="15"/>
      <c r="BL319" s="15"/>
      <c r="BM319" s="15"/>
      <c r="BN319" s="15"/>
      <c r="BO319" s="64"/>
      <c r="BP319" s="15"/>
      <c r="BQ319" s="15"/>
      <c r="BR319" s="15"/>
      <c r="BS319" s="64"/>
      <c r="BT319" s="64">
        <v>46166</v>
      </c>
      <c r="BU319" s="64">
        <v>46249</v>
      </c>
      <c r="BV319" s="15"/>
      <c r="BW319" s="64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15">
        <v>33</v>
      </c>
      <c r="CL319" s="68">
        <v>353</v>
      </c>
      <c r="CM319" s="68">
        <v>778</v>
      </c>
      <c r="CN319" s="68">
        <v>1040</v>
      </c>
      <c r="CO319" s="68">
        <v>702</v>
      </c>
      <c r="CP319" s="68">
        <v>366</v>
      </c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  <c r="EE319" s="68"/>
      <c r="EF319" s="68"/>
      <c r="EG319" s="68"/>
      <c r="EH319" s="68"/>
      <c r="EI319" s="68"/>
      <c r="EJ319" s="68"/>
      <c r="EK319" s="68"/>
      <c r="EL319" s="68"/>
      <c r="EM319" s="68"/>
      <c r="EN319" s="68"/>
      <c r="EO319" s="68"/>
      <c r="EP319" s="68"/>
      <c r="EQ319" s="65">
        <f t="shared" si="29"/>
        <v>3272</v>
      </c>
      <c r="ER319" s="6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 t="s">
        <v>202</v>
      </c>
      <c r="FF319" s="15"/>
      <c r="FG319" s="15"/>
      <c r="FH319" s="1" t="str">
        <f t="shared" si="30"/>
        <v>710P038540024702120722</v>
      </c>
      <c r="FI319" s="1" t="str">
        <f t="shared" si="31"/>
        <v>PRLS/25/13510</v>
      </c>
      <c r="FJ319" s="38" t="e">
        <f>VLOOKUP(FH319,[1]Sheet3!$A:$D,4,0)</f>
        <v>#N/A</v>
      </c>
      <c r="FL319" s="13"/>
    </row>
    <row r="320" spans="1:168" ht="21" hidden="1" x14ac:dyDescent="0.25">
      <c r="A320" s="15" t="s">
        <v>990</v>
      </c>
      <c r="B320" s="15" t="s">
        <v>149</v>
      </c>
      <c r="C320" s="15" t="s">
        <v>625</v>
      </c>
      <c r="D320" s="15" t="s">
        <v>1123</v>
      </c>
      <c r="E320" s="15" t="s">
        <v>265</v>
      </c>
      <c r="F320" s="15" t="s">
        <v>266</v>
      </c>
      <c r="G320" s="15" t="s">
        <v>331</v>
      </c>
      <c r="H320" s="15" t="s">
        <v>979</v>
      </c>
      <c r="I320" s="15" t="s">
        <v>440</v>
      </c>
      <c r="J320" s="15" t="s">
        <v>883</v>
      </c>
      <c r="K320" s="15"/>
      <c r="L320" s="15" t="s">
        <v>247</v>
      </c>
      <c r="M320" s="15" t="s">
        <v>798</v>
      </c>
      <c r="N320" s="63">
        <v>470</v>
      </c>
      <c r="O320" s="15"/>
      <c r="P320" s="15">
        <v>12.57</v>
      </c>
      <c r="Q320" s="15"/>
      <c r="R320" s="15"/>
      <c r="S320" s="15" t="s">
        <v>235</v>
      </c>
      <c r="T320" s="15"/>
      <c r="U320" s="15"/>
      <c r="V320" s="15"/>
      <c r="W320" s="15"/>
      <c r="X320" s="15"/>
      <c r="Y320" s="15" t="s">
        <v>320</v>
      </c>
      <c r="Z320" s="15" t="s">
        <v>191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61">
        <v>46104</v>
      </c>
      <c r="BE320" s="61"/>
      <c r="BF320" s="15" t="s">
        <v>219</v>
      </c>
      <c r="BG320" s="15" t="s">
        <v>171</v>
      </c>
      <c r="BH320" s="15" t="s">
        <v>171</v>
      </c>
      <c r="BI320" s="15" t="s">
        <v>171</v>
      </c>
      <c r="BJ320" s="15"/>
      <c r="BK320" s="15"/>
      <c r="BL320" s="15"/>
      <c r="BM320" s="15"/>
      <c r="BN320" s="15"/>
      <c r="BO320" s="64"/>
      <c r="BP320" s="15"/>
      <c r="BQ320" s="15"/>
      <c r="BR320" s="15"/>
      <c r="BS320" s="64"/>
      <c r="BT320" s="64">
        <v>46166</v>
      </c>
      <c r="BU320" s="64">
        <v>46249</v>
      </c>
      <c r="BV320" s="15"/>
      <c r="BW320" s="64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15"/>
      <c r="CL320" s="68">
        <v>83</v>
      </c>
      <c r="CM320" s="68">
        <v>149</v>
      </c>
      <c r="CN320" s="68">
        <v>127</v>
      </c>
      <c r="CO320" s="68">
        <v>73</v>
      </c>
      <c r="CP320" s="68">
        <v>38</v>
      </c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  <c r="EE320" s="68"/>
      <c r="EF320" s="68"/>
      <c r="EG320" s="68"/>
      <c r="EH320" s="68"/>
      <c r="EI320" s="68"/>
      <c r="EJ320" s="68"/>
      <c r="EK320" s="68"/>
      <c r="EL320" s="68"/>
      <c r="EM320" s="68"/>
      <c r="EN320" s="68"/>
      <c r="EO320" s="68"/>
      <c r="EP320" s="68"/>
      <c r="EQ320" s="65">
        <f t="shared" si="29"/>
        <v>470</v>
      </c>
      <c r="ER320" s="6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 t="s">
        <v>202</v>
      </c>
      <c r="FF320" s="15"/>
      <c r="FG320" s="15"/>
      <c r="FH320" s="1" t="str">
        <f>H320&amp;D320</f>
        <v>710P038555084702126957</v>
      </c>
      <c r="FI320" s="1" t="str">
        <f>A320</f>
        <v>PRLS/25/13512</v>
      </c>
      <c r="FJ320" s="38" t="e">
        <f>VLOOKUP(FH320,[1]Sheet3!$A:$D,4,0)</f>
        <v>#N/A</v>
      </c>
      <c r="FL320" s="13"/>
    </row>
    <row r="321" spans="1:168" ht="21" hidden="1" x14ac:dyDescent="0.25">
      <c r="A321" s="15" t="s">
        <v>990</v>
      </c>
      <c r="B321" s="15" t="s">
        <v>149</v>
      </c>
      <c r="C321" s="15" t="s">
        <v>625</v>
      </c>
      <c r="D321" s="15" t="s">
        <v>1124</v>
      </c>
      <c r="E321" s="15" t="s">
        <v>265</v>
      </c>
      <c r="F321" s="15" t="s">
        <v>266</v>
      </c>
      <c r="G321" s="15" t="s">
        <v>331</v>
      </c>
      <c r="H321" s="15" t="s">
        <v>979</v>
      </c>
      <c r="I321" s="15" t="s">
        <v>440</v>
      </c>
      <c r="J321" s="15" t="s">
        <v>883</v>
      </c>
      <c r="K321" s="15"/>
      <c r="L321" s="15" t="s">
        <v>247</v>
      </c>
      <c r="M321" s="15" t="s">
        <v>798</v>
      </c>
      <c r="N321" s="63">
        <v>480</v>
      </c>
      <c r="O321" s="15"/>
      <c r="P321" s="15">
        <v>12.57</v>
      </c>
      <c r="Q321" s="15"/>
      <c r="R321" s="15"/>
      <c r="S321" s="15" t="s">
        <v>235</v>
      </c>
      <c r="T321" s="15"/>
      <c r="U321" s="15"/>
      <c r="V321" s="15"/>
      <c r="W321" s="15"/>
      <c r="X321" s="15"/>
      <c r="Y321" s="15" t="s">
        <v>320</v>
      </c>
      <c r="Z321" s="15" t="s">
        <v>191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61">
        <v>46104</v>
      </c>
      <c r="BE321" s="61"/>
      <c r="BF321" s="15" t="s">
        <v>219</v>
      </c>
      <c r="BG321" s="15" t="s">
        <v>171</v>
      </c>
      <c r="BH321" s="15" t="s">
        <v>171</v>
      </c>
      <c r="BI321" s="15" t="s">
        <v>171</v>
      </c>
      <c r="BJ321" s="15"/>
      <c r="BK321" s="15"/>
      <c r="BL321" s="15"/>
      <c r="BM321" s="15"/>
      <c r="BN321" s="15"/>
      <c r="BO321" s="64"/>
      <c r="BP321" s="15"/>
      <c r="BQ321" s="15"/>
      <c r="BR321" s="15"/>
      <c r="BS321" s="64"/>
      <c r="BT321" s="64">
        <v>46166</v>
      </c>
      <c r="BU321" s="64">
        <v>46249</v>
      </c>
      <c r="BV321" s="15"/>
      <c r="BW321" s="64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15"/>
      <c r="CL321" s="68">
        <v>77</v>
      </c>
      <c r="CM321" s="68">
        <v>154</v>
      </c>
      <c r="CN321" s="68">
        <v>139</v>
      </c>
      <c r="CO321" s="68">
        <v>72</v>
      </c>
      <c r="CP321" s="68">
        <v>38</v>
      </c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  <c r="EE321" s="68"/>
      <c r="EF321" s="68"/>
      <c r="EG321" s="68"/>
      <c r="EH321" s="68"/>
      <c r="EI321" s="68"/>
      <c r="EJ321" s="68"/>
      <c r="EK321" s="68"/>
      <c r="EL321" s="68"/>
      <c r="EM321" s="68"/>
      <c r="EN321" s="68"/>
      <c r="EO321" s="68"/>
      <c r="EP321" s="68"/>
      <c r="EQ321" s="65">
        <f>SUM(BX321:EP321)</f>
        <v>480</v>
      </c>
      <c r="ER321" s="6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 t="s">
        <v>202</v>
      </c>
      <c r="FF321" s="15"/>
      <c r="FG321" s="15"/>
      <c r="FH321" s="1" t="str">
        <f>H321&amp;D321</f>
        <v>710P038555084702126956</v>
      </c>
      <c r="FI321" s="1" t="str">
        <f>A321</f>
        <v>PRLS/25/13512</v>
      </c>
      <c r="FJ321" s="38" t="e">
        <f>VLOOKUP(FH321,[1]Sheet3!$A:$D,4,0)</f>
        <v>#N/A</v>
      </c>
      <c r="FL321" s="13"/>
    </row>
    <row r="322" spans="1:168" ht="21" hidden="1" x14ac:dyDescent="0.25">
      <c r="A322" s="15" t="s">
        <v>990</v>
      </c>
      <c r="B322" s="15" t="s">
        <v>149</v>
      </c>
      <c r="C322" s="15" t="s">
        <v>625</v>
      </c>
      <c r="D322" s="15" t="s">
        <v>1008</v>
      </c>
      <c r="E322" s="15" t="s">
        <v>208</v>
      </c>
      <c r="F322" s="15" t="s">
        <v>181</v>
      </c>
      <c r="G322" s="15" t="s">
        <v>321</v>
      </c>
      <c r="H322" s="15" t="s">
        <v>979</v>
      </c>
      <c r="I322" s="15" t="s">
        <v>440</v>
      </c>
      <c r="J322" s="15" t="s">
        <v>883</v>
      </c>
      <c r="K322" s="15"/>
      <c r="L322" s="15" t="s">
        <v>247</v>
      </c>
      <c r="M322" s="15" t="s">
        <v>798</v>
      </c>
      <c r="N322" s="63">
        <v>3912</v>
      </c>
      <c r="O322" s="15"/>
      <c r="P322" s="15">
        <v>12.57</v>
      </c>
      <c r="Q322" s="15"/>
      <c r="R322" s="15"/>
      <c r="S322" s="15" t="s">
        <v>235</v>
      </c>
      <c r="T322" s="15"/>
      <c r="U322" s="15"/>
      <c r="V322" s="15"/>
      <c r="W322" s="15"/>
      <c r="X322" s="15"/>
      <c r="Y322" s="15" t="s">
        <v>320</v>
      </c>
      <c r="Z322" s="15" t="s">
        <v>191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61">
        <v>46104</v>
      </c>
      <c r="BE322" s="61"/>
      <c r="BF322" s="15" t="s">
        <v>219</v>
      </c>
      <c r="BG322" s="15" t="s">
        <v>171</v>
      </c>
      <c r="BH322" s="15" t="s">
        <v>171</v>
      </c>
      <c r="BI322" s="15" t="s">
        <v>171</v>
      </c>
      <c r="BJ322" s="15"/>
      <c r="BK322" s="15"/>
      <c r="BL322" s="15"/>
      <c r="BM322" s="15"/>
      <c r="BN322" s="15"/>
      <c r="BO322" s="64"/>
      <c r="BP322" s="15"/>
      <c r="BQ322" s="15"/>
      <c r="BR322" s="15"/>
      <c r="BS322" s="64"/>
      <c r="BT322" s="64">
        <v>46166</v>
      </c>
      <c r="BU322" s="64">
        <v>46249</v>
      </c>
      <c r="BV322" s="15"/>
      <c r="BW322" s="64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15">
        <v>18</v>
      </c>
      <c r="CL322" s="68">
        <v>438</v>
      </c>
      <c r="CM322" s="68">
        <v>880</v>
      </c>
      <c r="CN322" s="68">
        <v>1204</v>
      </c>
      <c r="CO322" s="68">
        <v>886</v>
      </c>
      <c r="CP322" s="68">
        <v>486</v>
      </c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  <c r="EE322" s="68"/>
      <c r="EF322" s="68"/>
      <c r="EG322" s="68"/>
      <c r="EH322" s="68"/>
      <c r="EI322" s="68"/>
      <c r="EJ322" s="68"/>
      <c r="EK322" s="68"/>
      <c r="EL322" s="68"/>
      <c r="EM322" s="68"/>
      <c r="EN322" s="68"/>
      <c r="EO322" s="68"/>
      <c r="EP322" s="68"/>
      <c r="EQ322" s="65">
        <f t="shared" si="29"/>
        <v>3912</v>
      </c>
      <c r="ER322" s="6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 t="s">
        <v>202</v>
      </c>
      <c r="FF322" s="15"/>
      <c r="FG322" s="15"/>
      <c r="FH322" s="1" t="str">
        <f t="shared" si="30"/>
        <v>710P038555084702120724</v>
      </c>
      <c r="FI322" s="1" t="str">
        <f t="shared" si="31"/>
        <v>PRLS/25/13512</v>
      </c>
      <c r="FJ322" s="38" t="e">
        <f>VLOOKUP(FH322,[1]Sheet3!$A:$D,4,0)</f>
        <v>#N/A</v>
      </c>
      <c r="FL322" s="13"/>
    </row>
    <row r="323" spans="1:168" ht="21" hidden="1" x14ac:dyDescent="0.25">
      <c r="A323" s="15" t="s">
        <v>992</v>
      </c>
      <c r="B323" s="15" t="s">
        <v>149</v>
      </c>
      <c r="C323" s="15" t="s">
        <v>625</v>
      </c>
      <c r="D323" s="15" t="s">
        <v>1157</v>
      </c>
      <c r="E323" s="15" t="s">
        <v>265</v>
      </c>
      <c r="F323" s="15" t="s">
        <v>266</v>
      </c>
      <c r="G323" s="15" t="s">
        <v>331</v>
      </c>
      <c r="H323" s="15" t="s">
        <v>444</v>
      </c>
      <c r="I323" s="15" t="s">
        <v>445</v>
      </c>
      <c r="J323" s="15" t="s">
        <v>978</v>
      </c>
      <c r="K323" s="15"/>
      <c r="L323" s="15" t="s">
        <v>247</v>
      </c>
      <c r="M323" s="15" t="s">
        <v>272</v>
      </c>
      <c r="N323" s="63">
        <v>108</v>
      </c>
      <c r="O323" s="15"/>
      <c r="P323" s="15">
        <v>16.95</v>
      </c>
      <c r="Q323" s="15"/>
      <c r="R323" s="15"/>
      <c r="S323" s="15" t="s">
        <v>235</v>
      </c>
      <c r="T323" s="15"/>
      <c r="U323" s="15"/>
      <c r="V323" s="15"/>
      <c r="W323" s="15"/>
      <c r="X323" s="15"/>
      <c r="Y323" s="15" t="s">
        <v>320</v>
      </c>
      <c r="Z323" s="15" t="s">
        <v>191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61">
        <v>46113</v>
      </c>
      <c r="BE323" s="61" t="s">
        <v>171</v>
      </c>
      <c r="BF323" s="15" t="s">
        <v>219</v>
      </c>
      <c r="BG323" s="15" t="s">
        <v>171</v>
      </c>
      <c r="BH323" s="15" t="s">
        <v>171</v>
      </c>
      <c r="BI323" s="15" t="s">
        <v>171</v>
      </c>
      <c r="BJ323" s="15"/>
      <c r="BK323" s="15"/>
      <c r="BL323" s="15"/>
      <c r="BM323" s="15"/>
      <c r="BN323" s="15"/>
      <c r="BO323" s="64"/>
      <c r="BP323" s="15"/>
      <c r="BQ323" s="15"/>
      <c r="BR323" s="15"/>
      <c r="BS323" s="64"/>
      <c r="BT323" s="64">
        <v>46166</v>
      </c>
      <c r="BU323" s="64">
        <v>46249</v>
      </c>
      <c r="BV323" s="15"/>
      <c r="BW323" s="64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15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>
        <v>52</v>
      </c>
      <c r="DB323" s="68">
        <v>41</v>
      </c>
      <c r="DC323" s="68">
        <v>15</v>
      </c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  <c r="EE323" s="68"/>
      <c r="EF323" s="68"/>
      <c r="EG323" s="68"/>
      <c r="EH323" s="68"/>
      <c r="EI323" s="68"/>
      <c r="EJ323" s="68"/>
      <c r="EK323" s="68"/>
      <c r="EL323" s="68"/>
      <c r="EM323" s="68"/>
      <c r="EN323" s="68"/>
      <c r="EO323" s="68"/>
      <c r="EP323" s="68"/>
      <c r="EQ323" s="65">
        <f t="shared" si="29"/>
        <v>108</v>
      </c>
      <c r="ER323" s="6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 t="s">
        <v>176</v>
      </c>
      <c r="FF323" s="15" t="s">
        <v>1125</v>
      </c>
      <c r="FG323" s="15"/>
      <c r="FH323" s="1" t="str">
        <f>H323&amp;D323</f>
        <v>711P038540014702129855</v>
      </c>
      <c r="FI323" s="1" t="str">
        <f>A323</f>
        <v>PRLS/25/13514</v>
      </c>
      <c r="FJ323" s="38" t="str">
        <f>VLOOKUP(FH323,[1]Sheet3!$A:$D,4,0)</f>
        <v>BSR BLUE</v>
      </c>
      <c r="FL323" s="13"/>
    </row>
    <row r="324" spans="1:168" ht="21" hidden="1" x14ac:dyDescent="0.25">
      <c r="A324" s="15" t="s">
        <v>992</v>
      </c>
      <c r="B324" s="15" t="s">
        <v>149</v>
      </c>
      <c r="C324" s="15" t="s">
        <v>625</v>
      </c>
      <c r="D324" s="15" t="s">
        <v>1156</v>
      </c>
      <c r="E324" s="15" t="s">
        <v>208</v>
      </c>
      <c r="F324" s="15" t="s">
        <v>181</v>
      </c>
      <c r="G324" s="15" t="s">
        <v>321</v>
      </c>
      <c r="H324" s="15" t="s">
        <v>444</v>
      </c>
      <c r="I324" s="15" t="s">
        <v>445</v>
      </c>
      <c r="J324" s="15" t="s">
        <v>978</v>
      </c>
      <c r="K324" s="15"/>
      <c r="L324" s="15" t="s">
        <v>247</v>
      </c>
      <c r="M324" s="15" t="s">
        <v>272</v>
      </c>
      <c r="N324" s="63">
        <v>498</v>
      </c>
      <c r="O324" s="15"/>
      <c r="P324" s="15">
        <v>16.95</v>
      </c>
      <c r="Q324" s="15"/>
      <c r="R324" s="15"/>
      <c r="S324" s="15" t="s">
        <v>235</v>
      </c>
      <c r="T324" s="15"/>
      <c r="U324" s="15"/>
      <c r="V324" s="15"/>
      <c r="W324" s="15"/>
      <c r="X324" s="15"/>
      <c r="Y324" s="15" t="s">
        <v>320</v>
      </c>
      <c r="Z324" s="15" t="s">
        <v>191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61">
        <v>46113</v>
      </c>
      <c r="BE324" s="61" t="s">
        <v>171</v>
      </c>
      <c r="BF324" s="15" t="s">
        <v>219</v>
      </c>
      <c r="BG324" s="15" t="s">
        <v>171</v>
      </c>
      <c r="BH324" s="15" t="s">
        <v>171</v>
      </c>
      <c r="BI324" s="15" t="s">
        <v>171</v>
      </c>
      <c r="BJ324" s="15"/>
      <c r="BK324" s="15"/>
      <c r="BL324" s="15"/>
      <c r="BM324" s="15"/>
      <c r="BN324" s="15"/>
      <c r="BO324" s="64"/>
      <c r="BP324" s="15"/>
      <c r="BQ324" s="15"/>
      <c r="BR324" s="15"/>
      <c r="BS324" s="64"/>
      <c r="BT324" s="64">
        <v>46166</v>
      </c>
      <c r="BU324" s="64">
        <v>46249</v>
      </c>
      <c r="BV324" s="15"/>
      <c r="BW324" s="64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15"/>
      <c r="CL324" s="68"/>
      <c r="CM324" s="68"/>
      <c r="CN324" s="68"/>
      <c r="CO324" s="68"/>
      <c r="CP324" s="68"/>
      <c r="CQ324" s="68"/>
      <c r="CR324" s="68"/>
      <c r="CS324" s="68"/>
      <c r="CT324" s="68">
        <v>12</v>
      </c>
      <c r="CU324" s="68">
        <v>91</v>
      </c>
      <c r="CV324" s="68">
        <v>98</v>
      </c>
      <c r="CW324" s="68">
        <v>60</v>
      </c>
      <c r="CX324" s="68">
        <v>17</v>
      </c>
      <c r="CY324" s="68"/>
      <c r="CZ324" s="68"/>
      <c r="DA324" s="68">
        <v>101</v>
      </c>
      <c r="DB324" s="68">
        <v>100</v>
      </c>
      <c r="DC324" s="68">
        <v>17</v>
      </c>
      <c r="DD324" s="68">
        <v>2</v>
      </c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  <c r="EE324" s="68"/>
      <c r="EF324" s="68"/>
      <c r="EG324" s="68"/>
      <c r="EH324" s="68"/>
      <c r="EI324" s="68"/>
      <c r="EJ324" s="68"/>
      <c r="EK324" s="68"/>
      <c r="EL324" s="68"/>
      <c r="EM324" s="68"/>
      <c r="EN324" s="68"/>
      <c r="EO324" s="68"/>
      <c r="EP324" s="68"/>
      <c r="EQ324" s="65">
        <f t="shared" si="29"/>
        <v>498</v>
      </c>
      <c r="ER324" s="6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 t="s">
        <v>176</v>
      </c>
      <c r="FF324" s="15" t="s">
        <v>1011</v>
      </c>
      <c r="FG324" s="15"/>
      <c r="FH324" s="1" t="str">
        <f t="shared" si="30"/>
        <v>711P038540014702130674</v>
      </c>
      <c r="FI324" s="1" t="str">
        <f t="shared" si="31"/>
        <v>PRLS/25/13514</v>
      </c>
      <c r="FJ324" s="38" t="str">
        <f>VLOOKUP(FH324,[1]Sheet3!$A:$D,4,0)</f>
        <v>BSR BLUE</v>
      </c>
      <c r="FL324" s="13"/>
    </row>
    <row r="325" spans="1:168" ht="21" hidden="1" x14ac:dyDescent="0.25">
      <c r="A325" s="15" t="s">
        <v>989</v>
      </c>
      <c r="B325" s="15" t="s">
        <v>149</v>
      </c>
      <c r="C325" s="15" t="s">
        <v>625</v>
      </c>
      <c r="D325" s="15" t="s">
        <v>1125</v>
      </c>
      <c r="E325" s="15" t="s">
        <v>265</v>
      </c>
      <c r="F325" s="15" t="s">
        <v>266</v>
      </c>
      <c r="G325" s="15" t="s">
        <v>331</v>
      </c>
      <c r="H325" s="15" t="s">
        <v>446</v>
      </c>
      <c r="I325" s="15" t="s">
        <v>445</v>
      </c>
      <c r="J325" s="15" t="s">
        <v>978</v>
      </c>
      <c r="K325" s="15"/>
      <c r="L325" s="15" t="s">
        <v>247</v>
      </c>
      <c r="M325" s="15" t="s">
        <v>268</v>
      </c>
      <c r="N325" s="63">
        <v>90</v>
      </c>
      <c r="O325" s="15"/>
      <c r="P325" s="15">
        <v>16.95</v>
      </c>
      <c r="Q325" s="15"/>
      <c r="R325" s="15"/>
      <c r="S325" s="15" t="s">
        <v>235</v>
      </c>
      <c r="T325" s="15"/>
      <c r="U325" s="15"/>
      <c r="V325" s="15"/>
      <c r="W325" s="15"/>
      <c r="X325" s="15"/>
      <c r="Y325" s="15" t="s">
        <v>320</v>
      </c>
      <c r="Z325" s="15" t="s">
        <v>191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61">
        <v>46108</v>
      </c>
      <c r="BE325" s="61"/>
      <c r="BF325" s="15" t="s">
        <v>219</v>
      </c>
      <c r="BG325" s="15" t="s">
        <v>171</v>
      </c>
      <c r="BH325" s="15" t="s">
        <v>171</v>
      </c>
      <c r="BI325" s="15" t="s">
        <v>171</v>
      </c>
      <c r="BJ325" s="15"/>
      <c r="BK325" s="15"/>
      <c r="BL325" s="15"/>
      <c r="BM325" s="15"/>
      <c r="BN325" s="15"/>
      <c r="BO325" s="64"/>
      <c r="BP325" s="15"/>
      <c r="BQ325" s="15"/>
      <c r="BR325" s="15"/>
      <c r="BS325" s="64"/>
      <c r="BT325" s="64">
        <v>46166</v>
      </c>
      <c r="BU325" s="64">
        <v>46249</v>
      </c>
      <c r="BV325" s="15"/>
      <c r="BW325" s="64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15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>
        <v>43</v>
      </c>
      <c r="DB325" s="68">
        <v>34</v>
      </c>
      <c r="DC325" s="68">
        <v>13</v>
      </c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  <c r="EE325" s="68"/>
      <c r="EF325" s="68"/>
      <c r="EG325" s="68"/>
      <c r="EH325" s="68"/>
      <c r="EI325" s="68"/>
      <c r="EJ325" s="68"/>
      <c r="EK325" s="68"/>
      <c r="EL325" s="68"/>
      <c r="EM325" s="68"/>
      <c r="EN325" s="68"/>
      <c r="EO325" s="68"/>
      <c r="EP325" s="68"/>
      <c r="EQ325" s="65">
        <f t="shared" si="29"/>
        <v>90</v>
      </c>
      <c r="ER325" s="6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 t="s">
        <v>202</v>
      </c>
      <c r="FF325" s="15"/>
      <c r="FG325" s="15"/>
      <c r="FH325" s="1" t="str">
        <f>H325&amp;D325</f>
        <v>711P038540024702126958</v>
      </c>
      <c r="FI325" s="1" t="str">
        <f>A325</f>
        <v>PRLS/25/13515</v>
      </c>
      <c r="FJ325" s="38" t="e">
        <f>VLOOKUP(FH325,[1]Sheet3!$A:$D,4,0)</f>
        <v>#N/A</v>
      </c>
      <c r="FL325" s="13"/>
    </row>
    <row r="326" spans="1:168" ht="21" hidden="1" x14ac:dyDescent="0.25">
      <c r="A326" s="15" t="s">
        <v>989</v>
      </c>
      <c r="B326" s="15" t="s">
        <v>149</v>
      </c>
      <c r="C326" s="15" t="s">
        <v>625</v>
      </c>
      <c r="D326" s="15" t="s">
        <v>1011</v>
      </c>
      <c r="E326" s="15" t="s">
        <v>208</v>
      </c>
      <c r="F326" s="15" t="s">
        <v>181</v>
      </c>
      <c r="G326" s="15" t="s">
        <v>321</v>
      </c>
      <c r="H326" s="15" t="s">
        <v>446</v>
      </c>
      <c r="I326" s="15" t="s">
        <v>445</v>
      </c>
      <c r="J326" s="15" t="s">
        <v>978</v>
      </c>
      <c r="K326" s="15"/>
      <c r="L326" s="15" t="s">
        <v>247</v>
      </c>
      <c r="M326" s="15" t="s">
        <v>268</v>
      </c>
      <c r="N326" s="63">
        <v>550</v>
      </c>
      <c r="O326" s="15"/>
      <c r="P326" s="15">
        <v>16.95</v>
      </c>
      <c r="Q326" s="15"/>
      <c r="R326" s="15"/>
      <c r="S326" s="15" t="s">
        <v>235</v>
      </c>
      <c r="T326" s="15"/>
      <c r="U326" s="15"/>
      <c r="V326" s="15"/>
      <c r="W326" s="15"/>
      <c r="X326" s="15"/>
      <c r="Y326" s="15" t="s">
        <v>320</v>
      </c>
      <c r="Z326" s="15" t="s">
        <v>191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61">
        <v>46108</v>
      </c>
      <c r="BE326" s="61"/>
      <c r="BF326" s="15" t="s">
        <v>219</v>
      </c>
      <c r="BG326" s="15" t="s">
        <v>171</v>
      </c>
      <c r="BH326" s="15" t="s">
        <v>171</v>
      </c>
      <c r="BI326" s="15" t="s">
        <v>171</v>
      </c>
      <c r="BJ326" s="15"/>
      <c r="BK326" s="15"/>
      <c r="BL326" s="15"/>
      <c r="BM326" s="15"/>
      <c r="BN326" s="15"/>
      <c r="BO326" s="64"/>
      <c r="BP326" s="15"/>
      <c r="BQ326" s="15"/>
      <c r="BR326" s="15"/>
      <c r="BS326" s="64"/>
      <c r="BT326" s="64">
        <v>46166</v>
      </c>
      <c r="BU326" s="64">
        <v>46249</v>
      </c>
      <c r="BV326" s="15"/>
      <c r="BW326" s="64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15"/>
      <c r="CL326" s="68"/>
      <c r="CM326" s="68"/>
      <c r="CN326" s="68"/>
      <c r="CO326" s="68"/>
      <c r="CP326" s="68"/>
      <c r="CQ326" s="68"/>
      <c r="CR326" s="68"/>
      <c r="CS326" s="68"/>
      <c r="CT326" s="68">
        <v>13</v>
      </c>
      <c r="CU326" s="68">
        <v>99</v>
      </c>
      <c r="CV326" s="68">
        <v>107</v>
      </c>
      <c r="CW326" s="68">
        <v>65</v>
      </c>
      <c r="CX326" s="68">
        <v>19</v>
      </c>
      <c r="CY326" s="68"/>
      <c r="CZ326" s="68"/>
      <c r="DA326" s="68">
        <v>113</v>
      </c>
      <c r="DB326" s="68">
        <v>111</v>
      </c>
      <c r="DC326" s="68">
        <v>21</v>
      </c>
      <c r="DD326" s="68">
        <v>2</v>
      </c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  <c r="EE326" s="68"/>
      <c r="EF326" s="68"/>
      <c r="EG326" s="68"/>
      <c r="EH326" s="68"/>
      <c r="EI326" s="68"/>
      <c r="EJ326" s="68"/>
      <c r="EK326" s="68"/>
      <c r="EL326" s="68"/>
      <c r="EM326" s="68"/>
      <c r="EN326" s="68"/>
      <c r="EO326" s="68"/>
      <c r="EP326" s="68"/>
      <c r="EQ326" s="65">
        <f t="shared" si="29"/>
        <v>550</v>
      </c>
      <c r="ER326" s="6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 t="s">
        <v>202</v>
      </c>
      <c r="FF326" s="15"/>
      <c r="FG326" s="15"/>
      <c r="FH326" s="1" t="str">
        <f t="shared" si="30"/>
        <v>711P038540024702120726</v>
      </c>
      <c r="FI326" s="1" t="str">
        <f t="shared" si="31"/>
        <v>PRLS/25/13515</v>
      </c>
      <c r="FJ326" s="38" t="e">
        <f>VLOOKUP(FH326,[1]Sheet3!$A:$D,4,0)</f>
        <v>#N/A</v>
      </c>
      <c r="FL326" s="13"/>
    </row>
    <row r="327" spans="1:168" ht="21" hidden="1" x14ac:dyDescent="0.25">
      <c r="A327" s="15" t="s">
        <v>1019</v>
      </c>
      <c r="B327" s="15" t="s">
        <v>149</v>
      </c>
      <c r="C327" s="15" t="s">
        <v>625</v>
      </c>
      <c r="D327" s="15" t="s">
        <v>1123</v>
      </c>
      <c r="E327" s="15" t="s">
        <v>265</v>
      </c>
      <c r="F327" s="15" t="s">
        <v>266</v>
      </c>
      <c r="G327" s="15" t="s">
        <v>331</v>
      </c>
      <c r="H327" s="15" t="s">
        <v>1004</v>
      </c>
      <c r="I327" s="15" t="s">
        <v>440</v>
      </c>
      <c r="J327" s="15" t="s">
        <v>883</v>
      </c>
      <c r="K327" s="15"/>
      <c r="L327" s="15" t="s">
        <v>247</v>
      </c>
      <c r="M327" s="15" t="s">
        <v>799</v>
      </c>
      <c r="N327" s="63">
        <v>102</v>
      </c>
      <c r="O327" s="15"/>
      <c r="P327" s="15">
        <v>12.57</v>
      </c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61">
        <v>46146</v>
      </c>
      <c r="BE327" s="61"/>
      <c r="BF327" s="15" t="s">
        <v>219</v>
      </c>
      <c r="BG327" s="15" t="s">
        <v>171</v>
      </c>
      <c r="BH327" s="15" t="s">
        <v>171</v>
      </c>
      <c r="BI327" s="15" t="s">
        <v>171</v>
      </c>
      <c r="BJ327" s="15"/>
      <c r="BK327" s="15"/>
      <c r="BL327" s="15"/>
      <c r="BM327" s="15"/>
      <c r="BN327" s="15"/>
      <c r="BO327" s="64"/>
      <c r="BP327" s="15"/>
      <c r="BQ327" s="15"/>
      <c r="BR327" s="15"/>
      <c r="BS327" s="64"/>
      <c r="BT327" s="64">
        <v>46187</v>
      </c>
      <c r="BU327" s="64">
        <v>46249</v>
      </c>
      <c r="BV327" s="15"/>
      <c r="BW327" s="64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15"/>
      <c r="CL327" s="68"/>
      <c r="CM327" s="68">
        <v>18</v>
      </c>
      <c r="CN327" s="68">
        <v>32</v>
      </c>
      <c r="CO327" s="68">
        <v>28</v>
      </c>
      <c r="CP327" s="68">
        <v>16</v>
      </c>
      <c r="CQ327" s="68">
        <v>8</v>
      </c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  <c r="EE327" s="68"/>
      <c r="EF327" s="68"/>
      <c r="EG327" s="68"/>
      <c r="EH327" s="68"/>
      <c r="EI327" s="68"/>
      <c r="EJ327" s="68"/>
      <c r="EK327" s="68"/>
      <c r="EL327" s="68"/>
      <c r="EM327" s="68"/>
      <c r="EN327" s="68"/>
      <c r="EO327" s="68"/>
      <c r="EP327" s="68"/>
      <c r="EQ327" s="65">
        <f t="shared" si="29"/>
        <v>102</v>
      </c>
      <c r="ER327" s="6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 t="s">
        <v>202</v>
      </c>
      <c r="FF327" s="15"/>
      <c r="FG327" s="15"/>
      <c r="FH327" s="1" t="str">
        <f>H327&amp;D327</f>
        <v>710P038555054702126957</v>
      </c>
      <c r="FI327" s="1" t="str">
        <f>A327</f>
        <v>PRLS/25/13898</v>
      </c>
      <c r="FJ327" s="38" t="e">
        <f>VLOOKUP(FH327,[1]Sheet3!$A:$D,4,0)</f>
        <v>#N/A</v>
      </c>
      <c r="FL327" s="13"/>
    </row>
    <row r="328" spans="1:168" ht="21" hidden="1" x14ac:dyDescent="0.25">
      <c r="A328" s="15" t="s">
        <v>1019</v>
      </c>
      <c r="B328" s="15" t="s">
        <v>149</v>
      </c>
      <c r="C328" s="15" t="s">
        <v>625</v>
      </c>
      <c r="D328" s="15" t="s">
        <v>1008</v>
      </c>
      <c r="E328" s="15" t="s">
        <v>208</v>
      </c>
      <c r="F328" s="15" t="s">
        <v>181</v>
      </c>
      <c r="G328" s="15" t="s">
        <v>321</v>
      </c>
      <c r="H328" s="15" t="s">
        <v>1004</v>
      </c>
      <c r="I328" s="15" t="s">
        <v>440</v>
      </c>
      <c r="J328" s="15" t="s">
        <v>883</v>
      </c>
      <c r="K328" s="15"/>
      <c r="L328" s="15" t="s">
        <v>247</v>
      </c>
      <c r="M328" s="15" t="s">
        <v>799</v>
      </c>
      <c r="N328" s="63">
        <v>1224</v>
      </c>
      <c r="O328" s="15"/>
      <c r="P328" s="15">
        <v>12.57</v>
      </c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61">
        <v>46146</v>
      </c>
      <c r="BE328" s="61"/>
      <c r="BF328" s="15" t="s">
        <v>219</v>
      </c>
      <c r="BG328" s="15" t="s">
        <v>171</v>
      </c>
      <c r="BH328" s="15" t="s">
        <v>171</v>
      </c>
      <c r="BI328" s="15" t="s">
        <v>171</v>
      </c>
      <c r="BJ328" s="15"/>
      <c r="BK328" s="15"/>
      <c r="BL328" s="15"/>
      <c r="BM328" s="15"/>
      <c r="BN328" s="15"/>
      <c r="BO328" s="64"/>
      <c r="BP328" s="15"/>
      <c r="BQ328" s="15"/>
      <c r="BR328" s="15"/>
      <c r="BS328" s="64"/>
      <c r="BT328" s="64">
        <v>46187</v>
      </c>
      <c r="BU328" s="64">
        <v>46249</v>
      </c>
      <c r="BV328" s="15"/>
      <c r="BW328" s="64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15"/>
      <c r="CL328" s="68"/>
      <c r="CM328" s="68">
        <v>137</v>
      </c>
      <c r="CN328" s="68">
        <v>265</v>
      </c>
      <c r="CO328" s="68">
        <v>356</v>
      </c>
      <c r="CP328" s="68">
        <v>303</v>
      </c>
      <c r="CQ328" s="68">
        <v>163</v>
      </c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  <c r="EE328" s="68"/>
      <c r="EF328" s="68"/>
      <c r="EG328" s="68"/>
      <c r="EH328" s="68"/>
      <c r="EI328" s="68"/>
      <c r="EJ328" s="68"/>
      <c r="EK328" s="68"/>
      <c r="EL328" s="68"/>
      <c r="EM328" s="68"/>
      <c r="EN328" s="68"/>
      <c r="EO328" s="68"/>
      <c r="EP328" s="68"/>
      <c r="EQ328" s="65">
        <f t="shared" si="29"/>
        <v>1224</v>
      </c>
      <c r="ER328" s="6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 t="s">
        <v>202</v>
      </c>
      <c r="FF328" s="15"/>
      <c r="FG328" s="15"/>
      <c r="FH328" s="1" t="str">
        <f t="shared" si="30"/>
        <v>710P038555054702120724</v>
      </c>
      <c r="FI328" s="1" t="str">
        <f t="shared" si="31"/>
        <v>PRLS/25/13898</v>
      </c>
      <c r="FJ328" s="38" t="e">
        <f>VLOOKUP(FH328,[1]Sheet3!$A:$D,4,0)</f>
        <v>#N/A</v>
      </c>
      <c r="FL328" s="13"/>
    </row>
    <row r="329" spans="1:168" ht="21" hidden="1" x14ac:dyDescent="0.25">
      <c r="A329" s="15" t="s">
        <v>1020</v>
      </c>
      <c r="B329" s="15" t="s">
        <v>149</v>
      </c>
      <c r="C329" s="15" t="s">
        <v>625</v>
      </c>
      <c r="D329" s="15" t="s">
        <v>1008</v>
      </c>
      <c r="E329" s="15" t="s">
        <v>208</v>
      </c>
      <c r="F329" s="15" t="s">
        <v>181</v>
      </c>
      <c r="G329" s="15" t="s">
        <v>321</v>
      </c>
      <c r="H329" s="15" t="s">
        <v>1005</v>
      </c>
      <c r="I329" s="15" t="s">
        <v>440</v>
      </c>
      <c r="J329" s="15" t="s">
        <v>883</v>
      </c>
      <c r="K329" s="15"/>
      <c r="L329" s="15" t="s">
        <v>247</v>
      </c>
      <c r="M329" s="15" t="s">
        <v>1006</v>
      </c>
      <c r="N329" s="63">
        <v>1124</v>
      </c>
      <c r="O329" s="15"/>
      <c r="P329" s="15">
        <v>12.63</v>
      </c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61">
        <v>46146</v>
      </c>
      <c r="BE329" s="61"/>
      <c r="BF329" s="15" t="s">
        <v>219</v>
      </c>
      <c r="BG329" s="15" t="s">
        <v>171</v>
      </c>
      <c r="BH329" s="15" t="s">
        <v>171</v>
      </c>
      <c r="BI329" s="15" t="s">
        <v>171</v>
      </c>
      <c r="BJ329" s="15"/>
      <c r="BK329" s="15"/>
      <c r="BL329" s="15"/>
      <c r="BM329" s="15"/>
      <c r="BN329" s="15"/>
      <c r="BO329" s="64"/>
      <c r="BP329" s="15"/>
      <c r="BQ329" s="15"/>
      <c r="BR329" s="15"/>
      <c r="BS329" s="64"/>
      <c r="BT329" s="64">
        <v>46187</v>
      </c>
      <c r="BU329" s="64">
        <v>46249</v>
      </c>
      <c r="BV329" s="15"/>
      <c r="BW329" s="64"/>
      <c r="BX329" s="68"/>
      <c r="BY329" s="68"/>
      <c r="BZ329" s="68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15"/>
      <c r="CL329" s="68">
        <v>129</v>
      </c>
      <c r="CM329" s="68">
        <v>247</v>
      </c>
      <c r="CN329" s="68">
        <v>324</v>
      </c>
      <c r="CO329" s="68">
        <v>277</v>
      </c>
      <c r="CP329" s="68">
        <v>147</v>
      </c>
      <c r="CQ329" s="68"/>
      <c r="CR329" s="68"/>
      <c r="CS329" s="68"/>
      <c r="CT329" s="68"/>
      <c r="CU329" s="68"/>
      <c r="CV329" s="68"/>
      <c r="CW329" s="68"/>
      <c r="CX329" s="68"/>
      <c r="CY329" s="68"/>
      <c r="CZ329" s="68"/>
      <c r="DA329" s="68"/>
      <c r="DB329" s="68"/>
      <c r="DC329" s="68"/>
      <c r="DD329" s="68"/>
      <c r="DE329" s="68"/>
      <c r="DF329" s="68"/>
      <c r="DG329" s="68"/>
      <c r="DH329" s="68"/>
      <c r="DI329" s="68"/>
      <c r="DJ329" s="68"/>
      <c r="DK329" s="68"/>
      <c r="DL329" s="68"/>
      <c r="DM329" s="68"/>
      <c r="DN329" s="68"/>
      <c r="DO329" s="68"/>
      <c r="DP329" s="68"/>
      <c r="DQ329" s="68"/>
      <c r="DR329" s="68"/>
      <c r="DS329" s="68"/>
      <c r="DT329" s="68"/>
      <c r="DU329" s="68"/>
      <c r="DV329" s="68"/>
      <c r="DW329" s="68"/>
      <c r="DX329" s="68"/>
      <c r="DY329" s="68"/>
      <c r="DZ329" s="68"/>
      <c r="EA329" s="68"/>
      <c r="EB329" s="68"/>
      <c r="EC329" s="68"/>
      <c r="ED329" s="68"/>
      <c r="EE329" s="68"/>
      <c r="EF329" s="68"/>
      <c r="EG329" s="68"/>
      <c r="EH329" s="68"/>
      <c r="EI329" s="68"/>
      <c r="EJ329" s="68"/>
      <c r="EK329" s="68"/>
      <c r="EL329" s="68"/>
      <c r="EM329" s="68"/>
      <c r="EN329" s="68"/>
      <c r="EO329" s="68"/>
      <c r="EP329" s="68"/>
      <c r="EQ329" s="65">
        <f t="shared" si="29"/>
        <v>1124</v>
      </c>
      <c r="ER329" s="6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 t="s">
        <v>202</v>
      </c>
      <c r="FF329" s="15"/>
      <c r="FG329" s="15"/>
      <c r="FH329" s="1" t="str">
        <f t="shared" si="30"/>
        <v>710P038555064702120724</v>
      </c>
      <c r="FI329" s="1" t="str">
        <f t="shared" si="31"/>
        <v>PRLS/25/13899</v>
      </c>
      <c r="FJ329" s="38" t="e">
        <f>VLOOKUP(FH329,[1]Sheet3!$A:$D,4,0)</f>
        <v>#N/A</v>
      </c>
      <c r="FL329" s="13"/>
    </row>
    <row r="330" spans="1:168" ht="21" hidden="1" x14ac:dyDescent="0.25">
      <c r="A330" s="15" t="s">
        <v>994</v>
      </c>
      <c r="B330" s="15" t="s">
        <v>149</v>
      </c>
      <c r="C330" s="15" t="s">
        <v>625</v>
      </c>
      <c r="D330" s="15" t="s">
        <v>1126</v>
      </c>
      <c r="E330" s="15" t="s">
        <v>265</v>
      </c>
      <c r="F330" s="15" t="s">
        <v>266</v>
      </c>
      <c r="G330" s="15" t="s">
        <v>331</v>
      </c>
      <c r="H330" s="15" t="s">
        <v>981</v>
      </c>
      <c r="I330" s="15" t="s">
        <v>447</v>
      </c>
      <c r="J330" s="15" t="s">
        <v>978</v>
      </c>
      <c r="K330" s="15"/>
      <c r="L330" s="15" t="s">
        <v>247</v>
      </c>
      <c r="M330" s="15" t="s">
        <v>797</v>
      </c>
      <c r="N330" s="63">
        <v>48</v>
      </c>
      <c r="O330" s="15"/>
      <c r="P330" s="15">
        <v>15.29</v>
      </c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61">
        <v>46146</v>
      </c>
      <c r="BE330" s="61"/>
      <c r="BF330" s="15" t="s">
        <v>219</v>
      </c>
      <c r="BG330" s="15" t="s">
        <v>171</v>
      </c>
      <c r="BH330" s="15" t="s">
        <v>171</v>
      </c>
      <c r="BI330" s="15" t="s">
        <v>171</v>
      </c>
      <c r="BJ330" s="15"/>
      <c r="BK330" s="15"/>
      <c r="BL330" s="15"/>
      <c r="BM330" s="15"/>
      <c r="BN330" s="15"/>
      <c r="BO330" s="64"/>
      <c r="BP330" s="15"/>
      <c r="BQ330" s="15"/>
      <c r="BR330" s="15"/>
      <c r="BS330" s="64"/>
      <c r="BT330" s="64">
        <v>46187</v>
      </c>
      <c r="BU330" s="64">
        <v>46249</v>
      </c>
      <c r="BV330" s="15"/>
      <c r="BW330" s="64"/>
      <c r="BX330" s="68"/>
      <c r="BY330" s="68"/>
      <c r="BZ330" s="68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15"/>
      <c r="CL330" s="68"/>
      <c r="CM330" s="68"/>
      <c r="CN330" s="68"/>
      <c r="CO330" s="68"/>
      <c r="CP330" s="68"/>
      <c r="CQ330" s="68"/>
      <c r="CR330" s="68"/>
      <c r="CS330" s="68"/>
      <c r="CT330" s="68"/>
      <c r="CU330" s="68"/>
      <c r="CV330" s="68"/>
      <c r="CW330" s="68"/>
      <c r="CX330" s="68"/>
      <c r="CY330" s="68"/>
      <c r="CZ330" s="68"/>
      <c r="DA330" s="68">
        <v>23</v>
      </c>
      <c r="DB330" s="68">
        <v>18</v>
      </c>
      <c r="DC330" s="68">
        <v>7</v>
      </c>
      <c r="DD330" s="68"/>
      <c r="DE330" s="68"/>
      <c r="DF330" s="68"/>
      <c r="DG330" s="68"/>
      <c r="DH330" s="68"/>
      <c r="DI330" s="68"/>
      <c r="DJ330" s="68"/>
      <c r="DK330" s="68"/>
      <c r="DL330" s="68"/>
      <c r="DM330" s="68"/>
      <c r="DN330" s="68"/>
      <c r="DO330" s="68"/>
      <c r="DP330" s="68"/>
      <c r="DQ330" s="68"/>
      <c r="DR330" s="68"/>
      <c r="DS330" s="68"/>
      <c r="DT330" s="68"/>
      <c r="DU330" s="68"/>
      <c r="DV330" s="68"/>
      <c r="DW330" s="68"/>
      <c r="DX330" s="68"/>
      <c r="DY330" s="68"/>
      <c r="DZ330" s="68"/>
      <c r="EA330" s="68"/>
      <c r="EB330" s="68"/>
      <c r="EC330" s="68"/>
      <c r="ED330" s="68"/>
      <c r="EE330" s="68"/>
      <c r="EF330" s="68"/>
      <c r="EG330" s="68"/>
      <c r="EH330" s="68"/>
      <c r="EI330" s="68"/>
      <c r="EJ330" s="68"/>
      <c r="EK330" s="68"/>
      <c r="EL330" s="68"/>
      <c r="EM330" s="68"/>
      <c r="EN330" s="68"/>
      <c r="EO330" s="68"/>
      <c r="EP330" s="68"/>
      <c r="EQ330" s="65">
        <f t="shared" si="29"/>
        <v>48</v>
      </c>
      <c r="ER330" s="6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 t="s">
        <v>202</v>
      </c>
      <c r="FF330" s="15"/>
      <c r="FG330" s="15"/>
      <c r="FH330" s="1" t="str">
        <f>H330&amp;D330</f>
        <v>711P038555084702126959</v>
      </c>
      <c r="FI330" s="1" t="str">
        <f>A330</f>
        <v>PRLS/25/13516</v>
      </c>
      <c r="FJ330" s="38" t="e">
        <f>VLOOKUP(FH330,[1]Sheet3!$A:$D,4,0)</f>
        <v>#N/A</v>
      </c>
      <c r="FL330" s="13"/>
    </row>
    <row r="331" spans="1:168" ht="21" hidden="1" x14ac:dyDescent="0.25">
      <c r="A331" s="15" t="s">
        <v>994</v>
      </c>
      <c r="B331" s="15" t="s">
        <v>149</v>
      </c>
      <c r="C331" s="15" t="s">
        <v>625</v>
      </c>
      <c r="D331" s="15" t="s">
        <v>1012</v>
      </c>
      <c r="E331" s="15" t="s">
        <v>208</v>
      </c>
      <c r="F331" s="15" t="s">
        <v>181</v>
      </c>
      <c r="G331" s="15" t="s">
        <v>321</v>
      </c>
      <c r="H331" s="15" t="s">
        <v>981</v>
      </c>
      <c r="I331" s="15" t="s">
        <v>447</v>
      </c>
      <c r="J331" s="15" t="s">
        <v>978</v>
      </c>
      <c r="K331" s="15"/>
      <c r="L331" s="15" t="s">
        <v>247</v>
      </c>
      <c r="M331" s="15" t="s">
        <v>797</v>
      </c>
      <c r="N331" s="63">
        <v>252</v>
      </c>
      <c r="O331" s="15"/>
      <c r="P331" s="15">
        <v>15.29</v>
      </c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61">
        <v>46146</v>
      </c>
      <c r="BE331" s="61"/>
      <c r="BF331" s="15" t="s">
        <v>219</v>
      </c>
      <c r="BG331" s="15" t="s">
        <v>171</v>
      </c>
      <c r="BH331" s="15" t="s">
        <v>171</v>
      </c>
      <c r="BI331" s="15" t="s">
        <v>171</v>
      </c>
      <c r="BJ331" s="15"/>
      <c r="BK331" s="15"/>
      <c r="BL331" s="15"/>
      <c r="BM331" s="15"/>
      <c r="BN331" s="15"/>
      <c r="BO331" s="64"/>
      <c r="BP331" s="15"/>
      <c r="BQ331" s="15"/>
      <c r="BR331" s="15"/>
      <c r="BS331" s="64"/>
      <c r="BT331" s="64">
        <v>46187</v>
      </c>
      <c r="BU331" s="64">
        <v>46249</v>
      </c>
      <c r="BV331" s="15"/>
      <c r="BW331" s="64"/>
      <c r="BX331" s="68"/>
      <c r="BY331" s="68"/>
      <c r="BZ331" s="68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15"/>
      <c r="CL331" s="68"/>
      <c r="CM331" s="68"/>
      <c r="CN331" s="68"/>
      <c r="CO331" s="68"/>
      <c r="CP331" s="68"/>
      <c r="CQ331" s="68"/>
      <c r="CR331" s="68"/>
      <c r="CS331" s="68"/>
      <c r="CT331" s="68">
        <v>9</v>
      </c>
      <c r="CU331" s="68">
        <v>44</v>
      </c>
      <c r="CV331" s="68">
        <v>47</v>
      </c>
      <c r="CW331" s="68">
        <v>28</v>
      </c>
      <c r="CX331" s="68">
        <v>10</v>
      </c>
      <c r="CY331" s="68"/>
      <c r="CZ331" s="68"/>
      <c r="DA331" s="68">
        <v>50</v>
      </c>
      <c r="DB331" s="68">
        <v>51</v>
      </c>
      <c r="DC331" s="68">
        <v>13</v>
      </c>
      <c r="DD331" s="68"/>
      <c r="DE331" s="68"/>
      <c r="DF331" s="68"/>
      <c r="DG331" s="68"/>
      <c r="DH331" s="68"/>
      <c r="DI331" s="68"/>
      <c r="DJ331" s="68"/>
      <c r="DK331" s="68"/>
      <c r="DL331" s="68"/>
      <c r="DM331" s="68"/>
      <c r="DN331" s="68"/>
      <c r="DO331" s="68"/>
      <c r="DP331" s="68"/>
      <c r="DQ331" s="68"/>
      <c r="DR331" s="68"/>
      <c r="DS331" s="68"/>
      <c r="DT331" s="68"/>
      <c r="DU331" s="68"/>
      <c r="DV331" s="68"/>
      <c r="DW331" s="68"/>
      <c r="DX331" s="68"/>
      <c r="DY331" s="68"/>
      <c r="DZ331" s="68"/>
      <c r="EA331" s="68"/>
      <c r="EB331" s="68"/>
      <c r="EC331" s="68"/>
      <c r="ED331" s="68"/>
      <c r="EE331" s="68"/>
      <c r="EF331" s="68"/>
      <c r="EG331" s="68"/>
      <c r="EH331" s="68"/>
      <c r="EI331" s="68"/>
      <c r="EJ331" s="68"/>
      <c r="EK331" s="68"/>
      <c r="EL331" s="68"/>
      <c r="EM331" s="68"/>
      <c r="EN331" s="68"/>
      <c r="EO331" s="68"/>
      <c r="EP331" s="68"/>
      <c r="EQ331" s="65">
        <f t="shared" si="29"/>
        <v>252</v>
      </c>
      <c r="ER331" s="6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 t="s">
        <v>202</v>
      </c>
      <c r="FF331" s="15"/>
      <c r="FG331" s="15"/>
      <c r="FH331" s="1" t="str">
        <f t="shared" si="30"/>
        <v>711P038555084702120727</v>
      </c>
      <c r="FI331" s="1" t="str">
        <f t="shared" si="31"/>
        <v>PRLS/25/13516</v>
      </c>
      <c r="FJ331" s="38" t="e">
        <f>VLOOKUP(FH331,[1]Sheet3!$A:$D,4,0)</f>
        <v>#N/A</v>
      </c>
      <c r="FL331" s="13"/>
    </row>
    <row r="332" spans="1:168" ht="21" hidden="1" x14ac:dyDescent="0.25">
      <c r="A332" s="15" t="s">
        <v>993</v>
      </c>
      <c r="B332" s="15" t="s">
        <v>149</v>
      </c>
      <c r="C332" s="15" t="s">
        <v>625</v>
      </c>
      <c r="D332" s="15" t="s">
        <v>1126</v>
      </c>
      <c r="E332" s="15" t="s">
        <v>265</v>
      </c>
      <c r="F332" s="15" t="s">
        <v>266</v>
      </c>
      <c r="G332" s="15" t="s">
        <v>331</v>
      </c>
      <c r="H332" s="15" t="s">
        <v>980</v>
      </c>
      <c r="I332" s="15" t="s">
        <v>447</v>
      </c>
      <c r="J332" s="15" t="s">
        <v>978</v>
      </c>
      <c r="K332" s="15"/>
      <c r="L332" s="15" t="s">
        <v>247</v>
      </c>
      <c r="M332" s="15" t="s">
        <v>798</v>
      </c>
      <c r="N332" s="63">
        <v>62</v>
      </c>
      <c r="O332" s="15"/>
      <c r="P332" s="15">
        <v>15.29</v>
      </c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61">
        <v>46146</v>
      </c>
      <c r="BE332" s="61"/>
      <c r="BF332" s="15" t="s">
        <v>219</v>
      </c>
      <c r="BG332" s="15" t="s">
        <v>171</v>
      </c>
      <c r="BH332" s="15" t="s">
        <v>171</v>
      </c>
      <c r="BI332" s="15" t="s">
        <v>171</v>
      </c>
      <c r="BJ332" s="15"/>
      <c r="BK332" s="15"/>
      <c r="BL332" s="15"/>
      <c r="BM332" s="15"/>
      <c r="BN332" s="15"/>
      <c r="BO332" s="64"/>
      <c r="BP332" s="15"/>
      <c r="BQ332" s="15"/>
      <c r="BR332" s="15"/>
      <c r="BS332" s="64"/>
      <c r="BT332" s="64">
        <v>46187</v>
      </c>
      <c r="BU332" s="64">
        <v>46249</v>
      </c>
      <c r="BV332" s="15"/>
      <c r="BW332" s="64"/>
      <c r="BX332" s="68"/>
      <c r="BY332" s="68"/>
      <c r="BZ332" s="68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15"/>
      <c r="CL332" s="68"/>
      <c r="CM332" s="68"/>
      <c r="CN332" s="68"/>
      <c r="CO332" s="68"/>
      <c r="CP332" s="68"/>
      <c r="CQ332" s="68"/>
      <c r="CR332" s="68"/>
      <c r="CS332" s="68"/>
      <c r="CT332" s="68"/>
      <c r="CU332" s="68"/>
      <c r="CV332" s="68"/>
      <c r="CW332" s="68"/>
      <c r="CX332" s="68"/>
      <c r="CY332" s="68"/>
      <c r="CZ332" s="68"/>
      <c r="DA332" s="68">
        <v>29</v>
      </c>
      <c r="DB332" s="68">
        <v>24</v>
      </c>
      <c r="DC332" s="68">
        <v>9</v>
      </c>
      <c r="DD332" s="68"/>
      <c r="DE332" s="68"/>
      <c r="DF332" s="68"/>
      <c r="DG332" s="68"/>
      <c r="DH332" s="68"/>
      <c r="DI332" s="68"/>
      <c r="DJ332" s="68"/>
      <c r="DK332" s="68"/>
      <c r="DL332" s="68"/>
      <c r="DM332" s="68"/>
      <c r="DN332" s="68"/>
      <c r="DO332" s="68"/>
      <c r="DP332" s="68"/>
      <c r="DQ332" s="68"/>
      <c r="DR332" s="68"/>
      <c r="DS332" s="68"/>
      <c r="DT332" s="68"/>
      <c r="DU332" s="68"/>
      <c r="DV332" s="68"/>
      <c r="DW332" s="68"/>
      <c r="DX332" s="68"/>
      <c r="DY332" s="68"/>
      <c r="DZ332" s="68"/>
      <c r="EA332" s="68"/>
      <c r="EB332" s="68"/>
      <c r="EC332" s="68"/>
      <c r="ED332" s="68"/>
      <c r="EE332" s="68"/>
      <c r="EF332" s="68"/>
      <c r="EG332" s="68"/>
      <c r="EH332" s="68"/>
      <c r="EI332" s="68"/>
      <c r="EJ332" s="68"/>
      <c r="EK332" s="68"/>
      <c r="EL332" s="68"/>
      <c r="EM332" s="68"/>
      <c r="EN332" s="68"/>
      <c r="EO332" s="68"/>
      <c r="EP332" s="68"/>
      <c r="EQ332" s="65">
        <f t="shared" si="29"/>
        <v>62</v>
      </c>
      <c r="ER332" s="6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 t="s">
        <v>202</v>
      </c>
      <c r="FF332" s="15"/>
      <c r="FG332" s="15"/>
      <c r="FH332" s="1" t="str">
        <f>H332&amp;D332</f>
        <v>711P038555094702126959</v>
      </c>
      <c r="FI332" s="1" t="str">
        <f>A332</f>
        <v>PRLS/25/13517</v>
      </c>
      <c r="FJ332" s="38" t="e">
        <f>VLOOKUP(FH332,[1]Sheet3!$A:$D,4,0)</f>
        <v>#N/A</v>
      </c>
      <c r="FL332" s="13"/>
    </row>
    <row r="333" spans="1:168" ht="21" hidden="1" x14ac:dyDescent="0.25">
      <c r="A333" s="15" t="s">
        <v>993</v>
      </c>
      <c r="B333" s="15" t="s">
        <v>149</v>
      </c>
      <c r="C333" s="15" t="s">
        <v>625</v>
      </c>
      <c r="D333" s="15" t="s">
        <v>1012</v>
      </c>
      <c r="E333" s="15" t="s">
        <v>208</v>
      </c>
      <c r="F333" s="15" t="s">
        <v>181</v>
      </c>
      <c r="G333" s="15" t="s">
        <v>321</v>
      </c>
      <c r="H333" s="15" t="s">
        <v>980</v>
      </c>
      <c r="I333" s="15" t="s">
        <v>447</v>
      </c>
      <c r="J333" s="15" t="s">
        <v>978</v>
      </c>
      <c r="K333" s="15"/>
      <c r="L333" s="15" t="s">
        <v>247</v>
      </c>
      <c r="M333" s="15" t="s">
        <v>798</v>
      </c>
      <c r="N333" s="63">
        <v>1168</v>
      </c>
      <c r="O333" s="15"/>
      <c r="P333" s="15">
        <v>15.29</v>
      </c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61">
        <v>46146</v>
      </c>
      <c r="BE333" s="61"/>
      <c r="BF333" s="15" t="s">
        <v>219</v>
      </c>
      <c r="BG333" s="15" t="s">
        <v>171</v>
      </c>
      <c r="BH333" s="15" t="s">
        <v>171</v>
      </c>
      <c r="BI333" s="15" t="s">
        <v>171</v>
      </c>
      <c r="BJ333" s="15"/>
      <c r="BK333" s="15"/>
      <c r="BL333" s="15"/>
      <c r="BM333" s="15"/>
      <c r="BN333" s="15"/>
      <c r="BO333" s="64"/>
      <c r="BP333" s="15"/>
      <c r="BQ333" s="15"/>
      <c r="BR333" s="15"/>
      <c r="BS333" s="64"/>
      <c r="BT333" s="64">
        <v>46187</v>
      </c>
      <c r="BU333" s="64">
        <v>46249</v>
      </c>
      <c r="BV333" s="15"/>
      <c r="BW333" s="64"/>
      <c r="BX333" s="68"/>
      <c r="BY333" s="68"/>
      <c r="BZ333" s="68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15"/>
      <c r="CL333" s="68"/>
      <c r="CM333" s="68"/>
      <c r="CN333" s="68"/>
      <c r="CO333" s="68"/>
      <c r="CP333" s="68"/>
      <c r="CQ333" s="68"/>
      <c r="CR333" s="68"/>
      <c r="CS333" s="68"/>
      <c r="CT333" s="68">
        <v>81</v>
      </c>
      <c r="CU333" s="68">
        <v>170</v>
      </c>
      <c r="CV333" s="68">
        <v>241</v>
      </c>
      <c r="CW333" s="68">
        <v>151</v>
      </c>
      <c r="CX333" s="68">
        <v>76</v>
      </c>
      <c r="CY333" s="68"/>
      <c r="CZ333" s="68"/>
      <c r="DA333" s="68">
        <v>227</v>
      </c>
      <c r="DB333" s="68">
        <v>180</v>
      </c>
      <c r="DC333" s="68">
        <v>42</v>
      </c>
      <c r="DD333" s="68"/>
      <c r="DE333" s="68"/>
      <c r="DF333" s="68"/>
      <c r="DG333" s="68"/>
      <c r="DH333" s="68"/>
      <c r="DI333" s="68"/>
      <c r="DJ333" s="68"/>
      <c r="DK333" s="68"/>
      <c r="DL333" s="68"/>
      <c r="DM333" s="68"/>
      <c r="DN333" s="68"/>
      <c r="DO333" s="68"/>
      <c r="DP333" s="68"/>
      <c r="DQ333" s="68"/>
      <c r="DR333" s="68"/>
      <c r="DS333" s="68"/>
      <c r="DT333" s="68"/>
      <c r="DU333" s="68"/>
      <c r="DV333" s="68"/>
      <c r="DW333" s="68"/>
      <c r="DX333" s="68"/>
      <c r="DY333" s="68"/>
      <c r="DZ333" s="68"/>
      <c r="EA333" s="68"/>
      <c r="EB333" s="68"/>
      <c r="EC333" s="68"/>
      <c r="ED333" s="68"/>
      <c r="EE333" s="68"/>
      <c r="EF333" s="68"/>
      <c r="EG333" s="68"/>
      <c r="EH333" s="68"/>
      <c r="EI333" s="68"/>
      <c r="EJ333" s="68"/>
      <c r="EK333" s="68"/>
      <c r="EL333" s="68"/>
      <c r="EM333" s="68"/>
      <c r="EN333" s="68"/>
      <c r="EO333" s="68"/>
      <c r="EP333" s="68"/>
      <c r="EQ333" s="65">
        <f t="shared" si="29"/>
        <v>1168</v>
      </c>
      <c r="ER333" s="6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 t="s">
        <v>202</v>
      </c>
      <c r="FF333" s="15"/>
      <c r="FG333" s="15"/>
      <c r="FH333" s="1" t="str">
        <f t="shared" si="30"/>
        <v>711P038555094702120727</v>
      </c>
      <c r="FI333" s="1" t="str">
        <f t="shared" si="31"/>
        <v>PRLS/25/13517</v>
      </c>
      <c r="FJ333" s="38" t="e">
        <f>VLOOKUP(FH333,[1]Sheet3!$A:$D,4,0)</f>
        <v>#N/A</v>
      </c>
      <c r="FL333" s="13"/>
    </row>
    <row r="334" spans="1:168" ht="21" hidden="1" x14ac:dyDescent="0.25">
      <c r="A334" s="15" t="s">
        <v>1063</v>
      </c>
      <c r="B334" s="15" t="s">
        <v>149</v>
      </c>
      <c r="C334" s="15" t="s">
        <v>625</v>
      </c>
      <c r="D334" s="15" t="s">
        <v>140</v>
      </c>
      <c r="E334" s="15" t="s">
        <v>140</v>
      </c>
      <c r="F334" s="15" t="s">
        <v>140</v>
      </c>
      <c r="G334" s="15"/>
      <c r="H334" s="15" t="s">
        <v>1058</v>
      </c>
      <c r="I334" s="15" t="s">
        <v>1058</v>
      </c>
      <c r="J334" s="15" t="s">
        <v>1045</v>
      </c>
      <c r="K334" s="15"/>
      <c r="L334" s="15" t="s">
        <v>1054</v>
      </c>
      <c r="M334" s="15" t="s">
        <v>187</v>
      </c>
      <c r="N334" s="63">
        <v>274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61">
        <v>46150</v>
      </c>
      <c r="BE334" s="61"/>
      <c r="BF334" s="15"/>
      <c r="BG334" s="15"/>
      <c r="BH334" s="15"/>
      <c r="BI334" s="15"/>
      <c r="BJ334" s="15"/>
      <c r="BK334" s="15"/>
      <c r="BL334" s="15"/>
      <c r="BM334" s="15"/>
      <c r="BN334" s="15"/>
      <c r="BO334" s="64"/>
      <c r="BP334" s="15"/>
      <c r="BQ334" s="15"/>
      <c r="BR334" s="15"/>
      <c r="BS334" s="64">
        <v>46215</v>
      </c>
      <c r="BT334" s="64"/>
      <c r="BU334" s="64"/>
      <c r="BV334" s="15"/>
      <c r="BW334" s="64"/>
      <c r="BX334" s="68"/>
      <c r="BY334" s="68"/>
      <c r="BZ334" s="68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15"/>
      <c r="CL334" s="68"/>
      <c r="CM334" s="68"/>
      <c r="CN334" s="68"/>
      <c r="CO334" s="68"/>
      <c r="CP334" s="68"/>
      <c r="CQ334" s="68"/>
      <c r="CR334" s="68"/>
      <c r="CS334" s="68"/>
      <c r="CT334" s="68"/>
      <c r="CU334" s="68"/>
      <c r="CV334" s="68"/>
      <c r="CW334" s="68"/>
      <c r="CX334" s="68"/>
      <c r="CY334" s="68"/>
      <c r="CZ334" s="68"/>
      <c r="DA334" s="68"/>
      <c r="DB334" s="68"/>
      <c r="DC334" s="68"/>
      <c r="DD334" s="68"/>
      <c r="DE334" s="68"/>
      <c r="DF334" s="68"/>
      <c r="DG334" s="68"/>
      <c r="DH334" s="68"/>
      <c r="DI334" s="68"/>
      <c r="DJ334" s="68"/>
      <c r="DK334" s="68"/>
      <c r="DL334" s="68"/>
      <c r="DM334" s="68"/>
      <c r="DN334" s="68"/>
      <c r="DO334" s="68"/>
      <c r="DP334" s="68"/>
      <c r="DQ334" s="68"/>
      <c r="DR334" s="68"/>
      <c r="DS334" s="68"/>
      <c r="DT334" s="68"/>
      <c r="DU334" s="68"/>
      <c r="DV334" s="68"/>
      <c r="DW334" s="68"/>
      <c r="DX334" s="68"/>
      <c r="DY334" s="68"/>
      <c r="DZ334" s="68"/>
      <c r="EA334" s="68"/>
      <c r="EB334" s="68"/>
      <c r="EC334" s="68"/>
      <c r="ED334" s="68"/>
      <c r="EE334" s="68"/>
      <c r="EF334" s="68"/>
      <c r="EG334" s="68"/>
      <c r="EH334" s="68"/>
      <c r="EI334" s="68"/>
      <c r="EJ334" s="68"/>
      <c r="EK334" s="68"/>
      <c r="EL334" s="68"/>
      <c r="EM334" s="68"/>
      <c r="EN334" s="68"/>
      <c r="EO334" s="68"/>
      <c r="EP334" s="68"/>
      <c r="EQ334" s="65">
        <f t="shared" si="29"/>
        <v>0</v>
      </c>
      <c r="ER334" s="6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" t="str">
        <f t="shared" ref="FH334:FH337" si="32">H334&amp;D334</f>
        <v>712B29074001TBC</v>
      </c>
      <c r="FI334" s="1" t="str">
        <f t="shared" ref="FI334:FI337" si="33">A334</f>
        <v>PRLS/25/13942</v>
      </c>
      <c r="FJ334" s="38"/>
      <c r="FL334" s="13"/>
    </row>
    <row r="335" spans="1:168" ht="21" hidden="1" x14ac:dyDescent="0.25">
      <c r="A335" s="15" t="s">
        <v>1064</v>
      </c>
      <c r="B335" s="15" t="s">
        <v>149</v>
      </c>
      <c r="C335" s="15" t="s">
        <v>625</v>
      </c>
      <c r="D335" s="15" t="s">
        <v>140</v>
      </c>
      <c r="E335" s="15" t="s">
        <v>140</v>
      </c>
      <c r="F335" s="15" t="s">
        <v>140</v>
      </c>
      <c r="G335" s="15"/>
      <c r="H335" s="15" t="s">
        <v>369</v>
      </c>
      <c r="I335" s="15" t="s">
        <v>369</v>
      </c>
      <c r="J335" s="15" t="s">
        <v>1046</v>
      </c>
      <c r="K335" s="15"/>
      <c r="L335" s="15" t="s">
        <v>262</v>
      </c>
      <c r="M335" s="15" t="s">
        <v>372</v>
      </c>
      <c r="N335" s="63">
        <v>765</v>
      </c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61">
        <v>46153</v>
      </c>
      <c r="BE335" s="61"/>
      <c r="BF335" s="15"/>
      <c r="BG335" s="15"/>
      <c r="BH335" s="15"/>
      <c r="BI335" s="15"/>
      <c r="BJ335" s="15"/>
      <c r="BK335" s="15"/>
      <c r="BL335" s="15"/>
      <c r="BM335" s="15"/>
      <c r="BN335" s="15"/>
      <c r="BO335" s="64"/>
      <c r="BP335" s="15"/>
      <c r="BQ335" s="15"/>
      <c r="BR335" s="15"/>
      <c r="BS335" s="64">
        <v>46201</v>
      </c>
      <c r="BT335" s="64"/>
      <c r="BU335" s="64"/>
      <c r="BV335" s="15"/>
      <c r="BW335" s="64"/>
      <c r="BX335" s="68"/>
      <c r="BY335" s="68"/>
      <c r="BZ335" s="68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15"/>
      <c r="CL335" s="68"/>
      <c r="CM335" s="68"/>
      <c r="CN335" s="68"/>
      <c r="CO335" s="68"/>
      <c r="CP335" s="68"/>
      <c r="CQ335" s="68"/>
      <c r="CR335" s="68"/>
      <c r="CS335" s="68"/>
      <c r="CT335" s="68"/>
      <c r="CU335" s="68"/>
      <c r="CV335" s="68"/>
      <c r="CW335" s="68"/>
      <c r="CX335" s="68"/>
      <c r="CY335" s="68"/>
      <c r="CZ335" s="68"/>
      <c r="DA335" s="68"/>
      <c r="DB335" s="68"/>
      <c r="DC335" s="68"/>
      <c r="DD335" s="68"/>
      <c r="DE335" s="68"/>
      <c r="DF335" s="68"/>
      <c r="DG335" s="68"/>
      <c r="DH335" s="68"/>
      <c r="DI335" s="68"/>
      <c r="DJ335" s="68"/>
      <c r="DK335" s="68"/>
      <c r="DL335" s="68"/>
      <c r="DM335" s="68"/>
      <c r="DN335" s="68"/>
      <c r="DO335" s="68"/>
      <c r="DP335" s="68"/>
      <c r="DQ335" s="68"/>
      <c r="DR335" s="68"/>
      <c r="DS335" s="68"/>
      <c r="DT335" s="68"/>
      <c r="DU335" s="68"/>
      <c r="DV335" s="68"/>
      <c r="DW335" s="68"/>
      <c r="DX335" s="68"/>
      <c r="DY335" s="68"/>
      <c r="DZ335" s="68"/>
      <c r="EA335" s="68"/>
      <c r="EB335" s="68"/>
      <c r="EC335" s="68"/>
      <c r="ED335" s="68"/>
      <c r="EE335" s="68"/>
      <c r="EF335" s="68"/>
      <c r="EG335" s="68"/>
      <c r="EH335" s="68"/>
      <c r="EI335" s="68"/>
      <c r="EJ335" s="68"/>
      <c r="EK335" s="68"/>
      <c r="EL335" s="68"/>
      <c r="EM335" s="68"/>
      <c r="EN335" s="68"/>
      <c r="EO335" s="68"/>
      <c r="EP335" s="68"/>
      <c r="EQ335" s="65">
        <f t="shared" si="29"/>
        <v>0</v>
      </c>
      <c r="ER335" s="6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" t="str">
        <f t="shared" si="32"/>
        <v>710953355003TBC</v>
      </c>
      <c r="FI335" s="1" t="str">
        <f t="shared" si="33"/>
        <v>PRLS/25/13943</v>
      </c>
      <c r="FJ335" s="38"/>
      <c r="FL335" s="13"/>
    </row>
    <row r="336" spans="1:168" ht="21" hidden="1" x14ac:dyDescent="0.25">
      <c r="A336" s="15" t="s">
        <v>1065</v>
      </c>
      <c r="B336" s="15" t="s">
        <v>149</v>
      </c>
      <c r="C336" s="15" t="s">
        <v>625</v>
      </c>
      <c r="D336" s="15" t="s">
        <v>1158</v>
      </c>
      <c r="E336" s="15" t="s">
        <v>208</v>
      </c>
      <c r="F336" s="15" t="s">
        <v>181</v>
      </c>
      <c r="G336" s="15" t="s">
        <v>321</v>
      </c>
      <c r="H336" s="15" t="s">
        <v>804</v>
      </c>
      <c r="I336" s="15" t="s">
        <v>804</v>
      </c>
      <c r="J336" s="15" t="s">
        <v>806</v>
      </c>
      <c r="K336" s="15"/>
      <c r="L336" s="15" t="s">
        <v>1055</v>
      </c>
      <c r="M336" s="15" t="s">
        <v>811</v>
      </c>
      <c r="N336" s="63">
        <v>529</v>
      </c>
      <c r="O336" s="15"/>
      <c r="P336" s="15">
        <v>21.39</v>
      </c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61">
        <v>46157</v>
      </c>
      <c r="BE336" s="61"/>
      <c r="BF336" s="15"/>
      <c r="BG336" s="15"/>
      <c r="BH336" s="15"/>
      <c r="BI336" s="15"/>
      <c r="BJ336" s="15"/>
      <c r="BK336" s="15"/>
      <c r="BL336" s="15"/>
      <c r="BM336" s="15"/>
      <c r="BN336" s="15"/>
      <c r="BO336" s="64"/>
      <c r="BP336" s="15"/>
      <c r="BQ336" s="15"/>
      <c r="BR336" s="15"/>
      <c r="BS336" s="64">
        <v>46208</v>
      </c>
      <c r="BT336" s="64">
        <v>46208</v>
      </c>
      <c r="BU336" s="64">
        <v>46280</v>
      </c>
      <c r="BV336" s="15"/>
      <c r="BW336" s="64"/>
      <c r="BX336" s="68"/>
      <c r="BY336" s="68"/>
      <c r="BZ336" s="68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15">
        <v>5</v>
      </c>
      <c r="CL336" s="68">
        <v>50</v>
      </c>
      <c r="CM336" s="68">
        <v>137</v>
      </c>
      <c r="CN336" s="68">
        <v>154</v>
      </c>
      <c r="CO336" s="68">
        <v>111</v>
      </c>
      <c r="CP336" s="68">
        <v>72</v>
      </c>
      <c r="CQ336" s="68"/>
      <c r="CR336" s="68"/>
      <c r="CS336" s="68"/>
      <c r="CT336" s="68"/>
      <c r="CU336" s="68"/>
      <c r="CV336" s="68"/>
      <c r="CW336" s="68"/>
      <c r="CX336" s="68"/>
      <c r="CY336" s="68"/>
      <c r="CZ336" s="68"/>
      <c r="DA336" s="68"/>
      <c r="DB336" s="68"/>
      <c r="DC336" s="68"/>
      <c r="DD336" s="68"/>
      <c r="DE336" s="68"/>
      <c r="DF336" s="68"/>
      <c r="DG336" s="68"/>
      <c r="DH336" s="68"/>
      <c r="DI336" s="68"/>
      <c r="DJ336" s="68"/>
      <c r="DK336" s="68"/>
      <c r="DL336" s="68"/>
      <c r="DM336" s="68"/>
      <c r="DN336" s="68"/>
      <c r="DO336" s="68"/>
      <c r="DP336" s="68"/>
      <c r="DQ336" s="68"/>
      <c r="DR336" s="68"/>
      <c r="DS336" s="68"/>
      <c r="DT336" s="68"/>
      <c r="DU336" s="68"/>
      <c r="DV336" s="68"/>
      <c r="DW336" s="68"/>
      <c r="DX336" s="68"/>
      <c r="DY336" s="68"/>
      <c r="DZ336" s="68"/>
      <c r="EA336" s="68"/>
      <c r="EB336" s="68"/>
      <c r="EC336" s="68"/>
      <c r="ED336" s="68"/>
      <c r="EE336" s="68"/>
      <c r="EF336" s="68"/>
      <c r="EG336" s="68"/>
      <c r="EH336" s="68"/>
      <c r="EI336" s="68"/>
      <c r="EJ336" s="68"/>
      <c r="EK336" s="68"/>
      <c r="EL336" s="68"/>
      <c r="EM336" s="68"/>
      <c r="EN336" s="68"/>
      <c r="EO336" s="68"/>
      <c r="EP336" s="68"/>
      <c r="EQ336" s="65">
        <f t="shared" ref="EQ336" si="34">SUM(BX336:EP336)</f>
        <v>529</v>
      </c>
      <c r="ER336" s="6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 t="s">
        <v>176</v>
      </c>
      <c r="FF336" s="15"/>
      <c r="FG336" s="15"/>
      <c r="FH336" s="1" t="str">
        <f t="shared" ref="FH336" si="35">H336&amp;D336</f>
        <v>710B239410014702128161</v>
      </c>
      <c r="FI336" s="1" t="str">
        <f t="shared" ref="FI336" si="36">A336</f>
        <v>PRLS/25/14064</v>
      </c>
      <c r="FJ336" s="38"/>
      <c r="FL336" s="13"/>
    </row>
    <row r="337" spans="1:168" ht="21" hidden="1" x14ac:dyDescent="0.25">
      <c r="A337" s="15" t="s">
        <v>1065</v>
      </c>
      <c r="B337" s="15" t="s">
        <v>149</v>
      </c>
      <c r="C337" s="15" t="s">
        <v>625</v>
      </c>
      <c r="D337" s="15" t="s">
        <v>1159</v>
      </c>
      <c r="E337" s="15" t="s">
        <v>270</v>
      </c>
      <c r="F337" s="15" t="s">
        <v>260</v>
      </c>
      <c r="G337" s="15" t="s">
        <v>321</v>
      </c>
      <c r="H337" s="15" t="s">
        <v>804</v>
      </c>
      <c r="I337" s="15" t="s">
        <v>804</v>
      </c>
      <c r="J337" s="15" t="s">
        <v>806</v>
      </c>
      <c r="K337" s="15"/>
      <c r="L337" s="15" t="s">
        <v>1055</v>
      </c>
      <c r="M337" s="15" t="s">
        <v>811</v>
      </c>
      <c r="N337" s="63">
        <v>107</v>
      </c>
      <c r="O337" s="15"/>
      <c r="P337" s="15">
        <v>21.39</v>
      </c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61">
        <v>46157</v>
      </c>
      <c r="BE337" s="61"/>
      <c r="BF337" s="15"/>
      <c r="BG337" s="15"/>
      <c r="BH337" s="15"/>
      <c r="BI337" s="15"/>
      <c r="BJ337" s="15"/>
      <c r="BK337" s="15"/>
      <c r="BL337" s="15"/>
      <c r="BM337" s="15"/>
      <c r="BN337" s="15"/>
      <c r="BO337" s="64"/>
      <c r="BP337" s="15"/>
      <c r="BQ337" s="15"/>
      <c r="BR337" s="15"/>
      <c r="BS337" s="64">
        <v>46208</v>
      </c>
      <c r="BT337" s="64">
        <v>46208</v>
      </c>
      <c r="BU337" s="64">
        <v>46280</v>
      </c>
      <c r="BV337" s="15"/>
      <c r="BW337" s="64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15">
        <v>2</v>
      </c>
      <c r="CL337" s="68">
        <v>12</v>
      </c>
      <c r="CM337" s="68">
        <v>33</v>
      </c>
      <c r="CN337" s="68">
        <v>34</v>
      </c>
      <c r="CO337" s="68">
        <v>20</v>
      </c>
      <c r="CP337" s="68">
        <v>6</v>
      </c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8"/>
      <c r="DC337" s="68"/>
      <c r="DD337" s="68"/>
      <c r="DE337" s="68"/>
      <c r="DF337" s="68"/>
      <c r="DG337" s="68"/>
      <c r="DH337" s="68"/>
      <c r="DI337" s="68"/>
      <c r="DJ337" s="68"/>
      <c r="DK337" s="68"/>
      <c r="DL337" s="68"/>
      <c r="DM337" s="68"/>
      <c r="DN337" s="68"/>
      <c r="DO337" s="68"/>
      <c r="DP337" s="68"/>
      <c r="DQ337" s="68"/>
      <c r="DR337" s="68"/>
      <c r="DS337" s="68"/>
      <c r="DT337" s="68"/>
      <c r="DU337" s="68"/>
      <c r="DV337" s="68"/>
      <c r="DW337" s="68"/>
      <c r="DX337" s="68"/>
      <c r="DY337" s="68"/>
      <c r="DZ337" s="68"/>
      <c r="EA337" s="68"/>
      <c r="EB337" s="68"/>
      <c r="EC337" s="68"/>
      <c r="ED337" s="68"/>
      <c r="EE337" s="68"/>
      <c r="EF337" s="68"/>
      <c r="EG337" s="68"/>
      <c r="EH337" s="68"/>
      <c r="EI337" s="68"/>
      <c r="EJ337" s="68"/>
      <c r="EK337" s="68"/>
      <c r="EL337" s="68"/>
      <c r="EM337" s="68"/>
      <c r="EN337" s="68"/>
      <c r="EO337" s="68"/>
      <c r="EP337" s="68"/>
      <c r="EQ337" s="65">
        <f t="shared" si="29"/>
        <v>107</v>
      </c>
      <c r="ER337" s="6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 t="s">
        <v>176</v>
      </c>
      <c r="FF337" s="15"/>
      <c r="FG337" s="15"/>
      <c r="FH337" s="1" t="str">
        <f t="shared" si="32"/>
        <v>710B239410014702128162</v>
      </c>
      <c r="FI337" s="1" t="str">
        <f t="shared" si="33"/>
        <v>PRLS/25/14064</v>
      </c>
      <c r="FJ337" s="38"/>
      <c r="FL337" s="13"/>
    </row>
    <row r="338" spans="1:168" ht="21" hidden="1" x14ac:dyDescent="0.25">
      <c r="A338" s="15" t="s">
        <v>1094</v>
      </c>
      <c r="B338" s="15">
        <v>999</v>
      </c>
      <c r="C338" s="15" t="s">
        <v>1100</v>
      </c>
      <c r="D338" s="15" t="s">
        <v>1088</v>
      </c>
      <c r="E338" s="15" t="s">
        <v>253</v>
      </c>
      <c r="F338" s="15" t="s">
        <v>254</v>
      </c>
      <c r="G338" s="15" t="s">
        <v>354</v>
      </c>
      <c r="H338" s="15" t="s">
        <v>398</v>
      </c>
      <c r="I338" s="15" t="s">
        <v>381</v>
      </c>
      <c r="J338" s="15" t="s">
        <v>382</v>
      </c>
      <c r="K338" s="15"/>
      <c r="L338" s="15" t="s">
        <v>261</v>
      </c>
      <c r="M338" s="15" t="s">
        <v>268</v>
      </c>
      <c r="N338" s="63">
        <v>82</v>
      </c>
      <c r="O338" s="15"/>
      <c r="P338" s="15">
        <v>8.25</v>
      </c>
      <c r="Q338" s="15"/>
      <c r="R338" s="15"/>
      <c r="S338" s="15" t="s">
        <v>1117</v>
      </c>
      <c r="T338" s="15"/>
      <c r="U338" s="15"/>
      <c r="V338" s="15"/>
      <c r="W338" s="15"/>
      <c r="X338" s="15"/>
      <c r="Y338" s="15" t="s">
        <v>218</v>
      </c>
      <c r="Z338" s="15" t="s">
        <v>373</v>
      </c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 t="s">
        <v>439</v>
      </c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61"/>
      <c r="BE338" s="61"/>
      <c r="BF338" s="15"/>
      <c r="BG338" s="15"/>
      <c r="BH338" s="15"/>
      <c r="BI338" s="15"/>
      <c r="BJ338" s="15"/>
      <c r="BK338" s="15"/>
      <c r="BL338" s="15"/>
      <c r="BM338" s="15"/>
      <c r="BN338" s="15"/>
      <c r="BO338" s="64"/>
      <c r="BP338" s="15"/>
      <c r="BQ338" s="15"/>
      <c r="BR338" s="15"/>
      <c r="BS338" s="64"/>
      <c r="BT338" s="64">
        <v>46138</v>
      </c>
      <c r="BU338" s="64">
        <v>46194</v>
      </c>
      <c r="BV338" s="15"/>
      <c r="BW338" s="64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15">
        <v>1</v>
      </c>
      <c r="CL338" s="68">
        <v>24</v>
      </c>
      <c r="CM338" s="68">
        <v>35</v>
      </c>
      <c r="CN338" s="68">
        <v>17</v>
      </c>
      <c r="CO338" s="68">
        <v>5</v>
      </c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  <c r="EE338" s="68"/>
      <c r="EF338" s="68"/>
      <c r="EG338" s="68"/>
      <c r="EH338" s="68"/>
      <c r="EI338" s="68"/>
      <c r="EJ338" s="68"/>
      <c r="EK338" s="68"/>
      <c r="EL338" s="68"/>
      <c r="EM338" s="68"/>
      <c r="EN338" s="68"/>
      <c r="EO338" s="68"/>
      <c r="EP338" s="68"/>
      <c r="EQ338" s="65">
        <f t="shared" ref="EQ338:EQ394" si="37">SUM(BX338:EP338)</f>
        <v>82</v>
      </c>
      <c r="ER338" s="6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 t="s">
        <v>202</v>
      </c>
      <c r="FF338" s="15"/>
      <c r="FG338" s="15"/>
      <c r="FH338" s="1" t="str">
        <f t="shared" ref="FH338:FH397" si="38">H338&amp;D338</f>
        <v>7105490840064702125947</v>
      </c>
      <c r="FI338" s="1" t="str">
        <f t="shared" ref="FI338:FI397" si="39">A338</f>
        <v>PRLS/25/12520, PRLS/25/13668</v>
      </c>
      <c r="FJ338" s="38" t="e">
        <f>VLOOKUP(FH338,[1]Sheet3!$A:$D,4,0)</f>
        <v>#N/A</v>
      </c>
      <c r="FL338" s="13"/>
    </row>
    <row r="339" spans="1:168" ht="21" hidden="1" x14ac:dyDescent="0.25">
      <c r="A339" s="15" t="s">
        <v>1094</v>
      </c>
      <c r="B339" s="15">
        <v>999</v>
      </c>
      <c r="C339" s="15" t="s">
        <v>1100</v>
      </c>
      <c r="D339" s="15" t="s">
        <v>1089</v>
      </c>
      <c r="E339" s="15" t="s">
        <v>210</v>
      </c>
      <c r="F339" s="15" t="s">
        <v>152</v>
      </c>
      <c r="G339" s="15" t="s">
        <v>321</v>
      </c>
      <c r="H339" s="15" t="s">
        <v>398</v>
      </c>
      <c r="I339" s="15" t="s">
        <v>381</v>
      </c>
      <c r="J339" s="15" t="s">
        <v>382</v>
      </c>
      <c r="K339" s="15"/>
      <c r="L339" s="15" t="s">
        <v>261</v>
      </c>
      <c r="M339" s="15" t="s">
        <v>268</v>
      </c>
      <c r="N339" s="63">
        <v>1140</v>
      </c>
      <c r="O339" s="15"/>
      <c r="P339" s="15">
        <v>8.25</v>
      </c>
      <c r="Q339" s="15"/>
      <c r="R339" s="15"/>
      <c r="S339" s="15" t="s">
        <v>1117</v>
      </c>
      <c r="T339" s="15"/>
      <c r="U339" s="15"/>
      <c r="V339" s="15"/>
      <c r="W339" s="15"/>
      <c r="X339" s="15"/>
      <c r="Y339" s="15" t="s">
        <v>218</v>
      </c>
      <c r="Z339" s="15" t="s">
        <v>373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 t="s">
        <v>439</v>
      </c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61"/>
      <c r="BE339" s="61"/>
      <c r="BF339" s="15"/>
      <c r="BG339" s="15"/>
      <c r="BH339" s="15"/>
      <c r="BI339" s="15"/>
      <c r="BJ339" s="15"/>
      <c r="BK339" s="15"/>
      <c r="BL339" s="15"/>
      <c r="BM339" s="15"/>
      <c r="BN339" s="15"/>
      <c r="BO339" s="64"/>
      <c r="BP339" s="15"/>
      <c r="BQ339" s="15"/>
      <c r="BR339" s="15"/>
      <c r="BS339" s="64"/>
      <c r="BT339" s="64">
        <v>46138</v>
      </c>
      <c r="BU339" s="64">
        <v>46194</v>
      </c>
      <c r="BV339" s="15"/>
      <c r="BW339" s="64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15"/>
      <c r="CL339" s="68">
        <v>196</v>
      </c>
      <c r="CM339" s="68">
        <v>261</v>
      </c>
      <c r="CN339" s="68">
        <v>383</v>
      </c>
      <c r="CO339" s="68">
        <v>259</v>
      </c>
      <c r="CP339" s="68">
        <v>41</v>
      </c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  <c r="EE339" s="68"/>
      <c r="EF339" s="68"/>
      <c r="EG339" s="68"/>
      <c r="EH339" s="68"/>
      <c r="EI339" s="68"/>
      <c r="EJ339" s="68"/>
      <c r="EK339" s="68"/>
      <c r="EL339" s="68"/>
      <c r="EM339" s="68"/>
      <c r="EN339" s="68"/>
      <c r="EO339" s="68"/>
      <c r="EP339" s="68"/>
      <c r="EQ339" s="65">
        <f>SUM(BX339:EP339)</f>
        <v>1140</v>
      </c>
      <c r="ER339" s="6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 t="s">
        <v>202</v>
      </c>
      <c r="FF339" s="15"/>
      <c r="FG339" s="15"/>
      <c r="FH339" s="1" t="str">
        <f>H339&amp;D339</f>
        <v>7105490840064702125946</v>
      </c>
      <c r="FI339" s="1" t="str">
        <f>A339</f>
        <v>PRLS/25/12520, PRLS/25/13668</v>
      </c>
      <c r="FJ339" s="38" t="e">
        <f>VLOOKUP(FH339,[1]Sheet3!$A:$D,4,0)</f>
        <v>#N/A</v>
      </c>
      <c r="FL339" s="13"/>
    </row>
    <row r="340" spans="1:168" ht="21" hidden="1" x14ac:dyDescent="0.25">
      <c r="A340" s="15" t="s">
        <v>1094</v>
      </c>
      <c r="B340" s="15">
        <v>999</v>
      </c>
      <c r="C340" s="15" t="s">
        <v>140</v>
      </c>
      <c r="D340" s="15" t="s">
        <v>140</v>
      </c>
      <c r="E340" s="15" t="s">
        <v>140</v>
      </c>
      <c r="F340" s="15" t="s">
        <v>140</v>
      </c>
      <c r="G340" s="15" t="s">
        <v>140</v>
      </c>
      <c r="H340" s="15" t="s">
        <v>398</v>
      </c>
      <c r="I340" s="15" t="s">
        <v>381</v>
      </c>
      <c r="J340" s="15" t="s">
        <v>382</v>
      </c>
      <c r="K340" s="15"/>
      <c r="L340" s="15" t="s">
        <v>261</v>
      </c>
      <c r="M340" s="15" t="s">
        <v>268</v>
      </c>
      <c r="N340" s="63">
        <v>1651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61"/>
      <c r="BE340" s="61"/>
      <c r="BF340" s="15"/>
      <c r="BG340" s="15"/>
      <c r="BH340" s="15"/>
      <c r="BI340" s="15"/>
      <c r="BJ340" s="15"/>
      <c r="BK340" s="15"/>
      <c r="BL340" s="15"/>
      <c r="BM340" s="15"/>
      <c r="BN340" s="15"/>
      <c r="BO340" s="64"/>
      <c r="BP340" s="15"/>
      <c r="BQ340" s="15"/>
      <c r="BR340" s="15"/>
      <c r="BS340" s="64"/>
      <c r="BT340" s="64"/>
      <c r="BU340" s="64"/>
      <c r="BV340" s="15"/>
      <c r="BW340" s="64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15">
        <v>48</v>
      </c>
      <c r="CL340" s="68">
        <v>52</v>
      </c>
      <c r="CM340" s="68">
        <v>720</v>
      </c>
      <c r="CN340" s="68">
        <v>615</v>
      </c>
      <c r="CO340" s="68">
        <v>175</v>
      </c>
      <c r="CP340" s="68">
        <v>41</v>
      </c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  <c r="EE340" s="68"/>
      <c r="EF340" s="68"/>
      <c r="EG340" s="68"/>
      <c r="EH340" s="68"/>
      <c r="EI340" s="68"/>
      <c r="EJ340" s="68"/>
      <c r="EK340" s="68"/>
      <c r="EL340" s="68"/>
      <c r="EM340" s="68"/>
      <c r="EN340" s="68"/>
      <c r="EO340" s="68"/>
      <c r="EP340" s="68"/>
      <c r="EQ340" s="65">
        <f t="shared" si="37"/>
        <v>1651</v>
      </c>
      <c r="ER340" s="6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" t="str">
        <f t="shared" si="38"/>
        <v>710549084006TBC</v>
      </c>
      <c r="FI340" s="1" t="str">
        <f t="shared" si="39"/>
        <v>PRLS/25/12520, PRLS/25/13668</v>
      </c>
      <c r="FJ340" s="38"/>
      <c r="FL340" s="13"/>
    </row>
    <row r="341" spans="1:168" ht="21" hidden="1" x14ac:dyDescent="0.25">
      <c r="A341" s="15" t="s">
        <v>1095</v>
      </c>
      <c r="B341" s="15">
        <v>999</v>
      </c>
      <c r="C341" s="15" t="s">
        <v>1100</v>
      </c>
      <c r="D341" s="15" t="s">
        <v>1088</v>
      </c>
      <c r="E341" s="15" t="s">
        <v>253</v>
      </c>
      <c r="F341" s="15" t="s">
        <v>254</v>
      </c>
      <c r="G341" s="15" t="s">
        <v>354</v>
      </c>
      <c r="H341" s="15" t="s">
        <v>406</v>
      </c>
      <c r="I341" s="15" t="s">
        <v>381</v>
      </c>
      <c r="J341" s="15" t="s">
        <v>382</v>
      </c>
      <c r="K341" s="15"/>
      <c r="L341" s="15" t="s">
        <v>261</v>
      </c>
      <c r="M341" s="15" t="s">
        <v>275</v>
      </c>
      <c r="N341" s="63">
        <v>32</v>
      </c>
      <c r="O341" s="15"/>
      <c r="P341" s="15">
        <v>8.25</v>
      </c>
      <c r="Q341" s="15"/>
      <c r="R341" s="15"/>
      <c r="S341" s="15" t="s">
        <v>1117</v>
      </c>
      <c r="T341" s="15"/>
      <c r="U341" s="15"/>
      <c r="V341" s="15"/>
      <c r="W341" s="15"/>
      <c r="X341" s="15"/>
      <c r="Y341" s="15" t="s">
        <v>218</v>
      </c>
      <c r="Z341" s="15" t="s">
        <v>373</v>
      </c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 t="s">
        <v>439</v>
      </c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61"/>
      <c r="BE341" s="61"/>
      <c r="BF341" s="15"/>
      <c r="BG341" s="15"/>
      <c r="BH341" s="15"/>
      <c r="BI341" s="15"/>
      <c r="BJ341" s="15"/>
      <c r="BK341" s="15"/>
      <c r="BL341" s="15"/>
      <c r="BM341" s="15"/>
      <c r="BN341" s="15"/>
      <c r="BO341" s="64"/>
      <c r="BP341" s="15"/>
      <c r="BQ341" s="15"/>
      <c r="BR341" s="15"/>
      <c r="BS341" s="64"/>
      <c r="BT341" s="64">
        <v>46138</v>
      </c>
      <c r="BU341" s="64">
        <v>46194</v>
      </c>
      <c r="BV341" s="15"/>
      <c r="BW341" s="64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15"/>
      <c r="CL341" s="68">
        <v>10</v>
      </c>
      <c r="CM341" s="68">
        <v>14</v>
      </c>
      <c r="CN341" s="68">
        <v>6</v>
      </c>
      <c r="CO341" s="68">
        <v>2</v>
      </c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  <c r="EE341" s="68"/>
      <c r="EF341" s="68"/>
      <c r="EG341" s="68"/>
      <c r="EH341" s="68"/>
      <c r="EI341" s="68"/>
      <c r="EJ341" s="68"/>
      <c r="EK341" s="68"/>
      <c r="EL341" s="68"/>
      <c r="EM341" s="68"/>
      <c r="EN341" s="68"/>
      <c r="EO341" s="68"/>
      <c r="EP341" s="68"/>
      <c r="EQ341" s="65">
        <f t="shared" si="37"/>
        <v>32</v>
      </c>
      <c r="ER341" s="6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 t="s">
        <v>202</v>
      </c>
      <c r="FF341" s="15"/>
      <c r="FG341" s="15"/>
      <c r="FH341" s="1" t="str">
        <f t="shared" si="38"/>
        <v>7105490840084702125947</v>
      </c>
      <c r="FI341" s="1" t="str">
        <f t="shared" si="39"/>
        <v>PRLS/25/13302</v>
      </c>
      <c r="FJ341" s="38" t="e">
        <f>VLOOKUP(FH341,[1]Sheet3!$A:$D,4,0)</f>
        <v>#N/A</v>
      </c>
      <c r="FL341" s="13"/>
    </row>
    <row r="342" spans="1:168" ht="21" hidden="1" x14ac:dyDescent="0.25">
      <c r="A342" s="15" t="s">
        <v>1095</v>
      </c>
      <c r="B342" s="15">
        <v>999</v>
      </c>
      <c r="C342" s="15" t="s">
        <v>1100</v>
      </c>
      <c r="D342" s="15" t="s">
        <v>1089</v>
      </c>
      <c r="E342" s="15" t="s">
        <v>210</v>
      </c>
      <c r="F342" s="15" t="s">
        <v>152</v>
      </c>
      <c r="G342" s="15" t="s">
        <v>321</v>
      </c>
      <c r="H342" s="15" t="s">
        <v>406</v>
      </c>
      <c r="I342" s="15" t="s">
        <v>381</v>
      </c>
      <c r="J342" s="15" t="s">
        <v>382</v>
      </c>
      <c r="K342" s="15"/>
      <c r="L342" s="15" t="s">
        <v>261</v>
      </c>
      <c r="M342" s="15" t="s">
        <v>275</v>
      </c>
      <c r="N342" s="63">
        <v>387</v>
      </c>
      <c r="O342" s="15"/>
      <c r="P342" s="15">
        <v>8.25</v>
      </c>
      <c r="Q342" s="15"/>
      <c r="R342" s="15"/>
      <c r="S342" s="15" t="s">
        <v>1117</v>
      </c>
      <c r="T342" s="15"/>
      <c r="U342" s="15"/>
      <c r="V342" s="15"/>
      <c r="W342" s="15"/>
      <c r="X342" s="15"/>
      <c r="Y342" s="15" t="s">
        <v>218</v>
      </c>
      <c r="Z342" s="15" t="s">
        <v>373</v>
      </c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 t="s">
        <v>439</v>
      </c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61"/>
      <c r="BE342" s="61"/>
      <c r="BF342" s="15"/>
      <c r="BG342" s="15"/>
      <c r="BH342" s="15"/>
      <c r="BI342" s="15"/>
      <c r="BJ342" s="15"/>
      <c r="BK342" s="15"/>
      <c r="BL342" s="15"/>
      <c r="BM342" s="15"/>
      <c r="BN342" s="15"/>
      <c r="BO342" s="64"/>
      <c r="BP342" s="15"/>
      <c r="BQ342" s="15"/>
      <c r="BR342" s="15"/>
      <c r="BS342" s="64"/>
      <c r="BT342" s="64">
        <v>46138</v>
      </c>
      <c r="BU342" s="64">
        <v>46194</v>
      </c>
      <c r="BV342" s="15"/>
      <c r="BW342" s="64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15">
        <v>5</v>
      </c>
      <c r="CL342" s="68">
        <v>76</v>
      </c>
      <c r="CM342" s="68">
        <v>125</v>
      </c>
      <c r="CN342" s="68">
        <v>129</v>
      </c>
      <c r="CO342" s="68">
        <v>44</v>
      </c>
      <c r="CP342" s="68">
        <v>8</v>
      </c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  <c r="EE342" s="68"/>
      <c r="EF342" s="68"/>
      <c r="EG342" s="68"/>
      <c r="EH342" s="68"/>
      <c r="EI342" s="68"/>
      <c r="EJ342" s="68"/>
      <c r="EK342" s="68"/>
      <c r="EL342" s="68"/>
      <c r="EM342" s="68"/>
      <c r="EN342" s="68"/>
      <c r="EO342" s="68"/>
      <c r="EP342" s="68"/>
      <c r="EQ342" s="65">
        <f>SUM(BX342:EP342)</f>
        <v>387</v>
      </c>
      <c r="ER342" s="6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 t="s">
        <v>202</v>
      </c>
      <c r="FF342" s="15"/>
      <c r="FG342" s="15"/>
      <c r="FH342" s="1" t="str">
        <f>H342&amp;D342</f>
        <v>7105490840084702125946</v>
      </c>
      <c r="FI342" s="1" t="str">
        <f>A342</f>
        <v>PRLS/25/13302</v>
      </c>
      <c r="FJ342" s="38" t="e">
        <f>VLOOKUP(FH342,[1]Sheet3!$A:$D,4,0)</f>
        <v>#N/A</v>
      </c>
      <c r="FL342" s="13"/>
    </row>
    <row r="343" spans="1:168" ht="21" hidden="1" x14ac:dyDescent="0.25">
      <c r="A343" s="15" t="s">
        <v>1102</v>
      </c>
      <c r="B343" s="15">
        <v>999</v>
      </c>
      <c r="C343" s="15" t="s">
        <v>1100</v>
      </c>
      <c r="D343" s="15" t="s">
        <v>1089</v>
      </c>
      <c r="E343" s="15" t="s">
        <v>210</v>
      </c>
      <c r="F343" s="15" t="s">
        <v>152</v>
      </c>
      <c r="G343" s="15" t="s">
        <v>321</v>
      </c>
      <c r="H343" s="15" t="s">
        <v>406</v>
      </c>
      <c r="I343" s="15" t="s">
        <v>381</v>
      </c>
      <c r="J343" s="15" t="s">
        <v>382</v>
      </c>
      <c r="K343" s="15"/>
      <c r="L343" s="15" t="s">
        <v>261</v>
      </c>
      <c r="M343" s="15" t="s">
        <v>275</v>
      </c>
      <c r="N343" s="63">
        <v>340</v>
      </c>
      <c r="O343" s="15"/>
      <c r="P343" s="15">
        <v>8.25</v>
      </c>
      <c r="Q343" s="15"/>
      <c r="R343" s="15"/>
      <c r="S343" s="15" t="s">
        <v>1117</v>
      </c>
      <c r="T343" s="15"/>
      <c r="U343" s="15"/>
      <c r="V343" s="15"/>
      <c r="W343" s="15"/>
      <c r="X343" s="15"/>
      <c r="Y343" s="15" t="s">
        <v>218</v>
      </c>
      <c r="Z343" s="15" t="s">
        <v>373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 t="s">
        <v>1131</v>
      </c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61"/>
      <c r="BE343" s="61"/>
      <c r="BF343" s="15"/>
      <c r="BG343" s="15"/>
      <c r="BH343" s="15"/>
      <c r="BI343" s="15"/>
      <c r="BJ343" s="15"/>
      <c r="BK343" s="15"/>
      <c r="BL343" s="15"/>
      <c r="BM343" s="15"/>
      <c r="BN343" s="15"/>
      <c r="BO343" s="64"/>
      <c r="BP343" s="15"/>
      <c r="BQ343" s="15"/>
      <c r="BR343" s="15"/>
      <c r="BS343" s="64"/>
      <c r="BT343" s="64">
        <v>46138</v>
      </c>
      <c r="BU343" s="64">
        <v>46194</v>
      </c>
      <c r="BV343" s="15"/>
      <c r="BW343" s="64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15">
        <v>1</v>
      </c>
      <c r="CL343" s="68">
        <v>15</v>
      </c>
      <c r="CM343" s="68">
        <v>138</v>
      </c>
      <c r="CN343" s="68">
        <v>128</v>
      </c>
      <c r="CO343" s="68">
        <v>40</v>
      </c>
      <c r="CP343" s="68" t="s">
        <v>1136</v>
      </c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  <c r="EE343" s="68"/>
      <c r="EF343" s="68"/>
      <c r="EG343" s="68"/>
      <c r="EH343" s="68"/>
      <c r="EI343" s="68"/>
      <c r="EJ343" s="68"/>
      <c r="EK343" s="68"/>
      <c r="EL343" s="68"/>
      <c r="EM343" s="68"/>
      <c r="EN343" s="68"/>
      <c r="EO343" s="68"/>
      <c r="EP343" s="68"/>
      <c r="EQ343" s="65">
        <f t="shared" si="37"/>
        <v>322</v>
      </c>
      <c r="ER343" s="6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 t="s">
        <v>202</v>
      </c>
      <c r="FF343" s="15"/>
      <c r="FG343" s="15"/>
      <c r="FH343" s="1" t="str">
        <f t="shared" si="38"/>
        <v>7105490840084702125946</v>
      </c>
      <c r="FI343" s="1" t="str">
        <f t="shared" si="39"/>
        <v>PRLS/25/14123</v>
      </c>
      <c r="FJ343" s="38" t="e">
        <f>VLOOKUP(FH343,[1]Sheet3!$A:$D,4,0)</f>
        <v>#N/A</v>
      </c>
      <c r="FL343" s="13"/>
    </row>
    <row r="344" spans="1:168" ht="21" hidden="1" x14ac:dyDescent="0.25">
      <c r="A344" s="15" t="s">
        <v>1096</v>
      </c>
      <c r="B344" s="15">
        <v>999</v>
      </c>
      <c r="C344" s="15" t="s">
        <v>1100</v>
      </c>
      <c r="D344" s="15" t="s">
        <v>1088</v>
      </c>
      <c r="E344" s="15" t="s">
        <v>253</v>
      </c>
      <c r="F344" s="15" t="s">
        <v>254</v>
      </c>
      <c r="G344" s="15" t="s">
        <v>354</v>
      </c>
      <c r="H344" s="15" t="s">
        <v>400</v>
      </c>
      <c r="I344" s="15" t="s">
        <v>381</v>
      </c>
      <c r="J344" s="15" t="s">
        <v>382</v>
      </c>
      <c r="K344" s="15"/>
      <c r="L344" s="15" t="s">
        <v>261</v>
      </c>
      <c r="M344" s="15" t="s">
        <v>1085</v>
      </c>
      <c r="N344" s="63">
        <v>70</v>
      </c>
      <c r="O344" s="15"/>
      <c r="P344" s="15">
        <v>8.65</v>
      </c>
      <c r="Q344" s="15"/>
      <c r="R344" s="15"/>
      <c r="S344" s="15" t="s">
        <v>1117</v>
      </c>
      <c r="T344" s="15"/>
      <c r="U344" s="15"/>
      <c r="V344" s="15"/>
      <c r="W344" s="15"/>
      <c r="X344" s="15"/>
      <c r="Y344" s="15" t="s">
        <v>218</v>
      </c>
      <c r="Z344" s="15" t="s">
        <v>373</v>
      </c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 t="s">
        <v>439</v>
      </c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61"/>
      <c r="BE344" s="61"/>
      <c r="BF344" s="15"/>
      <c r="BG344" s="15"/>
      <c r="BH344" s="15"/>
      <c r="BI344" s="15"/>
      <c r="BJ344" s="15"/>
      <c r="BK344" s="15"/>
      <c r="BL344" s="15"/>
      <c r="BM344" s="15"/>
      <c r="BN344" s="15"/>
      <c r="BO344" s="64"/>
      <c r="BP344" s="15"/>
      <c r="BQ344" s="15"/>
      <c r="BR344" s="15"/>
      <c r="BS344" s="64"/>
      <c r="BT344" s="64">
        <v>46138</v>
      </c>
      <c r="BU344" s="64">
        <v>46194</v>
      </c>
      <c r="BV344" s="15"/>
      <c r="BW344" s="64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15"/>
      <c r="CL344" s="68">
        <v>19</v>
      </c>
      <c r="CM344" s="68">
        <v>28</v>
      </c>
      <c r="CN344" s="68">
        <v>18</v>
      </c>
      <c r="CO344" s="68">
        <v>5</v>
      </c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  <c r="EE344" s="68"/>
      <c r="EF344" s="68"/>
      <c r="EG344" s="68"/>
      <c r="EH344" s="68"/>
      <c r="EI344" s="68"/>
      <c r="EJ344" s="68"/>
      <c r="EK344" s="68"/>
      <c r="EL344" s="68"/>
      <c r="EM344" s="68"/>
      <c r="EN344" s="68"/>
      <c r="EO344" s="68"/>
      <c r="EP344" s="68"/>
      <c r="EQ344" s="65">
        <f t="shared" si="37"/>
        <v>70</v>
      </c>
      <c r="ER344" s="6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 t="s">
        <v>202</v>
      </c>
      <c r="FF344" s="15"/>
      <c r="FG344" s="15"/>
      <c r="FH344" s="1" t="str">
        <f t="shared" si="38"/>
        <v>7105490840094702125947</v>
      </c>
      <c r="FI344" s="1" t="str">
        <f t="shared" si="39"/>
        <v>PRLS/25/12525, PRLS/25/13671</v>
      </c>
      <c r="FJ344" s="38" t="e">
        <f>VLOOKUP(FH344,[1]Sheet3!$A:$D,4,0)</f>
        <v>#N/A</v>
      </c>
      <c r="FL344" s="13"/>
    </row>
    <row r="345" spans="1:168" ht="21" hidden="1" x14ac:dyDescent="0.25">
      <c r="A345" s="15" t="s">
        <v>1096</v>
      </c>
      <c r="B345" s="15">
        <v>999</v>
      </c>
      <c r="C345" s="15" t="s">
        <v>1100</v>
      </c>
      <c r="D345" s="15" t="s">
        <v>1089</v>
      </c>
      <c r="E345" s="15" t="s">
        <v>210</v>
      </c>
      <c r="F345" s="15" t="s">
        <v>152</v>
      </c>
      <c r="G345" s="15" t="s">
        <v>321</v>
      </c>
      <c r="H345" s="15" t="s">
        <v>400</v>
      </c>
      <c r="I345" s="15" t="s">
        <v>381</v>
      </c>
      <c r="J345" s="15" t="s">
        <v>382</v>
      </c>
      <c r="K345" s="15"/>
      <c r="L345" s="15" t="s">
        <v>261</v>
      </c>
      <c r="M345" s="15" t="s">
        <v>1085</v>
      </c>
      <c r="N345" s="63">
        <v>1441</v>
      </c>
      <c r="O345" s="15"/>
      <c r="P345" s="15">
        <v>8.65</v>
      </c>
      <c r="Q345" s="15"/>
      <c r="R345" s="15"/>
      <c r="S345" s="15" t="s">
        <v>1117</v>
      </c>
      <c r="T345" s="15"/>
      <c r="U345" s="15"/>
      <c r="V345" s="15"/>
      <c r="W345" s="15"/>
      <c r="X345" s="15"/>
      <c r="Y345" s="15" t="s">
        <v>218</v>
      </c>
      <c r="Z345" s="15" t="s">
        <v>373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 t="s">
        <v>439</v>
      </c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61"/>
      <c r="BE345" s="61"/>
      <c r="BF345" s="15"/>
      <c r="BG345" s="15"/>
      <c r="BH345" s="15"/>
      <c r="BI345" s="15"/>
      <c r="BJ345" s="15"/>
      <c r="BK345" s="15"/>
      <c r="BL345" s="15"/>
      <c r="BM345" s="15"/>
      <c r="BN345" s="15"/>
      <c r="BO345" s="64"/>
      <c r="BP345" s="15"/>
      <c r="BQ345" s="15"/>
      <c r="BR345" s="15"/>
      <c r="BS345" s="64"/>
      <c r="BT345" s="64">
        <v>46138</v>
      </c>
      <c r="BU345" s="64">
        <v>46194</v>
      </c>
      <c r="BV345" s="15"/>
      <c r="BW345" s="64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15">
        <v>22</v>
      </c>
      <c r="CL345" s="68">
        <v>198</v>
      </c>
      <c r="CM345" s="68">
        <v>506</v>
      </c>
      <c r="CN345" s="68">
        <v>493</v>
      </c>
      <c r="CO345" s="68">
        <v>222</v>
      </c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  <c r="EE345" s="68"/>
      <c r="EF345" s="68"/>
      <c r="EG345" s="68"/>
      <c r="EH345" s="68"/>
      <c r="EI345" s="68"/>
      <c r="EJ345" s="68"/>
      <c r="EK345" s="68"/>
      <c r="EL345" s="68"/>
      <c r="EM345" s="68"/>
      <c r="EN345" s="68"/>
      <c r="EO345" s="68"/>
      <c r="EP345" s="68"/>
      <c r="EQ345" s="65">
        <f t="shared" si="37"/>
        <v>1441</v>
      </c>
      <c r="ER345" s="6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5"/>
      <c r="FD345" s="15"/>
      <c r="FE345" s="15" t="s">
        <v>202</v>
      </c>
      <c r="FF345" s="15"/>
      <c r="FG345" s="15"/>
      <c r="FH345" s="1" t="str">
        <f t="shared" si="38"/>
        <v>7105490840094702125946</v>
      </c>
      <c r="FI345" s="1" t="str">
        <f t="shared" si="39"/>
        <v>PRLS/25/12525, PRLS/25/13671</v>
      </c>
      <c r="FJ345" s="38" t="e">
        <f>VLOOKUP(FH345,[1]Sheet3!$A:$D,4,0)</f>
        <v>#N/A</v>
      </c>
      <c r="FL345" s="13"/>
    </row>
    <row r="346" spans="1:168" ht="21" hidden="1" x14ac:dyDescent="0.25">
      <c r="A346" s="15" t="s">
        <v>1103</v>
      </c>
      <c r="B346" s="15">
        <v>999</v>
      </c>
      <c r="C346" s="15" t="s">
        <v>1100</v>
      </c>
      <c r="D346" s="15" t="s">
        <v>1089</v>
      </c>
      <c r="E346" s="15" t="s">
        <v>210</v>
      </c>
      <c r="F346" s="15" t="s">
        <v>152</v>
      </c>
      <c r="G346" s="15" t="s">
        <v>321</v>
      </c>
      <c r="H346" s="15" t="s">
        <v>400</v>
      </c>
      <c r="I346" s="15" t="s">
        <v>381</v>
      </c>
      <c r="J346" s="15" t="s">
        <v>382</v>
      </c>
      <c r="K346" s="15"/>
      <c r="L346" s="15" t="s">
        <v>261</v>
      </c>
      <c r="M346" s="15" t="s">
        <v>1085</v>
      </c>
      <c r="N346" s="63">
        <v>155</v>
      </c>
      <c r="O346" s="15"/>
      <c r="P346" s="15">
        <v>8.65</v>
      </c>
      <c r="Q346" s="15"/>
      <c r="R346" s="15"/>
      <c r="S346" s="15" t="s">
        <v>1117</v>
      </c>
      <c r="T346" s="15"/>
      <c r="U346" s="15"/>
      <c r="V346" s="15"/>
      <c r="W346" s="15"/>
      <c r="X346" s="15"/>
      <c r="Y346" s="15" t="s">
        <v>218</v>
      </c>
      <c r="Z346" s="15" t="s">
        <v>373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 t="s">
        <v>1131</v>
      </c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61"/>
      <c r="BE346" s="61"/>
      <c r="BF346" s="15"/>
      <c r="BG346" s="15"/>
      <c r="BH346" s="15"/>
      <c r="BI346" s="15"/>
      <c r="BJ346" s="15"/>
      <c r="BK346" s="15"/>
      <c r="BL346" s="15"/>
      <c r="BM346" s="15"/>
      <c r="BN346" s="15"/>
      <c r="BO346" s="64"/>
      <c r="BP346" s="15"/>
      <c r="BQ346" s="15"/>
      <c r="BR346" s="15"/>
      <c r="BS346" s="64"/>
      <c r="BT346" s="64">
        <v>46138</v>
      </c>
      <c r="BU346" s="64">
        <v>46194</v>
      </c>
      <c r="BV346" s="15"/>
      <c r="BW346" s="64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15">
        <v>11</v>
      </c>
      <c r="CL346" s="68"/>
      <c r="CM346" s="68"/>
      <c r="CN346" s="68"/>
      <c r="CO346" s="68">
        <v>69</v>
      </c>
      <c r="CP346" s="68">
        <v>75</v>
      </c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  <c r="EE346" s="68"/>
      <c r="EF346" s="68"/>
      <c r="EG346" s="68"/>
      <c r="EH346" s="68"/>
      <c r="EI346" s="68"/>
      <c r="EJ346" s="68"/>
      <c r="EK346" s="68"/>
      <c r="EL346" s="68"/>
      <c r="EM346" s="68"/>
      <c r="EN346" s="68"/>
      <c r="EO346" s="68"/>
      <c r="EP346" s="68"/>
      <c r="EQ346" s="65">
        <f>SUM(BX346:EP346)</f>
        <v>155</v>
      </c>
      <c r="ER346" s="6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 t="s">
        <v>202</v>
      </c>
      <c r="FF346" s="15"/>
      <c r="FG346" s="15"/>
      <c r="FH346" s="1" t="str">
        <f>H346&amp;D346</f>
        <v>7105490840094702125946</v>
      </c>
      <c r="FI346" s="1" t="str">
        <f>A346</f>
        <v>PRLS/25/14124</v>
      </c>
      <c r="FJ346" s="38" t="e">
        <f>VLOOKUP(FH346,[1]Sheet3!$A:$D,4,0)</f>
        <v>#N/A</v>
      </c>
      <c r="FL346" s="13"/>
    </row>
    <row r="347" spans="1:168" ht="21" hidden="1" x14ac:dyDescent="0.25">
      <c r="A347" s="15" t="s">
        <v>140</v>
      </c>
      <c r="B347" s="15">
        <v>999</v>
      </c>
      <c r="C347" s="15" t="s">
        <v>140</v>
      </c>
      <c r="D347" s="15" t="s">
        <v>140</v>
      </c>
      <c r="E347" s="15" t="s">
        <v>140</v>
      </c>
      <c r="F347" s="15" t="s">
        <v>140</v>
      </c>
      <c r="G347" s="15" t="s">
        <v>140</v>
      </c>
      <c r="H347" s="15" t="s">
        <v>400</v>
      </c>
      <c r="I347" s="15" t="s">
        <v>381</v>
      </c>
      <c r="J347" s="15" t="s">
        <v>382</v>
      </c>
      <c r="K347" s="15"/>
      <c r="L347" s="15" t="s">
        <v>261</v>
      </c>
      <c r="M347" s="15" t="s">
        <v>1085</v>
      </c>
      <c r="N347" s="63">
        <v>332</v>
      </c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61"/>
      <c r="BE347" s="61"/>
      <c r="BF347" s="15"/>
      <c r="BG347" s="15"/>
      <c r="BH347" s="15"/>
      <c r="BI347" s="15"/>
      <c r="BJ347" s="15"/>
      <c r="BK347" s="15"/>
      <c r="BL347" s="15"/>
      <c r="BM347" s="15"/>
      <c r="BN347" s="15"/>
      <c r="BO347" s="64"/>
      <c r="BP347" s="15"/>
      <c r="BQ347" s="15"/>
      <c r="BR347" s="15"/>
      <c r="BS347" s="64"/>
      <c r="BT347" s="64"/>
      <c r="BU347" s="64"/>
      <c r="BV347" s="15"/>
      <c r="BW347" s="64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15">
        <v>0</v>
      </c>
      <c r="CL347" s="68">
        <v>61</v>
      </c>
      <c r="CM347" s="68">
        <v>175</v>
      </c>
      <c r="CN347" s="68">
        <v>96</v>
      </c>
      <c r="CO347" s="68">
        <v>0</v>
      </c>
      <c r="CP347" s="68">
        <v>0</v>
      </c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  <c r="EE347" s="68"/>
      <c r="EF347" s="68"/>
      <c r="EG347" s="68"/>
      <c r="EH347" s="68"/>
      <c r="EI347" s="68"/>
      <c r="EJ347" s="68"/>
      <c r="EK347" s="68"/>
      <c r="EL347" s="68"/>
      <c r="EM347" s="68"/>
      <c r="EN347" s="68"/>
      <c r="EO347" s="68"/>
      <c r="EP347" s="68"/>
      <c r="EQ347" s="65">
        <f t="shared" si="37"/>
        <v>332</v>
      </c>
      <c r="ER347" s="6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" t="str">
        <f t="shared" si="38"/>
        <v>710549084009TBC</v>
      </c>
      <c r="FI347" s="1" t="str">
        <f t="shared" si="39"/>
        <v>TBC</v>
      </c>
      <c r="FJ347" s="38"/>
      <c r="FL347" s="13"/>
    </row>
    <row r="348" spans="1:168" ht="21" hidden="1" x14ac:dyDescent="0.25">
      <c r="A348" s="15" t="s">
        <v>1104</v>
      </c>
      <c r="B348" s="15">
        <v>999</v>
      </c>
      <c r="C348" s="15" t="s">
        <v>1100</v>
      </c>
      <c r="D348" s="15" t="s">
        <v>1089</v>
      </c>
      <c r="E348" s="15" t="s">
        <v>210</v>
      </c>
      <c r="F348" s="15" t="s">
        <v>152</v>
      </c>
      <c r="G348" s="15" t="s">
        <v>321</v>
      </c>
      <c r="H348" s="15" t="s">
        <v>402</v>
      </c>
      <c r="I348" s="15" t="s">
        <v>381</v>
      </c>
      <c r="J348" s="15" t="s">
        <v>382</v>
      </c>
      <c r="K348" s="15"/>
      <c r="L348" s="15" t="s">
        <v>261</v>
      </c>
      <c r="M348" s="15" t="s">
        <v>1086</v>
      </c>
      <c r="N348" s="63">
        <v>443</v>
      </c>
      <c r="O348" s="15"/>
      <c r="P348" s="15">
        <v>8.77</v>
      </c>
      <c r="Q348" s="15"/>
      <c r="R348" s="15"/>
      <c r="S348" s="15" t="s">
        <v>1117</v>
      </c>
      <c r="T348" s="15"/>
      <c r="U348" s="15"/>
      <c r="V348" s="15"/>
      <c r="W348" s="15"/>
      <c r="X348" s="15"/>
      <c r="Y348" s="15" t="s">
        <v>218</v>
      </c>
      <c r="Z348" s="15" t="s">
        <v>373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 t="s">
        <v>1131</v>
      </c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61"/>
      <c r="BE348" s="61"/>
      <c r="BF348" s="15"/>
      <c r="BG348" s="15"/>
      <c r="BH348" s="15"/>
      <c r="BI348" s="15"/>
      <c r="BJ348" s="15"/>
      <c r="BK348" s="15"/>
      <c r="BL348" s="15"/>
      <c r="BM348" s="15"/>
      <c r="BN348" s="15"/>
      <c r="BO348" s="64"/>
      <c r="BP348" s="15"/>
      <c r="BQ348" s="15"/>
      <c r="BR348" s="15"/>
      <c r="BS348" s="64"/>
      <c r="BT348" s="64">
        <v>46138</v>
      </c>
      <c r="BU348" s="64">
        <v>46194</v>
      </c>
      <c r="BV348" s="15"/>
      <c r="BW348" s="64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15"/>
      <c r="CL348" s="68">
        <v>50</v>
      </c>
      <c r="CM348" s="68">
        <v>138</v>
      </c>
      <c r="CN348" s="68">
        <v>144</v>
      </c>
      <c r="CO348" s="68">
        <v>81</v>
      </c>
      <c r="CP348" s="68">
        <v>30</v>
      </c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  <c r="EE348" s="68"/>
      <c r="EF348" s="68"/>
      <c r="EG348" s="68"/>
      <c r="EH348" s="68"/>
      <c r="EI348" s="68"/>
      <c r="EJ348" s="68"/>
      <c r="EK348" s="68"/>
      <c r="EL348" s="68"/>
      <c r="EM348" s="68"/>
      <c r="EN348" s="68"/>
      <c r="EO348" s="68"/>
      <c r="EP348" s="68"/>
      <c r="EQ348" s="65">
        <f t="shared" si="37"/>
        <v>443</v>
      </c>
      <c r="ER348" s="6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 t="s">
        <v>202</v>
      </c>
      <c r="FF348" s="15"/>
      <c r="FG348" s="15"/>
      <c r="FH348" s="1" t="str">
        <f t="shared" si="38"/>
        <v>7105490840104702125946</v>
      </c>
      <c r="FI348" s="1" t="str">
        <f t="shared" si="39"/>
        <v>PRLS/25/14125</v>
      </c>
      <c r="FJ348" s="38" t="e">
        <f>VLOOKUP(FH348,[1]Sheet3!$A:$D,4,0)</f>
        <v>#N/A</v>
      </c>
      <c r="FL348" s="13"/>
    </row>
    <row r="349" spans="1:168" ht="21" hidden="1" x14ac:dyDescent="0.25">
      <c r="A349" s="15" t="s">
        <v>1135</v>
      </c>
      <c r="B349" s="15">
        <v>999</v>
      </c>
      <c r="C349" s="15" t="s">
        <v>1100</v>
      </c>
      <c r="D349" s="15" t="s">
        <v>1090</v>
      </c>
      <c r="E349" s="15" t="s">
        <v>253</v>
      </c>
      <c r="F349" s="15" t="s">
        <v>254</v>
      </c>
      <c r="G349" s="15" t="s">
        <v>354</v>
      </c>
      <c r="H349" s="15" t="s">
        <v>449</v>
      </c>
      <c r="I349" s="15" t="s">
        <v>450</v>
      </c>
      <c r="J349" s="15" t="s">
        <v>451</v>
      </c>
      <c r="K349" s="15"/>
      <c r="L349" s="15" t="s">
        <v>262</v>
      </c>
      <c r="M349" s="15" t="s">
        <v>187</v>
      </c>
      <c r="N349" s="63">
        <v>361</v>
      </c>
      <c r="O349" s="15"/>
      <c r="P349" s="15">
        <v>7.82</v>
      </c>
      <c r="Q349" s="15"/>
      <c r="R349" s="15"/>
      <c r="S349" s="15" t="s">
        <v>1117</v>
      </c>
      <c r="T349" s="15"/>
      <c r="U349" s="15"/>
      <c r="V349" s="15"/>
      <c r="W349" s="15"/>
      <c r="X349" s="15"/>
      <c r="Y349" s="15" t="s">
        <v>218</v>
      </c>
      <c r="Z349" s="15" t="s">
        <v>373</v>
      </c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 t="s">
        <v>1131</v>
      </c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61"/>
      <c r="BE349" s="61"/>
      <c r="BF349" s="15"/>
      <c r="BG349" s="15"/>
      <c r="BH349" s="15"/>
      <c r="BI349" s="15"/>
      <c r="BJ349" s="15"/>
      <c r="BK349" s="15"/>
      <c r="BL349" s="15"/>
      <c r="BM349" s="15"/>
      <c r="BN349" s="15"/>
      <c r="BO349" s="64"/>
      <c r="BP349" s="15"/>
      <c r="BQ349" s="15"/>
      <c r="BR349" s="15"/>
      <c r="BS349" s="64"/>
      <c r="BT349" s="64">
        <v>46138</v>
      </c>
      <c r="BU349" s="64">
        <v>46194</v>
      </c>
      <c r="BV349" s="15"/>
      <c r="BW349" s="64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15"/>
      <c r="CL349" s="68">
        <v>31</v>
      </c>
      <c r="CM349" s="68">
        <v>95</v>
      </c>
      <c r="CN349" s="68">
        <v>125</v>
      </c>
      <c r="CO349" s="68">
        <v>108</v>
      </c>
      <c r="CP349" s="68">
        <v>2</v>
      </c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  <c r="EE349" s="68"/>
      <c r="EF349" s="68"/>
      <c r="EG349" s="68"/>
      <c r="EH349" s="68"/>
      <c r="EI349" s="68"/>
      <c r="EJ349" s="68"/>
      <c r="EK349" s="68"/>
      <c r="EL349" s="68"/>
      <c r="EM349" s="68"/>
      <c r="EN349" s="68"/>
      <c r="EO349" s="68"/>
      <c r="EP349" s="68"/>
      <c r="EQ349" s="65">
        <f t="shared" si="37"/>
        <v>361</v>
      </c>
      <c r="ER349" s="6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 t="s">
        <v>202</v>
      </c>
      <c r="FF349" s="15"/>
      <c r="FG349" s="15"/>
      <c r="FH349" s="1" t="str">
        <f t="shared" si="38"/>
        <v>7107920410014702125949</v>
      </c>
      <c r="FI349" s="1" t="str">
        <f t="shared" si="39"/>
        <v>PRLS/25/12522, PRLS/25/13672, PRLS/25/13968</v>
      </c>
      <c r="FJ349" s="38" t="e">
        <f>VLOOKUP(FH349,[1]Sheet3!$A:$D,4,0)</f>
        <v>#N/A</v>
      </c>
      <c r="FL349" s="13"/>
    </row>
    <row r="350" spans="1:168" ht="21" hidden="1" x14ac:dyDescent="0.25">
      <c r="A350" s="15" t="s">
        <v>1105</v>
      </c>
      <c r="B350" s="15">
        <v>999</v>
      </c>
      <c r="C350" s="15" t="s">
        <v>1100</v>
      </c>
      <c r="D350" s="15" t="s">
        <v>1090</v>
      </c>
      <c r="E350" s="15" t="s">
        <v>253</v>
      </c>
      <c r="F350" s="15" t="s">
        <v>254</v>
      </c>
      <c r="G350" s="15" t="s">
        <v>354</v>
      </c>
      <c r="H350" s="15" t="s">
        <v>449</v>
      </c>
      <c r="I350" s="15" t="s">
        <v>450</v>
      </c>
      <c r="J350" s="15" t="s">
        <v>451</v>
      </c>
      <c r="K350" s="15"/>
      <c r="L350" s="15" t="s">
        <v>262</v>
      </c>
      <c r="M350" s="15" t="s">
        <v>187</v>
      </c>
      <c r="N350" s="63">
        <v>18</v>
      </c>
      <c r="O350" s="15"/>
      <c r="P350" s="15">
        <v>7.82</v>
      </c>
      <c r="Q350" s="15"/>
      <c r="R350" s="15"/>
      <c r="S350" s="15" t="s">
        <v>1117</v>
      </c>
      <c r="T350" s="15"/>
      <c r="U350" s="15"/>
      <c r="V350" s="15"/>
      <c r="W350" s="15"/>
      <c r="X350" s="15"/>
      <c r="Y350" s="15" t="s">
        <v>218</v>
      </c>
      <c r="Z350" s="15" t="s">
        <v>373</v>
      </c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 t="s">
        <v>1131</v>
      </c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61"/>
      <c r="BE350" s="61"/>
      <c r="BF350" s="15"/>
      <c r="BG350" s="15"/>
      <c r="BH350" s="15"/>
      <c r="BI350" s="15"/>
      <c r="BJ350" s="15"/>
      <c r="BK350" s="15"/>
      <c r="BL350" s="15"/>
      <c r="BM350" s="15"/>
      <c r="BN350" s="15"/>
      <c r="BO350" s="64"/>
      <c r="BP350" s="15"/>
      <c r="BQ350" s="15"/>
      <c r="BR350" s="15"/>
      <c r="BS350" s="64"/>
      <c r="BT350" s="64">
        <v>46138</v>
      </c>
      <c r="BU350" s="64">
        <v>46194</v>
      </c>
      <c r="BV350" s="15"/>
      <c r="BW350" s="64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15">
        <v>3</v>
      </c>
      <c r="CL350" s="68"/>
      <c r="CM350" s="68"/>
      <c r="CN350" s="68"/>
      <c r="CO350" s="68"/>
      <c r="CP350" s="68"/>
      <c r="CQ350" s="68">
        <v>15</v>
      </c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  <c r="EE350" s="68"/>
      <c r="EF350" s="68"/>
      <c r="EG350" s="68"/>
      <c r="EH350" s="68"/>
      <c r="EI350" s="68"/>
      <c r="EJ350" s="68"/>
      <c r="EK350" s="68"/>
      <c r="EL350" s="68"/>
      <c r="EM350" s="68"/>
      <c r="EN350" s="68"/>
      <c r="EO350" s="68"/>
      <c r="EP350" s="68"/>
      <c r="EQ350" s="65">
        <f t="shared" si="37"/>
        <v>18</v>
      </c>
      <c r="ER350" s="6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 t="s">
        <v>202</v>
      </c>
      <c r="FF350" s="15"/>
      <c r="FG350" s="15"/>
      <c r="FH350" s="1" t="str">
        <f t="shared" si="38"/>
        <v>7107920410014702125949</v>
      </c>
      <c r="FI350" s="1" t="str">
        <f t="shared" si="39"/>
        <v>PRLS/25/14126</v>
      </c>
      <c r="FJ350" s="38" t="e">
        <f>VLOOKUP(FH350,[1]Sheet3!$A:$D,4,0)</f>
        <v>#N/A</v>
      </c>
      <c r="FL350" s="13"/>
    </row>
    <row r="351" spans="1:168" ht="21" hidden="1" x14ac:dyDescent="0.25">
      <c r="A351" s="15" t="s">
        <v>1135</v>
      </c>
      <c r="B351" s="15">
        <v>999</v>
      </c>
      <c r="C351" s="15" t="s">
        <v>1100</v>
      </c>
      <c r="D351" s="15" t="s">
        <v>1091</v>
      </c>
      <c r="E351" s="15" t="s">
        <v>210</v>
      </c>
      <c r="F351" s="15" t="s">
        <v>152</v>
      </c>
      <c r="G351" s="15" t="s">
        <v>321</v>
      </c>
      <c r="H351" s="15" t="s">
        <v>449</v>
      </c>
      <c r="I351" s="15" t="s">
        <v>450</v>
      </c>
      <c r="J351" s="15" t="s">
        <v>451</v>
      </c>
      <c r="K351" s="15"/>
      <c r="L351" s="15" t="s">
        <v>262</v>
      </c>
      <c r="M351" s="15" t="s">
        <v>187</v>
      </c>
      <c r="N351" s="63">
        <v>3162</v>
      </c>
      <c r="O351" s="15"/>
      <c r="P351" s="15">
        <v>7.82</v>
      </c>
      <c r="Q351" s="15"/>
      <c r="R351" s="15"/>
      <c r="S351" s="15" t="s">
        <v>1117</v>
      </c>
      <c r="T351" s="15"/>
      <c r="U351" s="15"/>
      <c r="V351" s="15"/>
      <c r="W351" s="15"/>
      <c r="X351" s="15"/>
      <c r="Y351" s="15" t="s">
        <v>218</v>
      </c>
      <c r="Z351" s="15" t="s">
        <v>373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 t="s">
        <v>1131</v>
      </c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61"/>
      <c r="BE351" s="61"/>
      <c r="BF351" s="15"/>
      <c r="BG351" s="15"/>
      <c r="BH351" s="15"/>
      <c r="BI351" s="15"/>
      <c r="BJ351" s="15"/>
      <c r="BK351" s="15"/>
      <c r="BL351" s="15"/>
      <c r="BM351" s="15"/>
      <c r="BN351" s="15"/>
      <c r="BO351" s="64"/>
      <c r="BP351" s="15"/>
      <c r="BQ351" s="15"/>
      <c r="BR351" s="15"/>
      <c r="BS351" s="64"/>
      <c r="BT351" s="64">
        <v>46138</v>
      </c>
      <c r="BU351" s="64">
        <v>46194</v>
      </c>
      <c r="BV351" s="15"/>
      <c r="BW351" s="64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15"/>
      <c r="CL351" s="68">
        <v>426</v>
      </c>
      <c r="CM351" s="68">
        <v>1044</v>
      </c>
      <c r="CN351" s="68">
        <v>1084</v>
      </c>
      <c r="CO351" s="68">
        <v>466</v>
      </c>
      <c r="CP351" s="68">
        <v>142</v>
      </c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  <c r="EE351" s="68"/>
      <c r="EF351" s="68"/>
      <c r="EG351" s="68"/>
      <c r="EH351" s="68"/>
      <c r="EI351" s="68"/>
      <c r="EJ351" s="68"/>
      <c r="EK351" s="68"/>
      <c r="EL351" s="68"/>
      <c r="EM351" s="68"/>
      <c r="EN351" s="68"/>
      <c r="EO351" s="68"/>
      <c r="EP351" s="68"/>
      <c r="EQ351" s="65">
        <f>SUM(BX351:EP351)</f>
        <v>3162</v>
      </c>
      <c r="ER351" s="6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 t="s">
        <v>202</v>
      </c>
      <c r="FF351" s="15"/>
      <c r="FG351" s="15"/>
      <c r="FH351" s="1" t="str">
        <f>H351&amp;D351</f>
        <v>7107920410014702125948</v>
      </c>
      <c r="FI351" s="1" t="str">
        <f>A351</f>
        <v>PRLS/25/12522, PRLS/25/13672, PRLS/25/13968</v>
      </c>
      <c r="FJ351" s="38" t="e">
        <f>VLOOKUP(FH351,[1]Sheet3!$A:$D,4,0)</f>
        <v>#N/A</v>
      </c>
      <c r="FL351" s="13"/>
    </row>
    <row r="352" spans="1:168" ht="21" hidden="1" x14ac:dyDescent="0.25">
      <c r="A352" s="15" t="s">
        <v>1105</v>
      </c>
      <c r="B352" s="15">
        <v>999</v>
      </c>
      <c r="C352" s="15" t="s">
        <v>1100</v>
      </c>
      <c r="D352" s="15" t="s">
        <v>1091</v>
      </c>
      <c r="E352" s="15" t="s">
        <v>210</v>
      </c>
      <c r="F352" s="15" t="s">
        <v>152</v>
      </c>
      <c r="G352" s="15" t="s">
        <v>321</v>
      </c>
      <c r="H352" s="15" t="s">
        <v>449</v>
      </c>
      <c r="I352" s="15" t="s">
        <v>450</v>
      </c>
      <c r="J352" s="15" t="s">
        <v>451</v>
      </c>
      <c r="K352" s="15"/>
      <c r="L352" s="15" t="s">
        <v>262</v>
      </c>
      <c r="M352" s="15" t="s">
        <v>187</v>
      </c>
      <c r="N352" s="63">
        <v>52</v>
      </c>
      <c r="O352" s="15"/>
      <c r="P352" s="15">
        <v>7.82</v>
      </c>
      <c r="Q352" s="15"/>
      <c r="R352" s="15"/>
      <c r="S352" s="15" t="s">
        <v>1117</v>
      </c>
      <c r="T352" s="15"/>
      <c r="U352" s="15"/>
      <c r="V352" s="15"/>
      <c r="W352" s="15"/>
      <c r="X352" s="15"/>
      <c r="Y352" s="15" t="s">
        <v>218</v>
      </c>
      <c r="Z352" s="15" t="s">
        <v>373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 t="s">
        <v>1131</v>
      </c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61"/>
      <c r="BE352" s="61"/>
      <c r="BF352" s="15"/>
      <c r="BG352" s="15"/>
      <c r="BH352" s="15"/>
      <c r="BI352" s="15"/>
      <c r="BJ352" s="15"/>
      <c r="BK352" s="15"/>
      <c r="BL352" s="15"/>
      <c r="BM352" s="15"/>
      <c r="BN352" s="15"/>
      <c r="BO352" s="64"/>
      <c r="BP352" s="15"/>
      <c r="BQ352" s="15"/>
      <c r="BR352" s="15"/>
      <c r="BS352" s="64"/>
      <c r="BT352" s="64">
        <v>46138</v>
      </c>
      <c r="BU352" s="64">
        <v>46194</v>
      </c>
      <c r="BV352" s="15"/>
      <c r="BW352" s="64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15"/>
      <c r="CL352" s="68">
        <v>0</v>
      </c>
      <c r="CM352" s="68">
        <v>0</v>
      </c>
      <c r="CN352" s="68">
        <v>0</v>
      </c>
      <c r="CO352" s="68">
        <v>0</v>
      </c>
      <c r="CP352" s="68">
        <v>52</v>
      </c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  <c r="EE352" s="68"/>
      <c r="EF352" s="68"/>
      <c r="EG352" s="68"/>
      <c r="EH352" s="68"/>
      <c r="EI352" s="68"/>
      <c r="EJ352" s="68"/>
      <c r="EK352" s="68"/>
      <c r="EL352" s="68"/>
      <c r="EM352" s="68"/>
      <c r="EN352" s="68"/>
      <c r="EO352" s="68"/>
      <c r="EP352" s="68"/>
      <c r="EQ352" s="65">
        <f t="shared" si="37"/>
        <v>52</v>
      </c>
      <c r="ER352" s="6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 t="s">
        <v>202</v>
      </c>
      <c r="FF352" s="15"/>
      <c r="FG352" s="15"/>
      <c r="FH352" s="1" t="str">
        <f t="shared" si="38"/>
        <v>7107920410014702125948</v>
      </c>
      <c r="FI352" s="1" t="str">
        <f t="shared" si="39"/>
        <v>PRLS/25/14126</v>
      </c>
      <c r="FJ352" s="38" t="e">
        <f>VLOOKUP(FH352,[1]Sheet3!$A:$D,4,0)</f>
        <v>#N/A</v>
      </c>
      <c r="FL352" s="13"/>
    </row>
    <row r="353" spans="1:168" ht="21" hidden="1" x14ac:dyDescent="0.25">
      <c r="A353" s="15" t="s">
        <v>1097</v>
      </c>
      <c r="B353" s="15">
        <v>999</v>
      </c>
      <c r="C353" s="15" t="s">
        <v>1100</v>
      </c>
      <c r="D353" s="15" t="s">
        <v>1090</v>
      </c>
      <c r="E353" s="15" t="s">
        <v>253</v>
      </c>
      <c r="F353" s="15" t="s">
        <v>254</v>
      </c>
      <c r="G353" s="15" t="s">
        <v>354</v>
      </c>
      <c r="H353" s="15" t="s">
        <v>452</v>
      </c>
      <c r="I353" s="15" t="s">
        <v>450</v>
      </c>
      <c r="J353" s="15" t="s">
        <v>451</v>
      </c>
      <c r="K353" s="15"/>
      <c r="L353" s="15" t="s">
        <v>262</v>
      </c>
      <c r="M353" s="15" t="s">
        <v>343</v>
      </c>
      <c r="N353" s="63">
        <v>143</v>
      </c>
      <c r="O353" s="15"/>
      <c r="P353" s="15">
        <v>8.2799999999999994</v>
      </c>
      <c r="Q353" s="15"/>
      <c r="R353" s="15"/>
      <c r="S353" s="15" t="s">
        <v>1117</v>
      </c>
      <c r="T353" s="15"/>
      <c r="U353" s="15"/>
      <c r="V353" s="15"/>
      <c r="W353" s="15"/>
      <c r="X353" s="15"/>
      <c r="Y353" s="15" t="s">
        <v>218</v>
      </c>
      <c r="Z353" s="15" t="s">
        <v>373</v>
      </c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 t="s">
        <v>439</v>
      </c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61"/>
      <c r="BE353" s="61"/>
      <c r="BF353" s="15"/>
      <c r="BG353" s="15"/>
      <c r="BH353" s="15"/>
      <c r="BI353" s="15"/>
      <c r="BJ353" s="15"/>
      <c r="BK353" s="15"/>
      <c r="BL353" s="15"/>
      <c r="BM353" s="15"/>
      <c r="BN353" s="15"/>
      <c r="BO353" s="64"/>
      <c r="BP353" s="15"/>
      <c r="BQ353" s="15"/>
      <c r="BR353" s="15"/>
      <c r="BS353" s="64"/>
      <c r="BT353" s="64">
        <v>46138</v>
      </c>
      <c r="BU353" s="64">
        <v>46194</v>
      </c>
      <c r="BV353" s="15"/>
      <c r="BW353" s="64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15"/>
      <c r="CL353" s="68">
        <v>14</v>
      </c>
      <c r="CM353" s="68">
        <v>88</v>
      </c>
      <c r="CN353" s="68">
        <v>15</v>
      </c>
      <c r="CO353" s="68">
        <v>26</v>
      </c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  <c r="EE353" s="68"/>
      <c r="EF353" s="68"/>
      <c r="EG353" s="68"/>
      <c r="EH353" s="68"/>
      <c r="EI353" s="68"/>
      <c r="EJ353" s="68"/>
      <c r="EK353" s="68"/>
      <c r="EL353" s="68"/>
      <c r="EM353" s="68"/>
      <c r="EN353" s="68"/>
      <c r="EO353" s="68"/>
      <c r="EP353" s="68"/>
      <c r="EQ353" s="65">
        <f>SUM(BX353:EP353)</f>
        <v>143</v>
      </c>
      <c r="ER353" s="6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 t="s">
        <v>202</v>
      </c>
      <c r="FF353" s="15"/>
      <c r="FG353" s="15"/>
      <c r="FH353" s="1" t="str">
        <f>H353&amp;D353</f>
        <v>7107920410024702125949</v>
      </c>
      <c r="FI353" s="1" t="str">
        <f>A353</f>
        <v>PRLS/25/12515, PRLS/25/13673</v>
      </c>
      <c r="FJ353" s="38" t="e">
        <f>VLOOKUP(FH353,[1]Sheet3!$A:$D,4,0)</f>
        <v>#N/A</v>
      </c>
      <c r="FL353" s="13"/>
    </row>
    <row r="354" spans="1:168" ht="21" hidden="1" x14ac:dyDescent="0.25">
      <c r="A354" s="15" t="s">
        <v>1106</v>
      </c>
      <c r="B354" s="15">
        <v>999</v>
      </c>
      <c r="C354" s="15" t="s">
        <v>1100</v>
      </c>
      <c r="D354" s="15" t="s">
        <v>1090</v>
      </c>
      <c r="E354" s="15" t="s">
        <v>253</v>
      </c>
      <c r="F354" s="15" t="s">
        <v>254</v>
      </c>
      <c r="G354" s="15" t="s">
        <v>354</v>
      </c>
      <c r="H354" s="15" t="s">
        <v>452</v>
      </c>
      <c r="I354" s="15" t="s">
        <v>450</v>
      </c>
      <c r="J354" s="15" t="s">
        <v>451</v>
      </c>
      <c r="K354" s="15"/>
      <c r="L354" s="15" t="s">
        <v>262</v>
      </c>
      <c r="M354" s="15" t="s">
        <v>343</v>
      </c>
      <c r="N354" s="63">
        <v>97</v>
      </c>
      <c r="O354" s="15"/>
      <c r="P354" s="15">
        <v>8.2799999999999994</v>
      </c>
      <c r="Q354" s="15"/>
      <c r="R354" s="15"/>
      <c r="S354" s="15" t="s">
        <v>1117</v>
      </c>
      <c r="T354" s="15"/>
      <c r="U354" s="15"/>
      <c r="V354" s="15"/>
      <c r="W354" s="15"/>
      <c r="X354" s="15"/>
      <c r="Y354" s="15" t="s">
        <v>218</v>
      </c>
      <c r="Z354" s="15" t="s">
        <v>373</v>
      </c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 t="s">
        <v>1131</v>
      </c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61"/>
      <c r="BE354" s="61"/>
      <c r="BF354" s="15"/>
      <c r="BG354" s="15"/>
      <c r="BH354" s="15"/>
      <c r="BI354" s="15"/>
      <c r="BJ354" s="15"/>
      <c r="BK354" s="15"/>
      <c r="BL354" s="15"/>
      <c r="BM354" s="15"/>
      <c r="BN354" s="15"/>
      <c r="BO354" s="64"/>
      <c r="BP354" s="15"/>
      <c r="BQ354" s="15"/>
      <c r="BR354" s="15"/>
      <c r="BS354" s="64"/>
      <c r="BT354" s="64">
        <v>46138</v>
      </c>
      <c r="BU354" s="64">
        <v>46194</v>
      </c>
      <c r="BV354" s="15"/>
      <c r="BW354" s="64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15">
        <v>0</v>
      </c>
      <c r="CL354" s="68">
        <v>0</v>
      </c>
      <c r="CM354" s="68">
        <v>0</v>
      </c>
      <c r="CN354" s="68">
        <v>16</v>
      </c>
      <c r="CO354" s="68">
        <v>66</v>
      </c>
      <c r="CP354" s="68">
        <v>0</v>
      </c>
      <c r="CQ354" s="68">
        <v>15</v>
      </c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  <c r="EE354" s="68"/>
      <c r="EF354" s="68"/>
      <c r="EG354" s="68"/>
      <c r="EH354" s="68"/>
      <c r="EI354" s="68"/>
      <c r="EJ354" s="68"/>
      <c r="EK354" s="68"/>
      <c r="EL354" s="68"/>
      <c r="EM354" s="68"/>
      <c r="EN354" s="68"/>
      <c r="EO354" s="68"/>
      <c r="EP354" s="68"/>
      <c r="EQ354" s="65">
        <f t="shared" si="37"/>
        <v>97</v>
      </c>
      <c r="ER354" s="6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 t="s">
        <v>202</v>
      </c>
      <c r="FF354" s="15"/>
      <c r="FG354" s="15"/>
      <c r="FH354" s="1" t="str">
        <f t="shared" si="38"/>
        <v>7107920410024702125949</v>
      </c>
      <c r="FI354" s="1" t="str">
        <f t="shared" si="39"/>
        <v>PRLS/25/14127</v>
      </c>
      <c r="FJ354" s="38" t="e">
        <f>VLOOKUP(FH354,[1]Sheet3!$A:$D,4,0)</f>
        <v>#N/A</v>
      </c>
      <c r="FL354" s="13"/>
    </row>
    <row r="355" spans="1:168" ht="21" hidden="1" x14ac:dyDescent="0.25">
      <c r="A355" s="15" t="s">
        <v>1097</v>
      </c>
      <c r="B355" s="15">
        <v>999</v>
      </c>
      <c r="C355" s="15" t="s">
        <v>1100</v>
      </c>
      <c r="D355" s="15" t="s">
        <v>1091</v>
      </c>
      <c r="E355" s="15" t="s">
        <v>210</v>
      </c>
      <c r="F355" s="15" t="s">
        <v>152</v>
      </c>
      <c r="G355" s="15" t="s">
        <v>321</v>
      </c>
      <c r="H355" s="15" t="s">
        <v>452</v>
      </c>
      <c r="I355" s="15" t="s">
        <v>450</v>
      </c>
      <c r="J355" s="15" t="s">
        <v>451</v>
      </c>
      <c r="K355" s="15"/>
      <c r="L355" s="15" t="s">
        <v>262</v>
      </c>
      <c r="M355" s="15" t="s">
        <v>343</v>
      </c>
      <c r="N355" s="63">
        <v>2630</v>
      </c>
      <c r="O355" s="15"/>
      <c r="P355" s="15">
        <v>8.2799999999999994</v>
      </c>
      <c r="Q355" s="15"/>
      <c r="R355" s="15"/>
      <c r="S355" s="15" t="s">
        <v>1117</v>
      </c>
      <c r="T355" s="15"/>
      <c r="U355" s="15"/>
      <c r="V355" s="15"/>
      <c r="W355" s="15"/>
      <c r="X355" s="15"/>
      <c r="Y355" s="15" t="s">
        <v>218</v>
      </c>
      <c r="Z355" s="15" t="s">
        <v>373</v>
      </c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 t="s">
        <v>439</v>
      </c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61"/>
      <c r="BE355" s="61"/>
      <c r="BF355" s="15"/>
      <c r="BG355" s="15"/>
      <c r="BH355" s="15"/>
      <c r="BI355" s="15"/>
      <c r="BJ355" s="15"/>
      <c r="BK355" s="15"/>
      <c r="BL355" s="15"/>
      <c r="BM355" s="15"/>
      <c r="BN355" s="15"/>
      <c r="BO355" s="64"/>
      <c r="BP355" s="15"/>
      <c r="BQ355" s="15"/>
      <c r="BR355" s="15"/>
      <c r="BS355" s="64"/>
      <c r="BT355" s="64">
        <v>46138</v>
      </c>
      <c r="BU355" s="64">
        <v>46194</v>
      </c>
      <c r="BV355" s="15"/>
      <c r="BW355" s="64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15"/>
      <c r="CL355" s="68">
        <v>332</v>
      </c>
      <c r="CM355" s="68">
        <v>877</v>
      </c>
      <c r="CN355" s="68">
        <v>807</v>
      </c>
      <c r="CO355" s="68">
        <v>447</v>
      </c>
      <c r="CP355" s="68">
        <v>167</v>
      </c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  <c r="EE355" s="68"/>
      <c r="EF355" s="68"/>
      <c r="EG355" s="68"/>
      <c r="EH355" s="68"/>
      <c r="EI355" s="68"/>
      <c r="EJ355" s="68"/>
      <c r="EK355" s="68"/>
      <c r="EL355" s="68"/>
      <c r="EM355" s="68"/>
      <c r="EN355" s="68"/>
      <c r="EO355" s="68"/>
      <c r="EP355" s="68"/>
      <c r="EQ355" s="65">
        <f>SUM(BX355:EP355)</f>
        <v>2630</v>
      </c>
      <c r="ER355" s="6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 t="s">
        <v>202</v>
      </c>
      <c r="FF355" s="15"/>
      <c r="FG355" s="15"/>
      <c r="FH355" s="1" t="str">
        <f>H355&amp;D355</f>
        <v>7107920410024702125948</v>
      </c>
      <c r="FI355" s="1" t="str">
        <f>A355</f>
        <v>PRLS/25/12515, PRLS/25/13673</v>
      </c>
      <c r="FJ355" s="38" t="e">
        <f>VLOOKUP(FH355,[1]Sheet3!$A:$D,4,0)</f>
        <v>#N/A</v>
      </c>
      <c r="FL355" s="13"/>
    </row>
    <row r="356" spans="1:168" ht="21" hidden="1" x14ac:dyDescent="0.25">
      <c r="A356" s="15" t="s">
        <v>1097</v>
      </c>
      <c r="B356" s="15">
        <v>999</v>
      </c>
      <c r="C356" s="15" t="s">
        <v>140</v>
      </c>
      <c r="D356" s="15" t="s">
        <v>140</v>
      </c>
      <c r="E356" s="15" t="s">
        <v>140</v>
      </c>
      <c r="F356" s="15" t="s">
        <v>140</v>
      </c>
      <c r="G356" s="15" t="s">
        <v>140</v>
      </c>
      <c r="H356" s="15" t="s">
        <v>452</v>
      </c>
      <c r="I356" s="15" t="s">
        <v>450</v>
      </c>
      <c r="J356" s="15" t="s">
        <v>451</v>
      </c>
      <c r="K356" s="15"/>
      <c r="L356" s="15" t="s">
        <v>262</v>
      </c>
      <c r="M356" s="15" t="s">
        <v>343</v>
      </c>
      <c r="N356" s="63">
        <v>150</v>
      </c>
      <c r="O356" s="15"/>
      <c r="P356" s="15">
        <v>8.2799999999999994</v>
      </c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61"/>
      <c r="BE356" s="61"/>
      <c r="BF356" s="15"/>
      <c r="BG356" s="15"/>
      <c r="BH356" s="15"/>
      <c r="BI356" s="15"/>
      <c r="BJ356" s="15"/>
      <c r="BK356" s="15"/>
      <c r="BL356" s="15"/>
      <c r="BM356" s="15"/>
      <c r="BN356" s="15"/>
      <c r="BO356" s="64"/>
      <c r="BP356" s="15"/>
      <c r="BQ356" s="15"/>
      <c r="BR356" s="15"/>
      <c r="BS356" s="64"/>
      <c r="BT356" s="64"/>
      <c r="BU356" s="64">
        <v>46194</v>
      </c>
      <c r="BV356" s="15"/>
      <c r="BW356" s="64"/>
      <c r="BX356" s="68"/>
      <c r="BY356" s="68"/>
      <c r="BZ356" s="68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15">
        <v>0</v>
      </c>
      <c r="CL356" s="68">
        <v>97</v>
      </c>
      <c r="CM356" s="68">
        <v>27</v>
      </c>
      <c r="CN356" s="68">
        <v>0</v>
      </c>
      <c r="CO356" s="68">
        <v>0</v>
      </c>
      <c r="CP356" s="68">
        <v>26</v>
      </c>
      <c r="CQ356" s="68"/>
      <c r="CR356" s="68"/>
      <c r="CS356" s="68"/>
      <c r="CT356" s="68"/>
      <c r="CU356" s="68"/>
      <c r="CV356" s="68"/>
      <c r="CW356" s="68"/>
      <c r="CX356" s="68"/>
      <c r="CY356" s="68"/>
      <c r="CZ356" s="68"/>
      <c r="DA356" s="68"/>
      <c r="DB356" s="68"/>
      <c r="DC356" s="68"/>
      <c r="DD356" s="68"/>
      <c r="DE356" s="68"/>
      <c r="DF356" s="68"/>
      <c r="DG356" s="68"/>
      <c r="DH356" s="68"/>
      <c r="DI356" s="68"/>
      <c r="DJ356" s="68"/>
      <c r="DK356" s="68"/>
      <c r="DL356" s="68"/>
      <c r="DM356" s="68"/>
      <c r="DN356" s="68"/>
      <c r="DO356" s="68"/>
      <c r="DP356" s="68"/>
      <c r="DQ356" s="68"/>
      <c r="DR356" s="68"/>
      <c r="DS356" s="68"/>
      <c r="DT356" s="68"/>
      <c r="DU356" s="68"/>
      <c r="DV356" s="68"/>
      <c r="DW356" s="68"/>
      <c r="DX356" s="68"/>
      <c r="DY356" s="68"/>
      <c r="DZ356" s="68"/>
      <c r="EA356" s="68"/>
      <c r="EB356" s="68"/>
      <c r="EC356" s="68"/>
      <c r="ED356" s="68"/>
      <c r="EE356" s="68"/>
      <c r="EF356" s="68"/>
      <c r="EG356" s="68"/>
      <c r="EH356" s="68"/>
      <c r="EI356" s="68"/>
      <c r="EJ356" s="68"/>
      <c r="EK356" s="68"/>
      <c r="EL356" s="68"/>
      <c r="EM356" s="68"/>
      <c r="EN356" s="68"/>
      <c r="EO356" s="68"/>
      <c r="EP356" s="68"/>
      <c r="EQ356" s="65">
        <f t="shared" si="37"/>
        <v>150</v>
      </c>
      <c r="ER356" s="6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" t="str">
        <f t="shared" si="38"/>
        <v>710792041002TBC</v>
      </c>
      <c r="FI356" s="1" t="str">
        <f t="shared" si="39"/>
        <v>PRLS/25/12515, PRLS/25/13673</v>
      </c>
      <c r="FJ356" s="38"/>
      <c r="FL356" s="13"/>
    </row>
    <row r="357" spans="1:168" ht="21" hidden="1" x14ac:dyDescent="0.25">
      <c r="A357" s="15" t="s">
        <v>1098</v>
      </c>
      <c r="B357" s="15">
        <v>999</v>
      </c>
      <c r="C357" s="15" t="s">
        <v>1100</v>
      </c>
      <c r="D357" s="15" t="s">
        <v>1090</v>
      </c>
      <c r="E357" s="15" t="s">
        <v>253</v>
      </c>
      <c r="F357" s="15" t="s">
        <v>254</v>
      </c>
      <c r="G357" s="15" t="s">
        <v>354</v>
      </c>
      <c r="H357" s="15" t="s">
        <v>453</v>
      </c>
      <c r="I357" s="15" t="s">
        <v>450</v>
      </c>
      <c r="J357" s="15" t="s">
        <v>451</v>
      </c>
      <c r="K357" s="15"/>
      <c r="L357" s="15" t="s">
        <v>262</v>
      </c>
      <c r="M357" s="15" t="s">
        <v>1087</v>
      </c>
      <c r="N357" s="63">
        <v>31</v>
      </c>
      <c r="O357" s="15"/>
      <c r="P357" s="15">
        <v>8.2799999999999994</v>
      </c>
      <c r="Q357" s="15"/>
      <c r="R357" s="15"/>
      <c r="S357" s="15" t="s">
        <v>1117</v>
      </c>
      <c r="T357" s="15"/>
      <c r="U357" s="15"/>
      <c r="V357" s="15"/>
      <c r="W357" s="15"/>
      <c r="X357" s="15"/>
      <c r="Y357" s="15" t="s">
        <v>218</v>
      </c>
      <c r="Z357" s="15" t="s">
        <v>373</v>
      </c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 t="s">
        <v>439</v>
      </c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61"/>
      <c r="BE357" s="61"/>
      <c r="BF357" s="15"/>
      <c r="BG357" s="15"/>
      <c r="BH357" s="15"/>
      <c r="BI357" s="15"/>
      <c r="BJ357" s="15"/>
      <c r="BK357" s="15"/>
      <c r="BL357" s="15"/>
      <c r="BM357" s="15"/>
      <c r="BN357" s="15"/>
      <c r="BO357" s="64"/>
      <c r="BP357" s="15"/>
      <c r="BQ357" s="15"/>
      <c r="BR357" s="15"/>
      <c r="BS357" s="64"/>
      <c r="BT357" s="64">
        <v>46138</v>
      </c>
      <c r="BU357" s="64">
        <v>46194</v>
      </c>
      <c r="BV357" s="15"/>
      <c r="BW357" s="64"/>
      <c r="BX357" s="68"/>
      <c r="BY357" s="68"/>
      <c r="BZ357" s="68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15"/>
      <c r="CL357" s="68">
        <v>5</v>
      </c>
      <c r="CM357" s="68">
        <v>10</v>
      </c>
      <c r="CN357" s="68">
        <v>10</v>
      </c>
      <c r="CO357" s="68">
        <v>6</v>
      </c>
      <c r="CP357" s="68"/>
      <c r="CQ357" s="68"/>
      <c r="CR357" s="68"/>
      <c r="CS357" s="68"/>
      <c r="CT357" s="68"/>
      <c r="CU357" s="68"/>
      <c r="CV357" s="68"/>
      <c r="CW357" s="68"/>
      <c r="CX357" s="68"/>
      <c r="CY357" s="68"/>
      <c r="CZ357" s="68"/>
      <c r="DA357" s="68"/>
      <c r="DB357" s="68"/>
      <c r="DC357" s="68"/>
      <c r="DD357" s="68"/>
      <c r="DE357" s="68"/>
      <c r="DF357" s="68"/>
      <c r="DG357" s="68"/>
      <c r="DH357" s="68"/>
      <c r="DI357" s="68"/>
      <c r="DJ357" s="68"/>
      <c r="DK357" s="68"/>
      <c r="DL357" s="68"/>
      <c r="DM357" s="68"/>
      <c r="DN357" s="68"/>
      <c r="DO357" s="68"/>
      <c r="DP357" s="68"/>
      <c r="DQ357" s="68"/>
      <c r="DR357" s="68"/>
      <c r="DS357" s="68"/>
      <c r="DT357" s="68"/>
      <c r="DU357" s="68"/>
      <c r="DV357" s="68"/>
      <c r="DW357" s="68"/>
      <c r="DX357" s="68"/>
      <c r="DY357" s="68"/>
      <c r="DZ357" s="68"/>
      <c r="EA357" s="68"/>
      <c r="EB357" s="68"/>
      <c r="EC357" s="68"/>
      <c r="ED357" s="68"/>
      <c r="EE357" s="68"/>
      <c r="EF357" s="68"/>
      <c r="EG357" s="68"/>
      <c r="EH357" s="68"/>
      <c r="EI357" s="68"/>
      <c r="EJ357" s="68"/>
      <c r="EK357" s="68"/>
      <c r="EL357" s="68"/>
      <c r="EM357" s="68"/>
      <c r="EN357" s="68"/>
      <c r="EO357" s="68"/>
      <c r="EP357" s="68"/>
      <c r="EQ357" s="65">
        <f t="shared" si="37"/>
        <v>31</v>
      </c>
      <c r="ER357" s="6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 t="s">
        <v>202</v>
      </c>
      <c r="FF357" s="15"/>
      <c r="FG357" s="15"/>
      <c r="FH357" s="1" t="str">
        <f t="shared" si="38"/>
        <v>7107920410034702125949</v>
      </c>
      <c r="FI357" s="1" t="str">
        <f t="shared" si="39"/>
        <v>PRLS/25/13303</v>
      </c>
      <c r="FJ357" s="38" t="e">
        <f>VLOOKUP(FH357,[1]Sheet3!$A:$D,4,0)</f>
        <v>#N/A</v>
      </c>
      <c r="FL357" s="13"/>
    </row>
    <row r="358" spans="1:168" ht="21" hidden="1" x14ac:dyDescent="0.25">
      <c r="A358" s="15" t="s">
        <v>1098</v>
      </c>
      <c r="B358" s="15">
        <v>999</v>
      </c>
      <c r="C358" s="15" t="s">
        <v>1100</v>
      </c>
      <c r="D358" s="15" t="s">
        <v>1091</v>
      </c>
      <c r="E358" s="15" t="s">
        <v>210</v>
      </c>
      <c r="F358" s="15" t="s">
        <v>152</v>
      </c>
      <c r="G358" s="15" t="s">
        <v>321</v>
      </c>
      <c r="H358" s="15" t="s">
        <v>453</v>
      </c>
      <c r="I358" s="15" t="s">
        <v>450</v>
      </c>
      <c r="J358" s="15" t="s">
        <v>451</v>
      </c>
      <c r="K358" s="15"/>
      <c r="L358" s="15" t="s">
        <v>262</v>
      </c>
      <c r="M358" s="15" t="s">
        <v>1087</v>
      </c>
      <c r="N358" s="63">
        <v>387</v>
      </c>
      <c r="O358" s="15"/>
      <c r="P358" s="15">
        <v>8.2799999999999994</v>
      </c>
      <c r="Q358" s="15"/>
      <c r="R358" s="15"/>
      <c r="S358" s="15" t="s">
        <v>1117</v>
      </c>
      <c r="T358" s="15"/>
      <c r="U358" s="15"/>
      <c r="V358" s="15"/>
      <c r="W358" s="15"/>
      <c r="X358" s="15"/>
      <c r="Y358" s="15" t="s">
        <v>218</v>
      </c>
      <c r="Z358" s="15" t="s">
        <v>373</v>
      </c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 t="s">
        <v>439</v>
      </c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61"/>
      <c r="BE358" s="61"/>
      <c r="BF358" s="15"/>
      <c r="BG358" s="15"/>
      <c r="BH358" s="15"/>
      <c r="BI358" s="15"/>
      <c r="BJ358" s="15"/>
      <c r="BK358" s="15"/>
      <c r="BL358" s="15"/>
      <c r="BM358" s="15"/>
      <c r="BN358" s="15"/>
      <c r="BO358" s="64"/>
      <c r="BP358" s="15"/>
      <c r="BQ358" s="15"/>
      <c r="BR358" s="15"/>
      <c r="BS358" s="64"/>
      <c r="BT358" s="64">
        <v>46138</v>
      </c>
      <c r="BU358" s="64">
        <v>46194</v>
      </c>
      <c r="BV358" s="15"/>
      <c r="BW358" s="64"/>
      <c r="BX358" s="68"/>
      <c r="BY358" s="68"/>
      <c r="BZ358" s="68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15"/>
      <c r="CL358" s="68">
        <v>104</v>
      </c>
      <c r="CM358" s="68">
        <v>150</v>
      </c>
      <c r="CN358" s="68">
        <v>91</v>
      </c>
      <c r="CO358" s="68">
        <v>38</v>
      </c>
      <c r="CP358" s="68">
        <v>4</v>
      </c>
      <c r="CQ358" s="68"/>
      <c r="CR358" s="68"/>
      <c r="CS358" s="68"/>
      <c r="CT358" s="68"/>
      <c r="CU358" s="68"/>
      <c r="CV358" s="68"/>
      <c r="CW358" s="68"/>
      <c r="CX358" s="68"/>
      <c r="CY358" s="68"/>
      <c r="CZ358" s="68"/>
      <c r="DA358" s="68"/>
      <c r="DB358" s="68"/>
      <c r="DC358" s="68"/>
      <c r="DD358" s="68"/>
      <c r="DE358" s="68"/>
      <c r="DF358" s="68"/>
      <c r="DG358" s="68"/>
      <c r="DH358" s="68"/>
      <c r="DI358" s="68"/>
      <c r="DJ358" s="68"/>
      <c r="DK358" s="68"/>
      <c r="DL358" s="68"/>
      <c r="DM358" s="68"/>
      <c r="DN358" s="68"/>
      <c r="DO358" s="68"/>
      <c r="DP358" s="68"/>
      <c r="DQ358" s="68"/>
      <c r="DR358" s="68"/>
      <c r="DS358" s="68"/>
      <c r="DT358" s="68"/>
      <c r="DU358" s="68"/>
      <c r="DV358" s="68"/>
      <c r="DW358" s="68"/>
      <c r="DX358" s="68"/>
      <c r="DY358" s="68"/>
      <c r="DZ358" s="68"/>
      <c r="EA358" s="68"/>
      <c r="EB358" s="68"/>
      <c r="EC358" s="68"/>
      <c r="ED358" s="68"/>
      <c r="EE358" s="68"/>
      <c r="EF358" s="68"/>
      <c r="EG358" s="68"/>
      <c r="EH358" s="68"/>
      <c r="EI358" s="68"/>
      <c r="EJ358" s="68"/>
      <c r="EK358" s="68"/>
      <c r="EL358" s="68"/>
      <c r="EM358" s="68"/>
      <c r="EN358" s="68"/>
      <c r="EO358" s="68"/>
      <c r="EP358" s="68"/>
      <c r="EQ358" s="65">
        <f>SUM(BX358:EP358)</f>
        <v>387</v>
      </c>
      <c r="ER358" s="6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 t="s">
        <v>202</v>
      </c>
      <c r="FF358" s="15"/>
      <c r="FG358" s="15"/>
      <c r="FH358" s="1" t="str">
        <f>H358&amp;D358</f>
        <v>7107920410034702125948</v>
      </c>
      <c r="FI358" s="1" t="str">
        <f>A358</f>
        <v>PRLS/25/13303</v>
      </c>
      <c r="FJ358" s="38" t="e">
        <f>VLOOKUP(FH358,[1]Sheet3!$A:$D,4,0)</f>
        <v>#N/A</v>
      </c>
      <c r="FL358" s="13"/>
    </row>
    <row r="359" spans="1:168" ht="21" hidden="1" x14ac:dyDescent="0.25">
      <c r="A359" s="15" t="s">
        <v>1107</v>
      </c>
      <c r="B359" s="15">
        <v>999</v>
      </c>
      <c r="C359" s="15" t="s">
        <v>1100</v>
      </c>
      <c r="D359" s="15" t="s">
        <v>1091</v>
      </c>
      <c r="E359" s="15" t="s">
        <v>210</v>
      </c>
      <c r="F359" s="15" t="s">
        <v>152</v>
      </c>
      <c r="G359" s="15" t="s">
        <v>321</v>
      </c>
      <c r="H359" s="15" t="s">
        <v>453</v>
      </c>
      <c r="I359" s="15" t="s">
        <v>450</v>
      </c>
      <c r="J359" s="15" t="s">
        <v>451</v>
      </c>
      <c r="K359" s="15"/>
      <c r="L359" s="15" t="s">
        <v>262</v>
      </c>
      <c r="M359" s="15" t="s">
        <v>1087</v>
      </c>
      <c r="N359" s="63">
        <v>316</v>
      </c>
      <c r="O359" s="15"/>
      <c r="P359" s="15">
        <v>8.2799999999999994</v>
      </c>
      <c r="Q359" s="15"/>
      <c r="R359" s="15"/>
      <c r="S359" s="15" t="s">
        <v>1117</v>
      </c>
      <c r="T359" s="15"/>
      <c r="U359" s="15"/>
      <c r="V359" s="15"/>
      <c r="W359" s="15"/>
      <c r="X359" s="15"/>
      <c r="Y359" s="15" t="s">
        <v>218</v>
      </c>
      <c r="Z359" s="15" t="s">
        <v>373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 t="s">
        <v>1131</v>
      </c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61"/>
      <c r="BE359" s="61"/>
      <c r="BF359" s="15"/>
      <c r="BG359" s="15"/>
      <c r="BH359" s="15"/>
      <c r="BI359" s="15"/>
      <c r="BJ359" s="15"/>
      <c r="BK359" s="15"/>
      <c r="BL359" s="15"/>
      <c r="BM359" s="15"/>
      <c r="BN359" s="15"/>
      <c r="BO359" s="64"/>
      <c r="BP359" s="15"/>
      <c r="BQ359" s="15"/>
      <c r="BR359" s="15"/>
      <c r="BS359" s="64"/>
      <c r="BT359" s="64">
        <v>46138</v>
      </c>
      <c r="BU359" s="64">
        <v>46194</v>
      </c>
      <c r="BV359" s="15"/>
      <c r="BW359" s="64"/>
      <c r="BX359" s="68"/>
      <c r="BY359" s="68"/>
      <c r="BZ359" s="68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15">
        <v>0</v>
      </c>
      <c r="CL359" s="68">
        <v>27</v>
      </c>
      <c r="CM359" s="68">
        <v>59</v>
      </c>
      <c r="CN359" s="68">
        <v>147</v>
      </c>
      <c r="CO359" s="68">
        <v>47</v>
      </c>
      <c r="CP359" s="68">
        <v>36</v>
      </c>
      <c r="CQ359" s="68"/>
      <c r="CR359" s="68"/>
      <c r="CS359" s="68"/>
      <c r="CT359" s="68"/>
      <c r="CU359" s="68"/>
      <c r="CV359" s="68"/>
      <c r="CW359" s="68"/>
      <c r="CX359" s="68"/>
      <c r="CY359" s="68"/>
      <c r="CZ359" s="68"/>
      <c r="DA359" s="68"/>
      <c r="DB359" s="68"/>
      <c r="DC359" s="68"/>
      <c r="DD359" s="68"/>
      <c r="DE359" s="68"/>
      <c r="DF359" s="68"/>
      <c r="DG359" s="68"/>
      <c r="DH359" s="68"/>
      <c r="DI359" s="68"/>
      <c r="DJ359" s="68"/>
      <c r="DK359" s="68"/>
      <c r="DL359" s="68"/>
      <c r="DM359" s="68"/>
      <c r="DN359" s="68"/>
      <c r="DO359" s="68"/>
      <c r="DP359" s="68"/>
      <c r="DQ359" s="68"/>
      <c r="DR359" s="68"/>
      <c r="DS359" s="68"/>
      <c r="DT359" s="68"/>
      <c r="DU359" s="68"/>
      <c r="DV359" s="68"/>
      <c r="DW359" s="68"/>
      <c r="DX359" s="68"/>
      <c r="DY359" s="68"/>
      <c r="DZ359" s="68"/>
      <c r="EA359" s="68"/>
      <c r="EB359" s="68"/>
      <c r="EC359" s="68"/>
      <c r="ED359" s="68"/>
      <c r="EE359" s="68"/>
      <c r="EF359" s="68"/>
      <c r="EG359" s="68"/>
      <c r="EH359" s="68"/>
      <c r="EI359" s="68"/>
      <c r="EJ359" s="68"/>
      <c r="EK359" s="68"/>
      <c r="EL359" s="68"/>
      <c r="EM359" s="68"/>
      <c r="EN359" s="68"/>
      <c r="EO359" s="68"/>
      <c r="EP359" s="68"/>
      <c r="EQ359" s="65">
        <f t="shared" si="37"/>
        <v>316</v>
      </c>
      <c r="ER359" s="6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 t="s">
        <v>202</v>
      </c>
      <c r="FF359" s="15"/>
      <c r="FG359" s="15"/>
      <c r="FH359" s="1" t="str">
        <f t="shared" si="38"/>
        <v>7107920410034702125948</v>
      </c>
      <c r="FI359" s="1" t="str">
        <f t="shared" si="39"/>
        <v>PRLS/25/14128</v>
      </c>
      <c r="FJ359" s="38" t="e">
        <f>VLOOKUP(FH359,[1]Sheet3!$A:$D,4,0)</f>
        <v>#N/A</v>
      </c>
      <c r="FL359" s="13"/>
    </row>
    <row r="360" spans="1:168" ht="21" hidden="1" x14ac:dyDescent="0.25">
      <c r="A360" s="15" t="s">
        <v>1099</v>
      </c>
      <c r="B360" s="15">
        <v>999</v>
      </c>
      <c r="C360" s="15" t="s">
        <v>1100</v>
      </c>
      <c r="D360" s="15" t="s">
        <v>1090</v>
      </c>
      <c r="E360" s="15" t="s">
        <v>253</v>
      </c>
      <c r="F360" s="15" t="s">
        <v>254</v>
      </c>
      <c r="G360" s="15" t="s">
        <v>354</v>
      </c>
      <c r="H360" s="15" t="s">
        <v>454</v>
      </c>
      <c r="I360" s="15" t="s">
        <v>450</v>
      </c>
      <c r="J360" s="15" t="s">
        <v>451</v>
      </c>
      <c r="K360" s="15"/>
      <c r="L360" s="15" t="s">
        <v>262</v>
      </c>
      <c r="M360" s="15" t="s">
        <v>865</v>
      </c>
      <c r="N360" s="63">
        <v>474</v>
      </c>
      <c r="O360" s="15"/>
      <c r="P360" s="15">
        <v>8.68</v>
      </c>
      <c r="Q360" s="15"/>
      <c r="R360" s="15"/>
      <c r="S360" s="15" t="s">
        <v>1117</v>
      </c>
      <c r="T360" s="15"/>
      <c r="U360" s="15"/>
      <c r="V360" s="15"/>
      <c r="W360" s="15"/>
      <c r="X360" s="15"/>
      <c r="Y360" s="15" t="s">
        <v>218</v>
      </c>
      <c r="Z360" s="15" t="s">
        <v>373</v>
      </c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 t="s">
        <v>439</v>
      </c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61"/>
      <c r="BE360" s="61"/>
      <c r="BF360" s="15"/>
      <c r="BG360" s="15"/>
      <c r="BH360" s="15"/>
      <c r="BI360" s="15"/>
      <c r="BJ360" s="15"/>
      <c r="BK360" s="15"/>
      <c r="BL360" s="15"/>
      <c r="BM360" s="15"/>
      <c r="BN360" s="15"/>
      <c r="BO360" s="64"/>
      <c r="BP360" s="15"/>
      <c r="BQ360" s="15"/>
      <c r="BR360" s="15"/>
      <c r="BS360" s="64"/>
      <c r="BT360" s="64">
        <v>46138</v>
      </c>
      <c r="BU360" s="64">
        <v>46194</v>
      </c>
      <c r="BV360" s="15"/>
      <c r="BW360" s="64"/>
      <c r="BX360" s="68"/>
      <c r="BY360" s="68"/>
      <c r="BZ360" s="68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15"/>
      <c r="CL360" s="68">
        <v>57</v>
      </c>
      <c r="CM360" s="68">
        <v>154</v>
      </c>
      <c r="CN360" s="68">
        <v>198</v>
      </c>
      <c r="CO360" s="68">
        <v>48</v>
      </c>
      <c r="CP360" s="68">
        <v>17</v>
      </c>
      <c r="CQ360" s="68"/>
      <c r="CR360" s="68"/>
      <c r="CS360" s="68"/>
      <c r="CT360" s="68"/>
      <c r="CU360" s="68"/>
      <c r="CV360" s="68"/>
      <c r="CW360" s="68"/>
      <c r="CX360" s="68"/>
      <c r="CY360" s="68"/>
      <c r="CZ360" s="68"/>
      <c r="DA360" s="68"/>
      <c r="DB360" s="68"/>
      <c r="DC360" s="68"/>
      <c r="DD360" s="68"/>
      <c r="DE360" s="68"/>
      <c r="DF360" s="68"/>
      <c r="DG360" s="68"/>
      <c r="DH360" s="68"/>
      <c r="DI360" s="68"/>
      <c r="DJ360" s="68"/>
      <c r="DK360" s="68"/>
      <c r="DL360" s="68"/>
      <c r="DM360" s="68"/>
      <c r="DN360" s="68"/>
      <c r="DO360" s="68"/>
      <c r="DP360" s="68"/>
      <c r="DQ360" s="68"/>
      <c r="DR360" s="68"/>
      <c r="DS360" s="68"/>
      <c r="DT360" s="68"/>
      <c r="DU360" s="68"/>
      <c r="DV360" s="68"/>
      <c r="DW360" s="68"/>
      <c r="DX360" s="68"/>
      <c r="DY360" s="68"/>
      <c r="DZ360" s="68"/>
      <c r="EA360" s="68"/>
      <c r="EB360" s="68"/>
      <c r="EC360" s="68"/>
      <c r="ED360" s="68"/>
      <c r="EE360" s="68"/>
      <c r="EF360" s="68"/>
      <c r="EG360" s="68"/>
      <c r="EH360" s="68"/>
      <c r="EI360" s="68"/>
      <c r="EJ360" s="68"/>
      <c r="EK360" s="68"/>
      <c r="EL360" s="68"/>
      <c r="EM360" s="68"/>
      <c r="EN360" s="68"/>
      <c r="EO360" s="68"/>
      <c r="EP360" s="68"/>
      <c r="EQ360" s="65">
        <f>SUM(BX360:EP360)</f>
        <v>474</v>
      </c>
      <c r="ER360" s="6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 t="s">
        <v>202</v>
      </c>
      <c r="FF360" s="15"/>
      <c r="FG360" s="15"/>
      <c r="FH360" s="1" t="str">
        <f>H360&amp;D360</f>
        <v>7107920410044702125949</v>
      </c>
      <c r="FI360" s="1" t="str">
        <f>A360</f>
        <v>PRLS/25/12524, PRLS/25/13674</v>
      </c>
      <c r="FJ360" s="38" t="e">
        <f>VLOOKUP(FH360,[1]Sheet3!$A:$D,4,0)</f>
        <v>#N/A</v>
      </c>
      <c r="FL360" s="13"/>
    </row>
    <row r="361" spans="1:168" ht="21" hidden="1" x14ac:dyDescent="0.25">
      <c r="A361" s="15" t="s">
        <v>1108</v>
      </c>
      <c r="B361" s="15">
        <v>999</v>
      </c>
      <c r="C361" s="15" t="s">
        <v>1100</v>
      </c>
      <c r="D361" s="15" t="s">
        <v>1090</v>
      </c>
      <c r="E361" s="15" t="s">
        <v>253</v>
      </c>
      <c r="F361" s="15" t="s">
        <v>254</v>
      </c>
      <c r="G361" s="15" t="s">
        <v>354</v>
      </c>
      <c r="H361" s="15" t="s">
        <v>454</v>
      </c>
      <c r="I361" s="15" t="s">
        <v>450</v>
      </c>
      <c r="J361" s="15" t="s">
        <v>451</v>
      </c>
      <c r="K361" s="15"/>
      <c r="L361" s="15" t="s">
        <v>262</v>
      </c>
      <c r="M361" s="15" t="s">
        <v>865</v>
      </c>
      <c r="N361" s="63">
        <v>4</v>
      </c>
      <c r="O361" s="15"/>
      <c r="P361" s="15">
        <v>8.68</v>
      </c>
      <c r="Q361" s="15"/>
      <c r="R361" s="15"/>
      <c r="S361" s="15" t="s">
        <v>1117</v>
      </c>
      <c r="T361" s="15"/>
      <c r="U361" s="15"/>
      <c r="V361" s="15"/>
      <c r="W361" s="15"/>
      <c r="X361" s="15"/>
      <c r="Y361" s="15" t="s">
        <v>218</v>
      </c>
      <c r="Z361" s="15" t="s">
        <v>373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 t="s">
        <v>1131</v>
      </c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61"/>
      <c r="BE361" s="61"/>
      <c r="BF361" s="15"/>
      <c r="BG361" s="15"/>
      <c r="BH361" s="15"/>
      <c r="BI361" s="15"/>
      <c r="BJ361" s="15"/>
      <c r="BK361" s="15"/>
      <c r="BL361" s="15"/>
      <c r="BM361" s="15"/>
      <c r="BN361" s="15"/>
      <c r="BO361" s="64"/>
      <c r="BP361" s="15"/>
      <c r="BQ361" s="15"/>
      <c r="BR361" s="15"/>
      <c r="BS361" s="64"/>
      <c r="BT361" s="64">
        <v>46138</v>
      </c>
      <c r="BU361" s="64">
        <v>46194</v>
      </c>
      <c r="BV361" s="15"/>
      <c r="BW361" s="64"/>
      <c r="BX361" s="68"/>
      <c r="BY361" s="68"/>
      <c r="BZ361" s="68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15">
        <v>4</v>
      </c>
      <c r="CL361" s="68"/>
      <c r="CM361" s="68"/>
      <c r="CN361" s="68"/>
      <c r="CO361" s="68"/>
      <c r="CP361" s="68"/>
      <c r="CQ361" s="68"/>
      <c r="CR361" s="68"/>
      <c r="CS361" s="68"/>
      <c r="CT361" s="68"/>
      <c r="CU361" s="68"/>
      <c r="CV361" s="68"/>
      <c r="CW361" s="68"/>
      <c r="CX361" s="68"/>
      <c r="CY361" s="68"/>
      <c r="CZ361" s="68"/>
      <c r="DA361" s="68"/>
      <c r="DB361" s="68"/>
      <c r="DC361" s="68"/>
      <c r="DD361" s="68"/>
      <c r="DE361" s="68"/>
      <c r="DF361" s="68"/>
      <c r="DG361" s="68"/>
      <c r="DH361" s="68"/>
      <c r="DI361" s="68"/>
      <c r="DJ361" s="68"/>
      <c r="DK361" s="68"/>
      <c r="DL361" s="68"/>
      <c r="DM361" s="68"/>
      <c r="DN361" s="68"/>
      <c r="DO361" s="68"/>
      <c r="DP361" s="68"/>
      <c r="DQ361" s="68"/>
      <c r="DR361" s="68"/>
      <c r="DS361" s="68"/>
      <c r="DT361" s="68"/>
      <c r="DU361" s="68"/>
      <c r="DV361" s="68"/>
      <c r="DW361" s="68"/>
      <c r="DX361" s="68"/>
      <c r="DY361" s="68"/>
      <c r="DZ361" s="68"/>
      <c r="EA361" s="68"/>
      <c r="EB361" s="68"/>
      <c r="EC361" s="68"/>
      <c r="ED361" s="68"/>
      <c r="EE361" s="68"/>
      <c r="EF361" s="68"/>
      <c r="EG361" s="68"/>
      <c r="EH361" s="68"/>
      <c r="EI361" s="68"/>
      <c r="EJ361" s="68"/>
      <c r="EK361" s="68"/>
      <c r="EL361" s="68"/>
      <c r="EM361" s="68"/>
      <c r="EN361" s="68"/>
      <c r="EO361" s="68"/>
      <c r="EP361" s="68"/>
      <c r="EQ361" s="65">
        <f t="shared" si="37"/>
        <v>4</v>
      </c>
      <c r="ER361" s="6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 t="s">
        <v>202</v>
      </c>
      <c r="FF361" s="15"/>
      <c r="FG361" s="15"/>
      <c r="FH361" s="1" t="str">
        <f t="shared" si="38"/>
        <v>7107920410044702125949</v>
      </c>
      <c r="FI361" s="1" t="str">
        <f t="shared" si="39"/>
        <v>PRLS/25/14129</v>
      </c>
      <c r="FJ361" s="38" t="e">
        <f>VLOOKUP(FH361,[1]Sheet3!$A:$D,4,0)</f>
        <v>#N/A</v>
      </c>
      <c r="FL361" s="13"/>
    </row>
    <row r="362" spans="1:168" ht="21" hidden="1" x14ac:dyDescent="0.25">
      <c r="A362" s="15" t="s">
        <v>1099</v>
      </c>
      <c r="B362" s="15">
        <v>999</v>
      </c>
      <c r="C362" s="15" t="s">
        <v>1100</v>
      </c>
      <c r="D362" s="15" t="s">
        <v>1091</v>
      </c>
      <c r="E362" s="15" t="s">
        <v>210</v>
      </c>
      <c r="F362" s="15" t="s">
        <v>152</v>
      </c>
      <c r="G362" s="15" t="s">
        <v>321</v>
      </c>
      <c r="H362" s="15" t="s">
        <v>454</v>
      </c>
      <c r="I362" s="15" t="s">
        <v>450</v>
      </c>
      <c r="J362" s="15" t="s">
        <v>451</v>
      </c>
      <c r="K362" s="15"/>
      <c r="L362" s="15" t="s">
        <v>262</v>
      </c>
      <c r="M362" s="15" t="s">
        <v>865</v>
      </c>
      <c r="N362" s="63">
        <v>1648</v>
      </c>
      <c r="O362" s="15"/>
      <c r="P362" s="15">
        <v>8.68</v>
      </c>
      <c r="Q362" s="15"/>
      <c r="R362" s="15"/>
      <c r="S362" s="15" t="s">
        <v>1117</v>
      </c>
      <c r="T362" s="15"/>
      <c r="U362" s="15"/>
      <c r="V362" s="15"/>
      <c r="W362" s="15"/>
      <c r="X362" s="15"/>
      <c r="Y362" s="15" t="s">
        <v>218</v>
      </c>
      <c r="Z362" s="15" t="s">
        <v>373</v>
      </c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 t="s">
        <v>439</v>
      </c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61"/>
      <c r="BE362" s="61"/>
      <c r="BF362" s="15"/>
      <c r="BG362" s="15"/>
      <c r="BH362" s="15"/>
      <c r="BI362" s="15"/>
      <c r="BJ362" s="15"/>
      <c r="BK362" s="15"/>
      <c r="BL362" s="15"/>
      <c r="BM362" s="15"/>
      <c r="BN362" s="15"/>
      <c r="BO362" s="64"/>
      <c r="BP362" s="15"/>
      <c r="BQ362" s="15"/>
      <c r="BR362" s="15"/>
      <c r="BS362" s="64"/>
      <c r="BT362" s="64">
        <v>46138</v>
      </c>
      <c r="BU362" s="64">
        <v>46194</v>
      </c>
      <c r="BV362" s="15"/>
      <c r="BW362" s="64"/>
      <c r="BX362" s="68"/>
      <c r="BY362" s="68"/>
      <c r="BZ362" s="68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15"/>
      <c r="CL362" s="68">
        <v>233</v>
      </c>
      <c r="CM362" s="68">
        <v>696</v>
      </c>
      <c r="CN362" s="68">
        <v>279</v>
      </c>
      <c r="CO362" s="68">
        <v>290</v>
      </c>
      <c r="CP362" s="68">
        <v>150</v>
      </c>
      <c r="CQ362" s="68"/>
      <c r="CR362" s="68"/>
      <c r="CS362" s="68"/>
      <c r="CT362" s="68"/>
      <c r="CU362" s="68"/>
      <c r="CV362" s="68"/>
      <c r="CW362" s="68"/>
      <c r="CX362" s="68"/>
      <c r="CY362" s="68"/>
      <c r="CZ362" s="68"/>
      <c r="DA362" s="68"/>
      <c r="DB362" s="68"/>
      <c r="DC362" s="68"/>
      <c r="DD362" s="68"/>
      <c r="DE362" s="68"/>
      <c r="DF362" s="68"/>
      <c r="DG362" s="68"/>
      <c r="DH362" s="68"/>
      <c r="DI362" s="68"/>
      <c r="DJ362" s="68"/>
      <c r="DK362" s="68"/>
      <c r="DL362" s="68"/>
      <c r="DM362" s="68"/>
      <c r="DN362" s="68"/>
      <c r="DO362" s="68"/>
      <c r="DP362" s="68"/>
      <c r="DQ362" s="68"/>
      <c r="DR362" s="68"/>
      <c r="DS362" s="68"/>
      <c r="DT362" s="68"/>
      <c r="DU362" s="68"/>
      <c r="DV362" s="68"/>
      <c r="DW362" s="68"/>
      <c r="DX362" s="68"/>
      <c r="DY362" s="68"/>
      <c r="DZ362" s="68"/>
      <c r="EA362" s="68"/>
      <c r="EB362" s="68"/>
      <c r="EC362" s="68"/>
      <c r="ED362" s="68"/>
      <c r="EE362" s="68"/>
      <c r="EF362" s="68"/>
      <c r="EG362" s="68"/>
      <c r="EH362" s="68"/>
      <c r="EI362" s="68"/>
      <c r="EJ362" s="68"/>
      <c r="EK362" s="68"/>
      <c r="EL362" s="68"/>
      <c r="EM362" s="68"/>
      <c r="EN362" s="68"/>
      <c r="EO362" s="68"/>
      <c r="EP362" s="68"/>
      <c r="EQ362" s="65">
        <f>SUM(BX362:EP362)</f>
        <v>1648</v>
      </c>
      <c r="ER362" s="6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 t="s">
        <v>202</v>
      </c>
      <c r="FF362" s="15"/>
      <c r="FG362" s="15"/>
      <c r="FH362" s="1" t="str">
        <f>H362&amp;D362</f>
        <v>7107920410044702125948</v>
      </c>
      <c r="FI362" s="1" t="str">
        <f>A362</f>
        <v>PRLS/25/12524, PRLS/25/13674</v>
      </c>
      <c r="FJ362" s="38" t="e">
        <f>VLOOKUP(FH362,[1]Sheet3!$A:$D,4,0)</f>
        <v>#N/A</v>
      </c>
      <c r="FL362" s="13"/>
    </row>
    <row r="363" spans="1:168" ht="21" hidden="1" x14ac:dyDescent="0.25">
      <c r="A363" s="15" t="s">
        <v>1108</v>
      </c>
      <c r="B363" s="15">
        <v>999</v>
      </c>
      <c r="C363" s="15" t="s">
        <v>1100</v>
      </c>
      <c r="D363" s="15" t="s">
        <v>1091</v>
      </c>
      <c r="E363" s="15" t="s">
        <v>210</v>
      </c>
      <c r="F363" s="15" t="s">
        <v>152</v>
      </c>
      <c r="G363" s="15" t="s">
        <v>321</v>
      </c>
      <c r="H363" s="15" t="s">
        <v>454</v>
      </c>
      <c r="I363" s="15" t="s">
        <v>450</v>
      </c>
      <c r="J363" s="15" t="s">
        <v>451</v>
      </c>
      <c r="K363" s="15"/>
      <c r="L363" s="15" t="s">
        <v>262</v>
      </c>
      <c r="M363" s="15" t="s">
        <v>865</v>
      </c>
      <c r="N363" s="63">
        <v>378</v>
      </c>
      <c r="O363" s="15"/>
      <c r="P363" s="15">
        <v>8.68</v>
      </c>
      <c r="Q363" s="15"/>
      <c r="R363" s="15"/>
      <c r="S363" s="15" t="s">
        <v>1117</v>
      </c>
      <c r="T363" s="15"/>
      <c r="U363" s="15"/>
      <c r="V363" s="15"/>
      <c r="W363" s="15"/>
      <c r="X363" s="15"/>
      <c r="Y363" s="15" t="s">
        <v>218</v>
      </c>
      <c r="Z363" s="15" t="s">
        <v>373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 t="s">
        <v>1131</v>
      </c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61"/>
      <c r="BE363" s="61"/>
      <c r="BF363" s="15"/>
      <c r="BG363" s="15"/>
      <c r="BH363" s="15"/>
      <c r="BI363" s="15"/>
      <c r="BJ363" s="15"/>
      <c r="BK363" s="15"/>
      <c r="BL363" s="15"/>
      <c r="BM363" s="15"/>
      <c r="BN363" s="15"/>
      <c r="BO363" s="64"/>
      <c r="BP363" s="15"/>
      <c r="BQ363" s="15"/>
      <c r="BR363" s="15"/>
      <c r="BS363" s="64"/>
      <c r="BT363" s="64">
        <v>46138</v>
      </c>
      <c r="BU363" s="64">
        <v>46194</v>
      </c>
      <c r="BV363" s="15"/>
      <c r="BW363" s="64"/>
      <c r="BX363" s="68"/>
      <c r="BY363" s="68"/>
      <c r="BZ363" s="68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15">
        <v>10</v>
      </c>
      <c r="CL363" s="68"/>
      <c r="CM363" s="68"/>
      <c r="CN363" s="68">
        <v>368</v>
      </c>
      <c r="CO363" s="68"/>
      <c r="CP363" s="68"/>
      <c r="CQ363" s="68"/>
      <c r="CR363" s="68"/>
      <c r="CS363" s="68"/>
      <c r="CT363" s="68"/>
      <c r="CU363" s="68"/>
      <c r="CV363" s="68"/>
      <c r="CW363" s="68"/>
      <c r="CX363" s="68"/>
      <c r="CY363" s="68"/>
      <c r="CZ363" s="68"/>
      <c r="DA363" s="68"/>
      <c r="DB363" s="68"/>
      <c r="DC363" s="68"/>
      <c r="DD363" s="68"/>
      <c r="DE363" s="68"/>
      <c r="DF363" s="68"/>
      <c r="DG363" s="68"/>
      <c r="DH363" s="68"/>
      <c r="DI363" s="68"/>
      <c r="DJ363" s="68"/>
      <c r="DK363" s="68"/>
      <c r="DL363" s="68"/>
      <c r="DM363" s="68"/>
      <c r="DN363" s="68"/>
      <c r="DO363" s="68"/>
      <c r="DP363" s="68"/>
      <c r="DQ363" s="68"/>
      <c r="DR363" s="68"/>
      <c r="DS363" s="68"/>
      <c r="DT363" s="68"/>
      <c r="DU363" s="68"/>
      <c r="DV363" s="68"/>
      <c r="DW363" s="68"/>
      <c r="DX363" s="68"/>
      <c r="DY363" s="68"/>
      <c r="DZ363" s="68"/>
      <c r="EA363" s="68"/>
      <c r="EB363" s="68"/>
      <c r="EC363" s="68"/>
      <c r="ED363" s="68"/>
      <c r="EE363" s="68"/>
      <c r="EF363" s="68"/>
      <c r="EG363" s="68"/>
      <c r="EH363" s="68"/>
      <c r="EI363" s="68"/>
      <c r="EJ363" s="68"/>
      <c r="EK363" s="68"/>
      <c r="EL363" s="68"/>
      <c r="EM363" s="68"/>
      <c r="EN363" s="68"/>
      <c r="EO363" s="68"/>
      <c r="EP363" s="68"/>
      <c r="EQ363" s="65">
        <f t="shared" si="37"/>
        <v>378</v>
      </c>
      <c r="ER363" s="6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 t="s">
        <v>202</v>
      </c>
      <c r="FF363" s="15"/>
      <c r="FG363" s="15"/>
      <c r="FH363" s="1" t="str">
        <f t="shared" si="38"/>
        <v>7107920410044702125948</v>
      </c>
      <c r="FI363" s="1" t="str">
        <f t="shared" si="39"/>
        <v>PRLS/25/14129</v>
      </c>
      <c r="FJ363" s="38" t="e">
        <f>VLOOKUP(FH363,[1]Sheet3!$A:$D,4,0)</f>
        <v>#N/A</v>
      </c>
      <c r="FL363" s="13"/>
    </row>
    <row r="364" spans="1:168" ht="21" hidden="1" x14ac:dyDescent="0.25">
      <c r="A364" s="15" t="s">
        <v>1109</v>
      </c>
      <c r="B364" s="15">
        <v>999</v>
      </c>
      <c r="C364" s="15" t="s">
        <v>1100</v>
      </c>
      <c r="D364" s="15" t="s">
        <v>1092</v>
      </c>
      <c r="E364" s="15" t="s">
        <v>210</v>
      </c>
      <c r="F364" s="15" t="s">
        <v>152</v>
      </c>
      <c r="G364" s="15" t="s">
        <v>321</v>
      </c>
      <c r="H364" s="15" t="s">
        <v>296</v>
      </c>
      <c r="I364" s="15" t="s">
        <v>224</v>
      </c>
      <c r="J364" s="15" t="s">
        <v>297</v>
      </c>
      <c r="K364" s="15"/>
      <c r="L364" s="15" t="s">
        <v>353</v>
      </c>
      <c r="M364" s="15" t="s">
        <v>187</v>
      </c>
      <c r="N364" s="63">
        <v>366</v>
      </c>
      <c r="O364" s="15"/>
      <c r="P364" s="15">
        <v>10.86</v>
      </c>
      <c r="Q364" s="15"/>
      <c r="R364" s="15"/>
      <c r="S364" s="15" t="s">
        <v>1117</v>
      </c>
      <c r="T364" s="15"/>
      <c r="U364" s="15"/>
      <c r="V364" s="15"/>
      <c r="W364" s="15"/>
      <c r="X364" s="15"/>
      <c r="Y364" s="15" t="s">
        <v>218</v>
      </c>
      <c r="Z364" s="15" t="s">
        <v>373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 t="s">
        <v>1131</v>
      </c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61"/>
      <c r="BE364" s="61"/>
      <c r="BF364" s="15"/>
      <c r="BG364" s="15"/>
      <c r="BH364" s="15"/>
      <c r="BI364" s="15"/>
      <c r="BJ364" s="15"/>
      <c r="BK364" s="15"/>
      <c r="BL364" s="15"/>
      <c r="BM364" s="15"/>
      <c r="BN364" s="15"/>
      <c r="BO364" s="64"/>
      <c r="BP364" s="15"/>
      <c r="BQ364" s="15"/>
      <c r="BR364" s="15"/>
      <c r="BS364" s="64"/>
      <c r="BT364" s="64">
        <v>46138</v>
      </c>
      <c r="BU364" s="64">
        <v>46194</v>
      </c>
      <c r="BV364" s="15"/>
      <c r="BW364" s="64"/>
      <c r="BX364" s="68"/>
      <c r="BY364" s="68"/>
      <c r="BZ364" s="68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15"/>
      <c r="CL364" s="68"/>
      <c r="CM364" s="68"/>
      <c r="CN364" s="68"/>
      <c r="CO364" s="68"/>
      <c r="CP364" s="68"/>
      <c r="CQ364" s="68"/>
      <c r="CR364" s="68"/>
      <c r="CS364" s="68"/>
      <c r="CT364" s="68">
        <v>23</v>
      </c>
      <c r="CU364" s="68">
        <v>41</v>
      </c>
      <c r="CV364" s="68">
        <v>32</v>
      </c>
      <c r="CW364" s="68">
        <v>11</v>
      </c>
      <c r="CX364" s="68"/>
      <c r="CY364" s="68"/>
      <c r="CZ364" s="68">
        <v>68</v>
      </c>
      <c r="DA364" s="68">
        <v>100</v>
      </c>
      <c r="DB364" s="68">
        <v>83</v>
      </c>
      <c r="DC364" s="68"/>
      <c r="DD364" s="68">
        <v>8</v>
      </c>
      <c r="DE364" s="68"/>
      <c r="DF364" s="68"/>
      <c r="DG364" s="68"/>
      <c r="DH364" s="68"/>
      <c r="DI364" s="68"/>
      <c r="DJ364" s="68"/>
      <c r="DK364" s="68"/>
      <c r="DL364" s="68"/>
      <c r="DM364" s="68"/>
      <c r="DN364" s="68"/>
      <c r="DO364" s="68"/>
      <c r="DP364" s="68"/>
      <c r="DQ364" s="68"/>
      <c r="DR364" s="68"/>
      <c r="DS364" s="68"/>
      <c r="DT364" s="68"/>
      <c r="DU364" s="68"/>
      <c r="DV364" s="68"/>
      <c r="DW364" s="68"/>
      <c r="DX364" s="68"/>
      <c r="DY364" s="68"/>
      <c r="DZ364" s="68"/>
      <c r="EA364" s="68"/>
      <c r="EB364" s="68"/>
      <c r="EC364" s="68"/>
      <c r="ED364" s="68"/>
      <c r="EE364" s="68"/>
      <c r="EF364" s="68"/>
      <c r="EG364" s="68"/>
      <c r="EH364" s="68"/>
      <c r="EI364" s="68"/>
      <c r="EJ364" s="68"/>
      <c r="EK364" s="68"/>
      <c r="EL364" s="68"/>
      <c r="EM364" s="68"/>
      <c r="EN364" s="68"/>
      <c r="EO364" s="68"/>
      <c r="EP364" s="68"/>
      <c r="EQ364" s="65">
        <f t="shared" si="37"/>
        <v>366</v>
      </c>
      <c r="ER364" s="6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 t="s">
        <v>202</v>
      </c>
      <c r="FF364" s="15"/>
      <c r="FG364" s="15"/>
      <c r="FH364" s="1" t="str">
        <f t="shared" si="38"/>
        <v>7115485350064702125950</v>
      </c>
      <c r="FI364" s="1" t="str">
        <f t="shared" si="39"/>
        <v>PRLS/25/14130</v>
      </c>
      <c r="FJ364" s="38" t="e">
        <f>VLOOKUP(FH364,[1]Sheet3!$A:$D,4,0)</f>
        <v>#N/A</v>
      </c>
      <c r="FL364" s="13"/>
    </row>
    <row r="365" spans="1:168" ht="21" hidden="1" x14ac:dyDescent="0.25">
      <c r="A365" s="15" t="s">
        <v>1109</v>
      </c>
      <c r="B365" s="15">
        <v>999</v>
      </c>
      <c r="C365" s="15" t="s">
        <v>1100</v>
      </c>
      <c r="D365" s="15" t="s">
        <v>1093</v>
      </c>
      <c r="E365" s="15" t="s">
        <v>253</v>
      </c>
      <c r="F365" s="15" t="s">
        <v>254</v>
      </c>
      <c r="G365" s="15" t="s">
        <v>354</v>
      </c>
      <c r="H365" s="15" t="s">
        <v>296</v>
      </c>
      <c r="I365" s="15" t="s">
        <v>224</v>
      </c>
      <c r="J365" s="15" t="s">
        <v>297</v>
      </c>
      <c r="K365" s="15"/>
      <c r="L365" s="15" t="s">
        <v>353</v>
      </c>
      <c r="M365" s="15" t="s">
        <v>187</v>
      </c>
      <c r="N365" s="63">
        <v>60</v>
      </c>
      <c r="O365" s="15"/>
      <c r="P365" s="15">
        <v>10.86</v>
      </c>
      <c r="Q365" s="15"/>
      <c r="R365" s="15"/>
      <c r="S365" s="15" t="s">
        <v>1117</v>
      </c>
      <c r="T365" s="15"/>
      <c r="U365" s="15"/>
      <c r="V365" s="15"/>
      <c r="W365" s="15"/>
      <c r="X365" s="15"/>
      <c r="Y365" s="15" t="s">
        <v>218</v>
      </c>
      <c r="Z365" s="15" t="s">
        <v>373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 t="s">
        <v>1131</v>
      </c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61"/>
      <c r="BE365" s="61"/>
      <c r="BF365" s="15"/>
      <c r="BG365" s="15"/>
      <c r="BH365" s="15"/>
      <c r="BI365" s="15"/>
      <c r="BJ365" s="15"/>
      <c r="BK365" s="15"/>
      <c r="BL365" s="15"/>
      <c r="BM365" s="15"/>
      <c r="BN365" s="15"/>
      <c r="BO365" s="64"/>
      <c r="BP365" s="15"/>
      <c r="BQ365" s="15"/>
      <c r="BR365" s="15"/>
      <c r="BS365" s="64"/>
      <c r="BT365" s="64">
        <v>46138</v>
      </c>
      <c r="BU365" s="64">
        <v>46194</v>
      </c>
      <c r="BV365" s="15"/>
      <c r="BW365" s="64"/>
      <c r="BX365" s="68"/>
      <c r="BY365" s="68"/>
      <c r="BZ365" s="68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15"/>
      <c r="CL365" s="68"/>
      <c r="CM365" s="68"/>
      <c r="CN365" s="68"/>
      <c r="CO365" s="68"/>
      <c r="CP365" s="68"/>
      <c r="CQ365" s="68"/>
      <c r="CR365" s="68"/>
      <c r="CS365" s="68"/>
      <c r="CT365" s="68"/>
      <c r="CU365" s="68"/>
      <c r="CV365" s="68"/>
      <c r="CW365" s="68"/>
      <c r="CX365" s="68"/>
      <c r="CY365" s="68"/>
      <c r="CZ365" s="68">
        <v>10</v>
      </c>
      <c r="DA365" s="68">
        <v>22</v>
      </c>
      <c r="DB365" s="68">
        <v>18</v>
      </c>
      <c r="DC365" s="68">
        <v>10</v>
      </c>
      <c r="DD365" s="68"/>
      <c r="DE365" s="68"/>
      <c r="DF365" s="68"/>
      <c r="DG365" s="68"/>
      <c r="DH365" s="68"/>
      <c r="DI365" s="68"/>
      <c r="DJ365" s="68"/>
      <c r="DK365" s="68"/>
      <c r="DL365" s="68"/>
      <c r="DM365" s="68"/>
      <c r="DN365" s="68"/>
      <c r="DO365" s="68"/>
      <c r="DP365" s="68"/>
      <c r="DQ365" s="68"/>
      <c r="DR365" s="68"/>
      <c r="DS365" s="68"/>
      <c r="DT365" s="68"/>
      <c r="DU365" s="68"/>
      <c r="DV365" s="68"/>
      <c r="DW365" s="68"/>
      <c r="DX365" s="68"/>
      <c r="DY365" s="68"/>
      <c r="DZ365" s="68"/>
      <c r="EA365" s="68"/>
      <c r="EB365" s="68"/>
      <c r="EC365" s="68"/>
      <c r="ED365" s="68"/>
      <c r="EE365" s="68"/>
      <c r="EF365" s="68"/>
      <c r="EG365" s="68"/>
      <c r="EH365" s="68"/>
      <c r="EI365" s="68"/>
      <c r="EJ365" s="68"/>
      <c r="EK365" s="68"/>
      <c r="EL365" s="68"/>
      <c r="EM365" s="68"/>
      <c r="EN365" s="68"/>
      <c r="EO365" s="68"/>
      <c r="EP365" s="68"/>
      <c r="EQ365" s="65">
        <f t="shared" si="37"/>
        <v>60</v>
      </c>
      <c r="ER365" s="6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 t="s">
        <v>202</v>
      </c>
      <c r="FF365" s="15"/>
      <c r="FG365" s="15"/>
      <c r="FH365" s="1" t="str">
        <f t="shared" si="38"/>
        <v>7115485350064702125951</v>
      </c>
      <c r="FI365" s="1" t="str">
        <f t="shared" si="39"/>
        <v>PRLS/25/14130</v>
      </c>
      <c r="FJ365" s="38" t="e">
        <f>VLOOKUP(FH365,[1]Sheet3!$A:$D,4,0)</f>
        <v>#N/A</v>
      </c>
      <c r="FL365" s="13"/>
    </row>
    <row r="366" spans="1:168" ht="21" hidden="1" x14ac:dyDescent="0.25">
      <c r="A366" s="15" t="s">
        <v>1110</v>
      </c>
      <c r="B366" s="15">
        <v>999</v>
      </c>
      <c r="C366" s="15" t="s">
        <v>1100</v>
      </c>
      <c r="D366" s="15" t="s">
        <v>1092</v>
      </c>
      <c r="E366" s="15" t="s">
        <v>210</v>
      </c>
      <c r="F366" s="15" t="s">
        <v>152</v>
      </c>
      <c r="G366" s="15" t="s">
        <v>321</v>
      </c>
      <c r="H366" s="15" t="s">
        <v>299</v>
      </c>
      <c r="I366" s="15" t="s">
        <v>224</v>
      </c>
      <c r="J366" s="15" t="s">
        <v>297</v>
      </c>
      <c r="K366" s="15"/>
      <c r="L366" s="15" t="s">
        <v>353</v>
      </c>
      <c r="M366" s="15" t="s">
        <v>343</v>
      </c>
      <c r="N366" s="63">
        <v>323</v>
      </c>
      <c r="O366" s="15"/>
      <c r="P366" s="15">
        <v>10.86</v>
      </c>
      <c r="Q366" s="15"/>
      <c r="R366" s="15"/>
      <c r="S366" s="15" t="s">
        <v>1117</v>
      </c>
      <c r="T366" s="15"/>
      <c r="U366" s="15"/>
      <c r="V366" s="15"/>
      <c r="W366" s="15"/>
      <c r="X366" s="15"/>
      <c r="Y366" s="15" t="s">
        <v>218</v>
      </c>
      <c r="Z366" s="15" t="s">
        <v>373</v>
      </c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 t="s">
        <v>1131</v>
      </c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61"/>
      <c r="BE366" s="61"/>
      <c r="BF366" s="15"/>
      <c r="BG366" s="15"/>
      <c r="BH366" s="15"/>
      <c r="BI366" s="15"/>
      <c r="BJ366" s="15"/>
      <c r="BK366" s="15"/>
      <c r="BL366" s="15"/>
      <c r="BM366" s="15"/>
      <c r="BN366" s="15"/>
      <c r="BO366" s="64"/>
      <c r="BP366" s="15"/>
      <c r="BQ366" s="15"/>
      <c r="BR366" s="15"/>
      <c r="BS366" s="64"/>
      <c r="BT366" s="64">
        <v>46138</v>
      </c>
      <c r="BU366" s="64">
        <v>46194</v>
      </c>
      <c r="BV366" s="15"/>
      <c r="BW366" s="64"/>
      <c r="BX366" s="68"/>
      <c r="BY366" s="68"/>
      <c r="BZ366" s="68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15"/>
      <c r="CL366" s="68"/>
      <c r="CM366" s="68"/>
      <c r="CN366" s="68"/>
      <c r="CO366" s="68"/>
      <c r="CP366" s="68"/>
      <c r="CQ366" s="68"/>
      <c r="CR366" s="68"/>
      <c r="CS366" s="68"/>
      <c r="CT366" s="68"/>
      <c r="CU366" s="68">
        <v>40</v>
      </c>
      <c r="CV366" s="68">
        <v>32</v>
      </c>
      <c r="CW366" s="68">
        <v>14</v>
      </c>
      <c r="CX366" s="68">
        <v>2</v>
      </c>
      <c r="CY366" s="68"/>
      <c r="CZ366" s="68">
        <v>41</v>
      </c>
      <c r="DA366" s="68">
        <v>82</v>
      </c>
      <c r="DB366" s="68">
        <v>103</v>
      </c>
      <c r="DC366" s="68"/>
      <c r="DD366" s="68">
        <v>9</v>
      </c>
      <c r="DE366" s="68"/>
      <c r="DF366" s="68"/>
      <c r="DG366" s="68"/>
      <c r="DH366" s="68"/>
      <c r="DI366" s="68"/>
      <c r="DJ366" s="68"/>
      <c r="DK366" s="68"/>
      <c r="DL366" s="68"/>
      <c r="DM366" s="68"/>
      <c r="DN366" s="68"/>
      <c r="DO366" s="68"/>
      <c r="DP366" s="68"/>
      <c r="DQ366" s="68"/>
      <c r="DR366" s="68"/>
      <c r="DS366" s="68"/>
      <c r="DT366" s="68"/>
      <c r="DU366" s="68"/>
      <c r="DV366" s="68"/>
      <c r="DW366" s="68"/>
      <c r="DX366" s="68"/>
      <c r="DY366" s="68"/>
      <c r="DZ366" s="68"/>
      <c r="EA366" s="68"/>
      <c r="EB366" s="68"/>
      <c r="EC366" s="68"/>
      <c r="ED366" s="68"/>
      <c r="EE366" s="68"/>
      <c r="EF366" s="68"/>
      <c r="EG366" s="68"/>
      <c r="EH366" s="68"/>
      <c r="EI366" s="68"/>
      <c r="EJ366" s="68"/>
      <c r="EK366" s="68"/>
      <c r="EL366" s="68"/>
      <c r="EM366" s="68"/>
      <c r="EN366" s="68"/>
      <c r="EO366" s="68"/>
      <c r="EP366" s="68"/>
      <c r="EQ366" s="65">
        <f t="shared" si="37"/>
        <v>323</v>
      </c>
      <c r="ER366" s="6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 t="s">
        <v>202</v>
      </c>
      <c r="FF366" s="15"/>
      <c r="FG366" s="15"/>
      <c r="FH366" s="1" t="str">
        <f t="shared" si="38"/>
        <v>7115485350074702125950</v>
      </c>
      <c r="FI366" s="1" t="str">
        <f t="shared" si="39"/>
        <v>PRLS/25/14131</v>
      </c>
      <c r="FJ366" s="38" t="e">
        <f>VLOOKUP(FH366,[1]Sheet3!$A:$D,4,0)</f>
        <v>#N/A</v>
      </c>
      <c r="FL366" s="13"/>
    </row>
    <row r="367" spans="1:168" ht="21" hidden="1" x14ac:dyDescent="0.25">
      <c r="A367" s="15" t="s">
        <v>1110</v>
      </c>
      <c r="B367" s="15">
        <v>999</v>
      </c>
      <c r="C367" s="15" t="s">
        <v>1100</v>
      </c>
      <c r="D367" s="15" t="s">
        <v>1093</v>
      </c>
      <c r="E367" s="15" t="s">
        <v>253</v>
      </c>
      <c r="F367" s="15" t="s">
        <v>254</v>
      </c>
      <c r="G367" s="15" t="s">
        <v>354</v>
      </c>
      <c r="H367" s="15" t="s">
        <v>299</v>
      </c>
      <c r="I367" s="15" t="s">
        <v>224</v>
      </c>
      <c r="J367" s="15" t="s">
        <v>297</v>
      </c>
      <c r="K367" s="15"/>
      <c r="L367" s="15" t="s">
        <v>353</v>
      </c>
      <c r="M367" s="15" t="s">
        <v>343</v>
      </c>
      <c r="N367" s="63">
        <v>30</v>
      </c>
      <c r="O367" s="15"/>
      <c r="P367" s="15">
        <v>10.86</v>
      </c>
      <c r="Q367" s="15"/>
      <c r="R367" s="15"/>
      <c r="S367" s="15" t="s">
        <v>1117</v>
      </c>
      <c r="T367" s="15"/>
      <c r="U367" s="15"/>
      <c r="V367" s="15"/>
      <c r="W367" s="15"/>
      <c r="X367" s="15"/>
      <c r="Y367" s="15" t="s">
        <v>218</v>
      </c>
      <c r="Z367" s="15" t="s">
        <v>373</v>
      </c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 t="s">
        <v>1131</v>
      </c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61"/>
      <c r="BE367" s="61"/>
      <c r="BF367" s="15"/>
      <c r="BG367" s="15"/>
      <c r="BH367" s="15"/>
      <c r="BI367" s="15"/>
      <c r="BJ367" s="15"/>
      <c r="BK367" s="15"/>
      <c r="BL367" s="15"/>
      <c r="BM367" s="15"/>
      <c r="BN367" s="15"/>
      <c r="BO367" s="64"/>
      <c r="BP367" s="15"/>
      <c r="BQ367" s="15"/>
      <c r="BR367" s="15"/>
      <c r="BS367" s="64"/>
      <c r="BT367" s="64">
        <v>46138</v>
      </c>
      <c r="BU367" s="64">
        <v>46194</v>
      </c>
      <c r="BV367" s="15"/>
      <c r="BW367" s="64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15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>
        <v>5</v>
      </c>
      <c r="DA367" s="68">
        <v>11</v>
      </c>
      <c r="DB367" s="68">
        <v>9</v>
      </c>
      <c r="DC367" s="68">
        <v>5</v>
      </c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  <c r="EE367" s="68"/>
      <c r="EF367" s="68"/>
      <c r="EG367" s="68"/>
      <c r="EH367" s="68"/>
      <c r="EI367" s="68"/>
      <c r="EJ367" s="68"/>
      <c r="EK367" s="68"/>
      <c r="EL367" s="68"/>
      <c r="EM367" s="68"/>
      <c r="EN367" s="68"/>
      <c r="EO367" s="68"/>
      <c r="EP367" s="68"/>
      <c r="EQ367" s="65">
        <f t="shared" si="37"/>
        <v>30</v>
      </c>
      <c r="ER367" s="6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 t="s">
        <v>202</v>
      </c>
      <c r="FF367" s="15"/>
      <c r="FG367" s="15"/>
      <c r="FH367" s="1" t="str">
        <f t="shared" si="38"/>
        <v>7115485350074702125951</v>
      </c>
      <c r="FI367" s="1" t="str">
        <f t="shared" si="39"/>
        <v>PRLS/25/14131</v>
      </c>
      <c r="FJ367" s="38" t="e">
        <f>VLOOKUP(FH367,[1]Sheet3!$A:$D,4,0)</f>
        <v>#N/A</v>
      </c>
      <c r="FL367" s="13"/>
    </row>
    <row r="368" spans="1:168" ht="21" hidden="1" x14ac:dyDescent="0.25">
      <c r="A368" s="15" t="s">
        <v>140</v>
      </c>
      <c r="B368" s="15" t="s">
        <v>149</v>
      </c>
      <c r="C368" s="15" t="s">
        <v>625</v>
      </c>
      <c r="D368" s="15" t="s">
        <v>1127</v>
      </c>
      <c r="E368" s="15" t="s">
        <v>151</v>
      </c>
      <c r="F368" s="15" t="s">
        <v>152</v>
      </c>
      <c r="G368" s="15" t="s">
        <v>321</v>
      </c>
      <c r="H368" s="15" t="s">
        <v>369</v>
      </c>
      <c r="I368" s="15" t="str">
        <f>LEFT(H368,9)</f>
        <v>710953355</v>
      </c>
      <c r="J368" s="15" t="s">
        <v>371</v>
      </c>
      <c r="K368" s="15"/>
      <c r="L368" s="15" t="s">
        <v>262</v>
      </c>
      <c r="M368" s="15" t="s">
        <v>372</v>
      </c>
      <c r="N368" s="63">
        <v>765</v>
      </c>
      <c r="O368" s="15"/>
      <c r="P368" s="15">
        <v>18.920000000000002</v>
      </c>
      <c r="Q368" s="15"/>
      <c r="R368" s="15"/>
      <c r="S368" s="15" t="s">
        <v>863</v>
      </c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61"/>
      <c r="BE368" s="61"/>
      <c r="BF368" s="15"/>
      <c r="BG368" s="15"/>
      <c r="BH368" s="15"/>
      <c r="BI368" s="15"/>
      <c r="BJ368" s="15"/>
      <c r="BK368" s="15"/>
      <c r="BL368" s="15"/>
      <c r="BM368" s="15"/>
      <c r="BN368" s="15"/>
      <c r="BO368" s="64"/>
      <c r="BP368" s="15"/>
      <c r="BQ368" s="15"/>
      <c r="BR368" s="15"/>
      <c r="BS368" s="64"/>
      <c r="BT368" s="64">
        <v>46208</v>
      </c>
      <c r="BU368" s="64">
        <v>46280</v>
      </c>
      <c r="BV368" s="15"/>
      <c r="BW368" s="64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15">
        <v>40</v>
      </c>
      <c r="CL368" s="68">
        <v>58</v>
      </c>
      <c r="CM368" s="68">
        <v>199</v>
      </c>
      <c r="CN368" s="68">
        <v>257</v>
      </c>
      <c r="CO368" s="68">
        <v>136</v>
      </c>
      <c r="CP368" s="68">
        <v>75</v>
      </c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  <c r="EE368" s="68"/>
      <c r="EF368" s="68"/>
      <c r="EG368" s="68"/>
      <c r="EH368" s="68"/>
      <c r="EI368" s="68"/>
      <c r="EJ368" s="68"/>
      <c r="EK368" s="68"/>
      <c r="EL368" s="68"/>
      <c r="EM368" s="68"/>
      <c r="EN368" s="68"/>
      <c r="EO368" s="68"/>
      <c r="EP368" s="68"/>
      <c r="EQ368" s="65">
        <f t="shared" si="37"/>
        <v>765</v>
      </c>
      <c r="ER368" s="6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 t="s">
        <v>176</v>
      </c>
      <c r="FF368" s="15"/>
      <c r="FG368" s="15"/>
      <c r="FH368" s="1" t="str">
        <f t="shared" si="38"/>
        <v>7109533550034702126270</v>
      </c>
      <c r="FI368" s="1" t="str">
        <f t="shared" si="39"/>
        <v>TBC</v>
      </c>
      <c r="FJ368" s="38"/>
      <c r="FL368" s="13"/>
    </row>
    <row r="369" spans="1:168" ht="21" x14ac:dyDescent="0.25">
      <c r="A369" s="15" t="s">
        <v>1144</v>
      </c>
      <c r="B369" s="15" t="s">
        <v>1142</v>
      </c>
      <c r="C369" s="15" t="s">
        <v>1143</v>
      </c>
      <c r="D369" s="15" t="s">
        <v>1150</v>
      </c>
      <c r="E369" s="15" t="s">
        <v>151</v>
      </c>
      <c r="F369" s="15" t="s">
        <v>152</v>
      </c>
      <c r="G369" s="15" t="s">
        <v>321</v>
      </c>
      <c r="H369" s="15" t="s">
        <v>1137</v>
      </c>
      <c r="I369" s="15" t="str">
        <f t="shared" ref="I369:I403" si="40">LEFT(H369,9)</f>
        <v>710615870</v>
      </c>
      <c r="J369" s="15" t="s">
        <v>1141</v>
      </c>
      <c r="K369" s="15"/>
      <c r="L369" s="15" t="s">
        <v>247</v>
      </c>
      <c r="M369" s="15" t="s">
        <v>268</v>
      </c>
      <c r="N369" s="63">
        <v>384</v>
      </c>
      <c r="O369" s="15"/>
      <c r="P369" s="15">
        <v>7.85</v>
      </c>
      <c r="Q369" s="15"/>
      <c r="R369" s="15"/>
      <c r="S369" s="15" t="s">
        <v>1117</v>
      </c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61"/>
      <c r="BE369" s="61"/>
      <c r="BF369" s="15"/>
      <c r="BG369" s="15"/>
      <c r="BH369" s="15"/>
      <c r="BI369" s="15"/>
      <c r="BJ369" s="15"/>
      <c r="BK369" s="15"/>
      <c r="BL369" s="15"/>
      <c r="BM369" s="15"/>
      <c r="BN369" s="15"/>
      <c r="BO369" s="64"/>
      <c r="BP369" s="15"/>
      <c r="BQ369" s="15"/>
      <c r="BR369" s="15"/>
      <c r="BS369" s="64"/>
      <c r="BT369" s="64">
        <v>46138</v>
      </c>
      <c r="BU369" s="64">
        <v>46133</v>
      </c>
      <c r="BV369" s="15"/>
      <c r="BW369" s="64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15"/>
      <c r="CL369" s="68"/>
      <c r="CM369" s="68">
        <v>52</v>
      </c>
      <c r="CN369" s="68">
        <v>303</v>
      </c>
      <c r="CO369" s="68">
        <v>29</v>
      </c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  <c r="EE369" s="68"/>
      <c r="EF369" s="68"/>
      <c r="EG369" s="68"/>
      <c r="EH369" s="68"/>
      <c r="EI369" s="68"/>
      <c r="EJ369" s="68"/>
      <c r="EK369" s="68"/>
      <c r="EL369" s="68"/>
      <c r="EM369" s="68"/>
      <c r="EN369" s="68"/>
      <c r="EO369" s="68"/>
      <c r="EP369" s="68"/>
      <c r="EQ369" s="65">
        <f t="shared" si="37"/>
        <v>384</v>
      </c>
      <c r="ER369" s="6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 t="s">
        <v>176</v>
      </c>
      <c r="FF369" s="15"/>
      <c r="FG369" s="15"/>
      <c r="FH369" s="1" t="str">
        <f t="shared" si="38"/>
        <v>7106158700014702130370</v>
      </c>
      <c r="FI369" s="1" t="str">
        <f t="shared" si="39"/>
        <v>PRLS/26/10044</v>
      </c>
      <c r="FJ369" s="38" t="e">
        <f>VLOOKUP(FH369,[1]Sheet3!$A:$D,4,0)</f>
        <v>#N/A</v>
      </c>
      <c r="FL369" s="13"/>
    </row>
    <row r="370" spans="1:168" ht="21" x14ac:dyDescent="0.25">
      <c r="A370" s="15" t="s">
        <v>1145</v>
      </c>
      <c r="B370" s="15" t="s">
        <v>1142</v>
      </c>
      <c r="C370" s="15" t="s">
        <v>1143</v>
      </c>
      <c r="D370" s="15" t="s">
        <v>1150</v>
      </c>
      <c r="E370" s="15" t="s">
        <v>151</v>
      </c>
      <c r="F370" s="15" t="s">
        <v>152</v>
      </c>
      <c r="G370" s="15" t="s">
        <v>321</v>
      </c>
      <c r="H370" s="15" t="s">
        <v>1138</v>
      </c>
      <c r="I370" s="15" t="str">
        <f t="shared" si="40"/>
        <v>710615870</v>
      </c>
      <c r="J370" s="15" t="s">
        <v>1141</v>
      </c>
      <c r="K370" s="15"/>
      <c r="L370" s="15" t="s">
        <v>247</v>
      </c>
      <c r="M370" s="15" t="s">
        <v>272</v>
      </c>
      <c r="N370" s="63">
        <v>301</v>
      </c>
      <c r="O370" s="15"/>
      <c r="P370" s="15">
        <v>8.3000000000000007</v>
      </c>
      <c r="Q370" s="15"/>
      <c r="R370" s="15"/>
      <c r="S370" s="15" t="s">
        <v>1117</v>
      </c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61"/>
      <c r="BE370" s="61"/>
      <c r="BF370" s="15"/>
      <c r="BG370" s="15"/>
      <c r="BH370" s="15"/>
      <c r="BI370" s="15"/>
      <c r="BJ370" s="15"/>
      <c r="BK370" s="15"/>
      <c r="BL370" s="15"/>
      <c r="BM370" s="15"/>
      <c r="BN370" s="15"/>
      <c r="BO370" s="64"/>
      <c r="BP370" s="15"/>
      <c r="BQ370" s="15"/>
      <c r="BR370" s="15"/>
      <c r="BS370" s="64"/>
      <c r="BT370" s="64">
        <v>46138</v>
      </c>
      <c r="BU370" s="64">
        <v>46133</v>
      </c>
      <c r="BV370" s="15"/>
      <c r="BW370" s="64"/>
      <c r="BX370" s="68"/>
      <c r="BY370" s="68"/>
      <c r="BZ370" s="68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15"/>
      <c r="CL370" s="68"/>
      <c r="CM370" s="68">
        <v>156</v>
      </c>
      <c r="CN370" s="68"/>
      <c r="CO370" s="68">
        <v>145</v>
      </c>
      <c r="CP370" s="68"/>
      <c r="CQ370" s="68"/>
      <c r="CR370" s="68"/>
      <c r="CS370" s="68"/>
      <c r="CT370" s="68"/>
      <c r="CU370" s="68"/>
      <c r="CV370" s="68"/>
      <c r="CW370" s="68"/>
      <c r="CX370" s="68"/>
      <c r="CY370" s="68"/>
      <c r="CZ370" s="68"/>
      <c r="DA370" s="68"/>
      <c r="DB370" s="68"/>
      <c r="DC370" s="68"/>
      <c r="DD370" s="68"/>
      <c r="DE370" s="68"/>
      <c r="DF370" s="68"/>
      <c r="DG370" s="68"/>
      <c r="DH370" s="68"/>
      <c r="DI370" s="68"/>
      <c r="DJ370" s="68"/>
      <c r="DK370" s="68"/>
      <c r="DL370" s="68"/>
      <c r="DM370" s="68"/>
      <c r="DN370" s="68"/>
      <c r="DO370" s="68"/>
      <c r="DP370" s="68"/>
      <c r="DQ370" s="68"/>
      <c r="DR370" s="68"/>
      <c r="DS370" s="68"/>
      <c r="DT370" s="68"/>
      <c r="DU370" s="68"/>
      <c r="DV370" s="68"/>
      <c r="DW370" s="68"/>
      <c r="DX370" s="68"/>
      <c r="DY370" s="68"/>
      <c r="DZ370" s="68"/>
      <c r="EA370" s="68"/>
      <c r="EB370" s="68"/>
      <c r="EC370" s="68"/>
      <c r="ED370" s="68"/>
      <c r="EE370" s="68"/>
      <c r="EF370" s="68"/>
      <c r="EG370" s="68"/>
      <c r="EH370" s="68"/>
      <c r="EI370" s="68"/>
      <c r="EJ370" s="68"/>
      <c r="EK370" s="68"/>
      <c r="EL370" s="68"/>
      <c r="EM370" s="68"/>
      <c r="EN370" s="68"/>
      <c r="EO370" s="68"/>
      <c r="EP370" s="68"/>
      <c r="EQ370" s="65">
        <f t="shared" si="37"/>
        <v>301</v>
      </c>
      <c r="ER370" s="6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 t="s">
        <v>176</v>
      </c>
      <c r="FF370" s="15"/>
      <c r="FG370" s="15"/>
      <c r="FH370" s="1" t="str">
        <f t="shared" si="38"/>
        <v>7106158700024702130370</v>
      </c>
      <c r="FI370" s="1" t="str">
        <f t="shared" si="39"/>
        <v>PRLS/26/10037</v>
      </c>
      <c r="FJ370" s="38" t="e">
        <f>VLOOKUP(FH370,[1]Sheet3!$A:$D,4,0)</f>
        <v>#N/A</v>
      </c>
      <c r="FL370" s="13"/>
    </row>
    <row r="371" spans="1:168" ht="21" hidden="1" x14ac:dyDescent="0.25">
      <c r="A371" s="15" t="s">
        <v>1146</v>
      </c>
      <c r="B371" s="15" t="s">
        <v>1142</v>
      </c>
      <c r="C371" s="15" t="s">
        <v>1143</v>
      </c>
      <c r="D371" s="15" t="s">
        <v>1151</v>
      </c>
      <c r="E371" s="15" t="s">
        <v>151</v>
      </c>
      <c r="F371" s="15" t="s">
        <v>152</v>
      </c>
      <c r="G371" s="15" t="s">
        <v>321</v>
      </c>
      <c r="H371" s="15" t="s">
        <v>1139</v>
      </c>
      <c r="I371" s="15" t="str">
        <f t="shared" si="40"/>
        <v>710757702</v>
      </c>
      <c r="J371" s="15" t="s">
        <v>1141</v>
      </c>
      <c r="K371" s="15"/>
      <c r="L371" s="15" t="s">
        <v>261</v>
      </c>
      <c r="M371" s="15" t="s">
        <v>268</v>
      </c>
      <c r="N371" s="63">
        <v>916</v>
      </c>
      <c r="O371" s="15"/>
      <c r="P371" s="15">
        <v>8.25</v>
      </c>
      <c r="Q371" s="15"/>
      <c r="R371" s="15"/>
      <c r="S371" s="15" t="s">
        <v>1117</v>
      </c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61"/>
      <c r="BE371" s="61"/>
      <c r="BF371" s="15"/>
      <c r="BG371" s="15"/>
      <c r="BH371" s="15"/>
      <c r="BI371" s="15"/>
      <c r="BJ371" s="15"/>
      <c r="BK371" s="15"/>
      <c r="BL371" s="15"/>
      <c r="BM371" s="15"/>
      <c r="BN371" s="15"/>
      <c r="BO371" s="64"/>
      <c r="BP371" s="15"/>
      <c r="BQ371" s="15"/>
      <c r="BR371" s="15"/>
      <c r="BS371" s="64"/>
      <c r="BT371" s="64">
        <v>46138</v>
      </c>
      <c r="BU371" s="64">
        <v>46133</v>
      </c>
      <c r="BV371" s="15"/>
      <c r="BW371" s="64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15"/>
      <c r="CL371" s="68"/>
      <c r="CM371" s="68">
        <v>313</v>
      </c>
      <c r="CN371" s="68">
        <v>418</v>
      </c>
      <c r="CO371" s="68">
        <v>185</v>
      </c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  <c r="EE371" s="68"/>
      <c r="EF371" s="68"/>
      <c r="EG371" s="68"/>
      <c r="EH371" s="68"/>
      <c r="EI371" s="68"/>
      <c r="EJ371" s="68"/>
      <c r="EK371" s="68"/>
      <c r="EL371" s="68"/>
      <c r="EM371" s="68"/>
      <c r="EN371" s="68"/>
      <c r="EO371" s="68"/>
      <c r="EP371" s="68"/>
      <c r="EQ371" s="65">
        <f t="shared" si="37"/>
        <v>916</v>
      </c>
      <c r="ER371" s="6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 t="s">
        <v>176</v>
      </c>
      <c r="FF371" s="15"/>
      <c r="FG371" s="15"/>
      <c r="FH371" s="1" t="str">
        <f t="shared" si="38"/>
        <v>7107577020014702130371</v>
      </c>
      <c r="FI371" s="1" t="str">
        <f t="shared" si="39"/>
        <v>PRLS/26/10039</v>
      </c>
      <c r="FJ371" s="38" t="e">
        <f>VLOOKUP(FH371,[1]Sheet3!$A:$D,4,0)</f>
        <v>#N/A</v>
      </c>
      <c r="FL371" s="13"/>
    </row>
    <row r="372" spans="1:168" ht="21" hidden="1" x14ac:dyDescent="0.25">
      <c r="A372" s="15" t="s">
        <v>1147</v>
      </c>
      <c r="B372" s="15" t="s">
        <v>1142</v>
      </c>
      <c r="C372" s="15" t="s">
        <v>1143</v>
      </c>
      <c r="D372" s="15" t="s">
        <v>1151</v>
      </c>
      <c r="E372" s="15" t="s">
        <v>151</v>
      </c>
      <c r="F372" s="15" t="s">
        <v>152</v>
      </c>
      <c r="G372" s="15" t="s">
        <v>321</v>
      </c>
      <c r="H372" s="15" t="s">
        <v>1140</v>
      </c>
      <c r="I372" s="15" t="str">
        <f t="shared" si="40"/>
        <v>710757702</v>
      </c>
      <c r="J372" s="15" t="s">
        <v>1141</v>
      </c>
      <c r="K372" s="15"/>
      <c r="L372" s="15" t="s">
        <v>261</v>
      </c>
      <c r="M372" s="15" t="s">
        <v>272</v>
      </c>
      <c r="N372" s="63">
        <v>647</v>
      </c>
      <c r="O372" s="15"/>
      <c r="P372" s="15">
        <v>8.25</v>
      </c>
      <c r="Q372" s="15"/>
      <c r="R372" s="15"/>
      <c r="S372" s="15" t="s">
        <v>1117</v>
      </c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61"/>
      <c r="BE372" s="61"/>
      <c r="BF372" s="15"/>
      <c r="BG372" s="15"/>
      <c r="BH372" s="15"/>
      <c r="BI372" s="15"/>
      <c r="BJ372" s="15"/>
      <c r="BK372" s="15"/>
      <c r="BL372" s="15"/>
      <c r="BM372" s="15"/>
      <c r="BN372" s="15"/>
      <c r="BO372" s="64"/>
      <c r="BP372" s="15"/>
      <c r="BQ372" s="15"/>
      <c r="BR372" s="15"/>
      <c r="BS372" s="64"/>
      <c r="BT372" s="64">
        <v>46138</v>
      </c>
      <c r="BU372" s="64">
        <v>46133</v>
      </c>
      <c r="BV372" s="15"/>
      <c r="BW372" s="64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15"/>
      <c r="CL372" s="68">
        <v>46</v>
      </c>
      <c r="CM372" s="68">
        <v>272</v>
      </c>
      <c r="CN372" s="68">
        <v>263</v>
      </c>
      <c r="CO372" s="68">
        <v>66</v>
      </c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  <c r="EE372" s="68"/>
      <c r="EF372" s="68"/>
      <c r="EG372" s="68"/>
      <c r="EH372" s="68"/>
      <c r="EI372" s="68"/>
      <c r="EJ372" s="68"/>
      <c r="EK372" s="68"/>
      <c r="EL372" s="68"/>
      <c r="EM372" s="68"/>
      <c r="EN372" s="68"/>
      <c r="EO372" s="68"/>
      <c r="EP372" s="68"/>
      <c r="EQ372" s="65">
        <f t="shared" si="37"/>
        <v>647</v>
      </c>
      <c r="ER372" s="6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 t="s">
        <v>176</v>
      </c>
      <c r="FF372" s="15"/>
      <c r="FG372" s="15"/>
      <c r="FH372" s="1" t="str">
        <f t="shared" si="38"/>
        <v>7107577020024702130371</v>
      </c>
      <c r="FI372" s="1" t="str">
        <f t="shared" si="39"/>
        <v>PRLS/26/10040</v>
      </c>
      <c r="FJ372" s="38" t="e">
        <f>VLOOKUP(FH372,[1]Sheet3!$A:$D,4,0)</f>
        <v>#N/A</v>
      </c>
      <c r="FL372" s="13"/>
    </row>
    <row r="373" spans="1:168" ht="21" hidden="1" x14ac:dyDescent="0.25">
      <c r="A373" s="15" t="s">
        <v>1066</v>
      </c>
      <c r="B373" s="15" t="s">
        <v>149</v>
      </c>
      <c r="C373" s="15" t="s">
        <v>625</v>
      </c>
      <c r="D373" s="15" t="s">
        <v>1162</v>
      </c>
      <c r="E373" s="15" t="s">
        <v>151</v>
      </c>
      <c r="F373" s="15" t="s">
        <v>152</v>
      </c>
      <c r="G373" s="15" t="s">
        <v>321</v>
      </c>
      <c r="H373" s="15" t="s">
        <v>642</v>
      </c>
      <c r="I373" s="15" t="str">
        <f t="shared" si="40"/>
        <v>322903830</v>
      </c>
      <c r="J373" s="15" t="s">
        <v>1047</v>
      </c>
      <c r="K373" s="15"/>
      <c r="L373" s="15" t="s">
        <v>1160</v>
      </c>
      <c r="M373" s="15" t="s">
        <v>357</v>
      </c>
      <c r="N373" s="63">
        <v>966</v>
      </c>
      <c r="O373" s="15"/>
      <c r="P373" s="15">
        <v>6.48</v>
      </c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61"/>
      <c r="BE373" s="61"/>
      <c r="BF373" s="15"/>
      <c r="BG373" s="15"/>
      <c r="BH373" s="15"/>
      <c r="BI373" s="15"/>
      <c r="BJ373" s="15"/>
      <c r="BK373" s="15"/>
      <c r="BL373" s="15"/>
      <c r="BM373" s="15"/>
      <c r="BN373" s="15"/>
      <c r="BO373" s="64"/>
      <c r="BP373" s="15"/>
      <c r="BQ373" s="15"/>
      <c r="BR373" s="15"/>
      <c r="BS373" s="64"/>
      <c r="BT373" s="64">
        <v>46215</v>
      </c>
      <c r="BU373" s="64">
        <v>46280</v>
      </c>
      <c r="BV373" s="15"/>
      <c r="BW373" s="64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15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  <c r="EE373" s="68"/>
      <c r="EF373" s="68"/>
      <c r="EG373" s="68">
        <v>152</v>
      </c>
      <c r="EH373" s="68">
        <v>175</v>
      </c>
      <c r="EI373" s="68">
        <v>165</v>
      </c>
      <c r="EJ373" s="68">
        <v>170</v>
      </c>
      <c r="EK373" s="68">
        <v>162</v>
      </c>
      <c r="EL373" s="68">
        <v>142</v>
      </c>
      <c r="EM373" s="68"/>
      <c r="EN373" s="68"/>
      <c r="EO373" s="68"/>
      <c r="EP373" s="68"/>
      <c r="EQ373" s="65">
        <f t="shared" si="37"/>
        <v>966</v>
      </c>
      <c r="ER373" s="6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 t="s">
        <v>202</v>
      </c>
      <c r="FF373" s="15"/>
      <c r="FG373" s="15"/>
      <c r="FH373" s="1" t="str">
        <f t="shared" si="38"/>
        <v>3229038305004702129782</v>
      </c>
      <c r="FI373" s="1" t="str">
        <f t="shared" si="39"/>
        <v>PRLS/25/14066</v>
      </c>
      <c r="FJ373" s="38"/>
      <c r="FL373" s="13"/>
    </row>
    <row r="374" spans="1:168" ht="21" hidden="1" x14ac:dyDescent="0.25">
      <c r="A374" s="15" t="s">
        <v>1067</v>
      </c>
      <c r="B374" s="15" t="s">
        <v>149</v>
      </c>
      <c r="C374" s="15" t="s">
        <v>625</v>
      </c>
      <c r="D374" s="15" t="s">
        <v>1162</v>
      </c>
      <c r="E374" s="15" t="s">
        <v>151</v>
      </c>
      <c r="F374" s="15" t="s">
        <v>152</v>
      </c>
      <c r="G374" s="15" t="s">
        <v>321</v>
      </c>
      <c r="H374" s="15" t="s">
        <v>644</v>
      </c>
      <c r="I374" s="15" t="str">
        <f t="shared" si="40"/>
        <v>322903830</v>
      </c>
      <c r="J374" s="15" t="s">
        <v>1047</v>
      </c>
      <c r="K374" s="15"/>
      <c r="L374" s="15" t="s">
        <v>1160</v>
      </c>
      <c r="M374" s="15" t="s">
        <v>359</v>
      </c>
      <c r="N374" s="63">
        <v>1550</v>
      </c>
      <c r="O374" s="15"/>
      <c r="P374" s="15">
        <v>6.48</v>
      </c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61"/>
      <c r="BE374" s="61"/>
      <c r="BF374" s="15"/>
      <c r="BG374" s="15"/>
      <c r="BH374" s="15"/>
      <c r="BI374" s="15"/>
      <c r="BJ374" s="15"/>
      <c r="BK374" s="15"/>
      <c r="BL374" s="15"/>
      <c r="BM374" s="15"/>
      <c r="BN374" s="15"/>
      <c r="BO374" s="64"/>
      <c r="BP374" s="15"/>
      <c r="BQ374" s="15"/>
      <c r="BR374" s="15"/>
      <c r="BS374" s="64"/>
      <c r="BT374" s="64">
        <v>46215</v>
      </c>
      <c r="BU374" s="64">
        <v>46280</v>
      </c>
      <c r="BV374" s="15"/>
      <c r="BW374" s="64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15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  <c r="EE374" s="68"/>
      <c r="EF374" s="68"/>
      <c r="EG374" s="68">
        <v>247</v>
      </c>
      <c r="EH374" s="68">
        <v>282</v>
      </c>
      <c r="EI374" s="68">
        <v>261</v>
      </c>
      <c r="EJ374" s="68">
        <v>269</v>
      </c>
      <c r="EK374" s="68">
        <v>259</v>
      </c>
      <c r="EL374" s="68">
        <v>232</v>
      </c>
      <c r="EM374" s="68"/>
      <c r="EN374" s="68"/>
      <c r="EO374" s="68"/>
      <c r="EP374" s="68"/>
      <c r="EQ374" s="65">
        <f t="shared" si="37"/>
        <v>1550</v>
      </c>
      <c r="ER374" s="6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 t="s">
        <v>202</v>
      </c>
      <c r="FF374" s="15"/>
      <c r="FG374" s="15"/>
      <c r="FH374" s="1" t="str">
        <f t="shared" si="38"/>
        <v>3229038305024702129782</v>
      </c>
      <c r="FI374" s="1" t="str">
        <f t="shared" si="39"/>
        <v>PRLS/25/14067</v>
      </c>
      <c r="FJ374" s="38"/>
      <c r="FL374" s="13"/>
    </row>
    <row r="375" spans="1:168" ht="21" hidden="1" x14ac:dyDescent="0.25">
      <c r="A375" s="15" t="s">
        <v>1071</v>
      </c>
      <c r="B375" s="15" t="s">
        <v>149</v>
      </c>
      <c r="C375" s="15" t="s">
        <v>625</v>
      </c>
      <c r="D375" s="15" t="s">
        <v>1163</v>
      </c>
      <c r="E375" s="15" t="s">
        <v>151</v>
      </c>
      <c r="F375" s="15" t="s">
        <v>152</v>
      </c>
      <c r="G375" s="15" t="s">
        <v>321</v>
      </c>
      <c r="H375" s="15" t="s">
        <v>645</v>
      </c>
      <c r="I375" s="15" t="str">
        <f t="shared" si="40"/>
        <v>323903830</v>
      </c>
      <c r="J375" s="15" t="s">
        <v>1047</v>
      </c>
      <c r="K375" s="15"/>
      <c r="L375" s="15" t="s">
        <v>1160</v>
      </c>
      <c r="M375" s="15" t="s">
        <v>357</v>
      </c>
      <c r="N375" s="63">
        <v>570</v>
      </c>
      <c r="O375" s="15"/>
      <c r="P375" s="15">
        <v>7.66</v>
      </c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61"/>
      <c r="BE375" s="61"/>
      <c r="BF375" s="15"/>
      <c r="BG375" s="15"/>
      <c r="BH375" s="15"/>
      <c r="BI375" s="15"/>
      <c r="BJ375" s="15"/>
      <c r="BK375" s="15"/>
      <c r="BL375" s="15"/>
      <c r="BM375" s="15"/>
      <c r="BN375" s="15"/>
      <c r="BO375" s="64"/>
      <c r="BP375" s="15"/>
      <c r="BQ375" s="15"/>
      <c r="BR375" s="15"/>
      <c r="BS375" s="64"/>
      <c r="BT375" s="64">
        <v>46215</v>
      </c>
      <c r="BU375" s="64">
        <v>46280</v>
      </c>
      <c r="BV375" s="15"/>
      <c r="BW375" s="64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15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  <c r="EE375" s="68"/>
      <c r="EF375" s="68"/>
      <c r="EG375" s="68"/>
      <c r="EH375" s="68"/>
      <c r="EI375" s="68"/>
      <c r="EJ375" s="68"/>
      <c r="EK375" s="68"/>
      <c r="EL375" s="68"/>
      <c r="EM375" s="68">
        <v>77</v>
      </c>
      <c r="EN375" s="68">
        <v>116</v>
      </c>
      <c r="EO375" s="68">
        <v>179</v>
      </c>
      <c r="EP375" s="68">
        <v>198</v>
      </c>
      <c r="EQ375" s="65">
        <f t="shared" si="37"/>
        <v>570</v>
      </c>
      <c r="ER375" s="6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 t="s">
        <v>202</v>
      </c>
      <c r="FF375" s="15"/>
      <c r="FG375" s="15"/>
      <c r="FH375" s="1" t="str">
        <f t="shared" si="38"/>
        <v>3239038305004702129786</v>
      </c>
      <c r="FI375" s="1" t="str">
        <f t="shared" si="39"/>
        <v>PRLS/25/14071</v>
      </c>
      <c r="FJ375" s="38"/>
      <c r="FL375" s="13"/>
    </row>
    <row r="376" spans="1:168" ht="21" hidden="1" x14ac:dyDescent="0.25">
      <c r="A376" s="15" t="s">
        <v>1072</v>
      </c>
      <c r="B376" s="15" t="s">
        <v>149</v>
      </c>
      <c r="C376" s="15" t="s">
        <v>625</v>
      </c>
      <c r="D376" s="15" t="s">
        <v>1163</v>
      </c>
      <c r="E376" s="15" t="s">
        <v>151</v>
      </c>
      <c r="F376" s="15" t="s">
        <v>152</v>
      </c>
      <c r="G376" s="15" t="s">
        <v>321</v>
      </c>
      <c r="H376" s="15" t="s">
        <v>646</v>
      </c>
      <c r="I376" s="15" t="str">
        <f t="shared" si="40"/>
        <v>323903830</v>
      </c>
      <c r="J376" s="15" t="s">
        <v>1047</v>
      </c>
      <c r="K376" s="15"/>
      <c r="L376" s="15" t="s">
        <v>1160</v>
      </c>
      <c r="M376" s="15" t="s">
        <v>359</v>
      </c>
      <c r="N376" s="63">
        <v>2300</v>
      </c>
      <c r="O376" s="15"/>
      <c r="P376" s="15">
        <v>7.66</v>
      </c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61"/>
      <c r="BE376" s="61"/>
      <c r="BF376" s="15"/>
      <c r="BG376" s="15"/>
      <c r="BH376" s="15"/>
      <c r="BI376" s="15"/>
      <c r="BJ376" s="15"/>
      <c r="BK376" s="15"/>
      <c r="BL376" s="15"/>
      <c r="BM376" s="15"/>
      <c r="BN376" s="15"/>
      <c r="BO376" s="64"/>
      <c r="BP376" s="15"/>
      <c r="BQ376" s="15"/>
      <c r="BR376" s="15"/>
      <c r="BS376" s="64"/>
      <c r="BT376" s="64">
        <v>46215</v>
      </c>
      <c r="BU376" s="64">
        <v>46280</v>
      </c>
      <c r="BV376" s="15"/>
      <c r="BW376" s="64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15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  <c r="EE376" s="68"/>
      <c r="EF376" s="68"/>
      <c r="EG376" s="68"/>
      <c r="EH376" s="68"/>
      <c r="EI376" s="68"/>
      <c r="EJ376" s="68"/>
      <c r="EK376" s="68"/>
      <c r="EL376" s="68"/>
      <c r="EM376" s="68">
        <v>305</v>
      </c>
      <c r="EN376" s="68">
        <v>461</v>
      </c>
      <c r="EO376" s="68">
        <v>722</v>
      </c>
      <c r="EP376" s="68">
        <v>812</v>
      </c>
      <c r="EQ376" s="65">
        <f t="shared" si="37"/>
        <v>2300</v>
      </c>
      <c r="ER376" s="6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 t="s">
        <v>202</v>
      </c>
      <c r="FF376" s="15"/>
      <c r="FG376" s="15"/>
      <c r="FH376" s="1" t="str">
        <f t="shared" si="38"/>
        <v>3239038305014702129786</v>
      </c>
      <c r="FI376" s="1" t="str">
        <f t="shared" si="39"/>
        <v>PRLS/25/14072</v>
      </c>
      <c r="FJ376" s="38"/>
      <c r="FL376" s="13"/>
    </row>
    <row r="377" spans="1:168" ht="21" hidden="1" x14ac:dyDescent="0.25">
      <c r="A377" s="15" t="s">
        <v>1076</v>
      </c>
      <c r="B377" s="15" t="s">
        <v>149</v>
      </c>
      <c r="C377" s="15" t="s">
        <v>625</v>
      </c>
      <c r="D377" s="15" t="s">
        <v>1164</v>
      </c>
      <c r="E377" s="15" t="s">
        <v>257</v>
      </c>
      <c r="F377" s="15" t="s">
        <v>181</v>
      </c>
      <c r="G377" s="15" t="s">
        <v>321</v>
      </c>
      <c r="H377" s="15" t="s">
        <v>434</v>
      </c>
      <c r="I377" s="15" t="str">
        <f t="shared" si="40"/>
        <v>322968098</v>
      </c>
      <c r="J377" s="15" t="s">
        <v>1049</v>
      </c>
      <c r="K377" s="15"/>
      <c r="L377" s="15" t="s">
        <v>1160</v>
      </c>
      <c r="M377" s="15" t="s">
        <v>198</v>
      </c>
      <c r="N377" s="63">
        <v>500</v>
      </c>
      <c r="O377" s="15"/>
      <c r="P377" s="15">
        <v>8.4700000000000006</v>
      </c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61"/>
      <c r="BE377" s="61"/>
      <c r="BF377" s="15"/>
      <c r="BG377" s="15"/>
      <c r="BH377" s="15"/>
      <c r="BI377" s="15"/>
      <c r="BJ377" s="15"/>
      <c r="BK377" s="15"/>
      <c r="BL377" s="15"/>
      <c r="BM377" s="15"/>
      <c r="BN377" s="15"/>
      <c r="BO377" s="64"/>
      <c r="BP377" s="15"/>
      <c r="BQ377" s="15"/>
      <c r="BR377" s="15"/>
      <c r="BS377" s="64"/>
      <c r="BT377" s="64">
        <v>46208</v>
      </c>
      <c r="BU377" s="64">
        <v>46280</v>
      </c>
      <c r="BV377" s="15"/>
      <c r="BW377" s="64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15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  <c r="EE377" s="68"/>
      <c r="EF377" s="68"/>
      <c r="EG377" s="68">
        <v>55</v>
      </c>
      <c r="EH377" s="68">
        <v>90</v>
      </c>
      <c r="EI377" s="68">
        <v>90</v>
      </c>
      <c r="EJ377" s="68">
        <v>90</v>
      </c>
      <c r="EK377" s="68">
        <v>85</v>
      </c>
      <c r="EL377" s="68">
        <v>90</v>
      </c>
      <c r="EM377" s="68"/>
      <c r="EN377" s="68"/>
      <c r="EO377" s="68"/>
      <c r="EP377" s="68"/>
      <c r="EQ377" s="65">
        <f t="shared" si="37"/>
        <v>500</v>
      </c>
      <c r="ER377" s="6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 t="s">
        <v>202</v>
      </c>
      <c r="FF377" s="15"/>
      <c r="FG377" s="15"/>
      <c r="FH377" s="1" t="str">
        <f t="shared" si="38"/>
        <v>3229680980024702129783</v>
      </c>
      <c r="FI377" s="1" t="str">
        <f t="shared" si="39"/>
        <v>PRLS/25/14100</v>
      </c>
      <c r="FJ377" s="38"/>
      <c r="FL377" s="13"/>
    </row>
    <row r="378" spans="1:168" ht="21" hidden="1" x14ac:dyDescent="0.25">
      <c r="A378" s="15" t="s">
        <v>1077</v>
      </c>
      <c r="B378" s="15" t="s">
        <v>149</v>
      </c>
      <c r="C378" s="15" t="s">
        <v>625</v>
      </c>
      <c r="D378" s="15" t="s">
        <v>1164</v>
      </c>
      <c r="E378" s="15" t="s">
        <v>257</v>
      </c>
      <c r="F378" s="15" t="s">
        <v>181</v>
      </c>
      <c r="G378" s="15" t="s">
        <v>321</v>
      </c>
      <c r="H378" s="15" t="s">
        <v>435</v>
      </c>
      <c r="I378" s="15" t="str">
        <f t="shared" si="40"/>
        <v>322968098</v>
      </c>
      <c r="J378" s="15" t="s">
        <v>1049</v>
      </c>
      <c r="K378" s="15"/>
      <c r="L378" s="15" t="s">
        <v>1160</v>
      </c>
      <c r="M378" s="15" t="s">
        <v>187</v>
      </c>
      <c r="N378" s="63">
        <v>500</v>
      </c>
      <c r="O378" s="15"/>
      <c r="P378" s="15">
        <v>8.4700000000000006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61"/>
      <c r="BE378" s="61"/>
      <c r="BF378" s="15"/>
      <c r="BG378" s="15"/>
      <c r="BH378" s="15"/>
      <c r="BI378" s="15"/>
      <c r="BJ378" s="15"/>
      <c r="BK378" s="15"/>
      <c r="BL378" s="15"/>
      <c r="BM378" s="15"/>
      <c r="BN378" s="15"/>
      <c r="BO378" s="64"/>
      <c r="BP378" s="15"/>
      <c r="BQ378" s="15"/>
      <c r="BR378" s="15"/>
      <c r="BS378" s="64"/>
      <c r="BT378" s="64">
        <v>46208</v>
      </c>
      <c r="BU378" s="64">
        <v>46280</v>
      </c>
      <c r="BV378" s="15"/>
      <c r="BW378" s="64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15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  <c r="EE378" s="68"/>
      <c r="EF378" s="68"/>
      <c r="EG378" s="68">
        <v>55</v>
      </c>
      <c r="EH378" s="68">
        <v>90</v>
      </c>
      <c r="EI378" s="68">
        <v>90</v>
      </c>
      <c r="EJ378" s="68">
        <v>90</v>
      </c>
      <c r="EK378" s="68">
        <v>85</v>
      </c>
      <c r="EL378" s="68">
        <v>90</v>
      </c>
      <c r="EM378" s="68"/>
      <c r="EN378" s="68"/>
      <c r="EO378" s="68"/>
      <c r="EP378" s="68"/>
      <c r="EQ378" s="65">
        <f t="shared" si="37"/>
        <v>500</v>
      </c>
      <c r="ER378" s="6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 t="s">
        <v>202</v>
      </c>
      <c r="FF378" s="15"/>
      <c r="FG378" s="15"/>
      <c r="FH378" s="1" t="str">
        <f t="shared" si="38"/>
        <v>3229680980034702129783</v>
      </c>
      <c r="FI378" s="1" t="str">
        <f t="shared" si="39"/>
        <v>PRLS/25/14101</v>
      </c>
      <c r="FJ378" s="38"/>
      <c r="FL378" s="13"/>
    </row>
    <row r="379" spans="1:168" ht="21" hidden="1" x14ac:dyDescent="0.25">
      <c r="A379" s="15" t="s">
        <v>1068</v>
      </c>
      <c r="B379" s="15" t="s">
        <v>149</v>
      </c>
      <c r="C379" s="15" t="s">
        <v>625</v>
      </c>
      <c r="D379" s="15" t="s">
        <v>1165</v>
      </c>
      <c r="E379" s="15" t="s">
        <v>259</v>
      </c>
      <c r="F379" s="15" t="s">
        <v>260</v>
      </c>
      <c r="G379" s="15" t="s">
        <v>321</v>
      </c>
      <c r="H379" s="15" t="s">
        <v>669</v>
      </c>
      <c r="I379" s="15" t="str">
        <f t="shared" si="40"/>
        <v>322B29646</v>
      </c>
      <c r="J379" s="15" t="s">
        <v>1048</v>
      </c>
      <c r="K379" s="15"/>
      <c r="L379" s="15" t="s">
        <v>1161</v>
      </c>
      <c r="M379" s="15" t="s">
        <v>677</v>
      </c>
      <c r="N379" s="63">
        <v>61</v>
      </c>
      <c r="O379" s="15"/>
      <c r="P379" s="15">
        <v>8.43</v>
      </c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61"/>
      <c r="BE379" s="61"/>
      <c r="BF379" s="15"/>
      <c r="BG379" s="15"/>
      <c r="BH379" s="15"/>
      <c r="BI379" s="15"/>
      <c r="BJ379" s="15"/>
      <c r="BK379" s="15"/>
      <c r="BL379" s="15"/>
      <c r="BM379" s="15"/>
      <c r="BN379" s="15"/>
      <c r="BO379" s="64"/>
      <c r="BP379" s="15"/>
      <c r="BQ379" s="15"/>
      <c r="BR379" s="15"/>
      <c r="BS379" s="64"/>
      <c r="BT379" s="64">
        <v>46208</v>
      </c>
      <c r="BU379" s="64">
        <v>46280</v>
      </c>
      <c r="BV379" s="15"/>
      <c r="BW379" s="64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15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  <c r="EE379" s="68"/>
      <c r="EF379" s="68"/>
      <c r="EG379" s="68">
        <v>7</v>
      </c>
      <c r="EH379" s="68">
        <v>11</v>
      </c>
      <c r="EI379" s="68">
        <v>11</v>
      </c>
      <c r="EJ379" s="68">
        <v>11</v>
      </c>
      <c r="EK379" s="68">
        <v>10</v>
      </c>
      <c r="EL379" s="68">
        <v>11</v>
      </c>
      <c r="EM379" s="68"/>
      <c r="EN379" s="68"/>
      <c r="EO379" s="68"/>
      <c r="EP379" s="68"/>
      <c r="EQ379" s="65">
        <f t="shared" si="37"/>
        <v>61</v>
      </c>
      <c r="ER379" s="6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 t="s">
        <v>202</v>
      </c>
      <c r="FF379" s="15"/>
      <c r="FG379" s="15"/>
      <c r="FH379" s="1" t="str">
        <f t="shared" si="38"/>
        <v>322B296460014702129785</v>
      </c>
      <c r="FI379" s="1" t="str">
        <f t="shared" si="39"/>
        <v>PRLS/25/14068</v>
      </c>
      <c r="FJ379" s="38"/>
      <c r="FL379" s="13"/>
    </row>
    <row r="380" spans="1:168" ht="21" hidden="1" x14ac:dyDescent="0.25">
      <c r="A380" s="15" t="s">
        <v>1069</v>
      </c>
      <c r="B380" s="15" t="s">
        <v>149</v>
      </c>
      <c r="C380" s="15" t="s">
        <v>625</v>
      </c>
      <c r="D380" s="15" t="s">
        <v>1165</v>
      </c>
      <c r="E380" s="15" t="s">
        <v>259</v>
      </c>
      <c r="F380" s="15" t="s">
        <v>260</v>
      </c>
      <c r="G380" s="15" t="s">
        <v>321</v>
      </c>
      <c r="H380" s="15" t="s">
        <v>670</v>
      </c>
      <c r="I380" s="15" t="str">
        <f t="shared" si="40"/>
        <v>322B29646</v>
      </c>
      <c r="J380" s="15" t="s">
        <v>1048</v>
      </c>
      <c r="K380" s="15"/>
      <c r="L380" s="15" t="s">
        <v>1161</v>
      </c>
      <c r="M380" s="15" t="s">
        <v>678</v>
      </c>
      <c r="N380" s="63">
        <v>51</v>
      </c>
      <c r="O380" s="15"/>
      <c r="P380" s="15">
        <v>8.43</v>
      </c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61"/>
      <c r="BE380" s="61"/>
      <c r="BF380" s="15"/>
      <c r="BG380" s="15"/>
      <c r="BH380" s="15"/>
      <c r="BI380" s="15"/>
      <c r="BJ380" s="15"/>
      <c r="BK380" s="15"/>
      <c r="BL380" s="15"/>
      <c r="BM380" s="15"/>
      <c r="BN380" s="15"/>
      <c r="BO380" s="64"/>
      <c r="BP380" s="15"/>
      <c r="BQ380" s="15"/>
      <c r="BR380" s="15"/>
      <c r="BS380" s="64"/>
      <c r="BT380" s="64">
        <v>46208</v>
      </c>
      <c r="BU380" s="64">
        <v>46280</v>
      </c>
      <c r="BV380" s="15"/>
      <c r="BW380" s="64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15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  <c r="EE380" s="68"/>
      <c r="EF380" s="68"/>
      <c r="EG380" s="68">
        <v>6</v>
      </c>
      <c r="EH380" s="68">
        <v>9</v>
      </c>
      <c r="EI380" s="68">
        <v>9</v>
      </c>
      <c r="EJ380" s="68">
        <v>9</v>
      </c>
      <c r="EK380" s="68">
        <v>9</v>
      </c>
      <c r="EL380" s="68">
        <v>9</v>
      </c>
      <c r="EM380" s="68"/>
      <c r="EN380" s="68"/>
      <c r="EO380" s="68"/>
      <c r="EP380" s="68"/>
      <c r="EQ380" s="65">
        <f t="shared" si="37"/>
        <v>51</v>
      </c>
      <c r="ER380" s="6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 t="s">
        <v>202</v>
      </c>
      <c r="FF380" s="15"/>
      <c r="FG380" s="15"/>
      <c r="FH380" s="1" t="str">
        <f t="shared" si="38"/>
        <v>322B296460024702129785</v>
      </c>
      <c r="FI380" s="1" t="str">
        <f t="shared" si="39"/>
        <v>PRLS/25/14069</v>
      </c>
      <c r="FJ380" s="38"/>
      <c r="FL380" s="13"/>
    </row>
    <row r="381" spans="1:168" ht="21" hidden="1" x14ac:dyDescent="0.25">
      <c r="A381" s="15" t="s">
        <v>1070</v>
      </c>
      <c r="B381" s="15" t="s">
        <v>149</v>
      </c>
      <c r="C381" s="15" t="s">
        <v>625</v>
      </c>
      <c r="D381" s="15" t="s">
        <v>1165</v>
      </c>
      <c r="E381" s="15" t="s">
        <v>259</v>
      </c>
      <c r="F381" s="15" t="s">
        <v>260</v>
      </c>
      <c r="G381" s="15" t="s">
        <v>321</v>
      </c>
      <c r="H381" s="15" t="s">
        <v>671</v>
      </c>
      <c r="I381" s="15" t="str">
        <f t="shared" si="40"/>
        <v>322B29646</v>
      </c>
      <c r="J381" s="15" t="s">
        <v>1048</v>
      </c>
      <c r="K381" s="15"/>
      <c r="L381" s="15" t="s">
        <v>1161</v>
      </c>
      <c r="M381" s="15" t="s">
        <v>679</v>
      </c>
      <c r="N381" s="63">
        <v>28</v>
      </c>
      <c r="O381" s="15"/>
      <c r="P381" s="15">
        <v>9.6300000000000008</v>
      </c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61"/>
      <c r="BE381" s="61"/>
      <c r="BF381" s="15"/>
      <c r="BG381" s="15"/>
      <c r="BH381" s="15"/>
      <c r="BI381" s="15"/>
      <c r="BJ381" s="15"/>
      <c r="BK381" s="15"/>
      <c r="BL381" s="15"/>
      <c r="BM381" s="15"/>
      <c r="BN381" s="15"/>
      <c r="BO381" s="64"/>
      <c r="BP381" s="15"/>
      <c r="BQ381" s="15"/>
      <c r="BR381" s="15"/>
      <c r="BS381" s="64"/>
      <c r="BT381" s="64">
        <v>46208</v>
      </c>
      <c r="BU381" s="64">
        <v>46280</v>
      </c>
      <c r="BV381" s="15"/>
      <c r="BW381" s="64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15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  <c r="EE381" s="68"/>
      <c r="EF381" s="68"/>
      <c r="EG381" s="68">
        <v>3</v>
      </c>
      <c r="EH381" s="68">
        <v>5</v>
      </c>
      <c r="EI381" s="68">
        <v>5</v>
      </c>
      <c r="EJ381" s="68">
        <v>5</v>
      </c>
      <c r="EK381" s="68">
        <v>5</v>
      </c>
      <c r="EL381" s="68">
        <v>5</v>
      </c>
      <c r="EM381" s="68"/>
      <c r="EN381" s="68"/>
      <c r="EO381" s="68"/>
      <c r="EP381" s="68"/>
      <c r="EQ381" s="65">
        <f t="shared" si="37"/>
        <v>28</v>
      </c>
      <c r="ER381" s="6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 t="s">
        <v>202</v>
      </c>
      <c r="FF381" s="15"/>
      <c r="FG381" s="15"/>
      <c r="FH381" s="1" t="str">
        <f t="shared" si="38"/>
        <v>322B296460034702129785</v>
      </c>
      <c r="FI381" s="1" t="str">
        <f t="shared" si="39"/>
        <v>PRLS/25/14070</v>
      </c>
      <c r="FJ381" s="38"/>
      <c r="FL381" s="13"/>
    </row>
    <row r="382" spans="1:168" ht="21" hidden="1" x14ac:dyDescent="0.25">
      <c r="A382" s="15" t="s">
        <v>1078</v>
      </c>
      <c r="B382" s="15" t="s">
        <v>149</v>
      </c>
      <c r="C382" s="15" t="s">
        <v>625</v>
      </c>
      <c r="D382" s="15" t="s">
        <v>1166</v>
      </c>
      <c r="E382" s="15" t="s">
        <v>257</v>
      </c>
      <c r="F382" s="15" t="s">
        <v>181</v>
      </c>
      <c r="G382" s="15" t="s">
        <v>321</v>
      </c>
      <c r="H382" s="15" t="s">
        <v>436</v>
      </c>
      <c r="I382" s="15" t="str">
        <f t="shared" si="40"/>
        <v>323968098</v>
      </c>
      <c r="J382" s="15" t="s">
        <v>1049</v>
      </c>
      <c r="K382" s="15"/>
      <c r="L382" s="15" t="s">
        <v>1160</v>
      </c>
      <c r="M382" s="15" t="s">
        <v>198</v>
      </c>
      <c r="N382" s="63">
        <v>1200</v>
      </c>
      <c r="O382" s="15"/>
      <c r="P382" s="15">
        <v>11.47</v>
      </c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61"/>
      <c r="BE382" s="61"/>
      <c r="BF382" s="15"/>
      <c r="BG382" s="15"/>
      <c r="BH382" s="15"/>
      <c r="BI382" s="15"/>
      <c r="BJ382" s="15"/>
      <c r="BK382" s="15"/>
      <c r="BL382" s="15"/>
      <c r="BM382" s="15"/>
      <c r="BN382" s="15"/>
      <c r="BO382" s="64"/>
      <c r="BP382" s="15"/>
      <c r="BQ382" s="15"/>
      <c r="BR382" s="15"/>
      <c r="BS382" s="64"/>
      <c r="BT382" s="64">
        <v>46208</v>
      </c>
      <c r="BU382" s="64">
        <v>46280</v>
      </c>
      <c r="BV382" s="15"/>
      <c r="BW382" s="64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15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  <c r="EE382" s="68"/>
      <c r="EF382" s="68"/>
      <c r="EG382" s="68"/>
      <c r="EH382" s="68"/>
      <c r="EI382" s="68"/>
      <c r="EJ382" s="68"/>
      <c r="EK382" s="68"/>
      <c r="EL382" s="68"/>
      <c r="EM382" s="68">
        <v>186</v>
      </c>
      <c r="EN382" s="68">
        <v>276</v>
      </c>
      <c r="EO382" s="68">
        <v>396</v>
      </c>
      <c r="EP382" s="68">
        <v>342</v>
      </c>
      <c r="EQ382" s="65">
        <f t="shared" si="37"/>
        <v>1200</v>
      </c>
      <c r="ER382" s="6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 t="s">
        <v>202</v>
      </c>
      <c r="FF382" s="15"/>
      <c r="FG382" s="15"/>
      <c r="FH382" s="1" t="str">
        <f t="shared" si="38"/>
        <v>3239680980024702129787</v>
      </c>
      <c r="FI382" s="1" t="str">
        <f t="shared" si="39"/>
        <v>PRLS/25/14102</v>
      </c>
      <c r="FJ382" s="38"/>
      <c r="FL382" s="13"/>
    </row>
    <row r="383" spans="1:168" ht="21" hidden="1" x14ac:dyDescent="0.25">
      <c r="A383" s="15" t="s">
        <v>1079</v>
      </c>
      <c r="B383" s="15" t="s">
        <v>149</v>
      </c>
      <c r="C383" s="15" t="s">
        <v>625</v>
      </c>
      <c r="D383" s="15" t="s">
        <v>1166</v>
      </c>
      <c r="E383" s="15" t="s">
        <v>257</v>
      </c>
      <c r="F383" s="15" t="s">
        <v>181</v>
      </c>
      <c r="G383" s="15" t="s">
        <v>321</v>
      </c>
      <c r="H383" s="15" t="s">
        <v>438</v>
      </c>
      <c r="I383" s="15" t="str">
        <f t="shared" si="40"/>
        <v>323968098</v>
      </c>
      <c r="J383" s="15" t="s">
        <v>1049</v>
      </c>
      <c r="K383" s="15"/>
      <c r="L383" s="15" t="s">
        <v>1160</v>
      </c>
      <c r="M383" s="15" t="s">
        <v>187</v>
      </c>
      <c r="N383" s="63">
        <v>1200</v>
      </c>
      <c r="O383" s="15"/>
      <c r="P383" s="15">
        <v>11.47</v>
      </c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61"/>
      <c r="BE383" s="61"/>
      <c r="BF383" s="15"/>
      <c r="BG383" s="15"/>
      <c r="BH383" s="15"/>
      <c r="BI383" s="15"/>
      <c r="BJ383" s="15"/>
      <c r="BK383" s="15"/>
      <c r="BL383" s="15"/>
      <c r="BM383" s="15"/>
      <c r="BN383" s="15"/>
      <c r="BO383" s="64"/>
      <c r="BP383" s="15"/>
      <c r="BQ383" s="15"/>
      <c r="BR383" s="15"/>
      <c r="BS383" s="64"/>
      <c r="BT383" s="64">
        <v>46208</v>
      </c>
      <c r="BU383" s="64">
        <v>46280</v>
      </c>
      <c r="BV383" s="15"/>
      <c r="BW383" s="64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15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  <c r="EE383" s="68"/>
      <c r="EF383" s="68"/>
      <c r="EG383" s="68"/>
      <c r="EH383" s="68"/>
      <c r="EI383" s="68"/>
      <c r="EJ383" s="68"/>
      <c r="EK383" s="68"/>
      <c r="EL383" s="68"/>
      <c r="EM383" s="68">
        <v>186</v>
      </c>
      <c r="EN383" s="68">
        <v>276</v>
      </c>
      <c r="EO383" s="68">
        <v>396</v>
      </c>
      <c r="EP383" s="68">
        <v>342</v>
      </c>
      <c r="EQ383" s="65">
        <f t="shared" si="37"/>
        <v>1200</v>
      </c>
      <c r="ER383" s="6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 t="s">
        <v>202</v>
      </c>
      <c r="FF383" s="15"/>
      <c r="FG383" s="15"/>
      <c r="FH383" s="1" t="str">
        <f t="shared" si="38"/>
        <v>3239680980034702129787</v>
      </c>
      <c r="FI383" s="1" t="str">
        <f t="shared" si="39"/>
        <v>PRLS/25/14103</v>
      </c>
      <c r="FJ383" s="38"/>
      <c r="FL383" s="13"/>
    </row>
    <row r="384" spans="1:168" ht="21" hidden="1" x14ac:dyDescent="0.25">
      <c r="A384" s="15" t="s">
        <v>1073</v>
      </c>
      <c r="B384" s="15" t="s">
        <v>149</v>
      </c>
      <c r="C384" s="15" t="s">
        <v>625</v>
      </c>
      <c r="D384" s="15" t="s">
        <v>1167</v>
      </c>
      <c r="E384" s="15" t="s">
        <v>259</v>
      </c>
      <c r="F384" s="15" t="s">
        <v>260</v>
      </c>
      <c r="G384" s="15" t="s">
        <v>321</v>
      </c>
      <c r="H384" s="15" t="s">
        <v>672</v>
      </c>
      <c r="I384" s="15" t="str">
        <f t="shared" si="40"/>
        <v>323B29646</v>
      </c>
      <c r="J384" s="15" t="s">
        <v>1048</v>
      </c>
      <c r="K384" s="15"/>
      <c r="L384" s="15" t="s">
        <v>1161</v>
      </c>
      <c r="M384" s="15" t="s">
        <v>677</v>
      </c>
      <c r="N384" s="63">
        <v>85</v>
      </c>
      <c r="O384" s="15"/>
      <c r="P384" s="15">
        <v>9.42</v>
      </c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61"/>
      <c r="BE384" s="61"/>
      <c r="BF384" s="15"/>
      <c r="BG384" s="15"/>
      <c r="BH384" s="15"/>
      <c r="BI384" s="15"/>
      <c r="BJ384" s="15"/>
      <c r="BK384" s="15"/>
      <c r="BL384" s="15"/>
      <c r="BM384" s="15"/>
      <c r="BN384" s="15"/>
      <c r="BO384" s="64"/>
      <c r="BP384" s="15"/>
      <c r="BQ384" s="15"/>
      <c r="BR384" s="15"/>
      <c r="BS384" s="64"/>
      <c r="BT384" s="64">
        <v>46208</v>
      </c>
      <c r="BU384" s="64">
        <v>46280</v>
      </c>
      <c r="BV384" s="15"/>
      <c r="BW384" s="64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15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  <c r="EE384" s="68"/>
      <c r="EF384" s="68"/>
      <c r="EG384" s="68"/>
      <c r="EH384" s="68"/>
      <c r="EI384" s="68"/>
      <c r="EJ384" s="68"/>
      <c r="EK384" s="68"/>
      <c r="EL384" s="68"/>
      <c r="EM384" s="68">
        <v>13</v>
      </c>
      <c r="EN384" s="68">
        <v>20</v>
      </c>
      <c r="EO384" s="68">
        <v>28</v>
      </c>
      <c r="EP384" s="68">
        <v>24</v>
      </c>
      <c r="EQ384" s="65">
        <f t="shared" si="37"/>
        <v>85</v>
      </c>
      <c r="ER384" s="6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 t="s">
        <v>202</v>
      </c>
      <c r="FF384" s="15"/>
      <c r="FG384" s="15"/>
      <c r="FH384" s="1" t="str">
        <f t="shared" si="38"/>
        <v>323B296460014702129789</v>
      </c>
      <c r="FI384" s="1" t="str">
        <f t="shared" si="39"/>
        <v>PRLS/25/14073</v>
      </c>
      <c r="FJ384" s="38"/>
      <c r="FL384" s="13"/>
    </row>
    <row r="385" spans="1:168" ht="21" hidden="1" x14ac:dyDescent="0.25">
      <c r="A385" s="15" t="s">
        <v>1074</v>
      </c>
      <c r="B385" s="15" t="s">
        <v>149</v>
      </c>
      <c r="C385" s="15" t="s">
        <v>625</v>
      </c>
      <c r="D385" s="15" t="s">
        <v>1167</v>
      </c>
      <c r="E385" s="15" t="s">
        <v>259</v>
      </c>
      <c r="F385" s="15" t="s">
        <v>260</v>
      </c>
      <c r="G385" s="15" t="s">
        <v>321</v>
      </c>
      <c r="H385" s="15" t="s">
        <v>673</v>
      </c>
      <c r="I385" s="15" t="str">
        <f t="shared" si="40"/>
        <v>323B29646</v>
      </c>
      <c r="J385" s="15" t="s">
        <v>1048</v>
      </c>
      <c r="K385" s="15"/>
      <c r="L385" s="15" t="s">
        <v>1161</v>
      </c>
      <c r="M385" s="15" t="s">
        <v>679</v>
      </c>
      <c r="N385" s="63">
        <v>31</v>
      </c>
      <c r="O385" s="15"/>
      <c r="P385" s="15">
        <v>11.21</v>
      </c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61"/>
      <c r="BE385" s="61"/>
      <c r="BF385" s="15"/>
      <c r="BG385" s="15"/>
      <c r="BH385" s="15"/>
      <c r="BI385" s="15"/>
      <c r="BJ385" s="15"/>
      <c r="BK385" s="15"/>
      <c r="BL385" s="15"/>
      <c r="BM385" s="15"/>
      <c r="BN385" s="15"/>
      <c r="BO385" s="64"/>
      <c r="BP385" s="15"/>
      <c r="BQ385" s="15"/>
      <c r="BR385" s="15"/>
      <c r="BS385" s="64"/>
      <c r="BT385" s="64">
        <v>46208</v>
      </c>
      <c r="BU385" s="64">
        <v>46280</v>
      </c>
      <c r="BV385" s="15"/>
      <c r="BW385" s="64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15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  <c r="EE385" s="68"/>
      <c r="EF385" s="68"/>
      <c r="EG385" s="68"/>
      <c r="EH385" s="68"/>
      <c r="EI385" s="68"/>
      <c r="EJ385" s="68"/>
      <c r="EK385" s="68"/>
      <c r="EL385" s="68"/>
      <c r="EM385" s="68">
        <v>5</v>
      </c>
      <c r="EN385" s="68">
        <v>7</v>
      </c>
      <c r="EO385" s="68">
        <v>10</v>
      </c>
      <c r="EP385" s="68">
        <v>9</v>
      </c>
      <c r="EQ385" s="65">
        <f t="shared" si="37"/>
        <v>31</v>
      </c>
      <c r="ER385" s="6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 t="s">
        <v>202</v>
      </c>
      <c r="FF385" s="15"/>
      <c r="FG385" s="15"/>
      <c r="FH385" s="1" t="str">
        <f t="shared" si="38"/>
        <v>323B296460024702129789</v>
      </c>
      <c r="FI385" s="1" t="str">
        <f t="shared" si="39"/>
        <v>PRLS/25/14074</v>
      </c>
      <c r="FJ385" s="38"/>
      <c r="FL385" s="13"/>
    </row>
    <row r="386" spans="1:168" ht="21" hidden="1" x14ac:dyDescent="0.25">
      <c r="A386" s="15" t="s">
        <v>1075</v>
      </c>
      <c r="B386" s="15" t="s">
        <v>149</v>
      </c>
      <c r="C386" s="15" t="s">
        <v>625</v>
      </c>
      <c r="D386" s="15" t="s">
        <v>1167</v>
      </c>
      <c r="E386" s="15" t="s">
        <v>259</v>
      </c>
      <c r="F386" s="15" t="s">
        <v>260</v>
      </c>
      <c r="G386" s="15" t="s">
        <v>321</v>
      </c>
      <c r="H386" s="15" t="s">
        <v>674</v>
      </c>
      <c r="I386" s="15" t="str">
        <f t="shared" si="40"/>
        <v>323B29646</v>
      </c>
      <c r="J386" s="15" t="s">
        <v>1048</v>
      </c>
      <c r="K386" s="15"/>
      <c r="L386" s="15" t="s">
        <v>1161</v>
      </c>
      <c r="M386" s="15" t="s">
        <v>678</v>
      </c>
      <c r="N386" s="63">
        <v>51</v>
      </c>
      <c r="O386" s="15"/>
      <c r="P386" s="15">
        <v>9.42</v>
      </c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61"/>
      <c r="BE386" s="61"/>
      <c r="BF386" s="15"/>
      <c r="BG386" s="15"/>
      <c r="BH386" s="15"/>
      <c r="BI386" s="15"/>
      <c r="BJ386" s="15"/>
      <c r="BK386" s="15"/>
      <c r="BL386" s="15"/>
      <c r="BM386" s="15"/>
      <c r="BN386" s="15"/>
      <c r="BO386" s="64"/>
      <c r="BP386" s="15"/>
      <c r="BQ386" s="15"/>
      <c r="BR386" s="15"/>
      <c r="BS386" s="64"/>
      <c r="BT386" s="64">
        <v>46208</v>
      </c>
      <c r="BU386" s="64">
        <v>46280</v>
      </c>
      <c r="BV386" s="15"/>
      <c r="BW386" s="64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15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  <c r="EE386" s="68"/>
      <c r="EF386" s="68"/>
      <c r="EG386" s="68"/>
      <c r="EH386" s="68"/>
      <c r="EI386" s="68"/>
      <c r="EJ386" s="68"/>
      <c r="EK386" s="68"/>
      <c r="EL386" s="68"/>
      <c r="EM386" s="68">
        <v>8</v>
      </c>
      <c r="EN386" s="68">
        <v>12</v>
      </c>
      <c r="EO386" s="68">
        <v>17</v>
      </c>
      <c r="EP386" s="68">
        <v>14</v>
      </c>
      <c r="EQ386" s="65">
        <f t="shared" si="37"/>
        <v>51</v>
      </c>
      <c r="ER386" s="6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 t="s">
        <v>202</v>
      </c>
      <c r="FF386" s="15"/>
      <c r="FG386" s="15"/>
      <c r="FH386" s="1" t="str">
        <f t="shared" si="38"/>
        <v>323B296460034702129789</v>
      </c>
      <c r="FI386" s="1" t="str">
        <f t="shared" si="39"/>
        <v>PRLS/25/14075</v>
      </c>
      <c r="FJ386" s="38"/>
      <c r="FL386" s="13"/>
    </row>
    <row r="387" spans="1:168" ht="21" hidden="1" x14ac:dyDescent="0.25">
      <c r="A387" s="15" t="s">
        <v>1068</v>
      </c>
      <c r="B387" s="15" t="s">
        <v>149</v>
      </c>
      <c r="C387" s="15" t="s">
        <v>625</v>
      </c>
      <c r="D387" s="15" t="s">
        <v>1168</v>
      </c>
      <c r="E387" s="15" t="s">
        <v>257</v>
      </c>
      <c r="F387" s="15" t="s">
        <v>181</v>
      </c>
      <c r="G387" s="15" t="s">
        <v>321</v>
      </c>
      <c r="H387" s="15" t="s">
        <v>669</v>
      </c>
      <c r="I387" s="15" t="str">
        <f t="shared" si="40"/>
        <v>322B29646</v>
      </c>
      <c r="J387" s="15" t="s">
        <v>1048</v>
      </c>
      <c r="K387" s="15"/>
      <c r="L387" s="15" t="s">
        <v>1161</v>
      </c>
      <c r="M387" s="15" t="s">
        <v>677</v>
      </c>
      <c r="N387" s="63">
        <v>539</v>
      </c>
      <c r="O387" s="15"/>
      <c r="P387" s="15">
        <v>8.43</v>
      </c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61"/>
      <c r="BE387" s="61"/>
      <c r="BF387" s="15"/>
      <c r="BG387" s="15"/>
      <c r="BH387" s="15"/>
      <c r="BI387" s="15"/>
      <c r="BJ387" s="15"/>
      <c r="BK387" s="15"/>
      <c r="BL387" s="15"/>
      <c r="BM387" s="15"/>
      <c r="BN387" s="15"/>
      <c r="BO387" s="64"/>
      <c r="BP387" s="15"/>
      <c r="BQ387" s="15"/>
      <c r="BR387" s="15"/>
      <c r="BS387" s="64"/>
      <c r="BT387" s="64">
        <v>46201</v>
      </c>
      <c r="BU387" s="64">
        <v>46280</v>
      </c>
      <c r="BV387" s="15"/>
      <c r="BW387" s="64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15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  <c r="EE387" s="68"/>
      <c r="EF387" s="68"/>
      <c r="EG387" s="68">
        <v>59</v>
      </c>
      <c r="EH387" s="68">
        <v>97</v>
      </c>
      <c r="EI387" s="68">
        <v>97</v>
      </c>
      <c r="EJ387" s="68">
        <v>97</v>
      </c>
      <c r="EK387" s="68">
        <v>92</v>
      </c>
      <c r="EL387" s="68">
        <v>97</v>
      </c>
      <c r="EM387" s="68"/>
      <c r="EN387" s="68"/>
      <c r="EO387" s="68"/>
      <c r="EP387" s="68"/>
      <c r="EQ387" s="65">
        <f t="shared" si="37"/>
        <v>539</v>
      </c>
      <c r="ER387" s="6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 t="s">
        <v>202</v>
      </c>
      <c r="FF387" s="15"/>
      <c r="FG387" s="15"/>
      <c r="FH387" s="1" t="str">
        <f t="shared" si="38"/>
        <v>322B296460014702129784</v>
      </c>
      <c r="FI387" s="1" t="str">
        <f t="shared" si="39"/>
        <v>PRLS/25/14068</v>
      </c>
      <c r="FJ387" s="38" t="e">
        <f>VLOOKUP(FH387,[1]Sheet3!$A:$D,4,0)</f>
        <v>#N/A</v>
      </c>
      <c r="FL387" s="13"/>
    </row>
    <row r="388" spans="1:168" ht="21" hidden="1" x14ac:dyDescent="0.25">
      <c r="A388" s="15" t="s">
        <v>1069</v>
      </c>
      <c r="B388" s="15" t="s">
        <v>149</v>
      </c>
      <c r="C388" s="15" t="s">
        <v>625</v>
      </c>
      <c r="D388" s="15" t="s">
        <v>1168</v>
      </c>
      <c r="E388" s="15" t="s">
        <v>257</v>
      </c>
      <c r="F388" s="15" t="s">
        <v>181</v>
      </c>
      <c r="G388" s="15" t="s">
        <v>321</v>
      </c>
      <c r="H388" s="15" t="s">
        <v>670</v>
      </c>
      <c r="I388" s="15" t="str">
        <f t="shared" si="40"/>
        <v>322B29646</v>
      </c>
      <c r="J388" s="15" t="s">
        <v>1048</v>
      </c>
      <c r="K388" s="15"/>
      <c r="L388" s="15" t="s">
        <v>1161</v>
      </c>
      <c r="M388" s="15" t="s">
        <v>678</v>
      </c>
      <c r="N388" s="63">
        <v>451</v>
      </c>
      <c r="O388" s="15"/>
      <c r="P388" s="15">
        <v>8.43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61"/>
      <c r="BE388" s="61"/>
      <c r="BF388" s="15"/>
      <c r="BG388" s="15"/>
      <c r="BH388" s="15"/>
      <c r="BI388" s="15"/>
      <c r="BJ388" s="15"/>
      <c r="BK388" s="15"/>
      <c r="BL388" s="15"/>
      <c r="BM388" s="15"/>
      <c r="BN388" s="15"/>
      <c r="BO388" s="64"/>
      <c r="BP388" s="15"/>
      <c r="BQ388" s="15"/>
      <c r="BR388" s="15"/>
      <c r="BS388" s="64"/>
      <c r="BT388" s="64">
        <v>46201</v>
      </c>
      <c r="BU388" s="64">
        <v>46280</v>
      </c>
      <c r="BV388" s="15"/>
      <c r="BW388" s="64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15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  <c r="EE388" s="68"/>
      <c r="EF388" s="68"/>
      <c r="EG388" s="68">
        <v>50</v>
      </c>
      <c r="EH388" s="68">
        <v>81</v>
      </c>
      <c r="EI388" s="68">
        <v>81</v>
      </c>
      <c r="EJ388" s="68">
        <v>81</v>
      </c>
      <c r="EK388" s="68">
        <v>77</v>
      </c>
      <c r="EL388" s="68">
        <v>81</v>
      </c>
      <c r="EM388" s="68"/>
      <c r="EN388" s="68"/>
      <c r="EO388" s="68"/>
      <c r="EP388" s="68"/>
      <c r="EQ388" s="65">
        <f t="shared" si="37"/>
        <v>451</v>
      </c>
      <c r="ER388" s="6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 t="s">
        <v>202</v>
      </c>
      <c r="FF388" s="15"/>
      <c r="FG388" s="15"/>
      <c r="FH388" s="1" t="str">
        <f t="shared" si="38"/>
        <v>322B296460024702129784</v>
      </c>
      <c r="FI388" s="1" t="str">
        <f t="shared" si="39"/>
        <v>PRLS/25/14069</v>
      </c>
      <c r="FJ388" s="38" t="e">
        <f>VLOOKUP(FH388,[1]Sheet3!$A:$D,4,0)</f>
        <v>#N/A</v>
      </c>
      <c r="FL388" s="13"/>
    </row>
    <row r="389" spans="1:168" ht="21" hidden="1" x14ac:dyDescent="0.25">
      <c r="A389" s="15" t="s">
        <v>1070</v>
      </c>
      <c r="B389" s="15" t="s">
        <v>149</v>
      </c>
      <c r="C389" s="15" t="s">
        <v>625</v>
      </c>
      <c r="D389" s="15" t="s">
        <v>1168</v>
      </c>
      <c r="E389" s="15" t="s">
        <v>257</v>
      </c>
      <c r="F389" s="15" t="s">
        <v>181</v>
      </c>
      <c r="G389" s="15" t="s">
        <v>321</v>
      </c>
      <c r="H389" s="15" t="s">
        <v>671</v>
      </c>
      <c r="I389" s="15" t="str">
        <f t="shared" si="40"/>
        <v>322B29646</v>
      </c>
      <c r="J389" s="15" t="s">
        <v>1048</v>
      </c>
      <c r="K389" s="15"/>
      <c r="L389" s="15" t="s">
        <v>1161</v>
      </c>
      <c r="M389" s="15" t="s">
        <v>679</v>
      </c>
      <c r="N389" s="63">
        <v>272</v>
      </c>
      <c r="O389" s="15"/>
      <c r="P389" s="15">
        <v>9.6300000000000008</v>
      </c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61"/>
      <c r="BE389" s="61"/>
      <c r="BF389" s="15"/>
      <c r="BG389" s="15"/>
      <c r="BH389" s="15"/>
      <c r="BI389" s="15"/>
      <c r="BJ389" s="15"/>
      <c r="BK389" s="15"/>
      <c r="BL389" s="15"/>
      <c r="BM389" s="15"/>
      <c r="BN389" s="15"/>
      <c r="BO389" s="64"/>
      <c r="BP389" s="15"/>
      <c r="BQ389" s="15"/>
      <c r="BR389" s="15"/>
      <c r="BS389" s="64"/>
      <c r="BT389" s="64">
        <v>46201</v>
      </c>
      <c r="BU389" s="64">
        <v>46280</v>
      </c>
      <c r="BV389" s="15"/>
      <c r="BW389" s="64"/>
      <c r="BX389" s="68"/>
      <c r="BY389" s="68"/>
      <c r="BZ389" s="68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15"/>
      <c r="CL389" s="68"/>
      <c r="CM389" s="68"/>
      <c r="CN389" s="68"/>
      <c r="CO389" s="68"/>
      <c r="CP389" s="68"/>
      <c r="CQ389" s="68"/>
      <c r="CR389" s="68"/>
      <c r="CS389" s="68"/>
      <c r="CT389" s="68"/>
      <c r="CU389" s="68"/>
      <c r="CV389" s="68"/>
      <c r="CW389" s="68"/>
      <c r="CX389" s="68"/>
      <c r="CY389" s="68"/>
      <c r="CZ389" s="68"/>
      <c r="DA389" s="68"/>
      <c r="DB389" s="68"/>
      <c r="DC389" s="68"/>
      <c r="DD389" s="68"/>
      <c r="DE389" s="68"/>
      <c r="DF389" s="68"/>
      <c r="DG389" s="68"/>
      <c r="DH389" s="68"/>
      <c r="DI389" s="68"/>
      <c r="DJ389" s="68"/>
      <c r="DK389" s="68"/>
      <c r="DL389" s="68"/>
      <c r="DM389" s="68"/>
      <c r="DN389" s="68"/>
      <c r="DO389" s="68"/>
      <c r="DP389" s="68"/>
      <c r="DQ389" s="68"/>
      <c r="DR389" s="68"/>
      <c r="DS389" s="68"/>
      <c r="DT389" s="68"/>
      <c r="DU389" s="68"/>
      <c r="DV389" s="68"/>
      <c r="DW389" s="68"/>
      <c r="DX389" s="68"/>
      <c r="DY389" s="68"/>
      <c r="DZ389" s="68"/>
      <c r="EA389" s="68"/>
      <c r="EB389" s="68"/>
      <c r="EC389" s="68"/>
      <c r="ED389" s="68"/>
      <c r="EE389" s="68"/>
      <c r="EF389" s="68"/>
      <c r="EG389" s="68">
        <v>30</v>
      </c>
      <c r="EH389" s="68">
        <v>49</v>
      </c>
      <c r="EI389" s="68">
        <v>49</v>
      </c>
      <c r="EJ389" s="68">
        <v>49</v>
      </c>
      <c r="EK389" s="68">
        <v>46</v>
      </c>
      <c r="EL389" s="68">
        <v>49</v>
      </c>
      <c r="EM389" s="68"/>
      <c r="EN389" s="68"/>
      <c r="EO389" s="68"/>
      <c r="EP389" s="68"/>
      <c r="EQ389" s="65">
        <f t="shared" si="37"/>
        <v>272</v>
      </c>
      <c r="ER389" s="6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 t="s">
        <v>202</v>
      </c>
      <c r="FF389" s="15"/>
      <c r="FG389" s="15"/>
      <c r="FH389" s="1" t="str">
        <f t="shared" si="38"/>
        <v>322B296460034702129784</v>
      </c>
      <c r="FI389" s="1" t="str">
        <f t="shared" si="39"/>
        <v>PRLS/25/14070</v>
      </c>
      <c r="FJ389" s="38" t="e">
        <f>VLOOKUP(FH389,[1]Sheet3!$A:$D,4,0)</f>
        <v>#N/A</v>
      </c>
      <c r="FL389" s="13"/>
    </row>
    <row r="390" spans="1:168" ht="21" hidden="1" x14ac:dyDescent="0.25">
      <c r="A390" s="15" t="s">
        <v>1073</v>
      </c>
      <c r="B390" s="15" t="s">
        <v>149</v>
      </c>
      <c r="C390" s="15" t="s">
        <v>625</v>
      </c>
      <c r="D390" s="15" t="s">
        <v>1169</v>
      </c>
      <c r="E390" s="15" t="s">
        <v>257</v>
      </c>
      <c r="F390" s="15" t="s">
        <v>181</v>
      </c>
      <c r="G390" s="15" t="s">
        <v>321</v>
      </c>
      <c r="H390" s="15" t="s">
        <v>672</v>
      </c>
      <c r="I390" s="15" t="str">
        <f t="shared" si="40"/>
        <v>323B29646</v>
      </c>
      <c r="J390" s="15" t="s">
        <v>1048</v>
      </c>
      <c r="K390" s="15"/>
      <c r="L390" s="15" t="s">
        <v>1161</v>
      </c>
      <c r="M390" s="15" t="s">
        <v>677</v>
      </c>
      <c r="N390" s="63">
        <v>765</v>
      </c>
      <c r="O390" s="15"/>
      <c r="P390" s="15">
        <v>9.42</v>
      </c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61"/>
      <c r="BE390" s="61"/>
      <c r="BF390" s="15"/>
      <c r="BG390" s="15"/>
      <c r="BH390" s="15"/>
      <c r="BI390" s="15"/>
      <c r="BJ390" s="15"/>
      <c r="BK390" s="15"/>
      <c r="BL390" s="15"/>
      <c r="BM390" s="15"/>
      <c r="BN390" s="15"/>
      <c r="BO390" s="64"/>
      <c r="BP390" s="15"/>
      <c r="BQ390" s="15"/>
      <c r="BR390" s="15"/>
      <c r="BS390" s="64"/>
      <c r="BT390" s="64">
        <v>46201</v>
      </c>
      <c r="BU390" s="64">
        <v>46280</v>
      </c>
      <c r="BV390" s="15"/>
      <c r="BW390" s="64"/>
      <c r="BX390" s="68"/>
      <c r="BY390" s="68"/>
      <c r="BZ390" s="68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15"/>
      <c r="CL390" s="68"/>
      <c r="CM390" s="68"/>
      <c r="CN390" s="68"/>
      <c r="CO390" s="68"/>
      <c r="CP390" s="68"/>
      <c r="CQ390" s="68"/>
      <c r="CR390" s="68"/>
      <c r="CS390" s="68"/>
      <c r="CT390" s="68"/>
      <c r="CU390" s="68"/>
      <c r="CV390" s="68"/>
      <c r="CW390" s="68"/>
      <c r="CX390" s="68"/>
      <c r="CY390" s="68"/>
      <c r="CZ390" s="68"/>
      <c r="DA390" s="68"/>
      <c r="DB390" s="68"/>
      <c r="DC390" s="68"/>
      <c r="DD390" s="68"/>
      <c r="DE390" s="68"/>
      <c r="DF390" s="68"/>
      <c r="DG390" s="68"/>
      <c r="DH390" s="68"/>
      <c r="DI390" s="68"/>
      <c r="DJ390" s="68"/>
      <c r="DK390" s="68"/>
      <c r="DL390" s="68"/>
      <c r="DM390" s="68"/>
      <c r="DN390" s="68"/>
      <c r="DO390" s="68"/>
      <c r="DP390" s="68"/>
      <c r="DQ390" s="68"/>
      <c r="DR390" s="68"/>
      <c r="DS390" s="68"/>
      <c r="DT390" s="68"/>
      <c r="DU390" s="68"/>
      <c r="DV390" s="68"/>
      <c r="DW390" s="68"/>
      <c r="DX390" s="68"/>
      <c r="DY390" s="68"/>
      <c r="DZ390" s="68"/>
      <c r="EA390" s="68"/>
      <c r="EB390" s="68"/>
      <c r="EC390" s="68"/>
      <c r="ED390" s="68"/>
      <c r="EE390" s="68"/>
      <c r="EF390" s="68"/>
      <c r="EG390" s="68"/>
      <c r="EH390" s="68"/>
      <c r="EI390" s="68"/>
      <c r="EJ390" s="68"/>
      <c r="EK390" s="68"/>
      <c r="EL390" s="68"/>
      <c r="EM390" s="68">
        <v>119</v>
      </c>
      <c r="EN390" s="68">
        <v>176</v>
      </c>
      <c r="EO390" s="68">
        <v>252</v>
      </c>
      <c r="EP390" s="68">
        <v>218</v>
      </c>
      <c r="EQ390" s="65">
        <f t="shared" si="37"/>
        <v>765</v>
      </c>
      <c r="ER390" s="6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 t="s">
        <v>202</v>
      </c>
      <c r="FF390" s="15"/>
      <c r="FG390" s="15"/>
      <c r="FH390" s="1" t="str">
        <f t="shared" si="38"/>
        <v>323B296460014702129788</v>
      </c>
      <c r="FI390" s="1" t="str">
        <f t="shared" si="39"/>
        <v>PRLS/25/14073</v>
      </c>
      <c r="FJ390" s="38" t="e">
        <f>VLOOKUP(FH390,[1]Sheet3!$A:$D,4,0)</f>
        <v>#N/A</v>
      </c>
      <c r="FL390" s="13"/>
    </row>
    <row r="391" spans="1:168" ht="21" hidden="1" x14ac:dyDescent="0.25">
      <c r="A391" s="15" t="s">
        <v>1074</v>
      </c>
      <c r="B391" s="15" t="s">
        <v>149</v>
      </c>
      <c r="C391" s="15" t="s">
        <v>625</v>
      </c>
      <c r="D391" s="15" t="s">
        <v>1169</v>
      </c>
      <c r="E391" s="15" t="s">
        <v>257</v>
      </c>
      <c r="F391" s="15" t="s">
        <v>181</v>
      </c>
      <c r="G391" s="15" t="s">
        <v>321</v>
      </c>
      <c r="H391" s="15" t="s">
        <v>673</v>
      </c>
      <c r="I391" s="15" t="str">
        <f t="shared" si="40"/>
        <v>323B29646</v>
      </c>
      <c r="J391" s="15" t="s">
        <v>1048</v>
      </c>
      <c r="K391" s="15"/>
      <c r="L391" s="15" t="s">
        <v>1161</v>
      </c>
      <c r="M391" s="15" t="s">
        <v>679</v>
      </c>
      <c r="N391" s="63">
        <v>270</v>
      </c>
      <c r="O391" s="15"/>
      <c r="P391" s="15">
        <v>11.21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61"/>
      <c r="BE391" s="61"/>
      <c r="BF391" s="15"/>
      <c r="BG391" s="15"/>
      <c r="BH391" s="15"/>
      <c r="BI391" s="15"/>
      <c r="BJ391" s="15"/>
      <c r="BK391" s="15"/>
      <c r="BL391" s="15"/>
      <c r="BM391" s="15"/>
      <c r="BN391" s="15"/>
      <c r="BO391" s="64"/>
      <c r="BP391" s="15"/>
      <c r="BQ391" s="15"/>
      <c r="BR391" s="15"/>
      <c r="BS391" s="64"/>
      <c r="BT391" s="64">
        <v>46201</v>
      </c>
      <c r="BU391" s="64">
        <v>46280</v>
      </c>
      <c r="BV391" s="15"/>
      <c r="BW391" s="64"/>
      <c r="BX391" s="68"/>
      <c r="BY391" s="68"/>
      <c r="BZ391" s="68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15"/>
      <c r="CL391" s="68"/>
      <c r="CM391" s="68"/>
      <c r="CN391" s="68"/>
      <c r="CO391" s="68"/>
      <c r="CP391" s="68"/>
      <c r="CQ391" s="68"/>
      <c r="CR391" s="68"/>
      <c r="CS391" s="68"/>
      <c r="CT391" s="68"/>
      <c r="CU391" s="68"/>
      <c r="CV391" s="68"/>
      <c r="CW391" s="68"/>
      <c r="CX391" s="68"/>
      <c r="CY391" s="68"/>
      <c r="CZ391" s="68"/>
      <c r="DA391" s="68"/>
      <c r="DB391" s="68"/>
      <c r="DC391" s="68"/>
      <c r="DD391" s="68"/>
      <c r="DE391" s="68"/>
      <c r="DF391" s="68"/>
      <c r="DG391" s="68"/>
      <c r="DH391" s="68"/>
      <c r="DI391" s="68"/>
      <c r="DJ391" s="68"/>
      <c r="DK391" s="68"/>
      <c r="DL391" s="68"/>
      <c r="DM391" s="68"/>
      <c r="DN391" s="68"/>
      <c r="DO391" s="68"/>
      <c r="DP391" s="68"/>
      <c r="DQ391" s="68"/>
      <c r="DR391" s="68"/>
      <c r="DS391" s="68"/>
      <c r="DT391" s="68"/>
      <c r="DU391" s="68"/>
      <c r="DV391" s="68"/>
      <c r="DW391" s="68"/>
      <c r="DX391" s="68"/>
      <c r="DY391" s="68"/>
      <c r="DZ391" s="68"/>
      <c r="EA391" s="68"/>
      <c r="EB391" s="68"/>
      <c r="EC391" s="68"/>
      <c r="ED391" s="68"/>
      <c r="EE391" s="68"/>
      <c r="EF391" s="68"/>
      <c r="EG391" s="68"/>
      <c r="EH391" s="68"/>
      <c r="EI391" s="68"/>
      <c r="EJ391" s="68"/>
      <c r="EK391" s="68"/>
      <c r="EL391" s="68"/>
      <c r="EM391" s="68">
        <v>42</v>
      </c>
      <c r="EN391" s="68">
        <v>62</v>
      </c>
      <c r="EO391" s="68">
        <v>89</v>
      </c>
      <c r="EP391" s="68">
        <v>77</v>
      </c>
      <c r="EQ391" s="65">
        <f t="shared" si="37"/>
        <v>270</v>
      </c>
      <c r="ER391" s="6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 t="s">
        <v>202</v>
      </c>
      <c r="FF391" s="15"/>
      <c r="FG391" s="15"/>
      <c r="FH391" s="1" t="str">
        <f t="shared" si="38"/>
        <v>323B296460024702129788</v>
      </c>
      <c r="FI391" s="1" t="str">
        <f t="shared" si="39"/>
        <v>PRLS/25/14074</v>
      </c>
      <c r="FJ391" s="38" t="e">
        <f>VLOOKUP(FH391,[1]Sheet3!$A:$D,4,0)</f>
        <v>#N/A</v>
      </c>
      <c r="FL391" s="13"/>
    </row>
    <row r="392" spans="1:168" ht="21" hidden="1" x14ac:dyDescent="0.25">
      <c r="A392" s="15" t="s">
        <v>1075</v>
      </c>
      <c r="B392" s="15" t="s">
        <v>149</v>
      </c>
      <c r="C392" s="15" t="s">
        <v>625</v>
      </c>
      <c r="D392" s="15" t="s">
        <v>1169</v>
      </c>
      <c r="E392" s="15" t="s">
        <v>257</v>
      </c>
      <c r="F392" s="15" t="s">
        <v>181</v>
      </c>
      <c r="G392" s="15" t="s">
        <v>321</v>
      </c>
      <c r="H392" s="15" t="s">
        <v>674</v>
      </c>
      <c r="I392" s="15" t="str">
        <f t="shared" si="40"/>
        <v>323B29646</v>
      </c>
      <c r="J392" s="15" t="s">
        <v>1048</v>
      </c>
      <c r="K392" s="15"/>
      <c r="L392" s="15" t="s">
        <v>1161</v>
      </c>
      <c r="M392" s="15" t="s">
        <v>678</v>
      </c>
      <c r="N392" s="63">
        <v>451</v>
      </c>
      <c r="O392" s="15"/>
      <c r="P392" s="15">
        <v>9.42</v>
      </c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61"/>
      <c r="BE392" s="61"/>
      <c r="BF392" s="15"/>
      <c r="BG392" s="15"/>
      <c r="BH392" s="15"/>
      <c r="BI392" s="15"/>
      <c r="BJ392" s="15"/>
      <c r="BK392" s="15"/>
      <c r="BL392" s="15"/>
      <c r="BM392" s="15"/>
      <c r="BN392" s="15"/>
      <c r="BO392" s="64"/>
      <c r="BP392" s="15"/>
      <c r="BQ392" s="15"/>
      <c r="BR392" s="15"/>
      <c r="BS392" s="64"/>
      <c r="BT392" s="64">
        <v>46201</v>
      </c>
      <c r="BU392" s="64">
        <v>46280</v>
      </c>
      <c r="BV392" s="15"/>
      <c r="BW392" s="64"/>
      <c r="BX392" s="68"/>
      <c r="BY392" s="68"/>
      <c r="BZ392" s="68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15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/>
      <c r="DN392" s="68"/>
      <c r="DO392" s="68"/>
      <c r="DP392" s="68"/>
      <c r="DQ392" s="68"/>
      <c r="DR392" s="68"/>
      <c r="DS392" s="68"/>
      <c r="DT392" s="68"/>
      <c r="DU392" s="68"/>
      <c r="DV392" s="68"/>
      <c r="DW392" s="68"/>
      <c r="DX392" s="68"/>
      <c r="DY392" s="68"/>
      <c r="DZ392" s="68"/>
      <c r="EA392" s="68"/>
      <c r="EB392" s="68"/>
      <c r="EC392" s="68"/>
      <c r="ED392" s="68"/>
      <c r="EE392" s="68"/>
      <c r="EF392" s="68"/>
      <c r="EG392" s="68"/>
      <c r="EH392" s="68"/>
      <c r="EI392" s="68"/>
      <c r="EJ392" s="68"/>
      <c r="EK392" s="68"/>
      <c r="EL392" s="68"/>
      <c r="EM392" s="68">
        <v>70</v>
      </c>
      <c r="EN392" s="68">
        <v>104</v>
      </c>
      <c r="EO392" s="68">
        <v>149</v>
      </c>
      <c r="EP392" s="68">
        <v>128</v>
      </c>
      <c r="EQ392" s="65">
        <f t="shared" si="37"/>
        <v>451</v>
      </c>
      <c r="ER392" s="6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 t="s">
        <v>202</v>
      </c>
      <c r="FF392" s="15"/>
      <c r="FG392" s="15"/>
      <c r="FH392" s="1" t="str">
        <f t="shared" si="38"/>
        <v>323B296460034702129788</v>
      </c>
      <c r="FI392" s="1" t="str">
        <f t="shared" si="39"/>
        <v>PRLS/25/14075</v>
      </c>
      <c r="FJ392" s="38" t="e">
        <f>VLOOKUP(FH392,[1]Sheet3!$A:$D,4,0)</f>
        <v>#N/A</v>
      </c>
      <c r="FL392" s="13"/>
    </row>
    <row r="393" spans="1:168" ht="21" hidden="1" x14ac:dyDescent="0.25">
      <c r="A393" s="15" t="s">
        <v>1080</v>
      </c>
      <c r="B393" s="15" t="s">
        <v>149</v>
      </c>
      <c r="C393" s="15" t="s">
        <v>1044</v>
      </c>
      <c r="D393" s="15" t="s">
        <v>1170</v>
      </c>
      <c r="E393" s="15" t="s">
        <v>180</v>
      </c>
      <c r="F393" s="15" t="s">
        <v>181</v>
      </c>
      <c r="G393" s="15" t="s">
        <v>321</v>
      </c>
      <c r="H393" s="15" t="s">
        <v>1059</v>
      </c>
      <c r="I393" s="15" t="str">
        <f t="shared" si="40"/>
        <v>710B32783</v>
      </c>
      <c r="J393" s="15" t="s">
        <v>1050</v>
      </c>
      <c r="K393" s="15"/>
      <c r="L393" s="15" t="s">
        <v>1056</v>
      </c>
      <c r="M393" s="15" t="s">
        <v>1052</v>
      </c>
      <c r="N393" s="63">
        <v>450</v>
      </c>
      <c r="O393" s="15"/>
      <c r="P393" s="15">
        <v>25.59</v>
      </c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61"/>
      <c r="BE393" s="61"/>
      <c r="BF393" s="15"/>
      <c r="BG393" s="15"/>
      <c r="BH393" s="15"/>
      <c r="BI393" s="15"/>
      <c r="BJ393" s="15"/>
      <c r="BK393" s="15"/>
      <c r="BL393" s="15"/>
      <c r="BM393" s="15"/>
      <c r="BN393" s="15"/>
      <c r="BO393" s="64"/>
      <c r="BP393" s="15"/>
      <c r="BQ393" s="15"/>
      <c r="BR393" s="15"/>
      <c r="BS393" s="64"/>
      <c r="BT393" s="64">
        <v>46236</v>
      </c>
      <c r="BU393" s="64">
        <v>46341</v>
      </c>
      <c r="BV393" s="15"/>
      <c r="BW393" s="64"/>
      <c r="BX393" s="68"/>
      <c r="BY393" s="68"/>
      <c r="BZ393" s="68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15">
        <v>7</v>
      </c>
      <c r="CL393" s="68">
        <v>49</v>
      </c>
      <c r="CM393" s="68">
        <v>128</v>
      </c>
      <c r="CN393" s="68">
        <v>138</v>
      </c>
      <c r="CO393" s="68">
        <v>85</v>
      </c>
      <c r="CP393" s="68">
        <v>43</v>
      </c>
      <c r="CQ393" s="68"/>
      <c r="CR393" s="68"/>
      <c r="CS393" s="68"/>
      <c r="CT393" s="68"/>
      <c r="CU393" s="68"/>
      <c r="CV393" s="68"/>
      <c r="CW393" s="68"/>
      <c r="CX393" s="68"/>
      <c r="CY393" s="68"/>
      <c r="CZ393" s="68"/>
      <c r="DA393" s="68"/>
      <c r="DB393" s="68"/>
      <c r="DC393" s="68"/>
      <c r="DD393" s="68"/>
      <c r="DE393" s="68"/>
      <c r="DF393" s="68"/>
      <c r="DG393" s="68"/>
      <c r="DH393" s="68"/>
      <c r="DI393" s="68"/>
      <c r="DJ393" s="68"/>
      <c r="DK393" s="68"/>
      <c r="DL393" s="68"/>
      <c r="DM393" s="68"/>
      <c r="DN393" s="68"/>
      <c r="DO393" s="68"/>
      <c r="DP393" s="68"/>
      <c r="DQ393" s="68"/>
      <c r="DR393" s="68"/>
      <c r="DS393" s="68"/>
      <c r="DT393" s="68"/>
      <c r="DU393" s="68"/>
      <c r="DV393" s="68"/>
      <c r="DW393" s="68"/>
      <c r="DX393" s="68"/>
      <c r="DY393" s="68"/>
      <c r="DZ393" s="68"/>
      <c r="EA393" s="68"/>
      <c r="EB393" s="68"/>
      <c r="EC393" s="68"/>
      <c r="ED393" s="68"/>
      <c r="EE393" s="68"/>
      <c r="EF393" s="68"/>
      <c r="EG393" s="68"/>
      <c r="EH393" s="68"/>
      <c r="EI393" s="68"/>
      <c r="EJ393" s="68"/>
      <c r="EK393" s="68"/>
      <c r="EL393" s="68"/>
      <c r="EM393" s="68"/>
      <c r="EN393" s="68"/>
      <c r="EO393" s="68"/>
      <c r="EP393" s="68"/>
      <c r="EQ393" s="65">
        <f t="shared" si="37"/>
        <v>450</v>
      </c>
      <c r="ER393" s="6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 t="s">
        <v>176</v>
      </c>
      <c r="FF393" s="15"/>
      <c r="FG393" s="15"/>
      <c r="FH393" s="1" t="str">
        <f t="shared" si="38"/>
        <v>710B327830024702129201</v>
      </c>
      <c r="FI393" s="1" t="str">
        <f t="shared" si="39"/>
        <v>PRLS/25/14104</v>
      </c>
      <c r="FJ393" s="38"/>
      <c r="FL393" s="13"/>
    </row>
    <row r="394" spans="1:168" ht="21" hidden="1" x14ac:dyDescent="0.25">
      <c r="A394" s="15" t="s">
        <v>1080</v>
      </c>
      <c r="B394" s="15" t="s">
        <v>149</v>
      </c>
      <c r="C394" s="15" t="s">
        <v>1044</v>
      </c>
      <c r="D394" s="15" t="s">
        <v>1171</v>
      </c>
      <c r="E394" s="15" t="s">
        <v>208</v>
      </c>
      <c r="F394" s="15" t="s">
        <v>181</v>
      </c>
      <c r="G394" s="15" t="s">
        <v>321</v>
      </c>
      <c r="H394" s="15" t="s">
        <v>1059</v>
      </c>
      <c r="I394" s="15" t="str">
        <f t="shared" si="40"/>
        <v>710B32783</v>
      </c>
      <c r="J394" s="15" t="s">
        <v>1050</v>
      </c>
      <c r="K394" s="15"/>
      <c r="L394" s="15" t="s">
        <v>1056</v>
      </c>
      <c r="M394" s="15" t="s">
        <v>1052</v>
      </c>
      <c r="N394" s="63">
        <v>284</v>
      </c>
      <c r="O394" s="15"/>
      <c r="P394" s="15">
        <v>25.59</v>
      </c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61"/>
      <c r="BE394" s="61"/>
      <c r="BF394" s="15"/>
      <c r="BG394" s="15"/>
      <c r="BH394" s="15"/>
      <c r="BI394" s="15"/>
      <c r="BJ394" s="15"/>
      <c r="BK394" s="15"/>
      <c r="BL394" s="15"/>
      <c r="BM394" s="15"/>
      <c r="BN394" s="15"/>
      <c r="BO394" s="64"/>
      <c r="BP394" s="15"/>
      <c r="BQ394" s="15"/>
      <c r="BR394" s="15"/>
      <c r="BS394" s="64"/>
      <c r="BT394" s="64">
        <v>46236</v>
      </c>
      <c r="BU394" s="64">
        <v>46341</v>
      </c>
      <c r="BV394" s="15"/>
      <c r="BW394" s="64"/>
      <c r="BX394" s="68"/>
      <c r="BY394" s="68"/>
      <c r="BZ394" s="68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15">
        <v>1</v>
      </c>
      <c r="CL394" s="68">
        <v>25</v>
      </c>
      <c r="CM394" s="68">
        <v>70</v>
      </c>
      <c r="CN394" s="68">
        <v>89</v>
      </c>
      <c r="CO394" s="68">
        <v>68</v>
      </c>
      <c r="CP394" s="68">
        <v>31</v>
      </c>
      <c r="CQ394" s="68"/>
      <c r="CR394" s="68"/>
      <c r="CS394" s="68"/>
      <c r="CT394" s="68"/>
      <c r="CU394" s="68"/>
      <c r="CV394" s="68"/>
      <c r="CW394" s="68"/>
      <c r="CX394" s="68"/>
      <c r="CY394" s="68"/>
      <c r="CZ394" s="68"/>
      <c r="DA394" s="68"/>
      <c r="DB394" s="68"/>
      <c r="DC394" s="68"/>
      <c r="DD394" s="68"/>
      <c r="DE394" s="68"/>
      <c r="DF394" s="68"/>
      <c r="DG394" s="68"/>
      <c r="DH394" s="68"/>
      <c r="DI394" s="68"/>
      <c r="DJ394" s="68"/>
      <c r="DK394" s="68"/>
      <c r="DL394" s="68"/>
      <c r="DM394" s="68"/>
      <c r="DN394" s="68"/>
      <c r="DO394" s="68"/>
      <c r="DP394" s="68"/>
      <c r="DQ394" s="68"/>
      <c r="DR394" s="68"/>
      <c r="DS394" s="68"/>
      <c r="DT394" s="68"/>
      <c r="DU394" s="68"/>
      <c r="DV394" s="68"/>
      <c r="DW394" s="68"/>
      <c r="DX394" s="68"/>
      <c r="DY394" s="68"/>
      <c r="DZ394" s="68"/>
      <c r="EA394" s="68"/>
      <c r="EB394" s="68"/>
      <c r="EC394" s="68"/>
      <c r="ED394" s="68"/>
      <c r="EE394" s="68"/>
      <c r="EF394" s="68"/>
      <c r="EG394" s="68"/>
      <c r="EH394" s="68"/>
      <c r="EI394" s="68"/>
      <c r="EJ394" s="68"/>
      <c r="EK394" s="68"/>
      <c r="EL394" s="68"/>
      <c r="EM394" s="68"/>
      <c r="EN394" s="68"/>
      <c r="EO394" s="68"/>
      <c r="EP394" s="68"/>
      <c r="EQ394" s="65">
        <f t="shared" si="37"/>
        <v>284</v>
      </c>
      <c r="ER394" s="6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 t="s">
        <v>176</v>
      </c>
      <c r="FF394" s="15"/>
      <c r="FG394" s="15"/>
      <c r="FH394" s="1" t="str">
        <f t="shared" si="38"/>
        <v>710B327830024702129202</v>
      </c>
      <c r="FI394" s="1" t="str">
        <f t="shared" si="39"/>
        <v>PRLS/25/14104</v>
      </c>
      <c r="FJ394" s="38"/>
      <c r="FL394" s="13"/>
    </row>
    <row r="395" spans="1:168" ht="21" hidden="1" x14ac:dyDescent="0.25">
      <c r="A395" s="15" t="s">
        <v>1081</v>
      </c>
      <c r="B395" s="15" t="s">
        <v>149</v>
      </c>
      <c r="C395" s="15" t="s">
        <v>1044</v>
      </c>
      <c r="D395" s="15" t="s">
        <v>1170</v>
      </c>
      <c r="E395" s="15" t="s">
        <v>180</v>
      </c>
      <c r="F395" s="15" t="s">
        <v>181</v>
      </c>
      <c r="G395" s="15" t="s">
        <v>321</v>
      </c>
      <c r="H395" s="15" t="s">
        <v>1060</v>
      </c>
      <c r="I395" s="15" t="str">
        <f t="shared" si="40"/>
        <v>710B32783</v>
      </c>
      <c r="J395" s="15" t="s">
        <v>1050</v>
      </c>
      <c r="K395" s="15"/>
      <c r="L395" s="15" t="s">
        <v>1056</v>
      </c>
      <c r="M395" s="15" t="s">
        <v>1053</v>
      </c>
      <c r="N395" s="63">
        <v>300</v>
      </c>
      <c r="O395" s="15"/>
      <c r="P395" s="15">
        <v>27.11</v>
      </c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61"/>
      <c r="BE395" s="61"/>
      <c r="BF395" s="15"/>
      <c r="BG395" s="15"/>
      <c r="BH395" s="15"/>
      <c r="BI395" s="15"/>
      <c r="BJ395" s="15"/>
      <c r="BK395" s="15"/>
      <c r="BL395" s="15"/>
      <c r="BM395" s="15"/>
      <c r="BN395" s="15"/>
      <c r="BO395" s="64"/>
      <c r="BP395" s="15"/>
      <c r="BQ395" s="15"/>
      <c r="BR395" s="15"/>
      <c r="BS395" s="64"/>
      <c r="BT395" s="64">
        <v>46236</v>
      </c>
      <c r="BU395" s="64">
        <v>46341</v>
      </c>
      <c r="BV395" s="15"/>
      <c r="BW395" s="64"/>
      <c r="BX395" s="68"/>
      <c r="BY395" s="68"/>
      <c r="BZ395" s="68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15">
        <v>4</v>
      </c>
      <c r="CL395" s="68">
        <v>34</v>
      </c>
      <c r="CM395" s="68">
        <v>88</v>
      </c>
      <c r="CN395" s="68">
        <v>92</v>
      </c>
      <c r="CO395" s="68">
        <v>55</v>
      </c>
      <c r="CP395" s="68">
        <v>27</v>
      </c>
      <c r="CQ395" s="68"/>
      <c r="CR395" s="68"/>
      <c r="CS395" s="68"/>
      <c r="CT395" s="68"/>
      <c r="CU395" s="68"/>
      <c r="CV395" s="68"/>
      <c r="CW395" s="68"/>
      <c r="CX395" s="68"/>
      <c r="CY395" s="68"/>
      <c r="CZ395" s="68"/>
      <c r="DA395" s="68"/>
      <c r="DB395" s="68"/>
      <c r="DC395" s="68"/>
      <c r="DD395" s="68"/>
      <c r="DE395" s="68"/>
      <c r="DF395" s="68"/>
      <c r="DG395" s="68"/>
      <c r="DH395" s="68"/>
      <c r="DI395" s="68"/>
      <c r="DJ395" s="68"/>
      <c r="DK395" s="68"/>
      <c r="DL395" s="68"/>
      <c r="DM395" s="68"/>
      <c r="DN395" s="68"/>
      <c r="DO395" s="68"/>
      <c r="DP395" s="68"/>
      <c r="DQ395" s="68"/>
      <c r="DR395" s="68"/>
      <c r="DS395" s="68"/>
      <c r="DT395" s="68"/>
      <c r="DU395" s="68"/>
      <c r="DV395" s="68"/>
      <c r="DW395" s="68"/>
      <c r="DX395" s="68"/>
      <c r="DY395" s="68"/>
      <c r="DZ395" s="68"/>
      <c r="EA395" s="68"/>
      <c r="EB395" s="68"/>
      <c r="EC395" s="68"/>
      <c r="ED395" s="68"/>
      <c r="EE395" s="68"/>
      <c r="EF395" s="68"/>
      <c r="EG395" s="68"/>
      <c r="EH395" s="68"/>
      <c r="EI395" s="68"/>
      <c r="EJ395" s="68"/>
      <c r="EK395" s="68"/>
      <c r="EL395" s="68"/>
      <c r="EM395" s="68"/>
      <c r="EN395" s="68"/>
      <c r="EO395" s="68"/>
      <c r="EP395" s="68"/>
      <c r="EQ395" s="65">
        <f t="shared" ref="EQ395:EQ412" si="41">SUM(BX395:EP395)</f>
        <v>300</v>
      </c>
      <c r="ER395" s="6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 t="s">
        <v>176</v>
      </c>
      <c r="FF395" s="15"/>
      <c r="FG395" s="15"/>
      <c r="FH395" s="1" t="str">
        <f t="shared" si="38"/>
        <v>710B327830064702129201</v>
      </c>
      <c r="FI395" s="1" t="str">
        <f t="shared" si="39"/>
        <v>PRLS/25/14105</v>
      </c>
      <c r="FJ395" s="38"/>
      <c r="FL395" s="13"/>
    </row>
    <row r="396" spans="1:168" ht="21" hidden="1" x14ac:dyDescent="0.25">
      <c r="A396" s="15" t="s">
        <v>1081</v>
      </c>
      <c r="B396" s="15" t="s">
        <v>149</v>
      </c>
      <c r="C396" s="15" t="s">
        <v>1044</v>
      </c>
      <c r="D396" s="15" t="s">
        <v>1171</v>
      </c>
      <c r="E396" s="15" t="s">
        <v>208</v>
      </c>
      <c r="F396" s="15" t="s">
        <v>181</v>
      </c>
      <c r="G396" s="15" t="s">
        <v>321</v>
      </c>
      <c r="H396" s="15" t="s">
        <v>1060</v>
      </c>
      <c r="I396" s="15" t="str">
        <f t="shared" si="40"/>
        <v>710B32783</v>
      </c>
      <c r="J396" s="15" t="s">
        <v>1050</v>
      </c>
      <c r="K396" s="15"/>
      <c r="L396" s="15" t="s">
        <v>1056</v>
      </c>
      <c r="M396" s="15" t="s">
        <v>1053</v>
      </c>
      <c r="N396" s="63">
        <v>230</v>
      </c>
      <c r="O396" s="15"/>
      <c r="P396" s="15">
        <v>27.11</v>
      </c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61"/>
      <c r="BE396" s="61"/>
      <c r="BF396" s="15"/>
      <c r="BG396" s="15"/>
      <c r="BH396" s="15"/>
      <c r="BI396" s="15"/>
      <c r="BJ396" s="15"/>
      <c r="BK396" s="15"/>
      <c r="BL396" s="15"/>
      <c r="BM396" s="15"/>
      <c r="BN396" s="15"/>
      <c r="BO396" s="64"/>
      <c r="BP396" s="15"/>
      <c r="BQ396" s="15"/>
      <c r="BR396" s="15"/>
      <c r="BS396" s="64"/>
      <c r="BT396" s="64">
        <v>46236</v>
      </c>
      <c r="BU396" s="64">
        <v>46341</v>
      </c>
      <c r="BV396" s="15"/>
      <c r="BW396" s="64"/>
      <c r="BX396" s="68"/>
      <c r="BY396" s="68"/>
      <c r="BZ396" s="68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15"/>
      <c r="CL396" s="68">
        <v>29</v>
      </c>
      <c r="CM396" s="68">
        <v>60</v>
      </c>
      <c r="CN396" s="68">
        <v>67</v>
      </c>
      <c r="CO396" s="68">
        <v>50</v>
      </c>
      <c r="CP396" s="68">
        <v>24</v>
      </c>
      <c r="CQ396" s="68"/>
      <c r="CR396" s="68"/>
      <c r="CS396" s="68"/>
      <c r="CT396" s="68"/>
      <c r="CU396" s="68"/>
      <c r="CV396" s="68"/>
      <c r="CW396" s="68"/>
      <c r="CX396" s="68"/>
      <c r="CY396" s="68"/>
      <c r="CZ396" s="68"/>
      <c r="DA396" s="68"/>
      <c r="DB396" s="68"/>
      <c r="DC396" s="68"/>
      <c r="DD396" s="68"/>
      <c r="DE396" s="68"/>
      <c r="DF396" s="68"/>
      <c r="DG396" s="68"/>
      <c r="DH396" s="68"/>
      <c r="DI396" s="68"/>
      <c r="DJ396" s="68"/>
      <c r="DK396" s="68"/>
      <c r="DL396" s="68"/>
      <c r="DM396" s="68"/>
      <c r="DN396" s="68"/>
      <c r="DO396" s="68"/>
      <c r="DP396" s="68"/>
      <c r="DQ396" s="68"/>
      <c r="DR396" s="68"/>
      <c r="DS396" s="68"/>
      <c r="DT396" s="68"/>
      <c r="DU396" s="68"/>
      <c r="DV396" s="68"/>
      <c r="DW396" s="68"/>
      <c r="DX396" s="68"/>
      <c r="DY396" s="68"/>
      <c r="DZ396" s="68"/>
      <c r="EA396" s="68"/>
      <c r="EB396" s="68"/>
      <c r="EC396" s="68"/>
      <c r="ED396" s="68"/>
      <c r="EE396" s="68"/>
      <c r="EF396" s="68"/>
      <c r="EG396" s="68"/>
      <c r="EH396" s="68"/>
      <c r="EI396" s="68"/>
      <c r="EJ396" s="68"/>
      <c r="EK396" s="68"/>
      <c r="EL396" s="68"/>
      <c r="EM396" s="68"/>
      <c r="EN396" s="68"/>
      <c r="EO396" s="68"/>
      <c r="EP396" s="68"/>
      <c r="EQ396" s="65">
        <f t="shared" si="41"/>
        <v>230</v>
      </c>
      <c r="ER396" s="6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 t="s">
        <v>176</v>
      </c>
      <c r="FF396" s="15"/>
      <c r="FG396" s="15"/>
      <c r="FH396" s="1" t="str">
        <f t="shared" si="38"/>
        <v>710B327830064702129202</v>
      </c>
      <c r="FI396" s="1" t="str">
        <f t="shared" si="39"/>
        <v>PRLS/25/14105</v>
      </c>
      <c r="FJ396" s="38"/>
      <c r="FL396" s="13"/>
    </row>
    <row r="397" spans="1:168" ht="21" hidden="1" x14ac:dyDescent="0.25">
      <c r="A397" s="15" t="s">
        <v>1082</v>
      </c>
      <c r="B397" s="15" t="s">
        <v>149</v>
      </c>
      <c r="C397" s="15" t="s">
        <v>1044</v>
      </c>
      <c r="D397" s="15" t="s">
        <v>1172</v>
      </c>
      <c r="E397" s="15" t="s">
        <v>208</v>
      </c>
      <c r="F397" s="15" t="s">
        <v>181</v>
      </c>
      <c r="G397" s="15" t="s">
        <v>321</v>
      </c>
      <c r="H397" s="15" t="s">
        <v>1061</v>
      </c>
      <c r="I397" s="15" t="str">
        <f t="shared" si="40"/>
        <v>710B36299</v>
      </c>
      <c r="J397" s="15" t="s">
        <v>1050</v>
      </c>
      <c r="K397" s="15"/>
      <c r="L397" s="15" t="s">
        <v>1057</v>
      </c>
      <c r="M397" s="15" t="s">
        <v>1053</v>
      </c>
      <c r="N397" s="63">
        <v>24</v>
      </c>
      <c r="O397" s="15"/>
      <c r="P397" s="15">
        <v>27.06</v>
      </c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61"/>
      <c r="BE397" s="61"/>
      <c r="BF397" s="15"/>
      <c r="BG397" s="15"/>
      <c r="BH397" s="15"/>
      <c r="BI397" s="15"/>
      <c r="BJ397" s="15"/>
      <c r="BK397" s="15"/>
      <c r="BL397" s="15"/>
      <c r="BM397" s="15"/>
      <c r="BN397" s="15"/>
      <c r="BO397" s="64"/>
      <c r="BP397" s="15"/>
      <c r="BQ397" s="15"/>
      <c r="BR397" s="15"/>
      <c r="BS397" s="64"/>
      <c r="BT397" s="64">
        <v>46236</v>
      </c>
      <c r="BU397" s="64">
        <v>46341</v>
      </c>
      <c r="BV397" s="15"/>
      <c r="BW397" s="64"/>
      <c r="BX397" s="68"/>
      <c r="BY397" s="68"/>
      <c r="BZ397" s="68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15"/>
      <c r="CL397" s="68">
        <v>2</v>
      </c>
      <c r="CM397" s="68">
        <v>7</v>
      </c>
      <c r="CN397" s="68">
        <v>9</v>
      </c>
      <c r="CO397" s="68">
        <v>5</v>
      </c>
      <c r="CP397" s="68">
        <v>1</v>
      </c>
      <c r="CQ397" s="68"/>
      <c r="CR397" s="68"/>
      <c r="CS397" s="68"/>
      <c r="CT397" s="68"/>
      <c r="CU397" s="68"/>
      <c r="CV397" s="68"/>
      <c r="CW397" s="68"/>
      <c r="CX397" s="68"/>
      <c r="CY397" s="68"/>
      <c r="CZ397" s="68"/>
      <c r="DA397" s="68"/>
      <c r="DB397" s="68"/>
      <c r="DC397" s="68"/>
      <c r="DD397" s="68"/>
      <c r="DE397" s="68"/>
      <c r="DF397" s="68"/>
      <c r="DG397" s="68"/>
      <c r="DH397" s="68"/>
      <c r="DI397" s="68"/>
      <c r="DJ397" s="68"/>
      <c r="DK397" s="68"/>
      <c r="DL397" s="68"/>
      <c r="DM397" s="68"/>
      <c r="DN397" s="68"/>
      <c r="DO397" s="68"/>
      <c r="DP397" s="68"/>
      <c r="DQ397" s="68"/>
      <c r="DR397" s="68"/>
      <c r="DS397" s="68"/>
      <c r="DT397" s="68"/>
      <c r="DU397" s="68"/>
      <c r="DV397" s="68"/>
      <c r="DW397" s="68"/>
      <c r="DX397" s="68"/>
      <c r="DY397" s="68"/>
      <c r="DZ397" s="68"/>
      <c r="EA397" s="68"/>
      <c r="EB397" s="68"/>
      <c r="EC397" s="68"/>
      <c r="ED397" s="68"/>
      <c r="EE397" s="68"/>
      <c r="EF397" s="68"/>
      <c r="EG397" s="68"/>
      <c r="EH397" s="68"/>
      <c r="EI397" s="68"/>
      <c r="EJ397" s="68"/>
      <c r="EK397" s="68"/>
      <c r="EL397" s="68"/>
      <c r="EM397" s="68"/>
      <c r="EN397" s="68"/>
      <c r="EO397" s="68"/>
      <c r="EP397" s="68"/>
      <c r="EQ397" s="65">
        <f t="shared" si="41"/>
        <v>24</v>
      </c>
      <c r="ER397" s="6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 t="s">
        <v>176</v>
      </c>
      <c r="FF397" s="15"/>
      <c r="FG397" s="15"/>
      <c r="FH397" s="1" t="str">
        <f t="shared" si="38"/>
        <v>710B362990014702129204</v>
      </c>
      <c r="FI397" s="1" t="str">
        <f t="shared" si="39"/>
        <v>PRLS/25/14106</v>
      </c>
      <c r="FJ397" s="38"/>
      <c r="FL397" s="13"/>
    </row>
    <row r="398" spans="1:168" ht="21" hidden="1" x14ac:dyDescent="0.25">
      <c r="A398" s="15" t="s">
        <v>1083</v>
      </c>
      <c r="B398" s="15" t="s">
        <v>149</v>
      </c>
      <c r="C398" s="15" t="s">
        <v>1044</v>
      </c>
      <c r="D398" s="15" t="s">
        <v>1172</v>
      </c>
      <c r="E398" s="15" t="s">
        <v>208</v>
      </c>
      <c r="F398" s="15" t="s">
        <v>181</v>
      </c>
      <c r="G398" s="15" t="s">
        <v>321</v>
      </c>
      <c r="H398" s="15" t="s">
        <v>1062</v>
      </c>
      <c r="I398" s="15" t="str">
        <f t="shared" si="40"/>
        <v>710B36299</v>
      </c>
      <c r="J398" s="15" t="s">
        <v>1050</v>
      </c>
      <c r="K398" s="15"/>
      <c r="L398" s="15" t="s">
        <v>1057</v>
      </c>
      <c r="M398" s="15" t="s">
        <v>1052</v>
      </c>
      <c r="N398" s="63">
        <v>24</v>
      </c>
      <c r="O398" s="15"/>
      <c r="P398" s="15">
        <v>25.54</v>
      </c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61"/>
      <c r="BE398" s="61"/>
      <c r="BF398" s="15"/>
      <c r="BG398" s="15"/>
      <c r="BH398" s="15"/>
      <c r="BI398" s="15"/>
      <c r="BJ398" s="15"/>
      <c r="BK398" s="15"/>
      <c r="BL398" s="15"/>
      <c r="BM398" s="15"/>
      <c r="BN398" s="15"/>
      <c r="BO398" s="64"/>
      <c r="BP398" s="15"/>
      <c r="BQ398" s="15"/>
      <c r="BR398" s="15"/>
      <c r="BS398" s="64"/>
      <c r="BT398" s="64">
        <v>46236</v>
      </c>
      <c r="BU398" s="64">
        <v>46341</v>
      </c>
      <c r="BV398" s="15"/>
      <c r="BW398" s="64"/>
      <c r="BX398" s="68"/>
      <c r="BY398" s="68"/>
      <c r="BZ398" s="68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15"/>
      <c r="CL398" s="68">
        <v>2</v>
      </c>
      <c r="CM398" s="68">
        <v>7</v>
      </c>
      <c r="CN398" s="68">
        <v>9</v>
      </c>
      <c r="CO398" s="68">
        <v>5</v>
      </c>
      <c r="CP398" s="68">
        <v>1</v>
      </c>
      <c r="CQ398" s="68"/>
      <c r="CR398" s="68"/>
      <c r="CS398" s="68"/>
      <c r="CT398" s="68"/>
      <c r="CU398" s="68"/>
      <c r="CV398" s="68"/>
      <c r="CW398" s="68"/>
      <c r="CX398" s="68"/>
      <c r="CY398" s="68"/>
      <c r="CZ398" s="68"/>
      <c r="DA398" s="68"/>
      <c r="DB398" s="68"/>
      <c r="DC398" s="68"/>
      <c r="DD398" s="68"/>
      <c r="DE398" s="68"/>
      <c r="DF398" s="68"/>
      <c r="DG398" s="68"/>
      <c r="DH398" s="68"/>
      <c r="DI398" s="68"/>
      <c r="DJ398" s="68"/>
      <c r="DK398" s="68"/>
      <c r="DL398" s="68"/>
      <c r="DM398" s="68"/>
      <c r="DN398" s="68"/>
      <c r="DO398" s="68"/>
      <c r="DP398" s="68"/>
      <c r="DQ398" s="68"/>
      <c r="DR398" s="68"/>
      <c r="DS398" s="68"/>
      <c r="DT398" s="68"/>
      <c r="DU398" s="68"/>
      <c r="DV398" s="68"/>
      <c r="DW398" s="68"/>
      <c r="DX398" s="68"/>
      <c r="DY398" s="68"/>
      <c r="DZ398" s="68"/>
      <c r="EA398" s="68"/>
      <c r="EB398" s="68"/>
      <c r="EC398" s="68"/>
      <c r="ED398" s="68"/>
      <c r="EE398" s="68"/>
      <c r="EF398" s="68"/>
      <c r="EG398" s="68"/>
      <c r="EH398" s="68"/>
      <c r="EI398" s="68"/>
      <c r="EJ398" s="68"/>
      <c r="EK398" s="68"/>
      <c r="EL398" s="68"/>
      <c r="EM398" s="68"/>
      <c r="EN398" s="68"/>
      <c r="EO398" s="68"/>
      <c r="EP398" s="68"/>
      <c r="EQ398" s="65">
        <f t="shared" si="41"/>
        <v>24</v>
      </c>
      <c r="ER398" s="6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 t="s">
        <v>176</v>
      </c>
      <c r="FF398" s="15"/>
      <c r="FG398" s="15"/>
      <c r="FH398" s="1" t="str">
        <f t="shared" ref="FH398:FH461" si="42">H398&amp;D398</f>
        <v>710B362990024702129204</v>
      </c>
      <c r="FI398" s="1" t="str">
        <f t="shared" ref="FI398:FI461" si="43">A398</f>
        <v>PRLS/25/14107</v>
      </c>
      <c r="FJ398" s="38"/>
      <c r="FL398" s="13"/>
    </row>
    <row r="399" spans="1:168" ht="21" hidden="1" x14ac:dyDescent="0.25">
      <c r="A399" s="15" t="s">
        <v>1082</v>
      </c>
      <c r="B399" s="15" t="s">
        <v>149</v>
      </c>
      <c r="C399" s="15" t="s">
        <v>1044</v>
      </c>
      <c r="D399" s="15" t="s">
        <v>1173</v>
      </c>
      <c r="E399" s="15" t="s">
        <v>210</v>
      </c>
      <c r="F399" s="15" t="s">
        <v>152</v>
      </c>
      <c r="G399" s="15" t="s">
        <v>321</v>
      </c>
      <c r="H399" s="15" t="s">
        <v>1061</v>
      </c>
      <c r="I399" s="15" t="str">
        <f t="shared" si="40"/>
        <v>710B36299</v>
      </c>
      <c r="J399" s="15" t="s">
        <v>1050</v>
      </c>
      <c r="K399" s="15"/>
      <c r="L399" s="15" t="s">
        <v>1057</v>
      </c>
      <c r="M399" s="15" t="s">
        <v>1053</v>
      </c>
      <c r="N399" s="63">
        <v>600</v>
      </c>
      <c r="O399" s="15"/>
      <c r="P399" s="15">
        <v>27.06</v>
      </c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61"/>
      <c r="BE399" s="61"/>
      <c r="BF399" s="15"/>
      <c r="BG399" s="15"/>
      <c r="BH399" s="15"/>
      <c r="BI399" s="15"/>
      <c r="BJ399" s="15"/>
      <c r="BK399" s="15"/>
      <c r="BL399" s="15"/>
      <c r="BM399" s="15"/>
      <c r="BN399" s="15"/>
      <c r="BO399" s="64"/>
      <c r="BP399" s="15"/>
      <c r="BQ399" s="15"/>
      <c r="BR399" s="15"/>
      <c r="BS399" s="64"/>
      <c r="BT399" s="64">
        <v>46278</v>
      </c>
      <c r="BU399" s="64">
        <v>46341</v>
      </c>
      <c r="BV399" s="15"/>
      <c r="BW399" s="64"/>
      <c r="BX399" s="68"/>
      <c r="BY399" s="68"/>
      <c r="BZ399" s="68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15">
        <v>12</v>
      </c>
      <c r="CL399" s="68">
        <v>79</v>
      </c>
      <c r="CM399" s="68">
        <v>173</v>
      </c>
      <c r="CN399" s="68">
        <v>178</v>
      </c>
      <c r="CO399" s="68">
        <v>104</v>
      </c>
      <c r="CP399" s="68">
        <v>54</v>
      </c>
      <c r="CQ399" s="68"/>
      <c r="CR399" s="68"/>
      <c r="CS399" s="68"/>
      <c r="CT399" s="68"/>
      <c r="CU399" s="68"/>
      <c r="CV399" s="68"/>
      <c r="CW399" s="68"/>
      <c r="CX399" s="68"/>
      <c r="CY399" s="68"/>
      <c r="CZ399" s="68"/>
      <c r="DA399" s="68"/>
      <c r="DB399" s="68"/>
      <c r="DC399" s="68"/>
      <c r="DD399" s="68"/>
      <c r="DE399" s="68"/>
      <c r="DF399" s="68"/>
      <c r="DG399" s="68"/>
      <c r="DH399" s="68"/>
      <c r="DI399" s="68"/>
      <c r="DJ399" s="68"/>
      <c r="DK399" s="68"/>
      <c r="DL399" s="68"/>
      <c r="DM399" s="68"/>
      <c r="DN399" s="68"/>
      <c r="DO399" s="68"/>
      <c r="DP399" s="68"/>
      <c r="DQ399" s="68"/>
      <c r="DR399" s="68"/>
      <c r="DS399" s="68"/>
      <c r="DT399" s="68"/>
      <c r="DU399" s="68"/>
      <c r="DV399" s="68"/>
      <c r="DW399" s="68"/>
      <c r="DX399" s="68"/>
      <c r="DY399" s="68"/>
      <c r="DZ399" s="68"/>
      <c r="EA399" s="68"/>
      <c r="EB399" s="68"/>
      <c r="EC399" s="68"/>
      <c r="ED399" s="68"/>
      <c r="EE399" s="68"/>
      <c r="EF399" s="68"/>
      <c r="EG399" s="68"/>
      <c r="EH399" s="68"/>
      <c r="EI399" s="68"/>
      <c r="EJ399" s="68"/>
      <c r="EK399" s="68"/>
      <c r="EL399" s="68"/>
      <c r="EM399" s="68"/>
      <c r="EN399" s="68"/>
      <c r="EO399" s="68"/>
      <c r="EP399" s="68"/>
      <c r="EQ399" s="65">
        <f t="shared" si="41"/>
        <v>600</v>
      </c>
      <c r="ER399" s="6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 t="s">
        <v>176</v>
      </c>
      <c r="FF399" s="15"/>
      <c r="FG399" s="15"/>
      <c r="FH399" s="1" t="str">
        <f t="shared" si="42"/>
        <v>710B362990014702129203</v>
      </c>
      <c r="FI399" s="1" t="str">
        <f t="shared" si="43"/>
        <v>PRLS/25/14106</v>
      </c>
      <c r="FJ399" s="38"/>
      <c r="FL399" s="13"/>
    </row>
    <row r="400" spans="1:168" ht="21" hidden="1" x14ac:dyDescent="0.25">
      <c r="A400" s="15" t="s">
        <v>1083</v>
      </c>
      <c r="B400" s="15" t="s">
        <v>149</v>
      </c>
      <c r="C400" s="15" t="s">
        <v>1044</v>
      </c>
      <c r="D400" s="15" t="s">
        <v>1173</v>
      </c>
      <c r="E400" s="15" t="s">
        <v>210</v>
      </c>
      <c r="F400" s="15" t="s">
        <v>152</v>
      </c>
      <c r="G400" s="15" t="s">
        <v>321</v>
      </c>
      <c r="H400" s="15" t="s">
        <v>1062</v>
      </c>
      <c r="I400" s="15" t="str">
        <f t="shared" si="40"/>
        <v>710B36299</v>
      </c>
      <c r="J400" s="15" t="s">
        <v>1050</v>
      </c>
      <c r="K400" s="15"/>
      <c r="L400" s="15" t="s">
        <v>1057</v>
      </c>
      <c r="M400" s="15" t="s">
        <v>1052</v>
      </c>
      <c r="N400" s="63">
        <v>600</v>
      </c>
      <c r="O400" s="15"/>
      <c r="P400" s="15">
        <v>25.54</v>
      </c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61"/>
      <c r="BE400" s="61"/>
      <c r="BF400" s="15"/>
      <c r="BG400" s="15"/>
      <c r="BH400" s="15"/>
      <c r="BI400" s="15"/>
      <c r="BJ400" s="15"/>
      <c r="BK400" s="15"/>
      <c r="BL400" s="15"/>
      <c r="BM400" s="15"/>
      <c r="BN400" s="15"/>
      <c r="BO400" s="64"/>
      <c r="BP400" s="15"/>
      <c r="BQ400" s="15"/>
      <c r="BR400" s="15"/>
      <c r="BS400" s="64"/>
      <c r="BT400" s="64">
        <v>46278</v>
      </c>
      <c r="BU400" s="64">
        <v>46341</v>
      </c>
      <c r="BV400" s="15"/>
      <c r="BW400" s="64"/>
      <c r="BX400" s="68"/>
      <c r="BY400" s="68"/>
      <c r="BZ400" s="68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15">
        <v>13</v>
      </c>
      <c r="CL400" s="68">
        <v>82</v>
      </c>
      <c r="CM400" s="68">
        <v>173</v>
      </c>
      <c r="CN400" s="68">
        <v>176</v>
      </c>
      <c r="CO400" s="68">
        <v>103</v>
      </c>
      <c r="CP400" s="68">
        <v>53</v>
      </c>
      <c r="CQ400" s="68"/>
      <c r="CR400" s="68"/>
      <c r="CS400" s="68"/>
      <c r="CT400" s="68"/>
      <c r="CU400" s="68"/>
      <c r="CV400" s="68"/>
      <c r="CW400" s="68"/>
      <c r="CX400" s="68"/>
      <c r="CY400" s="68"/>
      <c r="CZ400" s="68"/>
      <c r="DA400" s="68"/>
      <c r="DB400" s="68"/>
      <c r="DC400" s="68"/>
      <c r="DD400" s="68"/>
      <c r="DE400" s="68"/>
      <c r="DF400" s="68"/>
      <c r="DG400" s="68"/>
      <c r="DH400" s="68"/>
      <c r="DI400" s="68"/>
      <c r="DJ400" s="68"/>
      <c r="DK400" s="68"/>
      <c r="DL400" s="68"/>
      <c r="DM400" s="68"/>
      <c r="DN400" s="68"/>
      <c r="DO400" s="68"/>
      <c r="DP400" s="68"/>
      <c r="DQ400" s="68"/>
      <c r="DR400" s="68"/>
      <c r="DS400" s="68"/>
      <c r="DT400" s="68"/>
      <c r="DU400" s="68"/>
      <c r="DV400" s="68"/>
      <c r="DW400" s="68"/>
      <c r="DX400" s="68"/>
      <c r="DY400" s="68"/>
      <c r="DZ400" s="68"/>
      <c r="EA400" s="68"/>
      <c r="EB400" s="68"/>
      <c r="EC400" s="68"/>
      <c r="ED400" s="68"/>
      <c r="EE400" s="68"/>
      <c r="EF400" s="68"/>
      <c r="EG400" s="68"/>
      <c r="EH400" s="68"/>
      <c r="EI400" s="68"/>
      <c r="EJ400" s="68"/>
      <c r="EK400" s="68"/>
      <c r="EL400" s="68"/>
      <c r="EM400" s="68"/>
      <c r="EN400" s="68"/>
      <c r="EO400" s="68"/>
      <c r="EP400" s="68"/>
      <c r="EQ400" s="65">
        <f t="shared" si="41"/>
        <v>600</v>
      </c>
      <c r="ER400" s="6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 t="s">
        <v>176</v>
      </c>
      <c r="FF400" s="15"/>
      <c r="FG400" s="15"/>
      <c r="FH400" s="1" t="str">
        <f t="shared" si="42"/>
        <v>710B362990024702129203</v>
      </c>
      <c r="FI400" s="1" t="str">
        <f t="shared" si="43"/>
        <v>PRLS/25/14107</v>
      </c>
      <c r="FJ400" s="38"/>
      <c r="FL400" s="13"/>
    </row>
    <row r="401" spans="1:168" ht="21" hidden="1" x14ac:dyDescent="0.25">
      <c r="A401" s="15" t="s">
        <v>1063</v>
      </c>
      <c r="B401" s="15" t="s">
        <v>149</v>
      </c>
      <c r="C401" s="15" t="s">
        <v>625</v>
      </c>
      <c r="D401" s="15" t="s">
        <v>1175</v>
      </c>
      <c r="E401" s="15" t="s">
        <v>237</v>
      </c>
      <c r="F401" s="15" t="s">
        <v>254</v>
      </c>
      <c r="G401" s="15" t="s">
        <v>322</v>
      </c>
      <c r="H401" s="15" t="s">
        <v>1058</v>
      </c>
      <c r="I401" s="15" t="str">
        <f t="shared" si="40"/>
        <v>712B29074</v>
      </c>
      <c r="J401" s="15" t="s">
        <v>1174</v>
      </c>
      <c r="K401" s="15"/>
      <c r="L401" s="15" t="s">
        <v>1054</v>
      </c>
      <c r="M401" s="15" t="s">
        <v>187</v>
      </c>
      <c r="N401" s="63">
        <v>15</v>
      </c>
      <c r="O401" s="15"/>
      <c r="P401" s="15">
        <v>44.98</v>
      </c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61"/>
      <c r="BE401" s="61"/>
      <c r="BF401" s="15"/>
      <c r="BG401" s="15"/>
      <c r="BH401" s="15"/>
      <c r="BI401" s="15"/>
      <c r="BJ401" s="15"/>
      <c r="BK401" s="15"/>
      <c r="BL401" s="15"/>
      <c r="BM401" s="15"/>
      <c r="BN401" s="15"/>
      <c r="BO401" s="64"/>
      <c r="BP401" s="15"/>
      <c r="BQ401" s="15"/>
      <c r="BR401" s="15"/>
      <c r="BS401" s="64"/>
      <c r="BT401" s="64">
        <v>46229</v>
      </c>
      <c r="BU401" s="64">
        <v>46280</v>
      </c>
      <c r="BV401" s="15"/>
      <c r="BW401" s="64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15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>
        <v>2</v>
      </c>
      <c r="DI401" s="68">
        <v>7</v>
      </c>
      <c r="DJ401" s="68"/>
      <c r="DK401" s="68"/>
      <c r="DL401" s="68"/>
      <c r="DM401" s="68">
        <v>4</v>
      </c>
      <c r="DN401" s="68">
        <v>2</v>
      </c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  <c r="EE401" s="68"/>
      <c r="EF401" s="68"/>
      <c r="EG401" s="68"/>
      <c r="EH401" s="68"/>
      <c r="EI401" s="68"/>
      <c r="EJ401" s="68"/>
      <c r="EK401" s="68"/>
      <c r="EL401" s="68"/>
      <c r="EM401" s="68"/>
      <c r="EN401" s="68"/>
      <c r="EO401" s="68"/>
      <c r="EP401" s="68"/>
      <c r="EQ401" s="65">
        <f t="shared" si="41"/>
        <v>15</v>
      </c>
      <c r="ER401" s="6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 t="s">
        <v>176</v>
      </c>
      <c r="FF401" s="15"/>
      <c r="FG401" s="15"/>
      <c r="FH401" s="1" t="str">
        <f t="shared" si="42"/>
        <v>712B290740014702129780</v>
      </c>
      <c r="FI401" s="1" t="str">
        <f t="shared" si="43"/>
        <v>PRLS/25/13942</v>
      </c>
      <c r="FJ401" s="38"/>
      <c r="FL401" s="13"/>
    </row>
    <row r="402" spans="1:168" ht="21" hidden="1" x14ac:dyDescent="0.25">
      <c r="A402" s="15" t="s">
        <v>1063</v>
      </c>
      <c r="B402" s="15" t="s">
        <v>149</v>
      </c>
      <c r="C402" s="15" t="s">
        <v>625</v>
      </c>
      <c r="D402" s="15" t="s">
        <v>1176</v>
      </c>
      <c r="E402" s="15" t="s">
        <v>180</v>
      </c>
      <c r="F402" s="15" t="s">
        <v>181</v>
      </c>
      <c r="G402" s="15" t="s">
        <v>321</v>
      </c>
      <c r="H402" s="15" t="s">
        <v>1058</v>
      </c>
      <c r="I402" s="15" t="str">
        <f t="shared" si="40"/>
        <v>712B29074</v>
      </c>
      <c r="J402" s="15" t="s">
        <v>1174</v>
      </c>
      <c r="K402" s="15"/>
      <c r="L402" s="15" t="s">
        <v>1054</v>
      </c>
      <c r="M402" s="15" t="s">
        <v>187</v>
      </c>
      <c r="N402" s="63">
        <v>34</v>
      </c>
      <c r="O402" s="15"/>
      <c r="P402" s="15">
        <v>44.98</v>
      </c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61"/>
      <c r="BE402" s="61"/>
      <c r="BF402" s="15"/>
      <c r="BG402" s="15"/>
      <c r="BH402" s="15"/>
      <c r="BI402" s="15"/>
      <c r="BJ402" s="15"/>
      <c r="BK402" s="15"/>
      <c r="BL402" s="15"/>
      <c r="BM402" s="15"/>
      <c r="BN402" s="15"/>
      <c r="BO402" s="64"/>
      <c r="BP402" s="15"/>
      <c r="BQ402" s="15"/>
      <c r="BR402" s="15"/>
      <c r="BS402" s="64"/>
      <c r="BT402" s="64">
        <v>46215</v>
      </c>
      <c r="BU402" s="64">
        <v>46280</v>
      </c>
      <c r="BV402" s="15"/>
      <c r="BW402" s="64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15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>
        <v>1</v>
      </c>
      <c r="DI402" s="68">
        <v>3</v>
      </c>
      <c r="DJ402" s="68">
        <v>1</v>
      </c>
      <c r="DK402" s="68">
        <v>4</v>
      </c>
      <c r="DL402" s="68">
        <v>3</v>
      </c>
      <c r="DM402" s="68">
        <v>1</v>
      </c>
      <c r="DN402" s="68"/>
      <c r="DO402" s="68">
        <v>3</v>
      </c>
      <c r="DP402" s="68">
        <v>3</v>
      </c>
      <c r="DQ402" s="68">
        <v>4</v>
      </c>
      <c r="DR402" s="68"/>
      <c r="DS402" s="68">
        <v>1</v>
      </c>
      <c r="DT402" s="68">
        <v>3</v>
      </c>
      <c r="DU402" s="68"/>
      <c r="DV402" s="68">
        <v>1</v>
      </c>
      <c r="DW402" s="68">
        <v>3</v>
      </c>
      <c r="DX402" s="68">
        <v>1</v>
      </c>
      <c r="DY402" s="68">
        <v>1</v>
      </c>
      <c r="DZ402" s="68">
        <v>1</v>
      </c>
      <c r="EA402" s="68"/>
      <c r="EB402" s="68"/>
      <c r="EC402" s="68"/>
      <c r="ED402" s="68"/>
      <c r="EE402" s="68"/>
      <c r="EF402" s="68"/>
      <c r="EG402" s="68"/>
      <c r="EH402" s="68"/>
      <c r="EI402" s="68"/>
      <c r="EJ402" s="68"/>
      <c r="EK402" s="68"/>
      <c r="EL402" s="68"/>
      <c r="EM402" s="68"/>
      <c r="EN402" s="68"/>
      <c r="EO402" s="68"/>
      <c r="EP402" s="68"/>
      <c r="EQ402" s="65">
        <f t="shared" si="41"/>
        <v>34</v>
      </c>
      <c r="ER402" s="6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 t="s">
        <v>176</v>
      </c>
      <c r="FF402" s="15"/>
      <c r="FG402" s="15"/>
      <c r="FH402" s="1" t="str">
        <f t="shared" si="42"/>
        <v>712B290740014702129779</v>
      </c>
      <c r="FI402" s="1" t="str">
        <f t="shared" si="43"/>
        <v>PRLS/25/13942</v>
      </c>
      <c r="FJ402" s="38"/>
      <c r="FL402" s="13"/>
    </row>
    <row r="403" spans="1:168" ht="21" hidden="1" x14ac:dyDescent="0.25">
      <c r="A403" s="15" t="s">
        <v>1063</v>
      </c>
      <c r="B403" s="15" t="s">
        <v>149</v>
      </c>
      <c r="C403" s="15" t="s">
        <v>625</v>
      </c>
      <c r="D403" s="15" t="s">
        <v>1177</v>
      </c>
      <c r="E403" s="15" t="s">
        <v>210</v>
      </c>
      <c r="F403" s="15" t="s">
        <v>152</v>
      </c>
      <c r="G403" s="15" t="s">
        <v>321</v>
      </c>
      <c r="H403" s="15" t="s">
        <v>1058</v>
      </c>
      <c r="I403" s="15" t="str">
        <f t="shared" si="40"/>
        <v>712B29074</v>
      </c>
      <c r="J403" s="15" t="s">
        <v>1174</v>
      </c>
      <c r="K403" s="15"/>
      <c r="L403" s="15" t="s">
        <v>1054</v>
      </c>
      <c r="M403" s="15" t="s">
        <v>187</v>
      </c>
      <c r="N403" s="63">
        <v>225</v>
      </c>
      <c r="O403" s="15"/>
      <c r="P403" s="15">
        <v>44.98</v>
      </c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61"/>
      <c r="BE403" s="61"/>
      <c r="BF403" s="15"/>
      <c r="BG403" s="15"/>
      <c r="BH403" s="15"/>
      <c r="BI403" s="15"/>
      <c r="BJ403" s="15"/>
      <c r="BK403" s="15"/>
      <c r="BL403" s="15"/>
      <c r="BM403" s="15"/>
      <c r="BN403" s="15"/>
      <c r="BO403" s="64"/>
      <c r="BP403" s="15"/>
      <c r="BQ403" s="15"/>
      <c r="BR403" s="15"/>
      <c r="BS403" s="64"/>
      <c r="BT403" s="64">
        <v>46215</v>
      </c>
      <c r="BU403" s="64">
        <v>46280</v>
      </c>
      <c r="BV403" s="15"/>
      <c r="BW403" s="64"/>
      <c r="BX403" s="68"/>
      <c r="BY403" s="68"/>
      <c r="BZ403" s="68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15"/>
      <c r="CL403" s="68"/>
      <c r="CM403" s="68"/>
      <c r="CN403" s="68"/>
      <c r="CO403" s="68"/>
      <c r="CP403" s="68"/>
      <c r="CQ403" s="68"/>
      <c r="CR403" s="68"/>
      <c r="CS403" s="68"/>
      <c r="CT403" s="68"/>
      <c r="CU403" s="68"/>
      <c r="CV403" s="68"/>
      <c r="CW403" s="68"/>
      <c r="CX403" s="68"/>
      <c r="CY403" s="68"/>
      <c r="CZ403" s="68"/>
      <c r="DA403" s="68"/>
      <c r="DB403" s="68"/>
      <c r="DC403" s="68"/>
      <c r="DD403" s="68"/>
      <c r="DE403" s="68"/>
      <c r="DF403" s="68"/>
      <c r="DG403" s="68"/>
      <c r="DH403" s="68"/>
      <c r="DI403" s="68"/>
      <c r="DJ403" s="68">
        <v>30</v>
      </c>
      <c r="DK403" s="68"/>
      <c r="DL403" s="68">
        <v>66</v>
      </c>
      <c r="DM403" s="68"/>
      <c r="DN403" s="68">
        <v>30</v>
      </c>
      <c r="DO403" s="68"/>
      <c r="DP403" s="68"/>
      <c r="DQ403" s="68">
        <v>48</v>
      </c>
      <c r="DR403" s="68"/>
      <c r="DS403" s="68"/>
      <c r="DT403" s="68">
        <v>12</v>
      </c>
      <c r="DU403" s="68"/>
      <c r="DV403" s="68"/>
      <c r="DW403" s="68">
        <v>33</v>
      </c>
      <c r="DX403" s="68"/>
      <c r="DY403" s="68">
        <v>6</v>
      </c>
      <c r="DZ403" s="68"/>
      <c r="EA403" s="68"/>
      <c r="EB403" s="68"/>
      <c r="EC403" s="68"/>
      <c r="ED403" s="68"/>
      <c r="EE403" s="68"/>
      <c r="EF403" s="68"/>
      <c r="EG403" s="68"/>
      <c r="EH403" s="68"/>
      <c r="EI403" s="68"/>
      <c r="EJ403" s="68"/>
      <c r="EK403" s="68"/>
      <c r="EL403" s="68"/>
      <c r="EM403" s="68"/>
      <c r="EN403" s="68"/>
      <c r="EO403" s="68"/>
      <c r="EP403" s="68"/>
      <c r="EQ403" s="65">
        <f t="shared" si="41"/>
        <v>225</v>
      </c>
      <c r="ER403" s="6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 t="s">
        <v>176</v>
      </c>
      <c r="FF403" s="15"/>
      <c r="FG403" s="15"/>
      <c r="FH403" s="1" t="str">
        <f t="shared" si="42"/>
        <v>712B290740014702129778</v>
      </c>
      <c r="FI403" s="1" t="str">
        <f t="shared" si="43"/>
        <v>PRLS/25/13942</v>
      </c>
      <c r="FJ403" s="38"/>
      <c r="FL403" s="13"/>
    </row>
    <row r="404" spans="1:168" ht="21" hidden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63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61"/>
      <c r="BE404" s="61"/>
      <c r="BF404" s="15"/>
      <c r="BG404" s="15"/>
      <c r="BH404" s="15"/>
      <c r="BI404" s="15"/>
      <c r="BJ404" s="15"/>
      <c r="BK404" s="15"/>
      <c r="BL404" s="15"/>
      <c r="BM404" s="15"/>
      <c r="BN404" s="15"/>
      <c r="BO404" s="64"/>
      <c r="BP404" s="15"/>
      <c r="BQ404" s="15"/>
      <c r="BR404" s="15"/>
      <c r="BS404" s="64"/>
      <c r="BT404" s="64"/>
      <c r="BU404" s="64"/>
      <c r="BV404" s="15"/>
      <c r="BW404" s="64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15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  <c r="EE404" s="68"/>
      <c r="EF404" s="68"/>
      <c r="EG404" s="68"/>
      <c r="EH404" s="68"/>
      <c r="EI404" s="68"/>
      <c r="EJ404" s="68"/>
      <c r="EK404" s="68"/>
      <c r="EL404" s="68"/>
      <c r="EM404" s="68"/>
      <c r="EN404" s="68"/>
      <c r="EO404" s="68"/>
      <c r="EP404" s="68"/>
      <c r="EQ404" s="65">
        <f t="shared" si="41"/>
        <v>0</v>
      </c>
      <c r="ER404" s="6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" t="str">
        <f t="shared" si="42"/>
        <v/>
      </c>
      <c r="FI404" s="1">
        <f t="shared" si="43"/>
        <v>0</v>
      </c>
      <c r="FJ404" s="38"/>
      <c r="FL404" s="13"/>
    </row>
    <row r="405" spans="1:168" ht="21" hidden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63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61"/>
      <c r="BE405" s="61"/>
      <c r="BF405" s="15"/>
      <c r="BG405" s="15"/>
      <c r="BH405" s="15"/>
      <c r="BI405" s="15"/>
      <c r="BJ405" s="15"/>
      <c r="BK405" s="15"/>
      <c r="BL405" s="15"/>
      <c r="BM405" s="15"/>
      <c r="BN405" s="15"/>
      <c r="BO405" s="64"/>
      <c r="BP405" s="15"/>
      <c r="BQ405" s="15"/>
      <c r="BR405" s="15"/>
      <c r="BS405" s="64"/>
      <c r="BT405" s="64"/>
      <c r="BU405" s="64"/>
      <c r="BV405" s="15"/>
      <c r="BW405" s="64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15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  <c r="EE405" s="68"/>
      <c r="EF405" s="68"/>
      <c r="EG405" s="68"/>
      <c r="EH405" s="68"/>
      <c r="EI405" s="68"/>
      <c r="EJ405" s="68"/>
      <c r="EK405" s="68"/>
      <c r="EL405" s="68"/>
      <c r="EM405" s="68"/>
      <c r="EN405" s="68"/>
      <c r="EO405" s="68"/>
      <c r="EP405" s="68"/>
      <c r="EQ405" s="65">
        <f t="shared" si="41"/>
        <v>0</v>
      </c>
      <c r="ER405" s="6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" t="str">
        <f t="shared" si="42"/>
        <v/>
      </c>
      <c r="FI405" s="1">
        <f t="shared" si="43"/>
        <v>0</v>
      </c>
      <c r="FJ405" s="38"/>
      <c r="FL405" s="13"/>
    </row>
    <row r="406" spans="1:168" ht="21" hidden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63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61"/>
      <c r="BE406" s="61"/>
      <c r="BF406" s="15"/>
      <c r="BG406" s="15"/>
      <c r="BH406" s="15"/>
      <c r="BI406" s="15"/>
      <c r="BJ406" s="15"/>
      <c r="BK406" s="15"/>
      <c r="BL406" s="15"/>
      <c r="BM406" s="15"/>
      <c r="BN406" s="15"/>
      <c r="BO406" s="64"/>
      <c r="BP406" s="15"/>
      <c r="BQ406" s="15"/>
      <c r="BR406" s="15"/>
      <c r="BS406" s="64"/>
      <c r="BT406" s="64"/>
      <c r="BU406" s="64"/>
      <c r="BV406" s="15"/>
      <c r="BW406" s="64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15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  <c r="EE406" s="68"/>
      <c r="EF406" s="68"/>
      <c r="EG406" s="68"/>
      <c r="EH406" s="68"/>
      <c r="EI406" s="68"/>
      <c r="EJ406" s="68"/>
      <c r="EK406" s="68"/>
      <c r="EL406" s="68"/>
      <c r="EM406" s="68"/>
      <c r="EN406" s="68"/>
      <c r="EO406" s="68"/>
      <c r="EP406" s="68"/>
      <c r="EQ406" s="65">
        <f t="shared" si="41"/>
        <v>0</v>
      </c>
      <c r="ER406" s="6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" t="str">
        <f t="shared" si="42"/>
        <v/>
      </c>
      <c r="FI406" s="1">
        <f t="shared" si="43"/>
        <v>0</v>
      </c>
      <c r="FJ406" s="38"/>
      <c r="FL406" s="13"/>
    </row>
    <row r="407" spans="1:168" ht="21" hidden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63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61"/>
      <c r="BE407" s="61"/>
      <c r="BF407" s="15"/>
      <c r="BG407" s="15"/>
      <c r="BH407" s="15"/>
      <c r="BI407" s="15"/>
      <c r="BJ407" s="15"/>
      <c r="BK407" s="15"/>
      <c r="BL407" s="15"/>
      <c r="BM407" s="15"/>
      <c r="BN407" s="15"/>
      <c r="BO407" s="64"/>
      <c r="BP407" s="15"/>
      <c r="BQ407" s="15"/>
      <c r="BR407" s="15"/>
      <c r="BS407" s="64"/>
      <c r="BT407" s="64"/>
      <c r="BU407" s="64"/>
      <c r="BV407" s="15"/>
      <c r="BW407" s="64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15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  <c r="EE407" s="68"/>
      <c r="EF407" s="68"/>
      <c r="EG407" s="68"/>
      <c r="EH407" s="68"/>
      <c r="EI407" s="68"/>
      <c r="EJ407" s="68"/>
      <c r="EK407" s="68"/>
      <c r="EL407" s="68"/>
      <c r="EM407" s="68"/>
      <c r="EN407" s="68"/>
      <c r="EO407" s="68"/>
      <c r="EP407" s="68"/>
      <c r="EQ407" s="65">
        <f t="shared" si="41"/>
        <v>0</v>
      </c>
      <c r="ER407" s="6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" t="str">
        <f t="shared" si="42"/>
        <v/>
      </c>
      <c r="FI407" s="1">
        <f t="shared" si="43"/>
        <v>0</v>
      </c>
      <c r="FJ407" s="38"/>
      <c r="FL407" s="13"/>
    </row>
    <row r="408" spans="1:168" ht="21" hidden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63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61"/>
      <c r="BE408" s="61"/>
      <c r="BF408" s="15"/>
      <c r="BG408" s="15"/>
      <c r="BH408" s="15"/>
      <c r="BI408" s="15"/>
      <c r="BJ408" s="15"/>
      <c r="BK408" s="15"/>
      <c r="BL408" s="15"/>
      <c r="BM408" s="15"/>
      <c r="BN408" s="15"/>
      <c r="BO408" s="64"/>
      <c r="BP408" s="15"/>
      <c r="BQ408" s="15"/>
      <c r="BR408" s="15"/>
      <c r="BS408" s="64"/>
      <c r="BT408" s="64"/>
      <c r="BU408" s="64"/>
      <c r="BV408" s="15"/>
      <c r="BW408" s="64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15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  <c r="EE408" s="68"/>
      <c r="EF408" s="68"/>
      <c r="EG408" s="68"/>
      <c r="EH408" s="68"/>
      <c r="EI408" s="68"/>
      <c r="EJ408" s="68"/>
      <c r="EK408" s="68"/>
      <c r="EL408" s="68"/>
      <c r="EM408" s="68"/>
      <c r="EN408" s="68"/>
      <c r="EO408" s="68"/>
      <c r="EP408" s="68"/>
      <c r="EQ408" s="65">
        <f t="shared" si="41"/>
        <v>0</v>
      </c>
      <c r="ER408" s="6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" t="str">
        <f t="shared" si="42"/>
        <v/>
      </c>
      <c r="FI408" s="1">
        <f t="shared" si="43"/>
        <v>0</v>
      </c>
      <c r="FJ408" s="38"/>
      <c r="FL408" s="13"/>
    </row>
    <row r="409" spans="1:168" ht="21" hidden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63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61"/>
      <c r="BE409" s="61"/>
      <c r="BF409" s="15"/>
      <c r="BG409" s="15"/>
      <c r="BH409" s="15"/>
      <c r="BI409" s="15"/>
      <c r="BJ409" s="15"/>
      <c r="BK409" s="15"/>
      <c r="BL409" s="15"/>
      <c r="BM409" s="15"/>
      <c r="BN409" s="15"/>
      <c r="BO409" s="64"/>
      <c r="BP409" s="15"/>
      <c r="BQ409" s="15"/>
      <c r="BR409" s="15"/>
      <c r="BS409" s="64"/>
      <c r="BT409" s="64"/>
      <c r="BU409" s="64"/>
      <c r="BV409" s="15"/>
      <c r="BW409" s="64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15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  <c r="EE409" s="68"/>
      <c r="EF409" s="68"/>
      <c r="EG409" s="68"/>
      <c r="EH409" s="68"/>
      <c r="EI409" s="68"/>
      <c r="EJ409" s="68"/>
      <c r="EK409" s="68"/>
      <c r="EL409" s="68"/>
      <c r="EM409" s="68"/>
      <c r="EN409" s="68"/>
      <c r="EO409" s="68"/>
      <c r="EP409" s="68"/>
      <c r="EQ409" s="65">
        <f t="shared" si="41"/>
        <v>0</v>
      </c>
      <c r="ER409" s="6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" t="str">
        <f t="shared" si="42"/>
        <v/>
      </c>
      <c r="FI409" s="1">
        <f t="shared" si="43"/>
        <v>0</v>
      </c>
      <c r="FJ409" s="38"/>
      <c r="FL409" s="13"/>
    </row>
    <row r="410" spans="1:168" ht="21" hidden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63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61"/>
      <c r="BE410" s="61"/>
      <c r="BF410" s="15"/>
      <c r="BG410" s="15"/>
      <c r="BH410" s="15"/>
      <c r="BI410" s="15"/>
      <c r="BJ410" s="15"/>
      <c r="BK410" s="15"/>
      <c r="BL410" s="15"/>
      <c r="BM410" s="15"/>
      <c r="BN410" s="15"/>
      <c r="BO410" s="64"/>
      <c r="BP410" s="15"/>
      <c r="BQ410" s="15"/>
      <c r="BR410" s="15"/>
      <c r="BS410" s="64"/>
      <c r="BT410" s="64"/>
      <c r="BU410" s="64"/>
      <c r="BV410" s="15"/>
      <c r="BW410" s="64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15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  <c r="EE410" s="68"/>
      <c r="EF410" s="68"/>
      <c r="EG410" s="68"/>
      <c r="EH410" s="68"/>
      <c r="EI410" s="68"/>
      <c r="EJ410" s="68"/>
      <c r="EK410" s="68"/>
      <c r="EL410" s="68"/>
      <c r="EM410" s="68"/>
      <c r="EN410" s="68"/>
      <c r="EO410" s="68"/>
      <c r="EP410" s="68"/>
      <c r="EQ410" s="65">
        <f t="shared" si="41"/>
        <v>0</v>
      </c>
      <c r="ER410" s="6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5"/>
      <c r="FD410" s="15"/>
      <c r="FE410" s="15"/>
      <c r="FF410" s="15"/>
      <c r="FG410" s="15"/>
      <c r="FH410" s="1" t="str">
        <f t="shared" si="42"/>
        <v/>
      </c>
      <c r="FI410" s="1">
        <f t="shared" si="43"/>
        <v>0</v>
      </c>
      <c r="FJ410" s="38"/>
      <c r="FL410" s="13"/>
    </row>
    <row r="411" spans="1:168" ht="21" hidden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63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61"/>
      <c r="BE411" s="61"/>
      <c r="BF411" s="15"/>
      <c r="BG411" s="15"/>
      <c r="BH411" s="15"/>
      <c r="BI411" s="15"/>
      <c r="BJ411" s="15"/>
      <c r="BK411" s="15"/>
      <c r="BL411" s="15"/>
      <c r="BM411" s="15"/>
      <c r="BN411" s="15"/>
      <c r="BO411" s="64"/>
      <c r="BP411" s="15"/>
      <c r="BQ411" s="15"/>
      <c r="BR411" s="15"/>
      <c r="BS411" s="64"/>
      <c r="BT411" s="64"/>
      <c r="BU411" s="64"/>
      <c r="BV411" s="15"/>
      <c r="BW411" s="64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15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  <c r="EE411" s="68"/>
      <c r="EF411" s="68"/>
      <c r="EG411" s="68"/>
      <c r="EH411" s="68"/>
      <c r="EI411" s="68"/>
      <c r="EJ411" s="68"/>
      <c r="EK411" s="68"/>
      <c r="EL411" s="68"/>
      <c r="EM411" s="68"/>
      <c r="EN411" s="68"/>
      <c r="EO411" s="68"/>
      <c r="EP411" s="68"/>
      <c r="EQ411" s="65">
        <f t="shared" si="41"/>
        <v>0</v>
      </c>
      <c r="ER411" s="6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5"/>
      <c r="FD411" s="15"/>
      <c r="FE411" s="15"/>
      <c r="FF411" s="15"/>
      <c r="FG411" s="15"/>
      <c r="FH411" s="1" t="str">
        <f t="shared" si="42"/>
        <v/>
      </c>
      <c r="FI411" s="1">
        <f t="shared" si="43"/>
        <v>0</v>
      </c>
      <c r="FJ411" s="38"/>
      <c r="FL411" s="13"/>
    </row>
    <row r="412" spans="1:168" ht="21" hidden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63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61"/>
      <c r="BE412" s="61"/>
      <c r="BF412" s="15"/>
      <c r="BG412" s="15"/>
      <c r="BH412" s="15"/>
      <c r="BI412" s="15"/>
      <c r="BJ412" s="15"/>
      <c r="BK412" s="15"/>
      <c r="BL412" s="15"/>
      <c r="BM412" s="15"/>
      <c r="BN412" s="15"/>
      <c r="BO412" s="64"/>
      <c r="BP412" s="15"/>
      <c r="BQ412" s="15"/>
      <c r="BR412" s="15"/>
      <c r="BS412" s="64"/>
      <c r="BT412" s="64"/>
      <c r="BU412" s="64"/>
      <c r="BV412" s="15"/>
      <c r="BW412" s="64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15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  <c r="EE412" s="68"/>
      <c r="EF412" s="68"/>
      <c r="EG412" s="68"/>
      <c r="EH412" s="68"/>
      <c r="EI412" s="68"/>
      <c r="EJ412" s="68"/>
      <c r="EK412" s="68"/>
      <c r="EL412" s="68"/>
      <c r="EM412" s="68"/>
      <c r="EN412" s="68"/>
      <c r="EO412" s="68"/>
      <c r="EP412" s="68"/>
      <c r="EQ412" s="65">
        <f t="shared" si="41"/>
        <v>0</v>
      </c>
      <c r="ER412" s="6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5"/>
      <c r="FG412" s="15"/>
      <c r="FH412" s="1" t="str">
        <f t="shared" si="42"/>
        <v/>
      </c>
      <c r="FI412" s="1">
        <f t="shared" si="43"/>
        <v>0</v>
      </c>
      <c r="FJ412" s="38"/>
      <c r="FL412" s="13"/>
    </row>
    <row r="413" spans="1:168" ht="21" hidden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63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61"/>
      <c r="BE413" s="61"/>
      <c r="BF413" s="15"/>
      <c r="BG413" s="15"/>
      <c r="BH413" s="15"/>
      <c r="BI413" s="15"/>
      <c r="BJ413" s="15"/>
      <c r="BK413" s="15"/>
      <c r="BL413" s="15"/>
      <c r="BM413" s="15"/>
      <c r="BN413" s="15"/>
      <c r="BO413" s="64"/>
      <c r="BP413" s="15"/>
      <c r="BQ413" s="15"/>
      <c r="BR413" s="15"/>
      <c r="BS413" s="64"/>
      <c r="BT413" s="64"/>
      <c r="BU413" s="64"/>
      <c r="BV413" s="15"/>
      <c r="BW413" s="64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15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  <c r="EE413" s="68"/>
      <c r="EF413" s="68"/>
      <c r="EG413" s="68"/>
      <c r="EH413" s="68"/>
      <c r="EI413" s="68"/>
      <c r="EJ413" s="68"/>
      <c r="EK413" s="68"/>
      <c r="EL413" s="68"/>
      <c r="EM413" s="68"/>
      <c r="EN413" s="68"/>
      <c r="EO413" s="68"/>
      <c r="EP413" s="68"/>
      <c r="EQ413" s="65"/>
      <c r="ER413" s="6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5"/>
      <c r="FD413" s="15"/>
      <c r="FE413" s="15"/>
      <c r="FF413" s="15"/>
      <c r="FG413" s="15"/>
      <c r="FH413" s="1" t="str">
        <f t="shared" si="42"/>
        <v/>
      </c>
      <c r="FI413" s="1">
        <f t="shared" si="43"/>
        <v>0</v>
      </c>
      <c r="FJ413" s="38"/>
      <c r="FL413" s="13"/>
    </row>
    <row r="414" spans="1:168" ht="21" hidden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63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61"/>
      <c r="BE414" s="61"/>
      <c r="BF414" s="15"/>
      <c r="BG414" s="15"/>
      <c r="BH414" s="15"/>
      <c r="BI414" s="15"/>
      <c r="BJ414" s="15"/>
      <c r="BK414" s="15"/>
      <c r="BL414" s="15"/>
      <c r="BM414" s="15"/>
      <c r="BN414" s="15"/>
      <c r="BO414" s="64"/>
      <c r="BP414" s="15"/>
      <c r="BQ414" s="15"/>
      <c r="BR414" s="15"/>
      <c r="BS414" s="64"/>
      <c r="BT414" s="64"/>
      <c r="BU414" s="64"/>
      <c r="BV414" s="15"/>
      <c r="BW414" s="64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15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  <c r="EE414" s="68"/>
      <c r="EF414" s="68"/>
      <c r="EG414" s="68"/>
      <c r="EH414" s="68"/>
      <c r="EI414" s="68"/>
      <c r="EJ414" s="68"/>
      <c r="EK414" s="68"/>
      <c r="EL414" s="68"/>
      <c r="EM414" s="68"/>
      <c r="EN414" s="68"/>
      <c r="EO414" s="68"/>
      <c r="EP414" s="68"/>
      <c r="EQ414" s="65"/>
      <c r="ER414" s="6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" t="str">
        <f t="shared" si="42"/>
        <v/>
      </c>
      <c r="FI414" s="1">
        <f t="shared" si="43"/>
        <v>0</v>
      </c>
      <c r="FJ414" s="38"/>
      <c r="FL414" s="13"/>
    </row>
    <row r="415" spans="1:168" ht="21" hidden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63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61"/>
      <c r="BE415" s="61"/>
      <c r="BF415" s="15"/>
      <c r="BG415" s="15"/>
      <c r="BH415" s="15"/>
      <c r="BI415" s="15"/>
      <c r="BJ415" s="15"/>
      <c r="BK415" s="15"/>
      <c r="BL415" s="15"/>
      <c r="BM415" s="15"/>
      <c r="BN415" s="15"/>
      <c r="BO415" s="64"/>
      <c r="BP415" s="15"/>
      <c r="BQ415" s="15"/>
      <c r="BR415" s="15"/>
      <c r="BS415" s="64"/>
      <c r="BT415" s="64"/>
      <c r="BU415" s="64"/>
      <c r="BV415" s="15"/>
      <c r="BW415" s="64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15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  <c r="EE415" s="68"/>
      <c r="EF415" s="68"/>
      <c r="EG415" s="68"/>
      <c r="EH415" s="68"/>
      <c r="EI415" s="68"/>
      <c r="EJ415" s="68"/>
      <c r="EK415" s="68"/>
      <c r="EL415" s="68"/>
      <c r="EM415" s="68"/>
      <c r="EN415" s="68"/>
      <c r="EO415" s="68"/>
      <c r="EP415" s="68"/>
      <c r="EQ415" s="65"/>
      <c r="ER415" s="6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5"/>
      <c r="FG415" s="15"/>
      <c r="FH415" s="1" t="str">
        <f t="shared" si="42"/>
        <v/>
      </c>
      <c r="FI415" s="1">
        <f t="shared" si="43"/>
        <v>0</v>
      </c>
      <c r="FJ415" s="38"/>
      <c r="FL415" s="13"/>
    </row>
    <row r="416" spans="1:168" ht="21" hidden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63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61"/>
      <c r="BE416" s="61"/>
      <c r="BF416" s="15"/>
      <c r="BG416" s="15"/>
      <c r="BH416" s="15"/>
      <c r="BI416" s="15"/>
      <c r="BJ416" s="15"/>
      <c r="BK416" s="15"/>
      <c r="BL416" s="15"/>
      <c r="BM416" s="15"/>
      <c r="BN416" s="15"/>
      <c r="BO416" s="64"/>
      <c r="BP416" s="15"/>
      <c r="BQ416" s="15"/>
      <c r="BR416" s="15"/>
      <c r="BS416" s="64"/>
      <c r="BT416" s="64"/>
      <c r="BU416" s="64"/>
      <c r="BV416" s="15"/>
      <c r="BW416" s="64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15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  <c r="EE416" s="68"/>
      <c r="EF416" s="68"/>
      <c r="EG416" s="68"/>
      <c r="EH416" s="68"/>
      <c r="EI416" s="68"/>
      <c r="EJ416" s="68"/>
      <c r="EK416" s="68"/>
      <c r="EL416" s="68"/>
      <c r="EM416" s="68"/>
      <c r="EN416" s="68"/>
      <c r="EO416" s="68"/>
      <c r="EP416" s="68"/>
      <c r="EQ416" s="65"/>
      <c r="ER416" s="6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" t="str">
        <f t="shared" si="42"/>
        <v/>
      </c>
      <c r="FI416" s="1">
        <f t="shared" si="43"/>
        <v>0</v>
      </c>
      <c r="FJ416" s="38"/>
      <c r="FL416" s="13"/>
    </row>
    <row r="417" spans="1:168" ht="21" hidden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63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61"/>
      <c r="BE417" s="61"/>
      <c r="BF417" s="15"/>
      <c r="BG417" s="15"/>
      <c r="BH417" s="15"/>
      <c r="BI417" s="15"/>
      <c r="BJ417" s="15"/>
      <c r="BK417" s="15"/>
      <c r="BL417" s="15"/>
      <c r="BM417" s="15"/>
      <c r="BN417" s="15"/>
      <c r="BO417" s="64"/>
      <c r="BP417" s="15"/>
      <c r="BQ417" s="15"/>
      <c r="BR417" s="15"/>
      <c r="BS417" s="64"/>
      <c r="BT417" s="64"/>
      <c r="BU417" s="64"/>
      <c r="BV417" s="15"/>
      <c r="BW417" s="64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15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  <c r="EE417" s="68"/>
      <c r="EF417" s="68"/>
      <c r="EG417" s="68"/>
      <c r="EH417" s="68"/>
      <c r="EI417" s="68"/>
      <c r="EJ417" s="68"/>
      <c r="EK417" s="68"/>
      <c r="EL417" s="68"/>
      <c r="EM417" s="68"/>
      <c r="EN417" s="68"/>
      <c r="EO417" s="68"/>
      <c r="EP417" s="68"/>
      <c r="EQ417" s="65"/>
      <c r="ER417" s="6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" t="str">
        <f t="shared" si="42"/>
        <v/>
      </c>
      <c r="FI417" s="1">
        <f t="shared" si="43"/>
        <v>0</v>
      </c>
      <c r="FJ417" s="38"/>
      <c r="FL417" s="13"/>
    </row>
    <row r="418" spans="1:168" ht="21" hidden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63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61"/>
      <c r="BE418" s="61"/>
      <c r="BF418" s="15"/>
      <c r="BG418" s="15"/>
      <c r="BH418" s="15"/>
      <c r="BI418" s="15"/>
      <c r="BJ418" s="15"/>
      <c r="BK418" s="15"/>
      <c r="BL418" s="15"/>
      <c r="BM418" s="15"/>
      <c r="BN418" s="15"/>
      <c r="BO418" s="64"/>
      <c r="BP418" s="15"/>
      <c r="BQ418" s="15"/>
      <c r="BR418" s="15"/>
      <c r="BS418" s="64"/>
      <c r="BT418" s="64"/>
      <c r="BU418" s="64"/>
      <c r="BV418" s="15"/>
      <c r="BW418" s="64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15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  <c r="EE418" s="68"/>
      <c r="EF418" s="68"/>
      <c r="EG418" s="68"/>
      <c r="EH418" s="68"/>
      <c r="EI418" s="68"/>
      <c r="EJ418" s="68"/>
      <c r="EK418" s="68"/>
      <c r="EL418" s="68"/>
      <c r="EM418" s="68"/>
      <c r="EN418" s="68"/>
      <c r="EO418" s="68"/>
      <c r="EP418" s="68"/>
      <c r="EQ418" s="65"/>
      <c r="ER418" s="6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" t="str">
        <f t="shared" si="42"/>
        <v/>
      </c>
      <c r="FI418" s="1">
        <f t="shared" si="43"/>
        <v>0</v>
      </c>
      <c r="FJ418" s="38"/>
      <c r="FL418" s="13"/>
    </row>
    <row r="419" spans="1:168" ht="21" hidden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63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61"/>
      <c r="BE419" s="61"/>
      <c r="BF419" s="15"/>
      <c r="BG419" s="15"/>
      <c r="BH419" s="15"/>
      <c r="BI419" s="15"/>
      <c r="BJ419" s="15"/>
      <c r="BK419" s="15"/>
      <c r="BL419" s="15"/>
      <c r="BM419" s="15"/>
      <c r="BN419" s="15"/>
      <c r="BO419" s="64"/>
      <c r="BP419" s="15"/>
      <c r="BQ419" s="15"/>
      <c r="BR419" s="15"/>
      <c r="BS419" s="64"/>
      <c r="BT419" s="64"/>
      <c r="BU419" s="64"/>
      <c r="BV419" s="15"/>
      <c r="BW419" s="64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15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  <c r="EE419" s="68"/>
      <c r="EF419" s="68"/>
      <c r="EG419" s="68"/>
      <c r="EH419" s="68"/>
      <c r="EI419" s="68"/>
      <c r="EJ419" s="68"/>
      <c r="EK419" s="68"/>
      <c r="EL419" s="68"/>
      <c r="EM419" s="68"/>
      <c r="EN419" s="68"/>
      <c r="EO419" s="68"/>
      <c r="EP419" s="68"/>
      <c r="EQ419" s="65"/>
      <c r="ER419" s="6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5"/>
      <c r="FG419" s="15"/>
      <c r="FH419" s="1" t="str">
        <f t="shared" si="42"/>
        <v/>
      </c>
      <c r="FI419" s="1">
        <f t="shared" si="43"/>
        <v>0</v>
      </c>
      <c r="FJ419" s="38"/>
      <c r="FL419" s="13"/>
    </row>
    <row r="420" spans="1:168" ht="21" hidden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63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61"/>
      <c r="BE420" s="61"/>
      <c r="BF420" s="15"/>
      <c r="BG420" s="15"/>
      <c r="BH420" s="15"/>
      <c r="BI420" s="15"/>
      <c r="BJ420" s="15"/>
      <c r="BK420" s="15"/>
      <c r="BL420" s="15"/>
      <c r="BM420" s="15"/>
      <c r="BN420" s="15"/>
      <c r="BO420" s="64"/>
      <c r="BP420" s="15"/>
      <c r="BQ420" s="15"/>
      <c r="BR420" s="15"/>
      <c r="BS420" s="64"/>
      <c r="BT420" s="64"/>
      <c r="BU420" s="64"/>
      <c r="BV420" s="15"/>
      <c r="BW420" s="64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15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  <c r="EE420" s="68"/>
      <c r="EF420" s="68"/>
      <c r="EG420" s="68"/>
      <c r="EH420" s="68"/>
      <c r="EI420" s="68"/>
      <c r="EJ420" s="68"/>
      <c r="EK420" s="68"/>
      <c r="EL420" s="68"/>
      <c r="EM420" s="68"/>
      <c r="EN420" s="68"/>
      <c r="EO420" s="68"/>
      <c r="EP420" s="68"/>
      <c r="EQ420" s="65"/>
      <c r="ER420" s="6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" t="str">
        <f t="shared" si="42"/>
        <v/>
      </c>
      <c r="FI420" s="1">
        <f t="shared" si="43"/>
        <v>0</v>
      </c>
      <c r="FJ420" s="38"/>
      <c r="FL420" s="13"/>
    </row>
    <row r="421" spans="1:168" ht="21" hidden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63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61"/>
      <c r="BE421" s="61"/>
      <c r="BF421" s="15"/>
      <c r="BG421" s="15"/>
      <c r="BH421" s="15"/>
      <c r="BI421" s="15"/>
      <c r="BJ421" s="15"/>
      <c r="BK421" s="15"/>
      <c r="BL421" s="15"/>
      <c r="BM421" s="15"/>
      <c r="BN421" s="15"/>
      <c r="BO421" s="64"/>
      <c r="BP421" s="15"/>
      <c r="BQ421" s="15"/>
      <c r="BR421" s="15"/>
      <c r="BS421" s="64"/>
      <c r="BT421" s="64"/>
      <c r="BU421" s="64"/>
      <c r="BV421" s="15"/>
      <c r="BW421" s="64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15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  <c r="EE421" s="68"/>
      <c r="EF421" s="68"/>
      <c r="EG421" s="68"/>
      <c r="EH421" s="68"/>
      <c r="EI421" s="68"/>
      <c r="EJ421" s="68"/>
      <c r="EK421" s="68"/>
      <c r="EL421" s="68"/>
      <c r="EM421" s="68"/>
      <c r="EN421" s="68"/>
      <c r="EO421" s="68"/>
      <c r="EP421" s="68"/>
      <c r="EQ421" s="65"/>
      <c r="ER421" s="6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" t="str">
        <f t="shared" si="42"/>
        <v/>
      </c>
      <c r="FI421" s="1">
        <f t="shared" si="43"/>
        <v>0</v>
      </c>
      <c r="FJ421" s="38"/>
      <c r="FL421" s="13"/>
    </row>
    <row r="422" spans="1:168" ht="21" hidden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63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61"/>
      <c r="BE422" s="61"/>
      <c r="BF422" s="15"/>
      <c r="BG422" s="15"/>
      <c r="BH422" s="15"/>
      <c r="BI422" s="15"/>
      <c r="BJ422" s="15"/>
      <c r="BK422" s="15"/>
      <c r="BL422" s="15"/>
      <c r="BM422" s="15"/>
      <c r="BN422" s="15"/>
      <c r="BO422" s="64"/>
      <c r="BP422" s="15"/>
      <c r="BQ422" s="15"/>
      <c r="BR422" s="15"/>
      <c r="BS422" s="64"/>
      <c r="BT422" s="64"/>
      <c r="BU422" s="64"/>
      <c r="BV422" s="15"/>
      <c r="BW422" s="64"/>
      <c r="BX422" s="68"/>
      <c r="BY422" s="68"/>
      <c r="BZ422" s="68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15"/>
      <c r="CL422" s="68"/>
      <c r="CM422" s="68"/>
      <c r="CN422" s="68"/>
      <c r="CO422" s="68"/>
      <c r="CP422" s="68"/>
      <c r="CQ422" s="68"/>
      <c r="CR422" s="68"/>
      <c r="CS422" s="68"/>
      <c r="CT422" s="68"/>
      <c r="CU422" s="68"/>
      <c r="CV422" s="68"/>
      <c r="CW422" s="68"/>
      <c r="CX422" s="68"/>
      <c r="CY422" s="68"/>
      <c r="CZ422" s="68"/>
      <c r="DA422" s="68"/>
      <c r="DB422" s="68"/>
      <c r="DC422" s="68"/>
      <c r="DD422" s="68"/>
      <c r="DE422" s="68"/>
      <c r="DF422" s="68"/>
      <c r="DG422" s="68"/>
      <c r="DH422" s="68"/>
      <c r="DI422" s="68"/>
      <c r="DJ422" s="68"/>
      <c r="DK422" s="68"/>
      <c r="DL422" s="68"/>
      <c r="DM422" s="68"/>
      <c r="DN422" s="68"/>
      <c r="DO422" s="68"/>
      <c r="DP422" s="68"/>
      <c r="DQ422" s="68"/>
      <c r="DR422" s="68"/>
      <c r="DS422" s="68"/>
      <c r="DT422" s="68"/>
      <c r="DU422" s="68"/>
      <c r="DV422" s="68"/>
      <c r="DW422" s="68"/>
      <c r="DX422" s="68"/>
      <c r="DY422" s="68"/>
      <c r="DZ422" s="68"/>
      <c r="EA422" s="68"/>
      <c r="EB422" s="68"/>
      <c r="EC422" s="68"/>
      <c r="ED422" s="68"/>
      <c r="EE422" s="68"/>
      <c r="EF422" s="68"/>
      <c r="EG422" s="68"/>
      <c r="EH422" s="68"/>
      <c r="EI422" s="68"/>
      <c r="EJ422" s="68"/>
      <c r="EK422" s="68"/>
      <c r="EL422" s="68"/>
      <c r="EM422" s="68"/>
      <c r="EN422" s="68"/>
      <c r="EO422" s="68"/>
      <c r="EP422" s="68"/>
      <c r="EQ422" s="65"/>
      <c r="ER422" s="6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5"/>
      <c r="FD422" s="15"/>
      <c r="FE422" s="15"/>
      <c r="FF422" s="15"/>
      <c r="FG422" s="15"/>
      <c r="FH422" s="1" t="str">
        <f t="shared" si="42"/>
        <v/>
      </c>
      <c r="FI422" s="1">
        <f t="shared" si="43"/>
        <v>0</v>
      </c>
      <c r="FJ422" s="38"/>
      <c r="FL422" s="13"/>
    </row>
    <row r="423" spans="1:168" ht="21" hidden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63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61"/>
      <c r="BE423" s="61"/>
      <c r="BF423" s="15"/>
      <c r="BG423" s="15"/>
      <c r="BH423" s="15"/>
      <c r="BI423" s="15"/>
      <c r="BJ423" s="15"/>
      <c r="BK423" s="15"/>
      <c r="BL423" s="15"/>
      <c r="BM423" s="15"/>
      <c r="BN423" s="15"/>
      <c r="BO423" s="64"/>
      <c r="BP423" s="15"/>
      <c r="BQ423" s="15"/>
      <c r="BR423" s="15"/>
      <c r="BS423" s="64"/>
      <c r="BT423" s="64"/>
      <c r="BU423" s="64"/>
      <c r="BV423" s="15"/>
      <c r="BW423" s="64"/>
      <c r="BX423" s="68"/>
      <c r="BY423" s="68"/>
      <c r="BZ423" s="68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15"/>
      <c r="CL423" s="68"/>
      <c r="CM423" s="68"/>
      <c r="CN423" s="68"/>
      <c r="CO423" s="68"/>
      <c r="CP423" s="68"/>
      <c r="CQ423" s="68"/>
      <c r="CR423" s="68"/>
      <c r="CS423" s="68"/>
      <c r="CT423" s="68"/>
      <c r="CU423" s="68"/>
      <c r="CV423" s="68"/>
      <c r="CW423" s="68"/>
      <c r="CX423" s="68"/>
      <c r="CY423" s="68"/>
      <c r="CZ423" s="68"/>
      <c r="DA423" s="68"/>
      <c r="DB423" s="68"/>
      <c r="DC423" s="68"/>
      <c r="DD423" s="68"/>
      <c r="DE423" s="68"/>
      <c r="DF423" s="68"/>
      <c r="DG423" s="68"/>
      <c r="DH423" s="68"/>
      <c r="DI423" s="68"/>
      <c r="DJ423" s="68"/>
      <c r="DK423" s="68"/>
      <c r="DL423" s="68"/>
      <c r="DM423" s="68"/>
      <c r="DN423" s="68"/>
      <c r="DO423" s="68"/>
      <c r="DP423" s="68"/>
      <c r="DQ423" s="68"/>
      <c r="DR423" s="68"/>
      <c r="DS423" s="68"/>
      <c r="DT423" s="68"/>
      <c r="DU423" s="68"/>
      <c r="DV423" s="68"/>
      <c r="DW423" s="68"/>
      <c r="DX423" s="68"/>
      <c r="DY423" s="68"/>
      <c r="DZ423" s="68"/>
      <c r="EA423" s="68"/>
      <c r="EB423" s="68"/>
      <c r="EC423" s="68"/>
      <c r="ED423" s="68"/>
      <c r="EE423" s="68"/>
      <c r="EF423" s="68"/>
      <c r="EG423" s="68"/>
      <c r="EH423" s="68"/>
      <c r="EI423" s="68"/>
      <c r="EJ423" s="68"/>
      <c r="EK423" s="68"/>
      <c r="EL423" s="68"/>
      <c r="EM423" s="68"/>
      <c r="EN423" s="68"/>
      <c r="EO423" s="68"/>
      <c r="EP423" s="68"/>
      <c r="EQ423" s="65"/>
      <c r="ER423" s="6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5"/>
      <c r="FE423" s="15"/>
      <c r="FF423" s="15"/>
      <c r="FG423" s="15"/>
      <c r="FH423" s="1" t="str">
        <f t="shared" si="42"/>
        <v/>
      </c>
      <c r="FI423" s="1">
        <f t="shared" si="43"/>
        <v>0</v>
      </c>
      <c r="FJ423" s="38"/>
      <c r="FL423" s="13"/>
    </row>
    <row r="424" spans="1:168" ht="21" hidden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63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61"/>
      <c r="BE424" s="61"/>
      <c r="BF424" s="15"/>
      <c r="BG424" s="15"/>
      <c r="BH424" s="15"/>
      <c r="BI424" s="15"/>
      <c r="BJ424" s="15"/>
      <c r="BK424" s="15"/>
      <c r="BL424" s="15"/>
      <c r="BM424" s="15"/>
      <c r="BN424" s="15"/>
      <c r="BO424" s="64"/>
      <c r="BP424" s="15"/>
      <c r="BQ424" s="15"/>
      <c r="BR424" s="15"/>
      <c r="BS424" s="64"/>
      <c r="BT424" s="64"/>
      <c r="BU424" s="64"/>
      <c r="BV424" s="15"/>
      <c r="BW424" s="64"/>
      <c r="BX424" s="68"/>
      <c r="BY424" s="68"/>
      <c r="BZ424" s="68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15"/>
      <c r="CL424" s="68"/>
      <c r="CM424" s="68"/>
      <c r="CN424" s="68"/>
      <c r="CO424" s="68"/>
      <c r="CP424" s="68"/>
      <c r="CQ424" s="68"/>
      <c r="CR424" s="68"/>
      <c r="CS424" s="68"/>
      <c r="CT424" s="68"/>
      <c r="CU424" s="68"/>
      <c r="CV424" s="68"/>
      <c r="CW424" s="68"/>
      <c r="CX424" s="68"/>
      <c r="CY424" s="68"/>
      <c r="CZ424" s="68"/>
      <c r="DA424" s="68"/>
      <c r="DB424" s="68"/>
      <c r="DC424" s="68"/>
      <c r="DD424" s="68"/>
      <c r="DE424" s="68"/>
      <c r="DF424" s="68"/>
      <c r="DG424" s="68"/>
      <c r="DH424" s="68"/>
      <c r="DI424" s="68"/>
      <c r="DJ424" s="68"/>
      <c r="DK424" s="68"/>
      <c r="DL424" s="68"/>
      <c r="DM424" s="68"/>
      <c r="DN424" s="68"/>
      <c r="DO424" s="68"/>
      <c r="DP424" s="68"/>
      <c r="DQ424" s="68"/>
      <c r="DR424" s="68"/>
      <c r="DS424" s="68"/>
      <c r="DT424" s="68"/>
      <c r="DU424" s="68"/>
      <c r="DV424" s="68"/>
      <c r="DW424" s="68"/>
      <c r="DX424" s="68"/>
      <c r="DY424" s="68"/>
      <c r="DZ424" s="68"/>
      <c r="EA424" s="68"/>
      <c r="EB424" s="68"/>
      <c r="EC424" s="68"/>
      <c r="ED424" s="68"/>
      <c r="EE424" s="68"/>
      <c r="EF424" s="68"/>
      <c r="EG424" s="68"/>
      <c r="EH424" s="68"/>
      <c r="EI424" s="68"/>
      <c r="EJ424" s="68"/>
      <c r="EK424" s="68"/>
      <c r="EL424" s="68"/>
      <c r="EM424" s="68"/>
      <c r="EN424" s="68"/>
      <c r="EO424" s="68"/>
      <c r="EP424" s="68"/>
      <c r="EQ424" s="65"/>
      <c r="ER424" s="6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5"/>
      <c r="FG424" s="15"/>
      <c r="FH424" s="1" t="str">
        <f t="shared" si="42"/>
        <v/>
      </c>
      <c r="FI424" s="1">
        <f t="shared" si="43"/>
        <v>0</v>
      </c>
      <c r="FJ424" s="38"/>
      <c r="FL424" s="13"/>
    </row>
    <row r="425" spans="1:168" ht="21" hidden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63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61"/>
      <c r="BE425" s="61"/>
      <c r="BF425" s="15"/>
      <c r="BG425" s="15"/>
      <c r="BH425" s="15"/>
      <c r="BI425" s="15"/>
      <c r="BJ425" s="15"/>
      <c r="BK425" s="15"/>
      <c r="BL425" s="15"/>
      <c r="BM425" s="15"/>
      <c r="BN425" s="15"/>
      <c r="BO425" s="64"/>
      <c r="BP425" s="15"/>
      <c r="BQ425" s="15"/>
      <c r="BR425" s="15"/>
      <c r="BS425" s="64"/>
      <c r="BT425" s="64"/>
      <c r="BU425" s="64"/>
      <c r="BV425" s="15"/>
      <c r="BW425" s="64"/>
      <c r="BX425" s="68"/>
      <c r="BY425" s="68"/>
      <c r="BZ425" s="68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15"/>
      <c r="CL425" s="68"/>
      <c r="CM425" s="68"/>
      <c r="CN425" s="68"/>
      <c r="CO425" s="68"/>
      <c r="CP425" s="68"/>
      <c r="CQ425" s="68"/>
      <c r="CR425" s="68"/>
      <c r="CS425" s="68"/>
      <c r="CT425" s="68"/>
      <c r="CU425" s="68"/>
      <c r="CV425" s="68"/>
      <c r="CW425" s="68"/>
      <c r="CX425" s="68"/>
      <c r="CY425" s="68"/>
      <c r="CZ425" s="68"/>
      <c r="DA425" s="68"/>
      <c r="DB425" s="68"/>
      <c r="DC425" s="68"/>
      <c r="DD425" s="68"/>
      <c r="DE425" s="68"/>
      <c r="DF425" s="68"/>
      <c r="DG425" s="68"/>
      <c r="DH425" s="68"/>
      <c r="DI425" s="68"/>
      <c r="DJ425" s="68"/>
      <c r="DK425" s="68"/>
      <c r="DL425" s="68"/>
      <c r="DM425" s="68"/>
      <c r="DN425" s="68"/>
      <c r="DO425" s="68"/>
      <c r="DP425" s="68"/>
      <c r="DQ425" s="68"/>
      <c r="DR425" s="68"/>
      <c r="DS425" s="68"/>
      <c r="DT425" s="68"/>
      <c r="DU425" s="68"/>
      <c r="DV425" s="68"/>
      <c r="DW425" s="68"/>
      <c r="DX425" s="68"/>
      <c r="DY425" s="68"/>
      <c r="DZ425" s="68"/>
      <c r="EA425" s="68"/>
      <c r="EB425" s="68"/>
      <c r="EC425" s="68"/>
      <c r="ED425" s="68"/>
      <c r="EE425" s="68"/>
      <c r="EF425" s="68"/>
      <c r="EG425" s="68"/>
      <c r="EH425" s="68"/>
      <c r="EI425" s="68"/>
      <c r="EJ425" s="68"/>
      <c r="EK425" s="68"/>
      <c r="EL425" s="68"/>
      <c r="EM425" s="68"/>
      <c r="EN425" s="68"/>
      <c r="EO425" s="68"/>
      <c r="EP425" s="68"/>
      <c r="EQ425" s="65"/>
      <c r="ER425" s="6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" t="str">
        <f t="shared" si="42"/>
        <v/>
      </c>
      <c r="FI425" s="1">
        <f t="shared" si="43"/>
        <v>0</v>
      </c>
      <c r="FJ425" s="38"/>
      <c r="FL425" s="13"/>
    </row>
    <row r="426" spans="1:168" ht="21" hidden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63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61"/>
      <c r="BE426" s="61"/>
      <c r="BF426" s="15"/>
      <c r="BG426" s="15"/>
      <c r="BH426" s="15"/>
      <c r="BI426" s="15"/>
      <c r="BJ426" s="15"/>
      <c r="BK426" s="15"/>
      <c r="BL426" s="15"/>
      <c r="BM426" s="15"/>
      <c r="BN426" s="15"/>
      <c r="BO426" s="64"/>
      <c r="BP426" s="15"/>
      <c r="BQ426" s="15"/>
      <c r="BR426" s="15"/>
      <c r="BS426" s="64"/>
      <c r="BT426" s="64"/>
      <c r="BU426" s="64"/>
      <c r="BV426" s="15"/>
      <c r="BW426" s="64"/>
      <c r="BX426" s="68"/>
      <c r="BY426" s="68"/>
      <c r="BZ426" s="68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15"/>
      <c r="CL426" s="68"/>
      <c r="CM426" s="68"/>
      <c r="CN426" s="68"/>
      <c r="CO426" s="68"/>
      <c r="CP426" s="68"/>
      <c r="CQ426" s="68"/>
      <c r="CR426" s="68"/>
      <c r="CS426" s="68"/>
      <c r="CT426" s="68"/>
      <c r="CU426" s="68"/>
      <c r="CV426" s="68"/>
      <c r="CW426" s="68"/>
      <c r="CX426" s="68"/>
      <c r="CY426" s="68"/>
      <c r="CZ426" s="68"/>
      <c r="DA426" s="68"/>
      <c r="DB426" s="68"/>
      <c r="DC426" s="68"/>
      <c r="DD426" s="68"/>
      <c r="DE426" s="68"/>
      <c r="DF426" s="68"/>
      <c r="DG426" s="68"/>
      <c r="DH426" s="68"/>
      <c r="DI426" s="68"/>
      <c r="DJ426" s="68"/>
      <c r="DK426" s="68"/>
      <c r="DL426" s="68"/>
      <c r="DM426" s="68"/>
      <c r="DN426" s="68"/>
      <c r="DO426" s="68"/>
      <c r="DP426" s="68"/>
      <c r="DQ426" s="68"/>
      <c r="DR426" s="68"/>
      <c r="DS426" s="68"/>
      <c r="DT426" s="68"/>
      <c r="DU426" s="68"/>
      <c r="DV426" s="68"/>
      <c r="DW426" s="68"/>
      <c r="DX426" s="68"/>
      <c r="DY426" s="68"/>
      <c r="DZ426" s="68"/>
      <c r="EA426" s="68"/>
      <c r="EB426" s="68"/>
      <c r="EC426" s="68"/>
      <c r="ED426" s="68"/>
      <c r="EE426" s="68"/>
      <c r="EF426" s="68"/>
      <c r="EG426" s="68"/>
      <c r="EH426" s="68"/>
      <c r="EI426" s="68"/>
      <c r="EJ426" s="68"/>
      <c r="EK426" s="68"/>
      <c r="EL426" s="68"/>
      <c r="EM426" s="68"/>
      <c r="EN426" s="68"/>
      <c r="EO426" s="68"/>
      <c r="EP426" s="68"/>
      <c r="EQ426" s="65"/>
      <c r="ER426" s="6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5"/>
      <c r="FG426" s="15"/>
      <c r="FH426" s="1" t="str">
        <f t="shared" si="42"/>
        <v/>
      </c>
      <c r="FI426" s="1">
        <f t="shared" si="43"/>
        <v>0</v>
      </c>
      <c r="FJ426" s="38"/>
      <c r="FL426" s="13"/>
    </row>
    <row r="427" spans="1:168" ht="21" hidden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63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61"/>
      <c r="BE427" s="61"/>
      <c r="BF427" s="15"/>
      <c r="BG427" s="15"/>
      <c r="BH427" s="15"/>
      <c r="BI427" s="15"/>
      <c r="BJ427" s="15"/>
      <c r="BK427" s="15"/>
      <c r="BL427" s="15"/>
      <c r="BM427" s="15"/>
      <c r="BN427" s="15"/>
      <c r="BO427" s="64"/>
      <c r="BP427" s="15"/>
      <c r="BQ427" s="15"/>
      <c r="BR427" s="15"/>
      <c r="BS427" s="64"/>
      <c r="BT427" s="64"/>
      <c r="BU427" s="64"/>
      <c r="BV427" s="15"/>
      <c r="BW427" s="64"/>
      <c r="BX427" s="68"/>
      <c r="BY427" s="68"/>
      <c r="BZ427" s="68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15"/>
      <c r="CL427" s="68"/>
      <c r="CM427" s="68"/>
      <c r="CN427" s="68"/>
      <c r="CO427" s="68"/>
      <c r="CP427" s="68"/>
      <c r="CQ427" s="68"/>
      <c r="CR427" s="68"/>
      <c r="CS427" s="68"/>
      <c r="CT427" s="68"/>
      <c r="CU427" s="68"/>
      <c r="CV427" s="68"/>
      <c r="CW427" s="68"/>
      <c r="CX427" s="68"/>
      <c r="CY427" s="68"/>
      <c r="CZ427" s="68"/>
      <c r="DA427" s="68"/>
      <c r="DB427" s="68"/>
      <c r="DC427" s="68"/>
      <c r="DD427" s="68"/>
      <c r="DE427" s="68"/>
      <c r="DF427" s="68"/>
      <c r="DG427" s="68"/>
      <c r="DH427" s="68"/>
      <c r="DI427" s="68"/>
      <c r="DJ427" s="68"/>
      <c r="DK427" s="68"/>
      <c r="DL427" s="68"/>
      <c r="DM427" s="68"/>
      <c r="DN427" s="68"/>
      <c r="DO427" s="68"/>
      <c r="DP427" s="68"/>
      <c r="DQ427" s="68"/>
      <c r="DR427" s="68"/>
      <c r="DS427" s="68"/>
      <c r="DT427" s="68"/>
      <c r="DU427" s="68"/>
      <c r="DV427" s="68"/>
      <c r="DW427" s="68"/>
      <c r="DX427" s="68"/>
      <c r="DY427" s="68"/>
      <c r="DZ427" s="68"/>
      <c r="EA427" s="68"/>
      <c r="EB427" s="68"/>
      <c r="EC427" s="68"/>
      <c r="ED427" s="68"/>
      <c r="EE427" s="68"/>
      <c r="EF427" s="68"/>
      <c r="EG427" s="68"/>
      <c r="EH427" s="68"/>
      <c r="EI427" s="68"/>
      <c r="EJ427" s="68"/>
      <c r="EK427" s="68"/>
      <c r="EL427" s="68"/>
      <c r="EM427" s="68"/>
      <c r="EN427" s="68"/>
      <c r="EO427" s="68"/>
      <c r="EP427" s="68"/>
      <c r="EQ427" s="65"/>
      <c r="ER427" s="6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" t="str">
        <f t="shared" si="42"/>
        <v/>
      </c>
      <c r="FI427" s="1">
        <f t="shared" si="43"/>
        <v>0</v>
      </c>
      <c r="FJ427" s="38"/>
      <c r="FL427" s="13"/>
    </row>
    <row r="428" spans="1:168" ht="21" hidden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63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61"/>
      <c r="BE428" s="61"/>
      <c r="BF428" s="15"/>
      <c r="BG428" s="15"/>
      <c r="BH428" s="15"/>
      <c r="BI428" s="15"/>
      <c r="BJ428" s="15"/>
      <c r="BK428" s="15"/>
      <c r="BL428" s="15"/>
      <c r="BM428" s="15"/>
      <c r="BN428" s="15"/>
      <c r="BO428" s="64"/>
      <c r="BP428" s="15"/>
      <c r="BQ428" s="15"/>
      <c r="BR428" s="15"/>
      <c r="BS428" s="64"/>
      <c r="BT428" s="64"/>
      <c r="BU428" s="64"/>
      <c r="BV428" s="15"/>
      <c r="BW428" s="64"/>
      <c r="BX428" s="68"/>
      <c r="BY428" s="68"/>
      <c r="BZ428" s="68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15"/>
      <c r="CL428" s="68"/>
      <c r="CM428" s="68"/>
      <c r="CN428" s="68"/>
      <c r="CO428" s="68"/>
      <c r="CP428" s="68"/>
      <c r="CQ428" s="68"/>
      <c r="CR428" s="68"/>
      <c r="CS428" s="68"/>
      <c r="CT428" s="68"/>
      <c r="CU428" s="68"/>
      <c r="CV428" s="68"/>
      <c r="CW428" s="68"/>
      <c r="CX428" s="68"/>
      <c r="CY428" s="68"/>
      <c r="CZ428" s="68"/>
      <c r="DA428" s="68"/>
      <c r="DB428" s="68"/>
      <c r="DC428" s="68"/>
      <c r="DD428" s="68"/>
      <c r="DE428" s="68"/>
      <c r="DF428" s="68"/>
      <c r="DG428" s="68"/>
      <c r="DH428" s="68"/>
      <c r="DI428" s="68"/>
      <c r="DJ428" s="68"/>
      <c r="DK428" s="68"/>
      <c r="DL428" s="68"/>
      <c r="DM428" s="68"/>
      <c r="DN428" s="68"/>
      <c r="DO428" s="68"/>
      <c r="DP428" s="68"/>
      <c r="DQ428" s="68"/>
      <c r="DR428" s="68"/>
      <c r="DS428" s="68"/>
      <c r="DT428" s="68"/>
      <c r="DU428" s="68"/>
      <c r="DV428" s="68"/>
      <c r="DW428" s="68"/>
      <c r="DX428" s="68"/>
      <c r="DY428" s="68"/>
      <c r="DZ428" s="68"/>
      <c r="EA428" s="68"/>
      <c r="EB428" s="68"/>
      <c r="EC428" s="68"/>
      <c r="ED428" s="68"/>
      <c r="EE428" s="68"/>
      <c r="EF428" s="68"/>
      <c r="EG428" s="68"/>
      <c r="EH428" s="68"/>
      <c r="EI428" s="68"/>
      <c r="EJ428" s="68"/>
      <c r="EK428" s="68"/>
      <c r="EL428" s="68"/>
      <c r="EM428" s="68"/>
      <c r="EN428" s="68"/>
      <c r="EO428" s="68"/>
      <c r="EP428" s="68"/>
      <c r="EQ428" s="65"/>
      <c r="ER428" s="6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" t="str">
        <f t="shared" si="42"/>
        <v/>
      </c>
      <c r="FI428" s="1">
        <f t="shared" si="43"/>
        <v>0</v>
      </c>
      <c r="FJ428" s="38"/>
      <c r="FL428" s="13"/>
    </row>
    <row r="429" spans="1:168" ht="21" hidden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63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61"/>
      <c r="BE429" s="61"/>
      <c r="BF429" s="15"/>
      <c r="BG429" s="15"/>
      <c r="BH429" s="15"/>
      <c r="BI429" s="15"/>
      <c r="BJ429" s="15"/>
      <c r="BK429" s="15"/>
      <c r="BL429" s="15"/>
      <c r="BM429" s="15"/>
      <c r="BN429" s="15"/>
      <c r="BO429" s="64"/>
      <c r="BP429" s="15"/>
      <c r="BQ429" s="15"/>
      <c r="BR429" s="15"/>
      <c r="BS429" s="64"/>
      <c r="BT429" s="64"/>
      <c r="BU429" s="64"/>
      <c r="BV429" s="15"/>
      <c r="BW429" s="64"/>
      <c r="BX429" s="68"/>
      <c r="BY429" s="68"/>
      <c r="BZ429" s="68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15"/>
      <c r="CL429" s="68"/>
      <c r="CM429" s="68"/>
      <c r="CN429" s="68"/>
      <c r="CO429" s="68"/>
      <c r="CP429" s="68"/>
      <c r="CQ429" s="68"/>
      <c r="CR429" s="68"/>
      <c r="CS429" s="68"/>
      <c r="CT429" s="68"/>
      <c r="CU429" s="68"/>
      <c r="CV429" s="68"/>
      <c r="CW429" s="68"/>
      <c r="CX429" s="68"/>
      <c r="CY429" s="68"/>
      <c r="CZ429" s="68"/>
      <c r="DA429" s="68"/>
      <c r="DB429" s="68"/>
      <c r="DC429" s="68"/>
      <c r="DD429" s="68"/>
      <c r="DE429" s="68"/>
      <c r="DF429" s="68"/>
      <c r="DG429" s="68"/>
      <c r="DH429" s="68"/>
      <c r="DI429" s="68"/>
      <c r="DJ429" s="68"/>
      <c r="DK429" s="68"/>
      <c r="DL429" s="68"/>
      <c r="DM429" s="68"/>
      <c r="DN429" s="68"/>
      <c r="DO429" s="68"/>
      <c r="DP429" s="68"/>
      <c r="DQ429" s="68"/>
      <c r="DR429" s="68"/>
      <c r="DS429" s="68"/>
      <c r="DT429" s="68"/>
      <c r="DU429" s="68"/>
      <c r="DV429" s="68"/>
      <c r="DW429" s="68"/>
      <c r="DX429" s="68"/>
      <c r="DY429" s="68"/>
      <c r="DZ429" s="68"/>
      <c r="EA429" s="68"/>
      <c r="EB429" s="68"/>
      <c r="EC429" s="68"/>
      <c r="ED429" s="68"/>
      <c r="EE429" s="68"/>
      <c r="EF429" s="68"/>
      <c r="EG429" s="68"/>
      <c r="EH429" s="68"/>
      <c r="EI429" s="68"/>
      <c r="EJ429" s="68"/>
      <c r="EK429" s="68"/>
      <c r="EL429" s="68"/>
      <c r="EM429" s="68"/>
      <c r="EN429" s="68"/>
      <c r="EO429" s="68"/>
      <c r="EP429" s="68"/>
      <c r="EQ429" s="65"/>
      <c r="ER429" s="6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5"/>
      <c r="FG429" s="15"/>
      <c r="FH429" s="1" t="str">
        <f t="shared" si="42"/>
        <v/>
      </c>
      <c r="FI429" s="1">
        <f t="shared" si="43"/>
        <v>0</v>
      </c>
      <c r="FJ429" s="38"/>
      <c r="FL429" s="13"/>
    </row>
    <row r="430" spans="1:168" ht="21" hidden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63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61"/>
      <c r="BE430" s="61"/>
      <c r="BF430" s="15"/>
      <c r="BG430" s="15"/>
      <c r="BH430" s="15"/>
      <c r="BI430" s="15"/>
      <c r="BJ430" s="15"/>
      <c r="BK430" s="15"/>
      <c r="BL430" s="15"/>
      <c r="BM430" s="15"/>
      <c r="BN430" s="15"/>
      <c r="BO430" s="64"/>
      <c r="BP430" s="15"/>
      <c r="BQ430" s="15"/>
      <c r="BR430" s="15"/>
      <c r="BS430" s="64"/>
      <c r="BT430" s="64"/>
      <c r="BU430" s="64"/>
      <c r="BV430" s="15"/>
      <c r="BW430" s="64"/>
      <c r="BX430" s="68"/>
      <c r="BY430" s="68"/>
      <c r="BZ430" s="68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15"/>
      <c r="CL430" s="68"/>
      <c r="CM430" s="68"/>
      <c r="CN430" s="68"/>
      <c r="CO430" s="68"/>
      <c r="CP430" s="68"/>
      <c r="CQ430" s="68"/>
      <c r="CR430" s="68"/>
      <c r="CS430" s="68"/>
      <c r="CT430" s="68"/>
      <c r="CU430" s="68"/>
      <c r="CV430" s="68"/>
      <c r="CW430" s="68"/>
      <c r="CX430" s="68"/>
      <c r="CY430" s="68"/>
      <c r="CZ430" s="68"/>
      <c r="DA430" s="68"/>
      <c r="DB430" s="68"/>
      <c r="DC430" s="68"/>
      <c r="DD430" s="68"/>
      <c r="DE430" s="68"/>
      <c r="DF430" s="68"/>
      <c r="DG430" s="68"/>
      <c r="DH430" s="68"/>
      <c r="DI430" s="68"/>
      <c r="DJ430" s="68"/>
      <c r="DK430" s="68"/>
      <c r="DL430" s="68"/>
      <c r="DM430" s="68"/>
      <c r="DN430" s="68"/>
      <c r="DO430" s="68"/>
      <c r="DP430" s="68"/>
      <c r="DQ430" s="68"/>
      <c r="DR430" s="68"/>
      <c r="DS430" s="68"/>
      <c r="DT430" s="68"/>
      <c r="DU430" s="68"/>
      <c r="DV430" s="68"/>
      <c r="DW430" s="68"/>
      <c r="DX430" s="68"/>
      <c r="DY430" s="68"/>
      <c r="DZ430" s="68"/>
      <c r="EA430" s="68"/>
      <c r="EB430" s="68"/>
      <c r="EC430" s="68"/>
      <c r="ED430" s="68"/>
      <c r="EE430" s="68"/>
      <c r="EF430" s="68"/>
      <c r="EG430" s="68"/>
      <c r="EH430" s="68"/>
      <c r="EI430" s="68"/>
      <c r="EJ430" s="68"/>
      <c r="EK430" s="68"/>
      <c r="EL430" s="68"/>
      <c r="EM430" s="68"/>
      <c r="EN430" s="68"/>
      <c r="EO430" s="68"/>
      <c r="EP430" s="68"/>
      <c r="EQ430" s="65"/>
      <c r="ER430" s="6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" t="str">
        <f t="shared" si="42"/>
        <v/>
      </c>
      <c r="FI430" s="1">
        <f t="shared" si="43"/>
        <v>0</v>
      </c>
      <c r="FJ430" s="38"/>
      <c r="FL430" s="13"/>
    </row>
    <row r="431" spans="1:168" ht="21" hidden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63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61"/>
      <c r="BE431" s="61"/>
      <c r="BF431" s="15"/>
      <c r="BG431" s="15"/>
      <c r="BH431" s="15"/>
      <c r="BI431" s="15"/>
      <c r="BJ431" s="15"/>
      <c r="BK431" s="15"/>
      <c r="BL431" s="15"/>
      <c r="BM431" s="15"/>
      <c r="BN431" s="15"/>
      <c r="BO431" s="64"/>
      <c r="BP431" s="15"/>
      <c r="BQ431" s="15"/>
      <c r="BR431" s="15"/>
      <c r="BS431" s="64"/>
      <c r="BT431" s="64"/>
      <c r="BU431" s="64"/>
      <c r="BV431" s="15"/>
      <c r="BW431" s="64"/>
      <c r="BX431" s="68"/>
      <c r="BY431" s="68"/>
      <c r="BZ431" s="68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15"/>
      <c r="CL431" s="68"/>
      <c r="CM431" s="68"/>
      <c r="CN431" s="68"/>
      <c r="CO431" s="68"/>
      <c r="CP431" s="68"/>
      <c r="CQ431" s="68"/>
      <c r="CR431" s="68"/>
      <c r="CS431" s="68"/>
      <c r="CT431" s="68"/>
      <c r="CU431" s="68"/>
      <c r="CV431" s="68"/>
      <c r="CW431" s="68"/>
      <c r="CX431" s="68"/>
      <c r="CY431" s="68"/>
      <c r="CZ431" s="68"/>
      <c r="DA431" s="68"/>
      <c r="DB431" s="68"/>
      <c r="DC431" s="68"/>
      <c r="DD431" s="68"/>
      <c r="DE431" s="68"/>
      <c r="DF431" s="68"/>
      <c r="DG431" s="68"/>
      <c r="DH431" s="68"/>
      <c r="DI431" s="68"/>
      <c r="DJ431" s="68"/>
      <c r="DK431" s="68"/>
      <c r="DL431" s="68"/>
      <c r="DM431" s="68"/>
      <c r="DN431" s="68"/>
      <c r="DO431" s="68"/>
      <c r="DP431" s="68"/>
      <c r="DQ431" s="68"/>
      <c r="DR431" s="68"/>
      <c r="DS431" s="68"/>
      <c r="DT431" s="68"/>
      <c r="DU431" s="68"/>
      <c r="DV431" s="68"/>
      <c r="DW431" s="68"/>
      <c r="DX431" s="68"/>
      <c r="DY431" s="68"/>
      <c r="DZ431" s="68"/>
      <c r="EA431" s="68"/>
      <c r="EB431" s="68"/>
      <c r="EC431" s="68"/>
      <c r="ED431" s="68"/>
      <c r="EE431" s="68"/>
      <c r="EF431" s="68"/>
      <c r="EG431" s="68"/>
      <c r="EH431" s="68"/>
      <c r="EI431" s="68"/>
      <c r="EJ431" s="68"/>
      <c r="EK431" s="68"/>
      <c r="EL431" s="68"/>
      <c r="EM431" s="68"/>
      <c r="EN431" s="68"/>
      <c r="EO431" s="68"/>
      <c r="EP431" s="68"/>
      <c r="EQ431" s="65"/>
      <c r="ER431" s="6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5"/>
      <c r="FG431" s="15"/>
      <c r="FH431" s="1" t="str">
        <f t="shared" si="42"/>
        <v/>
      </c>
      <c r="FI431" s="1">
        <f t="shared" si="43"/>
        <v>0</v>
      </c>
      <c r="FJ431" s="38"/>
      <c r="FL431" s="13"/>
    </row>
    <row r="432" spans="1:168" ht="21" hidden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63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61"/>
      <c r="BE432" s="61"/>
      <c r="BF432" s="15"/>
      <c r="BG432" s="15"/>
      <c r="BH432" s="15"/>
      <c r="BI432" s="15"/>
      <c r="BJ432" s="15"/>
      <c r="BK432" s="15"/>
      <c r="BL432" s="15"/>
      <c r="BM432" s="15"/>
      <c r="BN432" s="15"/>
      <c r="BO432" s="64"/>
      <c r="BP432" s="15"/>
      <c r="BQ432" s="15"/>
      <c r="BR432" s="15"/>
      <c r="BS432" s="64"/>
      <c r="BT432" s="64"/>
      <c r="BU432" s="64"/>
      <c r="BV432" s="15"/>
      <c r="BW432" s="64"/>
      <c r="BX432" s="68"/>
      <c r="BY432" s="68"/>
      <c r="BZ432" s="68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15"/>
      <c r="CL432" s="68"/>
      <c r="CM432" s="68"/>
      <c r="CN432" s="68"/>
      <c r="CO432" s="68"/>
      <c r="CP432" s="68"/>
      <c r="CQ432" s="68"/>
      <c r="CR432" s="68"/>
      <c r="CS432" s="68"/>
      <c r="CT432" s="68"/>
      <c r="CU432" s="68"/>
      <c r="CV432" s="68"/>
      <c r="CW432" s="68"/>
      <c r="CX432" s="68"/>
      <c r="CY432" s="68"/>
      <c r="CZ432" s="68"/>
      <c r="DA432" s="68"/>
      <c r="DB432" s="68"/>
      <c r="DC432" s="68"/>
      <c r="DD432" s="68"/>
      <c r="DE432" s="68"/>
      <c r="DF432" s="68"/>
      <c r="DG432" s="68"/>
      <c r="DH432" s="68"/>
      <c r="DI432" s="68"/>
      <c r="DJ432" s="68"/>
      <c r="DK432" s="68"/>
      <c r="DL432" s="68"/>
      <c r="DM432" s="68"/>
      <c r="DN432" s="68"/>
      <c r="DO432" s="68"/>
      <c r="DP432" s="68"/>
      <c r="DQ432" s="68"/>
      <c r="DR432" s="68"/>
      <c r="DS432" s="68"/>
      <c r="DT432" s="68"/>
      <c r="DU432" s="68"/>
      <c r="DV432" s="68"/>
      <c r="DW432" s="68"/>
      <c r="DX432" s="68"/>
      <c r="DY432" s="68"/>
      <c r="DZ432" s="68"/>
      <c r="EA432" s="68"/>
      <c r="EB432" s="68"/>
      <c r="EC432" s="68"/>
      <c r="ED432" s="68"/>
      <c r="EE432" s="68"/>
      <c r="EF432" s="68"/>
      <c r="EG432" s="68"/>
      <c r="EH432" s="68"/>
      <c r="EI432" s="68"/>
      <c r="EJ432" s="68"/>
      <c r="EK432" s="68"/>
      <c r="EL432" s="68"/>
      <c r="EM432" s="68"/>
      <c r="EN432" s="68"/>
      <c r="EO432" s="68"/>
      <c r="EP432" s="68"/>
      <c r="EQ432" s="65"/>
      <c r="ER432" s="6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" t="str">
        <f t="shared" si="42"/>
        <v/>
      </c>
      <c r="FI432" s="1">
        <f t="shared" si="43"/>
        <v>0</v>
      </c>
      <c r="FJ432" s="38"/>
      <c r="FL432" s="13"/>
    </row>
    <row r="433" spans="1:168" ht="21" hidden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63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61"/>
      <c r="BE433" s="61"/>
      <c r="BF433" s="15"/>
      <c r="BG433" s="15"/>
      <c r="BH433" s="15"/>
      <c r="BI433" s="15"/>
      <c r="BJ433" s="15"/>
      <c r="BK433" s="15"/>
      <c r="BL433" s="15"/>
      <c r="BM433" s="15"/>
      <c r="BN433" s="15"/>
      <c r="BO433" s="64"/>
      <c r="BP433" s="15"/>
      <c r="BQ433" s="15"/>
      <c r="BR433" s="15"/>
      <c r="BS433" s="64"/>
      <c r="BT433" s="64"/>
      <c r="BU433" s="64"/>
      <c r="BV433" s="15"/>
      <c r="BW433" s="64"/>
      <c r="BX433" s="68"/>
      <c r="BY433" s="68"/>
      <c r="BZ433" s="68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15"/>
      <c r="CL433" s="68"/>
      <c r="CM433" s="68"/>
      <c r="CN433" s="68"/>
      <c r="CO433" s="68"/>
      <c r="CP433" s="68"/>
      <c r="CQ433" s="68"/>
      <c r="CR433" s="68"/>
      <c r="CS433" s="68"/>
      <c r="CT433" s="68"/>
      <c r="CU433" s="68"/>
      <c r="CV433" s="68"/>
      <c r="CW433" s="68"/>
      <c r="CX433" s="68"/>
      <c r="CY433" s="68"/>
      <c r="CZ433" s="68"/>
      <c r="DA433" s="68"/>
      <c r="DB433" s="68"/>
      <c r="DC433" s="68"/>
      <c r="DD433" s="68"/>
      <c r="DE433" s="68"/>
      <c r="DF433" s="68"/>
      <c r="DG433" s="68"/>
      <c r="DH433" s="68"/>
      <c r="DI433" s="68"/>
      <c r="DJ433" s="68"/>
      <c r="DK433" s="68"/>
      <c r="DL433" s="68"/>
      <c r="DM433" s="68"/>
      <c r="DN433" s="68"/>
      <c r="DO433" s="68"/>
      <c r="DP433" s="68"/>
      <c r="DQ433" s="68"/>
      <c r="DR433" s="68"/>
      <c r="DS433" s="68"/>
      <c r="DT433" s="68"/>
      <c r="DU433" s="68"/>
      <c r="DV433" s="68"/>
      <c r="DW433" s="68"/>
      <c r="DX433" s="68"/>
      <c r="DY433" s="68"/>
      <c r="DZ433" s="68"/>
      <c r="EA433" s="68"/>
      <c r="EB433" s="68"/>
      <c r="EC433" s="68"/>
      <c r="ED433" s="68"/>
      <c r="EE433" s="68"/>
      <c r="EF433" s="68"/>
      <c r="EG433" s="68"/>
      <c r="EH433" s="68"/>
      <c r="EI433" s="68"/>
      <c r="EJ433" s="68"/>
      <c r="EK433" s="68"/>
      <c r="EL433" s="68"/>
      <c r="EM433" s="68"/>
      <c r="EN433" s="68"/>
      <c r="EO433" s="68"/>
      <c r="EP433" s="68"/>
      <c r="EQ433" s="65"/>
      <c r="ER433" s="6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" t="str">
        <f t="shared" si="42"/>
        <v/>
      </c>
      <c r="FI433" s="1">
        <f t="shared" si="43"/>
        <v>0</v>
      </c>
      <c r="FJ433" s="38"/>
      <c r="FL433" s="13"/>
    </row>
    <row r="434" spans="1:168" ht="21" hidden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63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61"/>
      <c r="BE434" s="61"/>
      <c r="BF434" s="15"/>
      <c r="BG434" s="15"/>
      <c r="BH434" s="15"/>
      <c r="BI434" s="15"/>
      <c r="BJ434" s="15"/>
      <c r="BK434" s="15"/>
      <c r="BL434" s="15"/>
      <c r="BM434" s="15"/>
      <c r="BN434" s="15"/>
      <c r="BO434" s="64"/>
      <c r="BP434" s="15"/>
      <c r="BQ434" s="15"/>
      <c r="BR434" s="15"/>
      <c r="BS434" s="64"/>
      <c r="BT434" s="64"/>
      <c r="BU434" s="64"/>
      <c r="BV434" s="15"/>
      <c r="BW434" s="64"/>
      <c r="BX434" s="68"/>
      <c r="BY434" s="68"/>
      <c r="BZ434" s="68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15"/>
      <c r="CL434" s="68"/>
      <c r="CM434" s="68"/>
      <c r="CN434" s="68"/>
      <c r="CO434" s="68"/>
      <c r="CP434" s="68"/>
      <c r="CQ434" s="68"/>
      <c r="CR434" s="68"/>
      <c r="CS434" s="68"/>
      <c r="CT434" s="68"/>
      <c r="CU434" s="68"/>
      <c r="CV434" s="68"/>
      <c r="CW434" s="68"/>
      <c r="CX434" s="68"/>
      <c r="CY434" s="68"/>
      <c r="CZ434" s="68"/>
      <c r="DA434" s="68"/>
      <c r="DB434" s="68"/>
      <c r="DC434" s="68"/>
      <c r="DD434" s="68"/>
      <c r="DE434" s="68"/>
      <c r="DF434" s="68"/>
      <c r="DG434" s="68"/>
      <c r="DH434" s="68"/>
      <c r="DI434" s="68"/>
      <c r="DJ434" s="68"/>
      <c r="DK434" s="68"/>
      <c r="DL434" s="68"/>
      <c r="DM434" s="68"/>
      <c r="DN434" s="68"/>
      <c r="DO434" s="68"/>
      <c r="DP434" s="68"/>
      <c r="DQ434" s="68"/>
      <c r="DR434" s="68"/>
      <c r="DS434" s="68"/>
      <c r="DT434" s="68"/>
      <c r="DU434" s="68"/>
      <c r="DV434" s="68"/>
      <c r="DW434" s="68"/>
      <c r="DX434" s="68"/>
      <c r="DY434" s="68"/>
      <c r="DZ434" s="68"/>
      <c r="EA434" s="68"/>
      <c r="EB434" s="68"/>
      <c r="EC434" s="68"/>
      <c r="ED434" s="68"/>
      <c r="EE434" s="68"/>
      <c r="EF434" s="68"/>
      <c r="EG434" s="68"/>
      <c r="EH434" s="68"/>
      <c r="EI434" s="68"/>
      <c r="EJ434" s="68"/>
      <c r="EK434" s="68"/>
      <c r="EL434" s="68"/>
      <c r="EM434" s="68"/>
      <c r="EN434" s="68"/>
      <c r="EO434" s="68"/>
      <c r="EP434" s="68"/>
      <c r="EQ434" s="65"/>
      <c r="ER434" s="6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5"/>
      <c r="FG434" s="15"/>
      <c r="FH434" s="1" t="str">
        <f t="shared" si="42"/>
        <v/>
      </c>
      <c r="FI434" s="1">
        <f t="shared" si="43"/>
        <v>0</v>
      </c>
      <c r="FJ434" s="38"/>
      <c r="FL434" s="13"/>
    </row>
    <row r="435" spans="1:168" ht="21" hidden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63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61"/>
      <c r="BE435" s="61"/>
      <c r="BF435" s="15"/>
      <c r="BG435" s="15"/>
      <c r="BH435" s="15"/>
      <c r="BI435" s="15"/>
      <c r="BJ435" s="15"/>
      <c r="BK435" s="15"/>
      <c r="BL435" s="15"/>
      <c r="BM435" s="15"/>
      <c r="BN435" s="15"/>
      <c r="BO435" s="64"/>
      <c r="BP435" s="15"/>
      <c r="BQ435" s="15"/>
      <c r="BR435" s="15"/>
      <c r="BS435" s="64"/>
      <c r="BT435" s="64"/>
      <c r="BU435" s="64"/>
      <c r="BV435" s="15"/>
      <c r="BW435" s="64"/>
      <c r="BX435" s="68"/>
      <c r="BY435" s="68"/>
      <c r="BZ435" s="68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15"/>
      <c r="CL435" s="68"/>
      <c r="CM435" s="68"/>
      <c r="CN435" s="68"/>
      <c r="CO435" s="68"/>
      <c r="CP435" s="68"/>
      <c r="CQ435" s="68"/>
      <c r="CR435" s="68"/>
      <c r="CS435" s="68"/>
      <c r="CT435" s="68"/>
      <c r="CU435" s="68"/>
      <c r="CV435" s="68"/>
      <c r="CW435" s="68"/>
      <c r="CX435" s="68"/>
      <c r="CY435" s="68"/>
      <c r="CZ435" s="68"/>
      <c r="DA435" s="68"/>
      <c r="DB435" s="68"/>
      <c r="DC435" s="68"/>
      <c r="DD435" s="68"/>
      <c r="DE435" s="68"/>
      <c r="DF435" s="68"/>
      <c r="DG435" s="68"/>
      <c r="DH435" s="68"/>
      <c r="DI435" s="68"/>
      <c r="DJ435" s="68"/>
      <c r="DK435" s="68"/>
      <c r="DL435" s="68"/>
      <c r="DM435" s="68"/>
      <c r="DN435" s="68"/>
      <c r="DO435" s="68"/>
      <c r="DP435" s="68"/>
      <c r="DQ435" s="68"/>
      <c r="DR435" s="68"/>
      <c r="DS435" s="68"/>
      <c r="DT435" s="68"/>
      <c r="DU435" s="68"/>
      <c r="DV435" s="68"/>
      <c r="DW435" s="68"/>
      <c r="DX435" s="68"/>
      <c r="DY435" s="68"/>
      <c r="DZ435" s="68"/>
      <c r="EA435" s="68"/>
      <c r="EB435" s="68"/>
      <c r="EC435" s="68"/>
      <c r="ED435" s="68"/>
      <c r="EE435" s="68"/>
      <c r="EF435" s="68"/>
      <c r="EG435" s="68"/>
      <c r="EH435" s="68"/>
      <c r="EI435" s="68"/>
      <c r="EJ435" s="68"/>
      <c r="EK435" s="68"/>
      <c r="EL435" s="68"/>
      <c r="EM435" s="68"/>
      <c r="EN435" s="68"/>
      <c r="EO435" s="68"/>
      <c r="EP435" s="68"/>
      <c r="EQ435" s="65"/>
      <c r="ER435" s="6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" t="str">
        <f t="shared" si="42"/>
        <v/>
      </c>
      <c r="FI435" s="1">
        <f t="shared" si="43"/>
        <v>0</v>
      </c>
      <c r="FJ435" s="38"/>
      <c r="FL435" s="13"/>
    </row>
    <row r="436" spans="1:168" ht="21" hidden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63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61"/>
      <c r="BE436" s="61"/>
      <c r="BF436" s="15"/>
      <c r="BG436" s="15"/>
      <c r="BH436" s="15"/>
      <c r="BI436" s="15"/>
      <c r="BJ436" s="15"/>
      <c r="BK436" s="15"/>
      <c r="BL436" s="15"/>
      <c r="BM436" s="15"/>
      <c r="BN436" s="15"/>
      <c r="BO436" s="64"/>
      <c r="BP436" s="15"/>
      <c r="BQ436" s="15"/>
      <c r="BR436" s="15"/>
      <c r="BS436" s="64"/>
      <c r="BT436" s="64"/>
      <c r="BU436" s="64"/>
      <c r="BV436" s="15"/>
      <c r="BW436" s="64"/>
      <c r="BX436" s="68"/>
      <c r="BY436" s="68"/>
      <c r="BZ436" s="68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15"/>
      <c r="CL436" s="68"/>
      <c r="CM436" s="68"/>
      <c r="CN436" s="68"/>
      <c r="CO436" s="68"/>
      <c r="CP436" s="68"/>
      <c r="CQ436" s="68"/>
      <c r="CR436" s="68"/>
      <c r="CS436" s="68"/>
      <c r="CT436" s="68"/>
      <c r="CU436" s="68"/>
      <c r="CV436" s="68"/>
      <c r="CW436" s="68"/>
      <c r="CX436" s="68"/>
      <c r="CY436" s="68"/>
      <c r="CZ436" s="68"/>
      <c r="DA436" s="68"/>
      <c r="DB436" s="68"/>
      <c r="DC436" s="68"/>
      <c r="DD436" s="68"/>
      <c r="DE436" s="68"/>
      <c r="DF436" s="68"/>
      <c r="DG436" s="68"/>
      <c r="DH436" s="68"/>
      <c r="DI436" s="68"/>
      <c r="DJ436" s="68"/>
      <c r="DK436" s="68"/>
      <c r="DL436" s="68"/>
      <c r="DM436" s="68"/>
      <c r="DN436" s="68"/>
      <c r="DO436" s="68"/>
      <c r="DP436" s="68"/>
      <c r="DQ436" s="68"/>
      <c r="DR436" s="68"/>
      <c r="DS436" s="68"/>
      <c r="DT436" s="68"/>
      <c r="DU436" s="68"/>
      <c r="DV436" s="68"/>
      <c r="DW436" s="68"/>
      <c r="DX436" s="68"/>
      <c r="DY436" s="68"/>
      <c r="DZ436" s="68"/>
      <c r="EA436" s="68"/>
      <c r="EB436" s="68"/>
      <c r="EC436" s="68"/>
      <c r="ED436" s="68"/>
      <c r="EE436" s="68"/>
      <c r="EF436" s="68"/>
      <c r="EG436" s="68"/>
      <c r="EH436" s="68"/>
      <c r="EI436" s="68"/>
      <c r="EJ436" s="68"/>
      <c r="EK436" s="68"/>
      <c r="EL436" s="68"/>
      <c r="EM436" s="68"/>
      <c r="EN436" s="68"/>
      <c r="EO436" s="68"/>
      <c r="EP436" s="68"/>
      <c r="EQ436" s="65"/>
      <c r="ER436" s="6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5"/>
      <c r="FD436" s="15"/>
      <c r="FE436" s="15"/>
      <c r="FF436" s="15"/>
      <c r="FG436" s="15"/>
      <c r="FH436" s="1" t="str">
        <f t="shared" si="42"/>
        <v/>
      </c>
      <c r="FI436" s="1">
        <f t="shared" si="43"/>
        <v>0</v>
      </c>
      <c r="FJ436" s="38"/>
      <c r="FL436" s="13"/>
    </row>
    <row r="437" spans="1:168" ht="21" hidden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63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61"/>
      <c r="BE437" s="61"/>
      <c r="BF437" s="15"/>
      <c r="BG437" s="15"/>
      <c r="BH437" s="15"/>
      <c r="BI437" s="15"/>
      <c r="BJ437" s="15"/>
      <c r="BK437" s="15"/>
      <c r="BL437" s="15"/>
      <c r="BM437" s="15"/>
      <c r="BN437" s="15"/>
      <c r="BO437" s="64"/>
      <c r="BP437" s="15"/>
      <c r="BQ437" s="15"/>
      <c r="BR437" s="15"/>
      <c r="BS437" s="64"/>
      <c r="BT437" s="64"/>
      <c r="BU437" s="64"/>
      <c r="BV437" s="15"/>
      <c r="BW437" s="64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15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  <c r="EE437" s="68"/>
      <c r="EF437" s="68"/>
      <c r="EG437" s="68"/>
      <c r="EH437" s="68"/>
      <c r="EI437" s="68"/>
      <c r="EJ437" s="68"/>
      <c r="EK437" s="68"/>
      <c r="EL437" s="68"/>
      <c r="EM437" s="68"/>
      <c r="EN437" s="68"/>
      <c r="EO437" s="68"/>
      <c r="EP437" s="68"/>
      <c r="EQ437" s="65"/>
      <c r="ER437" s="6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" t="str">
        <f t="shared" si="42"/>
        <v/>
      </c>
      <c r="FI437" s="1">
        <f t="shared" si="43"/>
        <v>0</v>
      </c>
      <c r="FJ437" s="38"/>
      <c r="FL437" s="13"/>
    </row>
    <row r="438" spans="1:168" ht="21" hidden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63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61"/>
      <c r="BE438" s="61"/>
      <c r="BF438" s="15"/>
      <c r="BG438" s="15"/>
      <c r="BH438" s="15"/>
      <c r="BI438" s="15"/>
      <c r="BJ438" s="15"/>
      <c r="BK438" s="15"/>
      <c r="BL438" s="15"/>
      <c r="BM438" s="15"/>
      <c r="BN438" s="15"/>
      <c r="BO438" s="64"/>
      <c r="BP438" s="15"/>
      <c r="BQ438" s="15"/>
      <c r="BR438" s="15"/>
      <c r="BS438" s="64"/>
      <c r="BT438" s="64"/>
      <c r="BU438" s="64"/>
      <c r="BV438" s="15"/>
      <c r="BW438" s="64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15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  <c r="EE438" s="68"/>
      <c r="EF438" s="68"/>
      <c r="EG438" s="68"/>
      <c r="EH438" s="68"/>
      <c r="EI438" s="68"/>
      <c r="EJ438" s="68"/>
      <c r="EK438" s="68"/>
      <c r="EL438" s="68"/>
      <c r="EM438" s="68"/>
      <c r="EN438" s="68"/>
      <c r="EO438" s="68"/>
      <c r="EP438" s="68"/>
      <c r="EQ438" s="65"/>
      <c r="ER438" s="6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5"/>
      <c r="FG438" s="15"/>
      <c r="FH438" s="1" t="str">
        <f t="shared" si="42"/>
        <v/>
      </c>
      <c r="FI438" s="1">
        <f t="shared" si="43"/>
        <v>0</v>
      </c>
      <c r="FJ438" s="38"/>
      <c r="FL438" s="13"/>
    </row>
    <row r="439" spans="1:168" ht="21" hidden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63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61"/>
      <c r="BE439" s="61"/>
      <c r="BF439" s="15"/>
      <c r="BG439" s="15"/>
      <c r="BH439" s="15"/>
      <c r="BI439" s="15"/>
      <c r="BJ439" s="15"/>
      <c r="BK439" s="15"/>
      <c r="BL439" s="15"/>
      <c r="BM439" s="15"/>
      <c r="BN439" s="15"/>
      <c r="BO439" s="64"/>
      <c r="BP439" s="15"/>
      <c r="BQ439" s="15"/>
      <c r="BR439" s="15"/>
      <c r="BS439" s="64"/>
      <c r="BT439" s="64"/>
      <c r="BU439" s="64"/>
      <c r="BV439" s="15"/>
      <c r="BW439" s="64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15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  <c r="EE439" s="68"/>
      <c r="EF439" s="68"/>
      <c r="EG439" s="68"/>
      <c r="EH439" s="68"/>
      <c r="EI439" s="68"/>
      <c r="EJ439" s="68"/>
      <c r="EK439" s="68"/>
      <c r="EL439" s="68"/>
      <c r="EM439" s="68"/>
      <c r="EN439" s="68"/>
      <c r="EO439" s="68"/>
      <c r="EP439" s="68"/>
      <c r="EQ439" s="65"/>
      <c r="ER439" s="6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5"/>
      <c r="FD439" s="15"/>
      <c r="FE439" s="15"/>
      <c r="FF439" s="15"/>
      <c r="FG439" s="15"/>
      <c r="FH439" s="1" t="str">
        <f t="shared" si="42"/>
        <v/>
      </c>
      <c r="FI439" s="1">
        <f t="shared" si="43"/>
        <v>0</v>
      </c>
      <c r="FJ439" s="38"/>
      <c r="FL439" s="13"/>
    </row>
    <row r="440" spans="1:168" ht="21" hidden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63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61"/>
      <c r="BE440" s="61"/>
      <c r="BF440" s="15"/>
      <c r="BG440" s="15"/>
      <c r="BH440" s="15"/>
      <c r="BI440" s="15"/>
      <c r="BJ440" s="15"/>
      <c r="BK440" s="15"/>
      <c r="BL440" s="15"/>
      <c r="BM440" s="15"/>
      <c r="BN440" s="15"/>
      <c r="BO440" s="64"/>
      <c r="BP440" s="15"/>
      <c r="BQ440" s="15"/>
      <c r="BR440" s="15"/>
      <c r="BS440" s="64"/>
      <c r="BT440" s="64"/>
      <c r="BU440" s="64"/>
      <c r="BV440" s="15"/>
      <c r="BW440" s="64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15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  <c r="EE440" s="68"/>
      <c r="EF440" s="68"/>
      <c r="EG440" s="68"/>
      <c r="EH440" s="68"/>
      <c r="EI440" s="68"/>
      <c r="EJ440" s="68"/>
      <c r="EK440" s="68"/>
      <c r="EL440" s="68"/>
      <c r="EM440" s="68"/>
      <c r="EN440" s="68"/>
      <c r="EO440" s="68"/>
      <c r="EP440" s="68"/>
      <c r="EQ440" s="65"/>
      <c r="ER440" s="6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5"/>
      <c r="FD440" s="15"/>
      <c r="FE440" s="15"/>
      <c r="FF440" s="15"/>
      <c r="FG440" s="15"/>
      <c r="FH440" s="1" t="str">
        <f t="shared" si="42"/>
        <v/>
      </c>
      <c r="FI440" s="1">
        <f t="shared" si="43"/>
        <v>0</v>
      </c>
      <c r="FJ440" s="38"/>
      <c r="FL440" s="13"/>
    </row>
    <row r="441" spans="1:168" ht="21" hidden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63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61"/>
      <c r="BE441" s="61"/>
      <c r="BF441" s="15"/>
      <c r="BG441" s="15"/>
      <c r="BH441" s="15"/>
      <c r="BI441" s="15"/>
      <c r="BJ441" s="15"/>
      <c r="BK441" s="15"/>
      <c r="BL441" s="15"/>
      <c r="BM441" s="15"/>
      <c r="BN441" s="15"/>
      <c r="BO441" s="64"/>
      <c r="BP441" s="15"/>
      <c r="BQ441" s="15"/>
      <c r="BR441" s="15"/>
      <c r="BS441" s="64"/>
      <c r="BT441" s="64"/>
      <c r="BU441" s="64"/>
      <c r="BV441" s="15"/>
      <c r="BW441" s="64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15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  <c r="EE441" s="68"/>
      <c r="EF441" s="68"/>
      <c r="EG441" s="68"/>
      <c r="EH441" s="68"/>
      <c r="EI441" s="68"/>
      <c r="EJ441" s="68"/>
      <c r="EK441" s="68"/>
      <c r="EL441" s="68"/>
      <c r="EM441" s="68"/>
      <c r="EN441" s="68"/>
      <c r="EO441" s="68"/>
      <c r="EP441" s="68"/>
      <c r="EQ441" s="65"/>
      <c r="ER441" s="6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" t="str">
        <f t="shared" si="42"/>
        <v/>
      </c>
      <c r="FI441" s="1">
        <f t="shared" si="43"/>
        <v>0</v>
      </c>
      <c r="FJ441" s="38"/>
      <c r="FL441" s="13"/>
    </row>
    <row r="442" spans="1:168" ht="21" hidden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63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61"/>
      <c r="BE442" s="61"/>
      <c r="BF442" s="15"/>
      <c r="BG442" s="15"/>
      <c r="BH442" s="15"/>
      <c r="BI442" s="15"/>
      <c r="BJ442" s="15"/>
      <c r="BK442" s="15"/>
      <c r="BL442" s="15"/>
      <c r="BM442" s="15"/>
      <c r="BN442" s="15"/>
      <c r="BO442" s="64"/>
      <c r="BP442" s="15"/>
      <c r="BQ442" s="15"/>
      <c r="BR442" s="15"/>
      <c r="BS442" s="64"/>
      <c r="BT442" s="64"/>
      <c r="BU442" s="64"/>
      <c r="BV442" s="15"/>
      <c r="BW442" s="64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15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  <c r="EE442" s="68"/>
      <c r="EF442" s="68"/>
      <c r="EG442" s="68"/>
      <c r="EH442" s="68"/>
      <c r="EI442" s="68"/>
      <c r="EJ442" s="68"/>
      <c r="EK442" s="68"/>
      <c r="EL442" s="68"/>
      <c r="EM442" s="68"/>
      <c r="EN442" s="68"/>
      <c r="EO442" s="68"/>
      <c r="EP442" s="68"/>
      <c r="EQ442" s="65"/>
      <c r="ER442" s="6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5"/>
      <c r="FG442" s="15"/>
      <c r="FH442" s="1" t="str">
        <f t="shared" si="42"/>
        <v/>
      </c>
      <c r="FI442" s="1">
        <f t="shared" si="43"/>
        <v>0</v>
      </c>
      <c r="FJ442" s="38"/>
      <c r="FL442" s="13"/>
    </row>
    <row r="443" spans="1:168" ht="21" hidden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63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61"/>
      <c r="BE443" s="61"/>
      <c r="BF443" s="15"/>
      <c r="BG443" s="15"/>
      <c r="BH443" s="15"/>
      <c r="BI443" s="15"/>
      <c r="BJ443" s="15"/>
      <c r="BK443" s="15"/>
      <c r="BL443" s="15"/>
      <c r="BM443" s="15"/>
      <c r="BN443" s="15"/>
      <c r="BO443" s="64"/>
      <c r="BP443" s="15"/>
      <c r="BQ443" s="15"/>
      <c r="BR443" s="15"/>
      <c r="BS443" s="64"/>
      <c r="BT443" s="64"/>
      <c r="BU443" s="64"/>
      <c r="BV443" s="15"/>
      <c r="BW443" s="64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15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  <c r="EE443" s="68"/>
      <c r="EF443" s="68"/>
      <c r="EG443" s="68"/>
      <c r="EH443" s="68"/>
      <c r="EI443" s="68"/>
      <c r="EJ443" s="68"/>
      <c r="EK443" s="68"/>
      <c r="EL443" s="68"/>
      <c r="EM443" s="68"/>
      <c r="EN443" s="68"/>
      <c r="EO443" s="68"/>
      <c r="EP443" s="68"/>
      <c r="EQ443" s="65"/>
      <c r="ER443" s="6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5"/>
      <c r="FD443" s="15"/>
      <c r="FE443" s="15"/>
      <c r="FF443" s="15"/>
      <c r="FG443" s="15"/>
      <c r="FH443" s="1" t="str">
        <f t="shared" si="42"/>
        <v/>
      </c>
      <c r="FI443" s="1">
        <f t="shared" si="43"/>
        <v>0</v>
      </c>
      <c r="FJ443" s="38"/>
      <c r="FL443" s="13"/>
    </row>
    <row r="444" spans="1:168" ht="21" hidden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63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61"/>
      <c r="BE444" s="61"/>
      <c r="BF444" s="15"/>
      <c r="BG444" s="15"/>
      <c r="BH444" s="15"/>
      <c r="BI444" s="15"/>
      <c r="BJ444" s="15"/>
      <c r="BK444" s="15"/>
      <c r="BL444" s="15"/>
      <c r="BM444" s="15"/>
      <c r="BN444" s="15"/>
      <c r="BO444" s="64"/>
      <c r="BP444" s="15"/>
      <c r="BQ444" s="15"/>
      <c r="BR444" s="15"/>
      <c r="BS444" s="64"/>
      <c r="BT444" s="64"/>
      <c r="BU444" s="64"/>
      <c r="BV444" s="15"/>
      <c r="BW444" s="64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15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  <c r="EE444" s="68"/>
      <c r="EF444" s="68"/>
      <c r="EG444" s="68"/>
      <c r="EH444" s="68"/>
      <c r="EI444" s="68"/>
      <c r="EJ444" s="68"/>
      <c r="EK444" s="68"/>
      <c r="EL444" s="68"/>
      <c r="EM444" s="68"/>
      <c r="EN444" s="68"/>
      <c r="EO444" s="68"/>
      <c r="EP444" s="68"/>
      <c r="EQ444" s="65"/>
      <c r="ER444" s="6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" t="str">
        <f t="shared" si="42"/>
        <v/>
      </c>
      <c r="FI444" s="1">
        <f t="shared" si="43"/>
        <v>0</v>
      </c>
      <c r="FJ444" s="38"/>
      <c r="FL444" s="13"/>
    </row>
    <row r="445" spans="1:168" ht="21" hidden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63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61"/>
      <c r="BE445" s="61"/>
      <c r="BF445" s="15"/>
      <c r="BG445" s="15"/>
      <c r="BH445" s="15"/>
      <c r="BI445" s="15"/>
      <c r="BJ445" s="15"/>
      <c r="BK445" s="15"/>
      <c r="BL445" s="15"/>
      <c r="BM445" s="15"/>
      <c r="BN445" s="15"/>
      <c r="BO445" s="64"/>
      <c r="BP445" s="15"/>
      <c r="BQ445" s="15"/>
      <c r="BR445" s="15"/>
      <c r="BS445" s="64"/>
      <c r="BT445" s="64"/>
      <c r="BU445" s="64"/>
      <c r="BV445" s="15"/>
      <c r="BW445" s="64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15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  <c r="EE445" s="68"/>
      <c r="EF445" s="68"/>
      <c r="EG445" s="68"/>
      <c r="EH445" s="68"/>
      <c r="EI445" s="68"/>
      <c r="EJ445" s="68"/>
      <c r="EK445" s="68"/>
      <c r="EL445" s="68"/>
      <c r="EM445" s="68"/>
      <c r="EN445" s="68"/>
      <c r="EO445" s="68"/>
      <c r="EP445" s="68"/>
      <c r="EQ445" s="65"/>
      <c r="ER445" s="6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5"/>
      <c r="FD445" s="15"/>
      <c r="FE445" s="15"/>
      <c r="FF445" s="15"/>
      <c r="FG445" s="15"/>
      <c r="FH445" s="1" t="str">
        <f t="shared" si="42"/>
        <v/>
      </c>
      <c r="FI445" s="1">
        <f t="shared" si="43"/>
        <v>0</v>
      </c>
      <c r="FJ445" s="38"/>
      <c r="FL445" s="13"/>
    </row>
    <row r="446" spans="1:168" ht="21" hidden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63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61"/>
      <c r="BE446" s="61"/>
      <c r="BF446" s="15"/>
      <c r="BG446" s="15"/>
      <c r="BH446" s="15"/>
      <c r="BI446" s="15"/>
      <c r="BJ446" s="15"/>
      <c r="BK446" s="15"/>
      <c r="BL446" s="15"/>
      <c r="BM446" s="15"/>
      <c r="BN446" s="15"/>
      <c r="BO446" s="64"/>
      <c r="BP446" s="15"/>
      <c r="BQ446" s="15"/>
      <c r="BR446" s="15"/>
      <c r="BS446" s="64"/>
      <c r="BT446" s="64"/>
      <c r="BU446" s="64"/>
      <c r="BV446" s="15"/>
      <c r="BW446" s="64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15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  <c r="EE446" s="68"/>
      <c r="EF446" s="68"/>
      <c r="EG446" s="68"/>
      <c r="EH446" s="68"/>
      <c r="EI446" s="68"/>
      <c r="EJ446" s="68"/>
      <c r="EK446" s="68"/>
      <c r="EL446" s="68"/>
      <c r="EM446" s="68"/>
      <c r="EN446" s="68"/>
      <c r="EO446" s="68"/>
      <c r="EP446" s="68"/>
      <c r="EQ446" s="65"/>
      <c r="ER446" s="6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5"/>
      <c r="FD446" s="15"/>
      <c r="FE446" s="15"/>
      <c r="FF446" s="15"/>
      <c r="FG446" s="15"/>
      <c r="FH446" s="1" t="str">
        <f t="shared" si="42"/>
        <v/>
      </c>
      <c r="FI446" s="1">
        <f t="shared" si="43"/>
        <v>0</v>
      </c>
      <c r="FJ446" s="38"/>
      <c r="FL446" s="13"/>
    </row>
    <row r="447" spans="1:168" ht="21" hidden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63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61"/>
      <c r="BE447" s="61"/>
      <c r="BF447" s="15"/>
      <c r="BG447" s="15"/>
      <c r="BH447" s="15"/>
      <c r="BI447" s="15"/>
      <c r="BJ447" s="15"/>
      <c r="BK447" s="15"/>
      <c r="BL447" s="15"/>
      <c r="BM447" s="15"/>
      <c r="BN447" s="15"/>
      <c r="BO447" s="64"/>
      <c r="BP447" s="15"/>
      <c r="BQ447" s="15"/>
      <c r="BR447" s="15"/>
      <c r="BS447" s="64"/>
      <c r="BT447" s="64"/>
      <c r="BU447" s="64"/>
      <c r="BV447" s="15"/>
      <c r="BW447" s="64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15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  <c r="EE447" s="68"/>
      <c r="EF447" s="68"/>
      <c r="EG447" s="68"/>
      <c r="EH447" s="68"/>
      <c r="EI447" s="68"/>
      <c r="EJ447" s="68"/>
      <c r="EK447" s="68"/>
      <c r="EL447" s="68"/>
      <c r="EM447" s="68"/>
      <c r="EN447" s="68"/>
      <c r="EO447" s="68"/>
      <c r="EP447" s="68"/>
      <c r="EQ447" s="65"/>
      <c r="ER447" s="6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5"/>
      <c r="FD447" s="15"/>
      <c r="FE447" s="15"/>
      <c r="FF447" s="15"/>
      <c r="FG447" s="15"/>
      <c r="FH447" s="1" t="str">
        <f t="shared" si="42"/>
        <v/>
      </c>
      <c r="FI447" s="1">
        <f t="shared" si="43"/>
        <v>0</v>
      </c>
      <c r="FJ447" s="38"/>
      <c r="FL447" s="13"/>
    </row>
    <row r="448" spans="1:168" ht="21" hidden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63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61"/>
      <c r="BE448" s="61"/>
      <c r="BF448" s="15"/>
      <c r="BG448" s="15"/>
      <c r="BH448" s="15"/>
      <c r="BI448" s="15"/>
      <c r="BJ448" s="15"/>
      <c r="BK448" s="15"/>
      <c r="BL448" s="15"/>
      <c r="BM448" s="15"/>
      <c r="BN448" s="15"/>
      <c r="BO448" s="64"/>
      <c r="BP448" s="15"/>
      <c r="BQ448" s="15"/>
      <c r="BR448" s="15"/>
      <c r="BS448" s="64"/>
      <c r="BT448" s="64"/>
      <c r="BU448" s="64"/>
      <c r="BV448" s="15"/>
      <c r="BW448" s="64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15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  <c r="EE448" s="68"/>
      <c r="EF448" s="68"/>
      <c r="EG448" s="68"/>
      <c r="EH448" s="68"/>
      <c r="EI448" s="68"/>
      <c r="EJ448" s="68"/>
      <c r="EK448" s="68"/>
      <c r="EL448" s="68"/>
      <c r="EM448" s="68"/>
      <c r="EN448" s="68"/>
      <c r="EO448" s="68"/>
      <c r="EP448" s="68"/>
      <c r="EQ448" s="65"/>
      <c r="ER448" s="6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" t="str">
        <f t="shared" si="42"/>
        <v/>
      </c>
      <c r="FI448" s="1">
        <f t="shared" si="43"/>
        <v>0</v>
      </c>
      <c r="FJ448" s="38"/>
      <c r="FL448" s="13"/>
    </row>
    <row r="449" spans="1:168" ht="21" hidden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63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61"/>
      <c r="BE449" s="61"/>
      <c r="BF449" s="15"/>
      <c r="BG449" s="15"/>
      <c r="BH449" s="15"/>
      <c r="BI449" s="15"/>
      <c r="BJ449" s="15"/>
      <c r="BK449" s="15"/>
      <c r="BL449" s="15"/>
      <c r="BM449" s="15"/>
      <c r="BN449" s="15"/>
      <c r="BO449" s="64"/>
      <c r="BP449" s="15"/>
      <c r="BQ449" s="15"/>
      <c r="BR449" s="15"/>
      <c r="BS449" s="64"/>
      <c r="BT449" s="64"/>
      <c r="BU449" s="64"/>
      <c r="BV449" s="15"/>
      <c r="BW449" s="64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15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  <c r="EE449" s="68"/>
      <c r="EF449" s="68"/>
      <c r="EG449" s="68"/>
      <c r="EH449" s="68"/>
      <c r="EI449" s="68"/>
      <c r="EJ449" s="68"/>
      <c r="EK449" s="68"/>
      <c r="EL449" s="68"/>
      <c r="EM449" s="68"/>
      <c r="EN449" s="68"/>
      <c r="EO449" s="68"/>
      <c r="EP449" s="68"/>
      <c r="EQ449" s="65"/>
      <c r="ER449" s="6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" t="str">
        <f t="shared" si="42"/>
        <v/>
      </c>
      <c r="FI449" s="1">
        <f t="shared" si="43"/>
        <v>0</v>
      </c>
      <c r="FJ449" s="38"/>
      <c r="FL449" s="13"/>
    </row>
    <row r="450" spans="1:168" ht="21" hidden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63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61"/>
      <c r="BE450" s="61"/>
      <c r="BF450" s="15"/>
      <c r="BG450" s="15"/>
      <c r="BH450" s="15"/>
      <c r="BI450" s="15"/>
      <c r="BJ450" s="15"/>
      <c r="BK450" s="15"/>
      <c r="BL450" s="15"/>
      <c r="BM450" s="15"/>
      <c r="BN450" s="15"/>
      <c r="BO450" s="64"/>
      <c r="BP450" s="15"/>
      <c r="BQ450" s="15"/>
      <c r="BR450" s="15"/>
      <c r="BS450" s="64"/>
      <c r="BT450" s="64"/>
      <c r="BU450" s="64"/>
      <c r="BV450" s="15"/>
      <c r="BW450" s="64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15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  <c r="EE450" s="68"/>
      <c r="EF450" s="68"/>
      <c r="EG450" s="68"/>
      <c r="EH450" s="68"/>
      <c r="EI450" s="68"/>
      <c r="EJ450" s="68"/>
      <c r="EK450" s="68"/>
      <c r="EL450" s="68"/>
      <c r="EM450" s="68"/>
      <c r="EN450" s="68"/>
      <c r="EO450" s="68"/>
      <c r="EP450" s="68"/>
      <c r="EQ450" s="65"/>
      <c r="ER450" s="6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" t="str">
        <f t="shared" si="42"/>
        <v/>
      </c>
      <c r="FI450" s="1">
        <f t="shared" si="43"/>
        <v>0</v>
      </c>
      <c r="FJ450" s="38"/>
      <c r="FL450" s="13"/>
    </row>
    <row r="451" spans="1:168" ht="21" hidden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63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61"/>
      <c r="BE451" s="61"/>
      <c r="BF451" s="15"/>
      <c r="BG451" s="15"/>
      <c r="BH451" s="15"/>
      <c r="BI451" s="15"/>
      <c r="BJ451" s="15"/>
      <c r="BK451" s="15"/>
      <c r="BL451" s="15"/>
      <c r="BM451" s="15"/>
      <c r="BN451" s="15"/>
      <c r="BO451" s="64"/>
      <c r="BP451" s="15"/>
      <c r="BQ451" s="15"/>
      <c r="BR451" s="15"/>
      <c r="BS451" s="64"/>
      <c r="BT451" s="64"/>
      <c r="BU451" s="64"/>
      <c r="BV451" s="15"/>
      <c r="BW451" s="64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15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  <c r="EE451" s="68"/>
      <c r="EF451" s="68"/>
      <c r="EG451" s="68"/>
      <c r="EH451" s="68"/>
      <c r="EI451" s="68"/>
      <c r="EJ451" s="68"/>
      <c r="EK451" s="68"/>
      <c r="EL451" s="68"/>
      <c r="EM451" s="68"/>
      <c r="EN451" s="68"/>
      <c r="EO451" s="68"/>
      <c r="EP451" s="68"/>
      <c r="EQ451" s="65"/>
      <c r="ER451" s="6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" t="str">
        <f t="shared" si="42"/>
        <v/>
      </c>
      <c r="FI451" s="1">
        <f t="shared" si="43"/>
        <v>0</v>
      </c>
      <c r="FJ451" s="38"/>
      <c r="FL451" s="13"/>
    </row>
    <row r="452" spans="1:168" ht="21" hidden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63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61"/>
      <c r="BE452" s="61"/>
      <c r="BF452" s="15"/>
      <c r="BG452" s="15"/>
      <c r="BH452" s="15"/>
      <c r="BI452" s="15"/>
      <c r="BJ452" s="15"/>
      <c r="BK452" s="15"/>
      <c r="BL452" s="15"/>
      <c r="BM452" s="15"/>
      <c r="BN452" s="15"/>
      <c r="BO452" s="64"/>
      <c r="BP452" s="15"/>
      <c r="BQ452" s="15"/>
      <c r="BR452" s="15"/>
      <c r="BS452" s="64"/>
      <c r="BT452" s="64"/>
      <c r="BU452" s="64"/>
      <c r="BV452" s="15"/>
      <c r="BW452" s="64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15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  <c r="EE452" s="68"/>
      <c r="EF452" s="68"/>
      <c r="EG452" s="68"/>
      <c r="EH452" s="68"/>
      <c r="EI452" s="68"/>
      <c r="EJ452" s="68"/>
      <c r="EK452" s="68"/>
      <c r="EL452" s="68"/>
      <c r="EM452" s="68"/>
      <c r="EN452" s="68"/>
      <c r="EO452" s="68"/>
      <c r="EP452" s="68"/>
      <c r="EQ452" s="65"/>
      <c r="ER452" s="6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5"/>
      <c r="FD452" s="15"/>
      <c r="FE452" s="15"/>
      <c r="FF452" s="15"/>
      <c r="FG452" s="15"/>
      <c r="FH452" s="1" t="str">
        <f t="shared" si="42"/>
        <v/>
      </c>
      <c r="FI452" s="1">
        <f t="shared" si="43"/>
        <v>0</v>
      </c>
      <c r="FJ452" s="38"/>
      <c r="FL452" s="13"/>
    </row>
    <row r="453" spans="1:168" ht="21" hidden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63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61"/>
      <c r="BE453" s="61"/>
      <c r="BF453" s="15"/>
      <c r="BG453" s="15"/>
      <c r="BH453" s="15"/>
      <c r="BI453" s="15"/>
      <c r="BJ453" s="15"/>
      <c r="BK453" s="15"/>
      <c r="BL453" s="15"/>
      <c r="BM453" s="15"/>
      <c r="BN453" s="15"/>
      <c r="BO453" s="64"/>
      <c r="BP453" s="15"/>
      <c r="BQ453" s="15"/>
      <c r="BR453" s="15"/>
      <c r="BS453" s="64"/>
      <c r="BT453" s="64"/>
      <c r="BU453" s="64"/>
      <c r="BV453" s="15"/>
      <c r="BW453" s="64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15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  <c r="EE453" s="68"/>
      <c r="EF453" s="68"/>
      <c r="EG453" s="68"/>
      <c r="EH453" s="68"/>
      <c r="EI453" s="68"/>
      <c r="EJ453" s="68"/>
      <c r="EK453" s="68"/>
      <c r="EL453" s="68"/>
      <c r="EM453" s="68"/>
      <c r="EN453" s="68"/>
      <c r="EO453" s="68"/>
      <c r="EP453" s="68"/>
      <c r="EQ453" s="65"/>
      <c r="ER453" s="6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5"/>
      <c r="FG453" s="15"/>
      <c r="FH453" s="1" t="str">
        <f t="shared" si="42"/>
        <v/>
      </c>
      <c r="FI453" s="1">
        <f t="shared" si="43"/>
        <v>0</v>
      </c>
      <c r="FJ453" s="38"/>
      <c r="FL453" s="13"/>
    </row>
    <row r="454" spans="1:168" ht="21" hidden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63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61"/>
      <c r="BE454" s="61"/>
      <c r="BF454" s="15"/>
      <c r="BG454" s="15"/>
      <c r="BH454" s="15"/>
      <c r="BI454" s="15"/>
      <c r="BJ454" s="15"/>
      <c r="BK454" s="15"/>
      <c r="BL454" s="15"/>
      <c r="BM454" s="15"/>
      <c r="BN454" s="15"/>
      <c r="BO454" s="64"/>
      <c r="BP454" s="15"/>
      <c r="BQ454" s="15"/>
      <c r="BR454" s="15"/>
      <c r="BS454" s="64"/>
      <c r="BT454" s="64"/>
      <c r="BU454" s="64"/>
      <c r="BV454" s="15"/>
      <c r="BW454" s="64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15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  <c r="EE454" s="68"/>
      <c r="EF454" s="68"/>
      <c r="EG454" s="68"/>
      <c r="EH454" s="68"/>
      <c r="EI454" s="68"/>
      <c r="EJ454" s="68"/>
      <c r="EK454" s="68"/>
      <c r="EL454" s="68"/>
      <c r="EM454" s="68"/>
      <c r="EN454" s="68"/>
      <c r="EO454" s="68"/>
      <c r="EP454" s="68"/>
      <c r="EQ454" s="65"/>
      <c r="ER454" s="6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" t="str">
        <f t="shared" si="42"/>
        <v/>
      </c>
      <c r="FI454" s="1">
        <f t="shared" si="43"/>
        <v>0</v>
      </c>
      <c r="FJ454" s="38"/>
      <c r="FL454" s="13"/>
    </row>
    <row r="455" spans="1:168" ht="21" hidden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63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61"/>
      <c r="BE455" s="61"/>
      <c r="BF455" s="15"/>
      <c r="BG455" s="15"/>
      <c r="BH455" s="15"/>
      <c r="BI455" s="15"/>
      <c r="BJ455" s="15"/>
      <c r="BK455" s="15"/>
      <c r="BL455" s="15"/>
      <c r="BM455" s="15"/>
      <c r="BN455" s="15"/>
      <c r="BO455" s="64"/>
      <c r="BP455" s="15"/>
      <c r="BQ455" s="15"/>
      <c r="BR455" s="15"/>
      <c r="BS455" s="64"/>
      <c r="BT455" s="64"/>
      <c r="BU455" s="64"/>
      <c r="BV455" s="15"/>
      <c r="BW455" s="64"/>
      <c r="BX455" s="68"/>
      <c r="BY455" s="68"/>
      <c r="BZ455" s="68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15"/>
      <c r="CL455" s="68"/>
      <c r="CM455" s="68"/>
      <c r="CN455" s="68"/>
      <c r="CO455" s="68"/>
      <c r="CP455" s="68"/>
      <c r="CQ455" s="68"/>
      <c r="CR455" s="68"/>
      <c r="CS455" s="68"/>
      <c r="CT455" s="68"/>
      <c r="CU455" s="68"/>
      <c r="CV455" s="68"/>
      <c r="CW455" s="68"/>
      <c r="CX455" s="68"/>
      <c r="CY455" s="68"/>
      <c r="CZ455" s="68"/>
      <c r="DA455" s="68"/>
      <c r="DB455" s="68"/>
      <c r="DC455" s="68"/>
      <c r="DD455" s="68"/>
      <c r="DE455" s="68"/>
      <c r="DF455" s="68"/>
      <c r="DG455" s="68"/>
      <c r="DH455" s="68"/>
      <c r="DI455" s="68"/>
      <c r="DJ455" s="68"/>
      <c r="DK455" s="68"/>
      <c r="DL455" s="68"/>
      <c r="DM455" s="68"/>
      <c r="DN455" s="68"/>
      <c r="DO455" s="68"/>
      <c r="DP455" s="68"/>
      <c r="DQ455" s="68"/>
      <c r="DR455" s="68"/>
      <c r="DS455" s="68"/>
      <c r="DT455" s="68"/>
      <c r="DU455" s="68"/>
      <c r="DV455" s="68"/>
      <c r="DW455" s="68"/>
      <c r="DX455" s="68"/>
      <c r="DY455" s="68"/>
      <c r="DZ455" s="68"/>
      <c r="EA455" s="68"/>
      <c r="EB455" s="68"/>
      <c r="EC455" s="68"/>
      <c r="ED455" s="68"/>
      <c r="EE455" s="68"/>
      <c r="EF455" s="68"/>
      <c r="EG455" s="68"/>
      <c r="EH455" s="68"/>
      <c r="EI455" s="68"/>
      <c r="EJ455" s="68"/>
      <c r="EK455" s="68"/>
      <c r="EL455" s="68"/>
      <c r="EM455" s="68"/>
      <c r="EN455" s="68"/>
      <c r="EO455" s="68"/>
      <c r="EP455" s="68"/>
      <c r="EQ455" s="65"/>
      <c r="ER455" s="6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5"/>
      <c r="FD455" s="15"/>
      <c r="FE455" s="15"/>
      <c r="FF455" s="15"/>
      <c r="FG455" s="15"/>
      <c r="FH455" s="1" t="str">
        <f t="shared" si="42"/>
        <v/>
      </c>
      <c r="FI455" s="1">
        <f t="shared" si="43"/>
        <v>0</v>
      </c>
      <c r="FJ455" s="38"/>
      <c r="FL455" s="13"/>
    </row>
    <row r="456" spans="1:168" ht="21" hidden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63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61"/>
      <c r="BE456" s="61"/>
      <c r="BF456" s="15"/>
      <c r="BG456" s="15"/>
      <c r="BH456" s="15"/>
      <c r="BI456" s="15"/>
      <c r="BJ456" s="15"/>
      <c r="BK456" s="15"/>
      <c r="BL456" s="15"/>
      <c r="BM456" s="15"/>
      <c r="BN456" s="15"/>
      <c r="BO456" s="64"/>
      <c r="BP456" s="15"/>
      <c r="BQ456" s="15"/>
      <c r="BR456" s="15"/>
      <c r="BS456" s="64"/>
      <c r="BT456" s="64"/>
      <c r="BU456" s="64"/>
      <c r="BV456" s="15"/>
      <c r="BW456" s="64"/>
      <c r="BX456" s="68"/>
      <c r="BY456" s="68"/>
      <c r="BZ456" s="68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15"/>
      <c r="CL456" s="68"/>
      <c r="CM456" s="68"/>
      <c r="CN456" s="68"/>
      <c r="CO456" s="68"/>
      <c r="CP456" s="68"/>
      <c r="CQ456" s="68"/>
      <c r="CR456" s="68"/>
      <c r="CS456" s="68"/>
      <c r="CT456" s="68"/>
      <c r="CU456" s="68"/>
      <c r="CV456" s="68"/>
      <c r="CW456" s="68"/>
      <c r="CX456" s="68"/>
      <c r="CY456" s="68"/>
      <c r="CZ456" s="68"/>
      <c r="DA456" s="68"/>
      <c r="DB456" s="68"/>
      <c r="DC456" s="68"/>
      <c r="DD456" s="68"/>
      <c r="DE456" s="68"/>
      <c r="DF456" s="68"/>
      <c r="DG456" s="68"/>
      <c r="DH456" s="68"/>
      <c r="DI456" s="68"/>
      <c r="DJ456" s="68"/>
      <c r="DK456" s="68"/>
      <c r="DL456" s="68"/>
      <c r="DM456" s="68"/>
      <c r="DN456" s="68"/>
      <c r="DO456" s="68"/>
      <c r="DP456" s="68"/>
      <c r="DQ456" s="68"/>
      <c r="DR456" s="68"/>
      <c r="DS456" s="68"/>
      <c r="DT456" s="68"/>
      <c r="DU456" s="68"/>
      <c r="DV456" s="68"/>
      <c r="DW456" s="68"/>
      <c r="DX456" s="68"/>
      <c r="DY456" s="68"/>
      <c r="DZ456" s="68"/>
      <c r="EA456" s="68"/>
      <c r="EB456" s="68"/>
      <c r="EC456" s="68"/>
      <c r="ED456" s="68"/>
      <c r="EE456" s="68"/>
      <c r="EF456" s="68"/>
      <c r="EG456" s="68"/>
      <c r="EH456" s="68"/>
      <c r="EI456" s="68"/>
      <c r="EJ456" s="68"/>
      <c r="EK456" s="68"/>
      <c r="EL456" s="68"/>
      <c r="EM456" s="68"/>
      <c r="EN456" s="68"/>
      <c r="EO456" s="68"/>
      <c r="EP456" s="68"/>
      <c r="EQ456" s="65"/>
      <c r="ER456" s="6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5"/>
      <c r="FD456" s="15"/>
      <c r="FE456" s="15"/>
      <c r="FF456" s="15"/>
      <c r="FG456" s="15"/>
      <c r="FH456" s="1" t="str">
        <f t="shared" si="42"/>
        <v/>
      </c>
      <c r="FI456" s="1">
        <f t="shared" si="43"/>
        <v>0</v>
      </c>
      <c r="FJ456" s="38"/>
      <c r="FL456" s="13"/>
    </row>
    <row r="457" spans="1:168" ht="21" hidden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63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61"/>
      <c r="BE457" s="61"/>
      <c r="BF457" s="15"/>
      <c r="BG457" s="15"/>
      <c r="BH457" s="15"/>
      <c r="BI457" s="15"/>
      <c r="BJ457" s="15"/>
      <c r="BK457" s="15"/>
      <c r="BL457" s="15"/>
      <c r="BM457" s="15"/>
      <c r="BN457" s="15"/>
      <c r="BO457" s="64"/>
      <c r="BP457" s="15"/>
      <c r="BQ457" s="15"/>
      <c r="BR457" s="15"/>
      <c r="BS457" s="64"/>
      <c r="BT457" s="64"/>
      <c r="BU457" s="64"/>
      <c r="BV457" s="15"/>
      <c r="BW457" s="64"/>
      <c r="BX457" s="68"/>
      <c r="BY457" s="68"/>
      <c r="BZ457" s="68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15"/>
      <c r="CL457" s="68"/>
      <c r="CM457" s="68"/>
      <c r="CN457" s="68"/>
      <c r="CO457" s="68"/>
      <c r="CP457" s="68"/>
      <c r="CQ457" s="68"/>
      <c r="CR457" s="68"/>
      <c r="CS457" s="68"/>
      <c r="CT457" s="68"/>
      <c r="CU457" s="68"/>
      <c r="CV457" s="68"/>
      <c r="CW457" s="68"/>
      <c r="CX457" s="68"/>
      <c r="CY457" s="68"/>
      <c r="CZ457" s="68"/>
      <c r="DA457" s="68"/>
      <c r="DB457" s="68"/>
      <c r="DC457" s="68"/>
      <c r="DD457" s="68"/>
      <c r="DE457" s="68"/>
      <c r="DF457" s="68"/>
      <c r="DG457" s="68"/>
      <c r="DH457" s="68"/>
      <c r="DI457" s="68"/>
      <c r="DJ457" s="68"/>
      <c r="DK457" s="68"/>
      <c r="DL457" s="68"/>
      <c r="DM457" s="68"/>
      <c r="DN457" s="68"/>
      <c r="DO457" s="68"/>
      <c r="DP457" s="68"/>
      <c r="DQ457" s="68"/>
      <c r="DR457" s="68"/>
      <c r="DS457" s="68"/>
      <c r="DT457" s="68"/>
      <c r="DU457" s="68"/>
      <c r="DV457" s="68"/>
      <c r="DW457" s="68"/>
      <c r="DX457" s="68"/>
      <c r="DY457" s="68"/>
      <c r="DZ457" s="68"/>
      <c r="EA457" s="68"/>
      <c r="EB457" s="68"/>
      <c r="EC457" s="68"/>
      <c r="ED457" s="68"/>
      <c r="EE457" s="68"/>
      <c r="EF457" s="68"/>
      <c r="EG457" s="68"/>
      <c r="EH457" s="68"/>
      <c r="EI457" s="68"/>
      <c r="EJ457" s="68"/>
      <c r="EK457" s="68"/>
      <c r="EL457" s="68"/>
      <c r="EM457" s="68"/>
      <c r="EN457" s="68"/>
      <c r="EO457" s="68"/>
      <c r="EP457" s="68"/>
      <c r="EQ457" s="65"/>
      <c r="ER457" s="6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" t="str">
        <f t="shared" si="42"/>
        <v/>
      </c>
      <c r="FI457" s="1">
        <f t="shared" si="43"/>
        <v>0</v>
      </c>
      <c r="FJ457" s="38"/>
      <c r="FL457" s="13"/>
    </row>
    <row r="458" spans="1:168" ht="21" hidden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63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61"/>
      <c r="BE458" s="61"/>
      <c r="BF458" s="15"/>
      <c r="BG458" s="15"/>
      <c r="BH458" s="15"/>
      <c r="BI458" s="15"/>
      <c r="BJ458" s="15"/>
      <c r="BK458" s="15"/>
      <c r="BL458" s="15"/>
      <c r="BM458" s="15"/>
      <c r="BN458" s="15"/>
      <c r="BO458" s="64"/>
      <c r="BP458" s="15"/>
      <c r="BQ458" s="15"/>
      <c r="BR458" s="15"/>
      <c r="BS458" s="64"/>
      <c r="BT458" s="64"/>
      <c r="BU458" s="64"/>
      <c r="BV458" s="15"/>
      <c r="BW458" s="64"/>
      <c r="BX458" s="68"/>
      <c r="BY458" s="68"/>
      <c r="BZ458" s="68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15"/>
      <c r="CL458" s="68"/>
      <c r="CM458" s="68"/>
      <c r="CN458" s="68"/>
      <c r="CO458" s="68"/>
      <c r="CP458" s="68"/>
      <c r="CQ458" s="68"/>
      <c r="CR458" s="68"/>
      <c r="CS458" s="68"/>
      <c r="CT458" s="68"/>
      <c r="CU458" s="68"/>
      <c r="CV458" s="68"/>
      <c r="CW458" s="68"/>
      <c r="CX458" s="68"/>
      <c r="CY458" s="68"/>
      <c r="CZ458" s="68"/>
      <c r="DA458" s="68"/>
      <c r="DB458" s="68"/>
      <c r="DC458" s="68"/>
      <c r="DD458" s="68"/>
      <c r="DE458" s="68"/>
      <c r="DF458" s="68"/>
      <c r="DG458" s="68"/>
      <c r="DH458" s="68"/>
      <c r="DI458" s="68"/>
      <c r="DJ458" s="68"/>
      <c r="DK458" s="68"/>
      <c r="DL458" s="68"/>
      <c r="DM458" s="68"/>
      <c r="DN458" s="68"/>
      <c r="DO458" s="68"/>
      <c r="DP458" s="68"/>
      <c r="DQ458" s="68"/>
      <c r="DR458" s="68"/>
      <c r="DS458" s="68"/>
      <c r="DT458" s="68"/>
      <c r="DU458" s="68"/>
      <c r="DV458" s="68"/>
      <c r="DW458" s="68"/>
      <c r="DX458" s="68"/>
      <c r="DY458" s="68"/>
      <c r="DZ458" s="68"/>
      <c r="EA458" s="68"/>
      <c r="EB458" s="68"/>
      <c r="EC458" s="68"/>
      <c r="ED458" s="68"/>
      <c r="EE458" s="68"/>
      <c r="EF458" s="68"/>
      <c r="EG458" s="68"/>
      <c r="EH458" s="68"/>
      <c r="EI458" s="68"/>
      <c r="EJ458" s="68"/>
      <c r="EK458" s="68"/>
      <c r="EL458" s="68"/>
      <c r="EM458" s="68"/>
      <c r="EN458" s="68"/>
      <c r="EO458" s="68"/>
      <c r="EP458" s="68"/>
      <c r="EQ458" s="65"/>
      <c r="ER458" s="6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5"/>
      <c r="FD458" s="15"/>
      <c r="FE458" s="15"/>
      <c r="FF458" s="15"/>
      <c r="FG458" s="15"/>
      <c r="FH458" s="1" t="str">
        <f t="shared" si="42"/>
        <v/>
      </c>
      <c r="FI458" s="1">
        <f t="shared" si="43"/>
        <v>0</v>
      </c>
      <c r="FJ458" s="38"/>
      <c r="FL458" s="13"/>
    </row>
    <row r="459" spans="1:168" ht="21" hidden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63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61"/>
      <c r="BE459" s="61"/>
      <c r="BF459" s="15"/>
      <c r="BG459" s="15"/>
      <c r="BH459" s="15"/>
      <c r="BI459" s="15"/>
      <c r="BJ459" s="15"/>
      <c r="BK459" s="15"/>
      <c r="BL459" s="15"/>
      <c r="BM459" s="15"/>
      <c r="BN459" s="15"/>
      <c r="BO459" s="64"/>
      <c r="BP459" s="15"/>
      <c r="BQ459" s="15"/>
      <c r="BR459" s="15"/>
      <c r="BS459" s="64"/>
      <c r="BT459" s="64"/>
      <c r="BU459" s="64"/>
      <c r="BV459" s="15"/>
      <c r="BW459" s="64"/>
      <c r="BX459" s="68"/>
      <c r="BY459" s="68"/>
      <c r="BZ459" s="68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15"/>
      <c r="CL459" s="68"/>
      <c r="CM459" s="68"/>
      <c r="CN459" s="68"/>
      <c r="CO459" s="68"/>
      <c r="CP459" s="68"/>
      <c r="CQ459" s="68"/>
      <c r="CR459" s="68"/>
      <c r="CS459" s="68"/>
      <c r="CT459" s="68"/>
      <c r="CU459" s="68"/>
      <c r="CV459" s="68"/>
      <c r="CW459" s="68"/>
      <c r="CX459" s="68"/>
      <c r="CY459" s="68"/>
      <c r="CZ459" s="68"/>
      <c r="DA459" s="68"/>
      <c r="DB459" s="68"/>
      <c r="DC459" s="68"/>
      <c r="DD459" s="68"/>
      <c r="DE459" s="68"/>
      <c r="DF459" s="68"/>
      <c r="DG459" s="68"/>
      <c r="DH459" s="68"/>
      <c r="DI459" s="68"/>
      <c r="DJ459" s="68"/>
      <c r="DK459" s="68"/>
      <c r="DL459" s="68"/>
      <c r="DM459" s="68"/>
      <c r="DN459" s="68"/>
      <c r="DO459" s="68"/>
      <c r="DP459" s="68"/>
      <c r="DQ459" s="68"/>
      <c r="DR459" s="68"/>
      <c r="DS459" s="68"/>
      <c r="DT459" s="68"/>
      <c r="DU459" s="68"/>
      <c r="DV459" s="68"/>
      <c r="DW459" s="68"/>
      <c r="DX459" s="68"/>
      <c r="DY459" s="68"/>
      <c r="DZ459" s="68"/>
      <c r="EA459" s="68"/>
      <c r="EB459" s="68"/>
      <c r="EC459" s="68"/>
      <c r="ED459" s="68"/>
      <c r="EE459" s="68"/>
      <c r="EF459" s="68"/>
      <c r="EG459" s="68"/>
      <c r="EH459" s="68"/>
      <c r="EI459" s="68"/>
      <c r="EJ459" s="68"/>
      <c r="EK459" s="68"/>
      <c r="EL459" s="68"/>
      <c r="EM459" s="68"/>
      <c r="EN459" s="68"/>
      <c r="EO459" s="68"/>
      <c r="EP459" s="68"/>
      <c r="EQ459" s="65"/>
      <c r="ER459" s="6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5"/>
      <c r="FD459" s="15"/>
      <c r="FE459" s="15"/>
      <c r="FF459" s="15"/>
      <c r="FG459" s="15"/>
      <c r="FH459" s="1" t="str">
        <f t="shared" si="42"/>
        <v/>
      </c>
      <c r="FI459" s="1">
        <f t="shared" si="43"/>
        <v>0</v>
      </c>
      <c r="FJ459" s="38"/>
      <c r="FL459" s="13"/>
    </row>
    <row r="460" spans="1:168" ht="21" hidden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63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61"/>
      <c r="BE460" s="61"/>
      <c r="BF460" s="15"/>
      <c r="BG460" s="15"/>
      <c r="BH460" s="15"/>
      <c r="BI460" s="15"/>
      <c r="BJ460" s="15"/>
      <c r="BK460" s="15"/>
      <c r="BL460" s="15"/>
      <c r="BM460" s="15"/>
      <c r="BN460" s="15"/>
      <c r="BO460" s="64"/>
      <c r="BP460" s="15"/>
      <c r="BQ460" s="15"/>
      <c r="BR460" s="15"/>
      <c r="BS460" s="64"/>
      <c r="BT460" s="64"/>
      <c r="BU460" s="64"/>
      <c r="BV460" s="15"/>
      <c r="BW460" s="64"/>
      <c r="BX460" s="68"/>
      <c r="BY460" s="68"/>
      <c r="BZ460" s="68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15"/>
      <c r="CL460" s="68"/>
      <c r="CM460" s="68"/>
      <c r="CN460" s="68"/>
      <c r="CO460" s="68"/>
      <c r="CP460" s="68"/>
      <c r="CQ460" s="68"/>
      <c r="CR460" s="68"/>
      <c r="CS460" s="68"/>
      <c r="CT460" s="68"/>
      <c r="CU460" s="68"/>
      <c r="CV460" s="68"/>
      <c r="CW460" s="68"/>
      <c r="CX460" s="68"/>
      <c r="CY460" s="68"/>
      <c r="CZ460" s="68"/>
      <c r="DA460" s="68"/>
      <c r="DB460" s="68"/>
      <c r="DC460" s="68"/>
      <c r="DD460" s="68"/>
      <c r="DE460" s="68"/>
      <c r="DF460" s="68"/>
      <c r="DG460" s="68"/>
      <c r="DH460" s="68"/>
      <c r="DI460" s="68"/>
      <c r="DJ460" s="68"/>
      <c r="DK460" s="68"/>
      <c r="DL460" s="68"/>
      <c r="DM460" s="68"/>
      <c r="DN460" s="68"/>
      <c r="DO460" s="68"/>
      <c r="DP460" s="68"/>
      <c r="DQ460" s="68"/>
      <c r="DR460" s="68"/>
      <c r="DS460" s="68"/>
      <c r="DT460" s="68"/>
      <c r="DU460" s="68"/>
      <c r="DV460" s="68"/>
      <c r="DW460" s="68"/>
      <c r="DX460" s="68"/>
      <c r="DY460" s="68"/>
      <c r="DZ460" s="68"/>
      <c r="EA460" s="68"/>
      <c r="EB460" s="68"/>
      <c r="EC460" s="68"/>
      <c r="ED460" s="68"/>
      <c r="EE460" s="68"/>
      <c r="EF460" s="68"/>
      <c r="EG460" s="68"/>
      <c r="EH460" s="68"/>
      <c r="EI460" s="68"/>
      <c r="EJ460" s="68"/>
      <c r="EK460" s="68"/>
      <c r="EL460" s="68"/>
      <c r="EM460" s="68"/>
      <c r="EN460" s="68"/>
      <c r="EO460" s="68"/>
      <c r="EP460" s="68"/>
      <c r="EQ460" s="65"/>
      <c r="ER460" s="6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" t="str">
        <f t="shared" si="42"/>
        <v/>
      </c>
      <c r="FI460" s="1">
        <f t="shared" si="43"/>
        <v>0</v>
      </c>
      <c r="FJ460" s="38"/>
      <c r="FL460" s="13"/>
    </row>
    <row r="461" spans="1:168" ht="21" hidden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63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61"/>
      <c r="BE461" s="61"/>
      <c r="BF461" s="15"/>
      <c r="BG461" s="15"/>
      <c r="BH461" s="15"/>
      <c r="BI461" s="15"/>
      <c r="BJ461" s="15"/>
      <c r="BK461" s="15"/>
      <c r="BL461" s="15"/>
      <c r="BM461" s="15"/>
      <c r="BN461" s="15"/>
      <c r="BO461" s="64"/>
      <c r="BP461" s="15"/>
      <c r="BQ461" s="15"/>
      <c r="BR461" s="15"/>
      <c r="BS461" s="64"/>
      <c r="BT461" s="64"/>
      <c r="BU461" s="64"/>
      <c r="BV461" s="15"/>
      <c r="BW461" s="64"/>
      <c r="BX461" s="68"/>
      <c r="BY461" s="68"/>
      <c r="BZ461" s="68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15"/>
      <c r="CL461" s="68"/>
      <c r="CM461" s="68"/>
      <c r="CN461" s="68"/>
      <c r="CO461" s="68"/>
      <c r="CP461" s="68"/>
      <c r="CQ461" s="68"/>
      <c r="CR461" s="68"/>
      <c r="CS461" s="68"/>
      <c r="CT461" s="68"/>
      <c r="CU461" s="68"/>
      <c r="CV461" s="68"/>
      <c r="CW461" s="68"/>
      <c r="CX461" s="68"/>
      <c r="CY461" s="68"/>
      <c r="CZ461" s="68"/>
      <c r="DA461" s="68"/>
      <c r="DB461" s="68"/>
      <c r="DC461" s="68"/>
      <c r="DD461" s="68"/>
      <c r="DE461" s="68"/>
      <c r="DF461" s="68"/>
      <c r="DG461" s="68"/>
      <c r="DH461" s="68"/>
      <c r="DI461" s="68"/>
      <c r="DJ461" s="68"/>
      <c r="DK461" s="68"/>
      <c r="DL461" s="68"/>
      <c r="DM461" s="68"/>
      <c r="DN461" s="68"/>
      <c r="DO461" s="68"/>
      <c r="DP461" s="68"/>
      <c r="DQ461" s="68"/>
      <c r="DR461" s="68"/>
      <c r="DS461" s="68"/>
      <c r="DT461" s="68"/>
      <c r="DU461" s="68"/>
      <c r="DV461" s="68"/>
      <c r="DW461" s="68"/>
      <c r="DX461" s="68"/>
      <c r="DY461" s="68"/>
      <c r="DZ461" s="68"/>
      <c r="EA461" s="68"/>
      <c r="EB461" s="68"/>
      <c r="EC461" s="68"/>
      <c r="ED461" s="68"/>
      <c r="EE461" s="68"/>
      <c r="EF461" s="68"/>
      <c r="EG461" s="68"/>
      <c r="EH461" s="68"/>
      <c r="EI461" s="68"/>
      <c r="EJ461" s="68"/>
      <c r="EK461" s="68"/>
      <c r="EL461" s="68"/>
      <c r="EM461" s="68"/>
      <c r="EN461" s="68"/>
      <c r="EO461" s="68"/>
      <c r="EP461" s="68"/>
      <c r="EQ461" s="65"/>
      <c r="ER461" s="6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" t="str">
        <f t="shared" si="42"/>
        <v/>
      </c>
      <c r="FI461" s="1">
        <f t="shared" si="43"/>
        <v>0</v>
      </c>
      <c r="FJ461" s="38"/>
      <c r="FL461" s="13"/>
    </row>
    <row r="462" spans="1:168" ht="21" hidden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63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61"/>
      <c r="BE462" s="61"/>
      <c r="BF462" s="15"/>
      <c r="BG462" s="15"/>
      <c r="BH462" s="15"/>
      <c r="BI462" s="15"/>
      <c r="BJ462" s="15"/>
      <c r="BK462" s="15"/>
      <c r="BL462" s="15"/>
      <c r="BM462" s="15"/>
      <c r="BN462" s="15"/>
      <c r="BO462" s="64"/>
      <c r="BP462" s="15"/>
      <c r="BQ462" s="15"/>
      <c r="BR462" s="15"/>
      <c r="BS462" s="64"/>
      <c r="BT462" s="64"/>
      <c r="BU462" s="64"/>
      <c r="BV462" s="15"/>
      <c r="BW462" s="64"/>
      <c r="BX462" s="68"/>
      <c r="BY462" s="68"/>
      <c r="BZ462" s="68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15"/>
      <c r="CL462" s="68"/>
      <c r="CM462" s="68"/>
      <c r="CN462" s="68"/>
      <c r="CO462" s="68"/>
      <c r="CP462" s="68"/>
      <c r="CQ462" s="68"/>
      <c r="CR462" s="68"/>
      <c r="CS462" s="68"/>
      <c r="CT462" s="68"/>
      <c r="CU462" s="68"/>
      <c r="CV462" s="68"/>
      <c r="CW462" s="68"/>
      <c r="CX462" s="68"/>
      <c r="CY462" s="68"/>
      <c r="CZ462" s="68"/>
      <c r="DA462" s="68"/>
      <c r="DB462" s="68"/>
      <c r="DC462" s="68"/>
      <c r="DD462" s="68"/>
      <c r="DE462" s="68"/>
      <c r="DF462" s="68"/>
      <c r="DG462" s="68"/>
      <c r="DH462" s="68"/>
      <c r="DI462" s="68"/>
      <c r="DJ462" s="68"/>
      <c r="DK462" s="68"/>
      <c r="DL462" s="68"/>
      <c r="DM462" s="68"/>
      <c r="DN462" s="68"/>
      <c r="DO462" s="68"/>
      <c r="DP462" s="68"/>
      <c r="DQ462" s="68"/>
      <c r="DR462" s="68"/>
      <c r="DS462" s="68"/>
      <c r="DT462" s="68"/>
      <c r="DU462" s="68"/>
      <c r="DV462" s="68"/>
      <c r="DW462" s="68"/>
      <c r="DX462" s="68"/>
      <c r="DY462" s="68"/>
      <c r="DZ462" s="68"/>
      <c r="EA462" s="68"/>
      <c r="EB462" s="68"/>
      <c r="EC462" s="68"/>
      <c r="ED462" s="68"/>
      <c r="EE462" s="68"/>
      <c r="EF462" s="68"/>
      <c r="EG462" s="68"/>
      <c r="EH462" s="68"/>
      <c r="EI462" s="68"/>
      <c r="EJ462" s="68"/>
      <c r="EK462" s="68"/>
      <c r="EL462" s="68"/>
      <c r="EM462" s="68"/>
      <c r="EN462" s="68"/>
      <c r="EO462" s="68"/>
      <c r="EP462" s="68"/>
      <c r="EQ462" s="65"/>
      <c r="ER462" s="6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" t="str">
        <f t="shared" ref="FH462:FH525" si="44">H462&amp;D462</f>
        <v/>
      </c>
      <c r="FI462" s="1">
        <f t="shared" ref="FI462:FI525" si="45">A462</f>
        <v>0</v>
      </c>
      <c r="FJ462" s="38"/>
      <c r="FL462" s="13"/>
    </row>
    <row r="463" spans="1:168" ht="21" hidden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63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61"/>
      <c r="BE463" s="61"/>
      <c r="BF463" s="15"/>
      <c r="BG463" s="15"/>
      <c r="BH463" s="15"/>
      <c r="BI463" s="15"/>
      <c r="BJ463" s="15"/>
      <c r="BK463" s="15"/>
      <c r="BL463" s="15"/>
      <c r="BM463" s="15"/>
      <c r="BN463" s="15"/>
      <c r="BO463" s="64"/>
      <c r="BP463" s="15"/>
      <c r="BQ463" s="15"/>
      <c r="BR463" s="15"/>
      <c r="BS463" s="64"/>
      <c r="BT463" s="64"/>
      <c r="BU463" s="64"/>
      <c r="BV463" s="15"/>
      <c r="BW463" s="64"/>
      <c r="BX463" s="68"/>
      <c r="BY463" s="68"/>
      <c r="BZ463" s="68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15"/>
      <c r="CL463" s="68"/>
      <c r="CM463" s="68"/>
      <c r="CN463" s="68"/>
      <c r="CO463" s="68"/>
      <c r="CP463" s="68"/>
      <c r="CQ463" s="68"/>
      <c r="CR463" s="68"/>
      <c r="CS463" s="68"/>
      <c r="CT463" s="68"/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8"/>
      <c r="DF463" s="68"/>
      <c r="DG463" s="68"/>
      <c r="DH463" s="68"/>
      <c r="DI463" s="68"/>
      <c r="DJ463" s="68"/>
      <c r="DK463" s="68"/>
      <c r="DL463" s="68"/>
      <c r="DM463" s="68"/>
      <c r="DN463" s="68"/>
      <c r="DO463" s="68"/>
      <c r="DP463" s="68"/>
      <c r="DQ463" s="68"/>
      <c r="DR463" s="68"/>
      <c r="DS463" s="68"/>
      <c r="DT463" s="68"/>
      <c r="DU463" s="68"/>
      <c r="DV463" s="68"/>
      <c r="DW463" s="68"/>
      <c r="DX463" s="68"/>
      <c r="DY463" s="68"/>
      <c r="DZ463" s="68"/>
      <c r="EA463" s="68"/>
      <c r="EB463" s="68"/>
      <c r="EC463" s="68"/>
      <c r="ED463" s="68"/>
      <c r="EE463" s="68"/>
      <c r="EF463" s="68"/>
      <c r="EG463" s="68"/>
      <c r="EH463" s="68"/>
      <c r="EI463" s="68"/>
      <c r="EJ463" s="68"/>
      <c r="EK463" s="68"/>
      <c r="EL463" s="68"/>
      <c r="EM463" s="68"/>
      <c r="EN463" s="68"/>
      <c r="EO463" s="68"/>
      <c r="EP463" s="68"/>
      <c r="EQ463" s="65"/>
      <c r="ER463" s="6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5"/>
      <c r="FD463" s="15"/>
      <c r="FE463" s="15"/>
      <c r="FF463" s="15"/>
      <c r="FG463" s="15"/>
      <c r="FH463" s="1" t="str">
        <f t="shared" si="44"/>
        <v/>
      </c>
      <c r="FI463" s="1">
        <f t="shared" si="45"/>
        <v>0</v>
      </c>
      <c r="FJ463" s="38"/>
      <c r="FL463" s="13"/>
    </row>
    <row r="464" spans="1:168" ht="21" hidden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63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61"/>
      <c r="BE464" s="61"/>
      <c r="BF464" s="15"/>
      <c r="BG464" s="15"/>
      <c r="BH464" s="15"/>
      <c r="BI464" s="15"/>
      <c r="BJ464" s="15"/>
      <c r="BK464" s="15"/>
      <c r="BL464" s="15"/>
      <c r="BM464" s="15"/>
      <c r="BN464" s="15"/>
      <c r="BO464" s="64"/>
      <c r="BP464" s="15"/>
      <c r="BQ464" s="15"/>
      <c r="BR464" s="15"/>
      <c r="BS464" s="64"/>
      <c r="BT464" s="64"/>
      <c r="BU464" s="64"/>
      <c r="BV464" s="15"/>
      <c r="BW464" s="64"/>
      <c r="BX464" s="68"/>
      <c r="BY464" s="68"/>
      <c r="BZ464" s="68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15"/>
      <c r="CL464" s="68"/>
      <c r="CM464" s="68"/>
      <c r="CN464" s="68"/>
      <c r="CO464" s="68"/>
      <c r="CP464" s="68"/>
      <c r="CQ464" s="68"/>
      <c r="CR464" s="68"/>
      <c r="CS464" s="68"/>
      <c r="CT464" s="68"/>
      <c r="CU464" s="68"/>
      <c r="CV464" s="68"/>
      <c r="CW464" s="68"/>
      <c r="CX464" s="68"/>
      <c r="CY464" s="68"/>
      <c r="CZ464" s="68"/>
      <c r="DA464" s="68"/>
      <c r="DB464" s="68"/>
      <c r="DC464" s="68"/>
      <c r="DD464" s="68"/>
      <c r="DE464" s="68"/>
      <c r="DF464" s="68"/>
      <c r="DG464" s="68"/>
      <c r="DH464" s="68"/>
      <c r="DI464" s="68"/>
      <c r="DJ464" s="68"/>
      <c r="DK464" s="68"/>
      <c r="DL464" s="68"/>
      <c r="DM464" s="68"/>
      <c r="DN464" s="68"/>
      <c r="DO464" s="68"/>
      <c r="DP464" s="68"/>
      <c r="DQ464" s="68"/>
      <c r="DR464" s="68"/>
      <c r="DS464" s="68"/>
      <c r="DT464" s="68"/>
      <c r="DU464" s="68"/>
      <c r="DV464" s="68"/>
      <c r="DW464" s="68"/>
      <c r="DX464" s="68"/>
      <c r="DY464" s="68"/>
      <c r="DZ464" s="68"/>
      <c r="EA464" s="68"/>
      <c r="EB464" s="68"/>
      <c r="EC464" s="68"/>
      <c r="ED464" s="68"/>
      <c r="EE464" s="68"/>
      <c r="EF464" s="68"/>
      <c r="EG464" s="68"/>
      <c r="EH464" s="68"/>
      <c r="EI464" s="68"/>
      <c r="EJ464" s="68"/>
      <c r="EK464" s="68"/>
      <c r="EL464" s="68"/>
      <c r="EM464" s="68"/>
      <c r="EN464" s="68"/>
      <c r="EO464" s="68"/>
      <c r="EP464" s="68"/>
      <c r="EQ464" s="65"/>
      <c r="ER464" s="6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" t="str">
        <f t="shared" si="44"/>
        <v/>
      </c>
      <c r="FI464" s="1">
        <f t="shared" si="45"/>
        <v>0</v>
      </c>
      <c r="FJ464" s="38"/>
      <c r="FL464" s="13"/>
    </row>
    <row r="465" spans="1:168" ht="21" hidden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63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61"/>
      <c r="BE465" s="61"/>
      <c r="BF465" s="15"/>
      <c r="BG465" s="15"/>
      <c r="BH465" s="15"/>
      <c r="BI465" s="15"/>
      <c r="BJ465" s="15"/>
      <c r="BK465" s="15"/>
      <c r="BL465" s="15"/>
      <c r="BM465" s="15"/>
      <c r="BN465" s="15"/>
      <c r="BO465" s="64"/>
      <c r="BP465" s="15"/>
      <c r="BQ465" s="15"/>
      <c r="BR465" s="15"/>
      <c r="BS465" s="64"/>
      <c r="BT465" s="64"/>
      <c r="BU465" s="64"/>
      <c r="BV465" s="15"/>
      <c r="BW465" s="64"/>
      <c r="BX465" s="68"/>
      <c r="BY465" s="68"/>
      <c r="BZ465" s="68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15"/>
      <c r="CL465" s="68"/>
      <c r="CM465" s="68"/>
      <c r="CN465" s="68"/>
      <c r="CO465" s="68"/>
      <c r="CP465" s="68"/>
      <c r="CQ465" s="68"/>
      <c r="CR465" s="68"/>
      <c r="CS465" s="68"/>
      <c r="CT465" s="68"/>
      <c r="CU465" s="68"/>
      <c r="CV465" s="68"/>
      <c r="CW465" s="68"/>
      <c r="CX465" s="68"/>
      <c r="CY465" s="68"/>
      <c r="CZ465" s="68"/>
      <c r="DA465" s="68"/>
      <c r="DB465" s="68"/>
      <c r="DC465" s="68"/>
      <c r="DD465" s="68"/>
      <c r="DE465" s="68"/>
      <c r="DF465" s="68"/>
      <c r="DG465" s="68"/>
      <c r="DH465" s="68"/>
      <c r="DI465" s="68"/>
      <c r="DJ465" s="68"/>
      <c r="DK465" s="68"/>
      <c r="DL465" s="68"/>
      <c r="DM465" s="68"/>
      <c r="DN465" s="68"/>
      <c r="DO465" s="68"/>
      <c r="DP465" s="68"/>
      <c r="DQ465" s="68"/>
      <c r="DR465" s="68"/>
      <c r="DS465" s="68"/>
      <c r="DT465" s="68"/>
      <c r="DU465" s="68"/>
      <c r="DV465" s="68"/>
      <c r="DW465" s="68"/>
      <c r="DX465" s="68"/>
      <c r="DY465" s="68"/>
      <c r="DZ465" s="68"/>
      <c r="EA465" s="68"/>
      <c r="EB465" s="68"/>
      <c r="EC465" s="68"/>
      <c r="ED465" s="68"/>
      <c r="EE465" s="68"/>
      <c r="EF465" s="68"/>
      <c r="EG465" s="68"/>
      <c r="EH465" s="68"/>
      <c r="EI465" s="68"/>
      <c r="EJ465" s="68"/>
      <c r="EK465" s="68"/>
      <c r="EL465" s="68"/>
      <c r="EM465" s="68"/>
      <c r="EN465" s="68"/>
      <c r="EO465" s="68"/>
      <c r="EP465" s="68"/>
      <c r="EQ465" s="65"/>
      <c r="ER465" s="6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5"/>
      <c r="FD465" s="15"/>
      <c r="FE465" s="15"/>
      <c r="FF465" s="15"/>
      <c r="FG465" s="15"/>
      <c r="FH465" s="1" t="str">
        <f t="shared" si="44"/>
        <v/>
      </c>
      <c r="FI465" s="1">
        <f t="shared" si="45"/>
        <v>0</v>
      </c>
      <c r="FJ465" s="38"/>
      <c r="FL465" s="13"/>
    </row>
    <row r="466" spans="1:168" ht="21" hidden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63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61"/>
      <c r="BE466" s="61"/>
      <c r="BF466" s="15"/>
      <c r="BG466" s="15"/>
      <c r="BH466" s="15"/>
      <c r="BI466" s="15"/>
      <c r="BJ466" s="15"/>
      <c r="BK466" s="15"/>
      <c r="BL466" s="15"/>
      <c r="BM466" s="15"/>
      <c r="BN466" s="15"/>
      <c r="BO466" s="64"/>
      <c r="BP466" s="15"/>
      <c r="BQ466" s="15"/>
      <c r="BR466" s="15"/>
      <c r="BS466" s="64"/>
      <c r="BT466" s="64"/>
      <c r="BU466" s="64"/>
      <c r="BV466" s="15"/>
      <c r="BW466" s="64"/>
      <c r="BX466" s="68"/>
      <c r="BY466" s="68"/>
      <c r="BZ466" s="68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15"/>
      <c r="CL466" s="68"/>
      <c r="CM466" s="68"/>
      <c r="CN466" s="68"/>
      <c r="CO466" s="68"/>
      <c r="CP466" s="68"/>
      <c r="CQ466" s="68"/>
      <c r="CR466" s="68"/>
      <c r="CS466" s="68"/>
      <c r="CT466" s="68"/>
      <c r="CU466" s="68"/>
      <c r="CV466" s="68"/>
      <c r="CW466" s="68"/>
      <c r="CX466" s="68"/>
      <c r="CY466" s="68"/>
      <c r="CZ466" s="68"/>
      <c r="DA466" s="68"/>
      <c r="DB466" s="68"/>
      <c r="DC466" s="68"/>
      <c r="DD466" s="68"/>
      <c r="DE466" s="68"/>
      <c r="DF466" s="68"/>
      <c r="DG466" s="68"/>
      <c r="DH466" s="68"/>
      <c r="DI466" s="68"/>
      <c r="DJ466" s="68"/>
      <c r="DK466" s="68"/>
      <c r="DL466" s="68"/>
      <c r="DM466" s="68"/>
      <c r="DN466" s="68"/>
      <c r="DO466" s="68"/>
      <c r="DP466" s="68"/>
      <c r="DQ466" s="68"/>
      <c r="DR466" s="68"/>
      <c r="DS466" s="68"/>
      <c r="DT466" s="68"/>
      <c r="DU466" s="68"/>
      <c r="DV466" s="68"/>
      <c r="DW466" s="68"/>
      <c r="DX466" s="68"/>
      <c r="DY466" s="68"/>
      <c r="DZ466" s="68"/>
      <c r="EA466" s="68"/>
      <c r="EB466" s="68"/>
      <c r="EC466" s="68"/>
      <c r="ED466" s="68"/>
      <c r="EE466" s="68"/>
      <c r="EF466" s="68"/>
      <c r="EG466" s="68"/>
      <c r="EH466" s="68"/>
      <c r="EI466" s="68"/>
      <c r="EJ466" s="68"/>
      <c r="EK466" s="68"/>
      <c r="EL466" s="68"/>
      <c r="EM466" s="68"/>
      <c r="EN466" s="68"/>
      <c r="EO466" s="68"/>
      <c r="EP466" s="68"/>
      <c r="EQ466" s="65"/>
      <c r="ER466" s="6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" t="str">
        <f t="shared" si="44"/>
        <v/>
      </c>
      <c r="FI466" s="1">
        <f t="shared" si="45"/>
        <v>0</v>
      </c>
      <c r="FJ466" s="38"/>
      <c r="FL466" s="13"/>
    </row>
    <row r="467" spans="1:168" ht="21" hidden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63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61"/>
      <c r="BE467" s="61"/>
      <c r="BF467" s="15"/>
      <c r="BG467" s="15"/>
      <c r="BH467" s="15"/>
      <c r="BI467" s="15"/>
      <c r="BJ467" s="15"/>
      <c r="BK467" s="15"/>
      <c r="BL467" s="15"/>
      <c r="BM467" s="15"/>
      <c r="BN467" s="15"/>
      <c r="BO467" s="64"/>
      <c r="BP467" s="15"/>
      <c r="BQ467" s="15"/>
      <c r="BR467" s="15"/>
      <c r="BS467" s="64"/>
      <c r="BT467" s="64"/>
      <c r="BU467" s="64"/>
      <c r="BV467" s="15"/>
      <c r="BW467" s="64"/>
      <c r="BX467" s="68"/>
      <c r="BY467" s="68"/>
      <c r="BZ467" s="68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15"/>
      <c r="CL467" s="68"/>
      <c r="CM467" s="68"/>
      <c r="CN467" s="68"/>
      <c r="CO467" s="68"/>
      <c r="CP467" s="68"/>
      <c r="CQ467" s="68"/>
      <c r="CR467" s="68"/>
      <c r="CS467" s="68"/>
      <c r="CT467" s="68"/>
      <c r="CU467" s="68"/>
      <c r="CV467" s="68"/>
      <c r="CW467" s="68"/>
      <c r="CX467" s="68"/>
      <c r="CY467" s="68"/>
      <c r="CZ467" s="68"/>
      <c r="DA467" s="68"/>
      <c r="DB467" s="68"/>
      <c r="DC467" s="68"/>
      <c r="DD467" s="68"/>
      <c r="DE467" s="68"/>
      <c r="DF467" s="68"/>
      <c r="DG467" s="68"/>
      <c r="DH467" s="68"/>
      <c r="DI467" s="68"/>
      <c r="DJ467" s="68"/>
      <c r="DK467" s="68"/>
      <c r="DL467" s="68"/>
      <c r="DM467" s="68"/>
      <c r="DN467" s="68"/>
      <c r="DO467" s="68"/>
      <c r="DP467" s="68"/>
      <c r="DQ467" s="68"/>
      <c r="DR467" s="68"/>
      <c r="DS467" s="68"/>
      <c r="DT467" s="68"/>
      <c r="DU467" s="68"/>
      <c r="DV467" s="68"/>
      <c r="DW467" s="68"/>
      <c r="DX467" s="68"/>
      <c r="DY467" s="68"/>
      <c r="DZ467" s="68"/>
      <c r="EA467" s="68"/>
      <c r="EB467" s="68"/>
      <c r="EC467" s="68"/>
      <c r="ED467" s="68"/>
      <c r="EE467" s="68"/>
      <c r="EF467" s="68"/>
      <c r="EG467" s="68"/>
      <c r="EH467" s="68"/>
      <c r="EI467" s="68"/>
      <c r="EJ467" s="68"/>
      <c r="EK467" s="68"/>
      <c r="EL467" s="68"/>
      <c r="EM467" s="68"/>
      <c r="EN467" s="68"/>
      <c r="EO467" s="68"/>
      <c r="EP467" s="68"/>
      <c r="EQ467" s="65"/>
      <c r="ER467" s="6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" t="str">
        <f t="shared" si="44"/>
        <v/>
      </c>
      <c r="FI467" s="1">
        <f t="shared" si="45"/>
        <v>0</v>
      </c>
      <c r="FJ467" s="38"/>
      <c r="FL467" s="13"/>
    </row>
    <row r="468" spans="1:168" ht="21" hidden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63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61"/>
      <c r="BE468" s="61"/>
      <c r="BF468" s="15"/>
      <c r="BG468" s="15"/>
      <c r="BH468" s="15"/>
      <c r="BI468" s="15"/>
      <c r="BJ468" s="15"/>
      <c r="BK468" s="15"/>
      <c r="BL468" s="15"/>
      <c r="BM468" s="15"/>
      <c r="BN468" s="15"/>
      <c r="BO468" s="64"/>
      <c r="BP468" s="15"/>
      <c r="BQ468" s="15"/>
      <c r="BR468" s="15"/>
      <c r="BS468" s="64"/>
      <c r="BT468" s="64"/>
      <c r="BU468" s="64"/>
      <c r="BV468" s="15"/>
      <c r="BW468" s="64"/>
      <c r="BX468" s="68"/>
      <c r="BY468" s="68"/>
      <c r="BZ468" s="68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15"/>
      <c r="CL468" s="68"/>
      <c r="CM468" s="68"/>
      <c r="CN468" s="68"/>
      <c r="CO468" s="68"/>
      <c r="CP468" s="68"/>
      <c r="CQ468" s="68"/>
      <c r="CR468" s="68"/>
      <c r="CS468" s="68"/>
      <c r="CT468" s="68"/>
      <c r="CU468" s="68"/>
      <c r="CV468" s="68"/>
      <c r="CW468" s="68"/>
      <c r="CX468" s="68"/>
      <c r="CY468" s="68"/>
      <c r="CZ468" s="68"/>
      <c r="DA468" s="68"/>
      <c r="DB468" s="68"/>
      <c r="DC468" s="68"/>
      <c r="DD468" s="68"/>
      <c r="DE468" s="68"/>
      <c r="DF468" s="68"/>
      <c r="DG468" s="68"/>
      <c r="DH468" s="68"/>
      <c r="DI468" s="68"/>
      <c r="DJ468" s="68"/>
      <c r="DK468" s="68"/>
      <c r="DL468" s="68"/>
      <c r="DM468" s="68"/>
      <c r="DN468" s="68"/>
      <c r="DO468" s="68"/>
      <c r="DP468" s="68"/>
      <c r="DQ468" s="68"/>
      <c r="DR468" s="68"/>
      <c r="DS468" s="68"/>
      <c r="DT468" s="68"/>
      <c r="DU468" s="68"/>
      <c r="DV468" s="68"/>
      <c r="DW468" s="68"/>
      <c r="DX468" s="68"/>
      <c r="DY468" s="68"/>
      <c r="DZ468" s="68"/>
      <c r="EA468" s="68"/>
      <c r="EB468" s="68"/>
      <c r="EC468" s="68"/>
      <c r="ED468" s="68"/>
      <c r="EE468" s="68"/>
      <c r="EF468" s="68"/>
      <c r="EG468" s="68"/>
      <c r="EH468" s="68"/>
      <c r="EI468" s="68"/>
      <c r="EJ468" s="68"/>
      <c r="EK468" s="68"/>
      <c r="EL468" s="68"/>
      <c r="EM468" s="68"/>
      <c r="EN468" s="68"/>
      <c r="EO468" s="68"/>
      <c r="EP468" s="68"/>
      <c r="EQ468" s="65"/>
      <c r="ER468" s="6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" t="str">
        <f t="shared" si="44"/>
        <v/>
      </c>
      <c r="FI468" s="1">
        <f t="shared" si="45"/>
        <v>0</v>
      </c>
      <c r="FJ468" s="38"/>
      <c r="FL468" s="13"/>
    </row>
    <row r="469" spans="1:168" ht="21" hidden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63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61"/>
      <c r="BE469" s="61"/>
      <c r="BF469" s="15"/>
      <c r="BG469" s="15"/>
      <c r="BH469" s="15"/>
      <c r="BI469" s="15"/>
      <c r="BJ469" s="15"/>
      <c r="BK469" s="15"/>
      <c r="BL469" s="15"/>
      <c r="BM469" s="15"/>
      <c r="BN469" s="15"/>
      <c r="BO469" s="64"/>
      <c r="BP469" s="15"/>
      <c r="BQ469" s="15"/>
      <c r="BR469" s="15"/>
      <c r="BS469" s="64"/>
      <c r="BT469" s="64"/>
      <c r="BU469" s="64"/>
      <c r="BV469" s="15"/>
      <c r="BW469" s="64"/>
      <c r="BX469" s="68"/>
      <c r="BY469" s="68"/>
      <c r="BZ469" s="68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15"/>
      <c r="CL469" s="68"/>
      <c r="CM469" s="68"/>
      <c r="CN469" s="68"/>
      <c r="CO469" s="68"/>
      <c r="CP469" s="68"/>
      <c r="CQ469" s="68"/>
      <c r="CR469" s="68"/>
      <c r="CS469" s="68"/>
      <c r="CT469" s="68"/>
      <c r="CU469" s="68"/>
      <c r="CV469" s="68"/>
      <c r="CW469" s="68"/>
      <c r="CX469" s="68"/>
      <c r="CY469" s="68"/>
      <c r="CZ469" s="68"/>
      <c r="DA469" s="68"/>
      <c r="DB469" s="68"/>
      <c r="DC469" s="68"/>
      <c r="DD469" s="68"/>
      <c r="DE469" s="68"/>
      <c r="DF469" s="68"/>
      <c r="DG469" s="68"/>
      <c r="DH469" s="68"/>
      <c r="DI469" s="68"/>
      <c r="DJ469" s="68"/>
      <c r="DK469" s="68"/>
      <c r="DL469" s="68"/>
      <c r="DM469" s="68"/>
      <c r="DN469" s="68"/>
      <c r="DO469" s="68"/>
      <c r="DP469" s="68"/>
      <c r="DQ469" s="68"/>
      <c r="DR469" s="68"/>
      <c r="DS469" s="68"/>
      <c r="DT469" s="68"/>
      <c r="DU469" s="68"/>
      <c r="DV469" s="68"/>
      <c r="DW469" s="68"/>
      <c r="DX469" s="68"/>
      <c r="DY469" s="68"/>
      <c r="DZ469" s="68"/>
      <c r="EA469" s="68"/>
      <c r="EB469" s="68"/>
      <c r="EC469" s="68"/>
      <c r="ED469" s="68"/>
      <c r="EE469" s="68"/>
      <c r="EF469" s="68"/>
      <c r="EG469" s="68"/>
      <c r="EH469" s="68"/>
      <c r="EI469" s="68"/>
      <c r="EJ469" s="68"/>
      <c r="EK469" s="68"/>
      <c r="EL469" s="68"/>
      <c r="EM469" s="68"/>
      <c r="EN469" s="68"/>
      <c r="EO469" s="68"/>
      <c r="EP469" s="68"/>
      <c r="EQ469" s="65"/>
      <c r="ER469" s="6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" t="str">
        <f t="shared" si="44"/>
        <v/>
      </c>
      <c r="FI469" s="1">
        <f t="shared" si="45"/>
        <v>0</v>
      </c>
      <c r="FJ469" s="38"/>
      <c r="FL469" s="13"/>
    </row>
    <row r="470" spans="1:168" ht="21" hidden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63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61"/>
      <c r="BE470" s="61"/>
      <c r="BF470" s="15"/>
      <c r="BG470" s="15"/>
      <c r="BH470" s="15"/>
      <c r="BI470" s="15"/>
      <c r="BJ470" s="15"/>
      <c r="BK470" s="15"/>
      <c r="BL470" s="15"/>
      <c r="BM470" s="15"/>
      <c r="BN470" s="15"/>
      <c r="BO470" s="64"/>
      <c r="BP470" s="15"/>
      <c r="BQ470" s="15"/>
      <c r="BR470" s="15"/>
      <c r="BS470" s="64"/>
      <c r="BT470" s="64"/>
      <c r="BU470" s="64"/>
      <c r="BV470" s="15"/>
      <c r="BW470" s="64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15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  <c r="EE470" s="68"/>
      <c r="EF470" s="68"/>
      <c r="EG470" s="68"/>
      <c r="EH470" s="68"/>
      <c r="EI470" s="68"/>
      <c r="EJ470" s="68"/>
      <c r="EK470" s="68"/>
      <c r="EL470" s="68"/>
      <c r="EM470" s="68"/>
      <c r="EN470" s="68"/>
      <c r="EO470" s="68"/>
      <c r="EP470" s="68"/>
      <c r="EQ470" s="65"/>
      <c r="ER470" s="6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" t="str">
        <f t="shared" si="44"/>
        <v/>
      </c>
      <c r="FI470" s="1">
        <f t="shared" si="45"/>
        <v>0</v>
      </c>
      <c r="FJ470" s="38"/>
      <c r="FL470" s="13"/>
    </row>
    <row r="471" spans="1:168" ht="21" hidden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63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61"/>
      <c r="BE471" s="61"/>
      <c r="BF471" s="15"/>
      <c r="BG471" s="15"/>
      <c r="BH471" s="15"/>
      <c r="BI471" s="15"/>
      <c r="BJ471" s="15"/>
      <c r="BK471" s="15"/>
      <c r="BL471" s="15"/>
      <c r="BM471" s="15"/>
      <c r="BN471" s="15"/>
      <c r="BO471" s="64"/>
      <c r="BP471" s="15"/>
      <c r="BQ471" s="15"/>
      <c r="BR471" s="15"/>
      <c r="BS471" s="64"/>
      <c r="BT471" s="64"/>
      <c r="BU471" s="64"/>
      <c r="BV471" s="15"/>
      <c r="BW471" s="64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15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  <c r="EE471" s="68"/>
      <c r="EF471" s="68"/>
      <c r="EG471" s="68"/>
      <c r="EH471" s="68"/>
      <c r="EI471" s="68"/>
      <c r="EJ471" s="68"/>
      <c r="EK471" s="68"/>
      <c r="EL471" s="68"/>
      <c r="EM471" s="68"/>
      <c r="EN471" s="68"/>
      <c r="EO471" s="68"/>
      <c r="EP471" s="68"/>
      <c r="EQ471" s="65"/>
      <c r="ER471" s="6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" t="str">
        <f t="shared" si="44"/>
        <v/>
      </c>
      <c r="FI471" s="1">
        <f t="shared" si="45"/>
        <v>0</v>
      </c>
      <c r="FJ471" s="38"/>
      <c r="FL471" s="13"/>
    </row>
    <row r="472" spans="1:168" ht="21" hidden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63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61"/>
      <c r="BE472" s="61"/>
      <c r="BF472" s="15"/>
      <c r="BG472" s="15"/>
      <c r="BH472" s="15"/>
      <c r="BI472" s="15"/>
      <c r="BJ472" s="15"/>
      <c r="BK472" s="15"/>
      <c r="BL472" s="15"/>
      <c r="BM472" s="15"/>
      <c r="BN472" s="15"/>
      <c r="BO472" s="64"/>
      <c r="BP472" s="15"/>
      <c r="BQ472" s="15"/>
      <c r="BR472" s="15"/>
      <c r="BS472" s="64"/>
      <c r="BT472" s="64"/>
      <c r="BU472" s="64"/>
      <c r="BV472" s="15"/>
      <c r="BW472" s="64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15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  <c r="EE472" s="68"/>
      <c r="EF472" s="68"/>
      <c r="EG472" s="68"/>
      <c r="EH472" s="68"/>
      <c r="EI472" s="68"/>
      <c r="EJ472" s="68"/>
      <c r="EK472" s="68"/>
      <c r="EL472" s="68"/>
      <c r="EM472" s="68"/>
      <c r="EN472" s="68"/>
      <c r="EO472" s="68"/>
      <c r="EP472" s="68"/>
      <c r="EQ472" s="65"/>
      <c r="ER472" s="6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" t="str">
        <f t="shared" si="44"/>
        <v/>
      </c>
      <c r="FI472" s="1">
        <f t="shared" si="45"/>
        <v>0</v>
      </c>
      <c r="FJ472" s="38"/>
      <c r="FL472" s="13"/>
    </row>
    <row r="473" spans="1:168" ht="21" hidden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63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61"/>
      <c r="BE473" s="61"/>
      <c r="BF473" s="15"/>
      <c r="BG473" s="15"/>
      <c r="BH473" s="15"/>
      <c r="BI473" s="15"/>
      <c r="BJ473" s="15"/>
      <c r="BK473" s="15"/>
      <c r="BL473" s="15"/>
      <c r="BM473" s="15"/>
      <c r="BN473" s="15"/>
      <c r="BO473" s="64"/>
      <c r="BP473" s="15"/>
      <c r="BQ473" s="15"/>
      <c r="BR473" s="15"/>
      <c r="BS473" s="64"/>
      <c r="BT473" s="64"/>
      <c r="BU473" s="64"/>
      <c r="BV473" s="15"/>
      <c r="BW473" s="64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15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  <c r="EE473" s="68"/>
      <c r="EF473" s="68"/>
      <c r="EG473" s="68"/>
      <c r="EH473" s="68"/>
      <c r="EI473" s="68"/>
      <c r="EJ473" s="68"/>
      <c r="EK473" s="68"/>
      <c r="EL473" s="68"/>
      <c r="EM473" s="68"/>
      <c r="EN473" s="68"/>
      <c r="EO473" s="68"/>
      <c r="EP473" s="68"/>
      <c r="EQ473" s="65"/>
      <c r="ER473" s="6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5"/>
      <c r="FD473" s="15"/>
      <c r="FE473" s="15"/>
      <c r="FF473" s="15"/>
      <c r="FG473" s="15"/>
      <c r="FH473" s="1" t="str">
        <f t="shared" si="44"/>
        <v/>
      </c>
      <c r="FI473" s="1">
        <f t="shared" si="45"/>
        <v>0</v>
      </c>
      <c r="FJ473" s="38"/>
      <c r="FL473" s="13"/>
    </row>
    <row r="474" spans="1:168" ht="21" hidden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63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61"/>
      <c r="BE474" s="61"/>
      <c r="BF474" s="15"/>
      <c r="BG474" s="15"/>
      <c r="BH474" s="15"/>
      <c r="BI474" s="15"/>
      <c r="BJ474" s="15"/>
      <c r="BK474" s="15"/>
      <c r="BL474" s="15"/>
      <c r="BM474" s="15"/>
      <c r="BN474" s="15"/>
      <c r="BO474" s="64"/>
      <c r="BP474" s="15"/>
      <c r="BQ474" s="15"/>
      <c r="BR474" s="15"/>
      <c r="BS474" s="64"/>
      <c r="BT474" s="64"/>
      <c r="BU474" s="64"/>
      <c r="BV474" s="15"/>
      <c r="BW474" s="64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15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  <c r="EE474" s="68"/>
      <c r="EF474" s="68"/>
      <c r="EG474" s="68"/>
      <c r="EH474" s="68"/>
      <c r="EI474" s="68"/>
      <c r="EJ474" s="68"/>
      <c r="EK474" s="68"/>
      <c r="EL474" s="68"/>
      <c r="EM474" s="68"/>
      <c r="EN474" s="68"/>
      <c r="EO474" s="68"/>
      <c r="EP474" s="68"/>
      <c r="EQ474" s="65"/>
      <c r="ER474" s="6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" t="str">
        <f t="shared" si="44"/>
        <v/>
      </c>
      <c r="FI474" s="1">
        <f t="shared" si="45"/>
        <v>0</v>
      </c>
      <c r="FJ474" s="38"/>
      <c r="FL474" s="13"/>
    </row>
    <row r="475" spans="1:168" ht="21" hidden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63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61"/>
      <c r="BE475" s="61"/>
      <c r="BF475" s="15"/>
      <c r="BG475" s="15"/>
      <c r="BH475" s="15"/>
      <c r="BI475" s="15"/>
      <c r="BJ475" s="15"/>
      <c r="BK475" s="15"/>
      <c r="BL475" s="15"/>
      <c r="BM475" s="15"/>
      <c r="BN475" s="15"/>
      <c r="BO475" s="64"/>
      <c r="BP475" s="15"/>
      <c r="BQ475" s="15"/>
      <c r="BR475" s="15"/>
      <c r="BS475" s="64"/>
      <c r="BT475" s="64"/>
      <c r="BU475" s="64"/>
      <c r="BV475" s="15"/>
      <c r="BW475" s="64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15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  <c r="EE475" s="68"/>
      <c r="EF475" s="68"/>
      <c r="EG475" s="68"/>
      <c r="EH475" s="68"/>
      <c r="EI475" s="68"/>
      <c r="EJ475" s="68"/>
      <c r="EK475" s="68"/>
      <c r="EL475" s="68"/>
      <c r="EM475" s="68"/>
      <c r="EN475" s="68"/>
      <c r="EO475" s="68"/>
      <c r="EP475" s="68"/>
      <c r="EQ475" s="65"/>
      <c r="ER475" s="6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" t="str">
        <f t="shared" si="44"/>
        <v/>
      </c>
      <c r="FI475" s="1">
        <f t="shared" si="45"/>
        <v>0</v>
      </c>
      <c r="FJ475" s="38"/>
      <c r="FL475" s="13"/>
    </row>
    <row r="476" spans="1:168" ht="21" hidden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63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61"/>
      <c r="BE476" s="61"/>
      <c r="BF476" s="15"/>
      <c r="BG476" s="15"/>
      <c r="BH476" s="15"/>
      <c r="BI476" s="15"/>
      <c r="BJ476" s="15"/>
      <c r="BK476" s="15"/>
      <c r="BL476" s="15"/>
      <c r="BM476" s="15"/>
      <c r="BN476" s="15"/>
      <c r="BO476" s="64"/>
      <c r="BP476" s="15"/>
      <c r="BQ476" s="15"/>
      <c r="BR476" s="15"/>
      <c r="BS476" s="64"/>
      <c r="BT476" s="64"/>
      <c r="BU476" s="64"/>
      <c r="BV476" s="15"/>
      <c r="BW476" s="64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15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  <c r="EE476" s="68"/>
      <c r="EF476" s="68"/>
      <c r="EG476" s="68"/>
      <c r="EH476" s="68"/>
      <c r="EI476" s="68"/>
      <c r="EJ476" s="68"/>
      <c r="EK476" s="68"/>
      <c r="EL476" s="68"/>
      <c r="EM476" s="68"/>
      <c r="EN476" s="68"/>
      <c r="EO476" s="68"/>
      <c r="EP476" s="68"/>
      <c r="EQ476" s="65"/>
      <c r="ER476" s="6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" t="str">
        <f t="shared" si="44"/>
        <v/>
      </c>
      <c r="FI476" s="1">
        <f t="shared" si="45"/>
        <v>0</v>
      </c>
      <c r="FJ476" s="38"/>
      <c r="FL476" s="13"/>
    </row>
    <row r="477" spans="1:168" ht="21" hidden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63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61"/>
      <c r="BE477" s="61"/>
      <c r="BF477" s="15"/>
      <c r="BG477" s="15"/>
      <c r="BH477" s="15"/>
      <c r="BI477" s="15"/>
      <c r="BJ477" s="15"/>
      <c r="BK477" s="15"/>
      <c r="BL477" s="15"/>
      <c r="BM477" s="15"/>
      <c r="BN477" s="15"/>
      <c r="BO477" s="64"/>
      <c r="BP477" s="15"/>
      <c r="BQ477" s="15"/>
      <c r="BR477" s="15"/>
      <c r="BS477" s="64"/>
      <c r="BT477" s="64"/>
      <c r="BU477" s="64"/>
      <c r="BV477" s="15"/>
      <c r="BW477" s="64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15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  <c r="EE477" s="68"/>
      <c r="EF477" s="68"/>
      <c r="EG477" s="68"/>
      <c r="EH477" s="68"/>
      <c r="EI477" s="68"/>
      <c r="EJ477" s="68"/>
      <c r="EK477" s="68"/>
      <c r="EL477" s="68"/>
      <c r="EM477" s="68"/>
      <c r="EN477" s="68"/>
      <c r="EO477" s="68"/>
      <c r="EP477" s="68"/>
      <c r="EQ477" s="65"/>
      <c r="ER477" s="6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" t="str">
        <f t="shared" si="44"/>
        <v/>
      </c>
      <c r="FI477" s="1">
        <f t="shared" si="45"/>
        <v>0</v>
      </c>
      <c r="FJ477" s="38"/>
      <c r="FL477" s="13"/>
    </row>
    <row r="478" spans="1:168" ht="21" hidden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63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61"/>
      <c r="BE478" s="61"/>
      <c r="BF478" s="15"/>
      <c r="BG478" s="15"/>
      <c r="BH478" s="15"/>
      <c r="BI478" s="15"/>
      <c r="BJ478" s="15"/>
      <c r="BK478" s="15"/>
      <c r="BL478" s="15"/>
      <c r="BM478" s="15"/>
      <c r="BN478" s="15"/>
      <c r="BO478" s="64"/>
      <c r="BP478" s="15"/>
      <c r="BQ478" s="15"/>
      <c r="BR478" s="15"/>
      <c r="BS478" s="64"/>
      <c r="BT478" s="64"/>
      <c r="BU478" s="64"/>
      <c r="BV478" s="15"/>
      <c r="BW478" s="64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15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  <c r="EE478" s="68"/>
      <c r="EF478" s="68"/>
      <c r="EG478" s="68"/>
      <c r="EH478" s="68"/>
      <c r="EI478" s="68"/>
      <c r="EJ478" s="68"/>
      <c r="EK478" s="68"/>
      <c r="EL478" s="68"/>
      <c r="EM478" s="68"/>
      <c r="EN478" s="68"/>
      <c r="EO478" s="68"/>
      <c r="EP478" s="68"/>
      <c r="EQ478" s="65"/>
      <c r="ER478" s="6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5"/>
      <c r="FE478" s="15"/>
      <c r="FF478" s="15"/>
      <c r="FG478" s="15"/>
      <c r="FH478" s="1" t="str">
        <f t="shared" si="44"/>
        <v/>
      </c>
      <c r="FI478" s="1">
        <f t="shared" si="45"/>
        <v>0</v>
      </c>
      <c r="FJ478" s="38"/>
      <c r="FL478" s="13"/>
    </row>
    <row r="479" spans="1:168" ht="21" hidden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63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61"/>
      <c r="BE479" s="61"/>
      <c r="BF479" s="15"/>
      <c r="BG479" s="15"/>
      <c r="BH479" s="15"/>
      <c r="BI479" s="15"/>
      <c r="BJ479" s="15"/>
      <c r="BK479" s="15"/>
      <c r="BL479" s="15"/>
      <c r="BM479" s="15"/>
      <c r="BN479" s="15"/>
      <c r="BO479" s="64"/>
      <c r="BP479" s="15"/>
      <c r="BQ479" s="15"/>
      <c r="BR479" s="15"/>
      <c r="BS479" s="64"/>
      <c r="BT479" s="64"/>
      <c r="BU479" s="64"/>
      <c r="BV479" s="15"/>
      <c r="BW479" s="64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15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  <c r="EE479" s="68"/>
      <c r="EF479" s="68"/>
      <c r="EG479" s="68"/>
      <c r="EH479" s="68"/>
      <c r="EI479" s="68"/>
      <c r="EJ479" s="68"/>
      <c r="EK479" s="68"/>
      <c r="EL479" s="68"/>
      <c r="EM479" s="68"/>
      <c r="EN479" s="68"/>
      <c r="EO479" s="68"/>
      <c r="EP479" s="68"/>
      <c r="EQ479" s="65"/>
      <c r="ER479" s="6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" t="str">
        <f t="shared" si="44"/>
        <v/>
      </c>
      <c r="FI479" s="1">
        <f t="shared" si="45"/>
        <v>0</v>
      </c>
      <c r="FJ479" s="38"/>
      <c r="FL479" s="13"/>
    </row>
    <row r="480" spans="1:168" ht="21" hidden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63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61"/>
      <c r="BE480" s="61"/>
      <c r="BF480" s="15"/>
      <c r="BG480" s="15"/>
      <c r="BH480" s="15"/>
      <c r="BI480" s="15"/>
      <c r="BJ480" s="15"/>
      <c r="BK480" s="15"/>
      <c r="BL480" s="15"/>
      <c r="BM480" s="15"/>
      <c r="BN480" s="15"/>
      <c r="BO480" s="64"/>
      <c r="BP480" s="15"/>
      <c r="BQ480" s="15"/>
      <c r="BR480" s="15"/>
      <c r="BS480" s="64"/>
      <c r="BT480" s="64"/>
      <c r="BU480" s="64"/>
      <c r="BV480" s="15"/>
      <c r="BW480" s="64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15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  <c r="EE480" s="68"/>
      <c r="EF480" s="68"/>
      <c r="EG480" s="68"/>
      <c r="EH480" s="68"/>
      <c r="EI480" s="68"/>
      <c r="EJ480" s="68"/>
      <c r="EK480" s="68"/>
      <c r="EL480" s="68"/>
      <c r="EM480" s="68"/>
      <c r="EN480" s="68"/>
      <c r="EO480" s="68"/>
      <c r="EP480" s="68"/>
      <c r="EQ480" s="65"/>
      <c r="ER480" s="6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5"/>
      <c r="FD480" s="15"/>
      <c r="FE480" s="15"/>
      <c r="FF480" s="15"/>
      <c r="FG480" s="15"/>
      <c r="FH480" s="1" t="str">
        <f t="shared" si="44"/>
        <v/>
      </c>
      <c r="FI480" s="1">
        <f t="shared" si="45"/>
        <v>0</v>
      </c>
      <c r="FJ480" s="38"/>
      <c r="FL480" s="13"/>
    </row>
    <row r="481" spans="1:168" ht="21" hidden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63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61"/>
      <c r="BE481" s="61"/>
      <c r="BF481" s="15"/>
      <c r="BG481" s="15"/>
      <c r="BH481" s="15"/>
      <c r="BI481" s="15"/>
      <c r="BJ481" s="15"/>
      <c r="BK481" s="15"/>
      <c r="BL481" s="15"/>
      <c r="BM481" s="15"/>
      <c r="BN481" s="15"/>
      <c r="BO481" s="64"/>
      <c r="BP481" s="15"/>
      <c r="BQ481" s="15"/>
      <c r="BR481" s="15"/>
      <c r="BS481" s="64"/>
      <c r="BT481" s="64"/>
      <c r="BU481" s="64"/>
      <c r="BV481" s="15"/>
      <c r="BW481" s="64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15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  <c r="EE481" s="68"/>
      <c r="EF481" s="68"/>
      <c r="EG481" s="68"/>
      <c r="EH481" s="68"/>
      <c r="EI481" s="68"/>
      <c r="EJ481" s="68"/>
      <c r="EK481" s="68"/>
      <c r="EL481" s="68"/>
      <c r="EM481" s="68"/>
      <c r="EN481" s="68"/>
      <c r="EO481" s="68"/>
      <c r="EP481" s="68"/>
      <c r="EQ481" s="65"/>
      <c r="ER481" s="6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5"/>
      <c r="FD481" s="15"/>
      <c r="FE481" s="15"/>
      <c r="FF481" s="15"/>
      <c r="FG481" s="15"/>
      <c r="FH481" s="1" t="str">
        <f t="shared" si="44"/>
        <v/>
      </c>
      <c r="FI481" s="1">
        <f t="shared" si="45"/>
        <v>0</v>
      </c>
      <c r="FJ481" s="38"/>
      <c r="FL481" s="13"/>
    </row>
    <row r="482" spans="1:168" ht="21" hidden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63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61"/>
      <c r="BE482" s="61"/>
      <c r="BF482" s="15"/>
      <c r="BG482" s="15"/>
      <c r="BH482" s="15"/>
      <c r="BI482" s="15"/>
      <c r="BJ482" s="15"/>
      <c r="BK482" s="15"/>
      <c r="BL482" s="15"/>
      <c r="BM482" s="15"/>
      <c r="BN482" s="15"/>
      <c r="BO482" s="64"/>
      <c r="BP482" s="15"/>
      <c r="BQ482" s="15"/>
      <c r="BR482" s="15"/>
      <c r="BS482" s="64"/>
      <c r="BT482" s="64"/>
      <c r="BU482" s="64"/>
      <c r="BV482" s="15"/>
      <c r="BW482" s="64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15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  <c r="EE482" s="68"/>
      <c r="EF482" s="68"/>
      <c r="EG482" s="68"/>
      <c r="EH482" s="68"/>
      <c r="EI482" s="68"/>
      <c r="EJ482" s="68"/>
      <c r="EK482" s="68"/>
      <c r="EL482" s="68"/>
      <c r="EM482" s="68"/>
      <c r="EN482" s="68"/>
      <c r="EO482" s="68"/>
      <c r="EP482" s="68"/>
      <c r="EQ482" s="65"/>
      <c r="ER482" s="6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5"/>
      <c r="FD482" s="15"/>
      <c r="FE482" s="15"/>
      <c r="FF482" s="15"/>
      <c r="FG482" s="15"/>
      <c r="FH482" s="1" t="str">
        <f t="shared" si="44"/>
        <v/>
      </c>
      <c r="FI482" s="1">
        <f t="shared" si="45"/>
        <v>0</v>
      </c>
      <c r="FJ482" s="38"/>
      <c r="FL482" s="13"/>
    </row>
    <row r="483" spans="1:168" ht="21" hidden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63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61"/>
      <c r="BE483" s="61"/>
      <c r="BF483" s="15"/>
      <c r="BG483" s="15"/>
      <c r="BH483" s="15"/>
      <c r="BI483" s="15"/>
      <c r="BJ483" s="15"/>
      <c r="BK483" s="15"/>
      <c r="BL483" s="15"/>
      <c r="BM483" s="15"/>
      <c r="BN483" s="15"/>
      <c r="BO483" s="64"/>
      <c r="BP483" s="15"/>
      <c r="BQ483" s="15"/>
      <c r="BR483" s="15"/>
      <c r="BS483" s="64"/>
      <c r="BT483" s="64"/>
      <c r="BU483" s="64"/>
      <c r="BV483" s="15"/>
      <c r="BW483" s="64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15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  <c r="EE483" s="68"/>
      <c r="EF483" s="68"/>
      <c r="EG483" s="68"/>
      <c r="EH483" s="68"/>
      <c r="EI483" s="68"/>
      <c r="EJ483" s="68"/>
      <c r="EK483" s="68"/>
      <c r="EL483" s="68"/>
      <c r="EM483" s="68"/>
      <c r="EN483" s="68"/>
      <c r="EO483" s="68"/>
      <c r="EP483" s="68"/>
      <c r="EQ483" s="65"/>
      <c r="ER483" s="6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5"/>
      <c r="FD483" s="15"/>
      <c r="FE483" s="15"/>
      <c r="FF483" s="15"/>
      <c r="FG483" s="15"/>
      <c r="FH483" s="1" t="str">
        <f t="shared" si="44"/>
        <v/>
      </c>
      <c r="FI483" s="1">
        <f t="shared" si="45"/>
        <v>0</v>
      </c>
      <c r="FJ483" s="38"/>
      <c r="FL483" s="13"/>
    </row>
    <row r="484" spans="1:168" ht="21" hidden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63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61"/>
      <c r="BE484" s="61"/>
      <c r="BF484" s="15"/>
      <c r="BG484" s="15"/>
      <c r="BH484" s="15"/>
      <c r="BI484" s="15"/>
      <c r="BJ484" s="15"/>
      <c r="BK484" s="15"/>
      <c r="BL484" s="15"/>
      <c r="BM484" s="15"/>
      <c r="BN484" s="15"/>
      <c r="BO484" s="64"/>
      <c r="BP484" s="15"/>
      <c r="BQ484" s="15"/>
      <c r="BR484" s="15"/>
      <c r="BS484" s="64"/>
      <c r="BT484" s="64"/>
      <c r="BU484" s="64"/>
      <c r="BV484" s="15"/>
      <c r="BW484" s="64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15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  <c r="EE484" s="68"/>
      <c r="EF484" s="68"/>
      <c r="EG484" s="68"/>
      <c r="EH484" s="68"/>
      <c r="EI484" s="68"/>
      <c r="EJ484" s="68"/>
      <c r="EK484" s="68"/>
      <c r="EL484" s="68"/>
      <c r="EM484" s="68"/>
      <c r="EN484" s="68"/>
      <c r="EO484" s="68"/>
      <c r="EP484" s="68"/>
      <c r="EQ484" s="65"/>
      <c r="ER484" s="6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5"/>
      <c r="FG484" s="15"/>
      <c r="FH484" s="1" t="str">
        <f t="shared" si="44"/>
        <v/>
      </c>
      <c r="FI484" s="1">
        <f t="shared" si="45"/>
        <v>0</v>
      </c>
      <c r="FJ484" s="38"/>
      <c r="FL484" s="13"/>
    </row>
    <row r="485" spans="1:168" ht="21" hidden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63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61"/>
      <c r="BE485" s="61"/>
      <c r="BF485" s="15"/>
      <c r="BG485" s="15"/>
      <c r="BH485" s="15"/>
      <c r="BI485" s="15"/>
      <c r="BJ485" s="15"/>
      <c r="BK485" s="15"/>
      <c r="BL485" s="15"/>
      <c r="BM485" s="15"/>
      <c r="BN485" s="15"/>
      <c r="BO485" s="64"/>
      <c r="BP485" s="15"/>
      <c r="BQ485" s="15"/>
      <c r="BR485" s="15"/>
      <c r="BS485" s="64"/>
      <c r="BT485" s="64"/>
      <c r="BU485" s="64"/>
      <c r="BV485" s="15"/>
      <c r="BW485" s="64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15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  <c r="EE485" s="68"/>
      <c r="EF485" s="68"/>
      <c r="EG485" s="68"/>
      <c r="EH485" s="68"/>
      <c r="EI485" s="68"/>
      <c r="EJ485" s="68"/>
      <c r="EK485" s="68"/>
      <c r="EL485" s="68"/>
      <c r="EM485" s="68"/>
      <c r="EN485" s="68"/>
      <c r="EO485" s="68"/>
      <c r="EP485" s="68"/>
      <c r="EQ485" s="65"/>
      <c r="ER485" s="6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" t="str">
        <f t="shared" si="44"/>
        <v/>
      </c>
      <c r="FI485" s="1">
        <f t="shared" si="45"/>
        <v>0</v>
      </c>
      <c r="FJ485" s="38"/>
      <c r="FL485" s="13"/>
    </row>
    <row r="486" spans="1:168" ht="21" hidden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63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61"/>
      <c r="BE486" s="61"/>
      <c r="BF486" s="15"/>
      <c r="BG486" s="15"/>
      <c r="BH486" s="15"/>
      <c r="BI486" s="15"/>
      <c r="BJ486" s="15"/>
      <c r="BK486" s="15"/>
      <c r="BL486" s="15"/>
      <c r="BM486" s="15"/>
      <c r="BN486" s="15"/>
      <c r="BO486" s="64"/>
      <c r="BP486" s="15"/>
      <c r="BQ486" s="15"/>
      <c r="BR486" s="15"/>
      <c r="BS486" s="64"/>
      <c r="BT486" s="64"/>
      <c r="BU486" s="64"/>
      <c r="BV486" s="15"/>
      <c r="BW486" s="64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15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  <c r="EE486" s="68"/>
      <c r="EF486" s="68"/>
      <c r="EG486" s="68"/>
      <c r="EH486" s="68"/>
      <c r="EI486" s="68"/>
      <c r="EJ486" s="68"/>
      <c r="EK486" s="68"/>
      <c r="EL486" s="68"/>
      <c r="EM486" s="68"/>
      <c r="EN486" s="68"/>
      <c r="EO486" s="68"/>
      <c r="EP486" s="68"/>
      <c r="EQ486" s="65"/>
      <c r="ER486" s="6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" t="str">
        <f t="shared" si="44"/>
        <v/>
      </c>
      <c r="FI486" s="1">
        <f t="shared" si="45"/>
        <v>0</v>
      </c>
      <c r="FJ486" s="38"/>
      <c r="FL486" s="13"/>
    </row>
    <row r="487" spans="1:168" ht="21" hidden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63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61"/>
      <c r="BE487" s="61"/>
      <c r="BF487" s="15"/>
      <c r="BG487" s="15"/>
      <c r="BH487" s="15"/>
      <c r="BI487" s="15"/>
      <c r="BJ487" s="15"/>
      <c r="BK487" s="15"/>
      <c r="BL487" s="15"/>
      <c r="BM487" s="15"/>
      <c r="BN487" s="15"/>
      <c r="BO487" s="64"/>
      <c r="BP487" s="15"/>
      <c r="BQ487" s="15"/>
      <c r="BR487" s="15"/>
      <c r="BS487" s="64"/>
      <c r="BT487" s="64"/>
      <c r="BU487" s="64"/>
      <c r="BV487" s="15"/>
      <c r="BW487" s="64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15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  <c r="EE487" s="68"/>
      <c r="EF487" s="68"/>
      <c r="EG487" s="68"/>
      <c r="EH487" s="68"/>
      <c r="EI487" s="68"/>
      <c r="EJ487" s="68"/>
      <c r="EK487" s="68"/>
      <c r="EL487" s="68"/>
      <c r="EM487" s="68"/>
      <c r="EN487" s="68"/>
      <c r="EO487" s="68"/>
      <c r="EP487" s="68"/>
      <c r="EQ487" s="65"/>
      <c r="ER487" s="6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5"/>
      <c r="FD487" s="15"/>
      <c r="FE487" s="15"/>
      <c r="FF487" s="15"/>
      <c r="FG487" s="15"/>
      <c r="FH487" s="1" t="str">
        <f t="shared" si="44"/>
        <v/>
      </c>
      <c r="FI487" s="1">
        <f t="shared" si="45"/>
        <v>0</v>
      </c>
      <c r="FJ487" s="38"/>
      <c r="FL487" s="13"/>
    </row>
    <row r="488" spans="1:168" ht="21" hidden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63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61"/>
      <c r="BE488" s="61"/>
      <c r="BF488" s="15"/>
      <c r="BG488" s="15"/>
      <c r="BH488" s="15"/>
      <c r="BI488" s="15"/>
      <c r="BJ488" s="15"/>
      <c r="BK488" s="15"/>
      <c r="BL488" s="15"/>
      <c r="BM488" s="15"/>
      <c r="BN488" s="15"/>
      <c r="BO488" s="64"/>
      <c r="BP488" s="15"/>
      <c r="BQ488" s="15"/>
      <c r="BR488" s="15"/>
      <c r="BS488" s="64"/>
      <c r="BT488" s="64"/>
      <c r="BU488" s="64"/>
      <c r="BV488" s="15"/>
      <c r="BW488" s="64"/>
      <c r="BX488" s="68"/>
      <c r="BY488" s="68"/>
      <c r="BZ488" s="68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15"/>
      <c r="CL488" s="68"/>
      <c r="CM488" s="68"/>
      <c r="CN488" s="68"/>
      <c r="CO488" s="68"/>
      <c r="CP488" s="68"/>
      <c r="CQ488" s="68"/>
      <c r="CR488" s="68"/>
      <c r="CS488" s="68"/>
      <c r="CT488" s="68"/>
      <c r="CU488" s="68"/>
      <c r="CV488" s="68"/>
      <c r="CW488" s="68"/>
      <c r="CX488" s="68"/>
      <c r="CY488" s="68"/>
      <c r="CZ488" s="68"/>
      <c r="DA488" s="68"/>
      <c r="DB488" s="68"/>
      <c r="DC488" s="68"/>
      <c r="DD488" s="68"/>
      <c r="DE488" s="68"/>
      <c r="DF488" s="68"/>
      <c r="DG488" s="68"/>
      <c r="DH488" s="68"/>
      <c r="DI488" s="68"/>
      <c r="DJ488" s="68"/>
      <c r="DK488" s="68"/>
      <c r="DL488" s="68"/>
      <c r="DM488" s="68"/>
      <c r="DN488" s="68"/>
      <c r="DO488" s="68"/>
      <c r="DP488" s="68"/>
      <c r="DQ488" s="68"/>
      <c r="DR488" s="68"/>
      <c r="DS488" s="68"/>
      <c r="DT488" s="68"/>
      <c r="DU488" s="68"/>
      <c r="DV488" s="68"/>
      <c r="DW488" s="68"/>
      <c r="DX488" s="68"/>
      <c r="DY488" s="68"/>
      <c r="DZ488" s="68"/>
      <c r="EA488" s="68"/>
      <c r="EB488" s="68"/>
      <c r="EC488" s="68"/>
      <c r="ED488" s="68"/>
      <c r="EE488" s="68"/>
      <c r="EF488" s="68"/>
      <c r="EG488" s="68"/>
      <c r="EH488" s="68"/>
      <c r="EI488" s="68"/>
      <c r="EJ488" s="68"/>
      <c r="EK488" s="68"/>
      <c r="EL488" s="68"/>
      <c r="EM488" s="68"/>
      <c r="EN488" s="68"/>
      <c r="EO488" s="68"/>
      <c r="EP488" s="68"/>
      <c r="EQ488" s="65"/>
      <c r="ER488" s="6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" t="str">
        <f t="shared" si="44"/>
        <v/>
      </c>
      <c r="FI488" s="1">
        <f t="shared" si="45"/>
        <v>0</v>
      </c>
      <c r="FJ488" s="38"/>
      <c r="FL488" s="13"/>
    </row>
    <row r="489" spans="1:168" ht="21" hidden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63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61"/>
      <c r="BE489" s="61"/>
      <c r="BF489" s="15"/>
      <c r="BG489" s="15"/>
      <c r="BH489" s="15"/>
      <c r="BI489" s="15"/>
      <c r="BJ489" s="15"/>
      <c r="BK489" s="15"/>
      <c r="BL489" s="15"/>
      <c r="BM489" s="15"/>
      <c r="BN489" s="15"/>
      <c r="BO489" s="64"/>
      <c r="BP489" s="15"/>
      <c r="BQ489" s="15"/>
      <c r="BR489" s="15"/>
      <c r="BS489" s="64"/>
      <c r="BT489" s="64"/>
      <c r="BU489" s="64"/>
      <c r="BV489" s="15"/>
      <c r="BW489" s="64"/>
      <c r="BX489" s="68"/>
      <c r="BY489" s="68"/>
      <c r="BZ489" s="68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15"/>
      <c r="CL489" s="68"/>
      <c r="CM489" s="68"/>
      <c r="CN489" s="68"/>
      <c r="CO489" s="68"/>
      <c r="CP489" s="68"/>
      <c r="CQ489" s="68"/>
      <c r="CR489" s="68"/>
      <c r="CS489" s="68"/>
      <c r="CT489" s="68"/>
      <c r="CU489" s="68"/>
      <c r="CV489" s="68"/>
      <c r="CW489" s="68"/>
      <c r="CX489" s="68"/>
      <c r="CY489" s="68"/>
      <c r="CZ489" s="68"/>
      <c r="DA489" s="68"/>
      <c r="DB489" s="68"/>
      <c r="DC489" s="68"/>
      <c r="DD489" s="68"/>
      <c r="DE489" s="68"/>
      <c r="DF489" s="68"/>
      <c r="DG489" s="68"/>
      <c r="DH489" s="68"/>
      <c r="DI489" s="68"/>
      <c r="DJ489" s="68"/>
      <c r="DK489" s="68"/>
      <c r="DL489" s="68"/>
      <c r="DM489" s="68"/>
      <c r="DN489" s="68"/>
      <c r="DO489" s="68"/>
      <c r="DP489" s="68"/>
      <c r="DQ489" s="68"/>
      <c r="DR489" s="68"/>
      <c r="DS489" s="68"/>
      <c r="DT489" s="68"/>
      <c r="DU489" s="68"/>
      <c r="DV489" s="68"/>
      <c r="DW489" s="68"/>
      <c r="DX489" s="68"/>
      <c r="DY489" s="68"/>
      <c r="DZ489" s="68"/>
      <c r="EA489" s="68"/>
      <c r="EB489" s="68"/>
      <c r="EC489" s="68"/>
      <c r="ED489" s="68"/>
      <c r="EE489" s="68"/>
      <c r="EF489" s="68"/>
      <c r="EG489" s="68"/>
      <c r="EH489" s="68"/>
      <c r="EI489" s="68"/>
      <c r="EJ489" s="68"/>
      <c r="EK489" s="68"/>
      <c r="EL489" s="68"/>
      <c r="EM489" s="68"/>
      <c r="EN489" s="68"/>
      <c r="EO489" s="68"/>
      <c r="EP489" s="68"/>
      <c r="EQ489" s="65"/>
      <c r="ER489" s="6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5"/>
      <c r="FD489" s="15"/>
      <c r="FE489" s="15"/>
      <c r="FF489" s="15"/>
      <c r="FG489" s="15"/>
      <c r="FH489" s="1" t="str">
        <f t="shared" si="44"/>
        <v/>
      </c>
      <c r="FI489" s="1">
        <f t="shared" si="45"/>
        <v>0</v>
      </c>
      <c r="FJ489" s="38"/>
      <c r="FL489" s="13"/>
    </row>
    <row r="490" spans="1:168" ht="21" hidden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63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61"/>
      <c r="BE490" s="61"/>
      <c r="BF490" s="15"/>
      <c r="BG490" s="15"/>
      <c r="BH490" s="15"/>
      <c r="BI490" s="15"/>
      <c r="BJ490" s="15"/>
      <c r="BK490" s="15"/>
      <c r="BL490" s="15"/>
      <c r="BM490" s="15"/>
      <c r="BN490" s="15"/>
      <c r="BO490" s="64"/>
      <c r="BP490" s="15"/>
      <c r="BQ490" s="15"/>
      <c r="BR490" s="15"/>
      <c r="BS490" s="64"/>
      <c r="BT490" s="64"/>
      <c r="BU490" s="64"/>
      <c r="BV490" s="15"/>
      <c r="BW490" s="64"/>
      <c r="BX490" s="68"/>
      <c r="BY490" s="68"/>
      <c r="BZ490" s="68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15"/>
      <c r="CL490" s="68"/>
      <c r="CM490" s="68"/>
      <c r="CN490" s="68"/>
      <c r="CO490" s="68"/>
      <c r="CP490" s="68"/>
      <c r="CQ490" s="68"/>
      <c r="CR490" s="68"/>
      <c r="CS490" s="68"/>
      <c r="CT490" s="68"/>
      <c r="CU490" s="68"/>
      <c r="CV490" s="68"/>
      <c r="CW490" s="68"/>
      <c r="CX490" s="68"/>
      <c r="CY490" s="68"/>
      <c r="CZ490" s="68"/>
      <c r="DA490" s="68"/>
      <c r="DB490" s="68"/>
      <c r="DC490" s="68"/>
      <c r="DD490" s="68"/>
      <c r="DE490" s="68"/>
      <c r="DF490" s="68"/>
      <c r="DG490" s="68"/>
      <c r="DH490" s="68"/>
      <c r="DI490" s="68"/>
      <c r="DJ490" s="68"/>
      <c r="DK490" s="68"/>
      <c r="DL490" s="68"/>
      <c r="DM490" s="68"/>
      <c r="DN490" s="68"/>
      <c r="DO490" s="68"/>
      <c r="DP490" s="68"/>
      <c r="DQ490" s="68"/>
      <c r="DR490" s="68"/>
      <c r="DS490" s="68"/>
      <c r="DT490" s="68"/>
      <c r="DU490" s="68"/>
      <c r="DV490" s="68"/>
      <c r="DW490" s="68"/>
      <c r="DX490" s="68"/>
      <c r="DY490" s="68"/>
      <c r="DZ490" s="68"/>
      <c r="EA490" s="68"/>
      <c r="EB490" s="68"/>
      <c r="EC490" s="68"/>
      <c r="ED490" s="68"/>
      <c r="EE490" s="68"/>
      <c r="EF490" s="68"/>
      <c r="EG490" s="68"/>
      <c r="EH490" s="68"/>
      <c r="EI490" s="68"/>
      <c r="EJ490" s="68"/>
      <c r="EK490" s="68"/>
      <c r="EL490" s="68"/>
      <c r="EM490" s="68"/>
      <c r="EN490" s="68"/>
      <c r="EO490" s="68"/>
      <c r="EP490" s="68"/>
      <c r="EQ490" s="65"/>
      <c r="ER490" s="6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5"/>
      <c r="FD490" s="15"/>
      <c r="FE490" s="15"/>
      <c r="FF490" s="15"/>
      <c r="FG490" s="15"/>
      <c r="FH490" s="1" t="str">
        <f t="shared" si="44"/>
        <v/>
      </c>
      <c r="FI490" s="1">
        <f t="shared" si="45"/>
        <v>0</v>
      </c>
      <c r="FJ490" s="38"/>
      <c r="FL490" s="13"/>
    </row>
    <row r="491" spans="1:168" ht="21" hidden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63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61"/>
      <c r="BE491" s="61"/>
      <c r="BF491" s="15"/>
      <c r="BG491" s="15"/>
      <c r="BH491" s="15"/>
      <c r="BI491" s="15"/>
      <c r="BJ491" s="15"/>
      <c r="BK491" s="15"/>
      <c r="BL491" s="15"/>
      <c r="BM491" s="15"/>
      <c r="BN491" s="15"/>
      <c r="BO491" s="64"/>
      <c r="BP491" s="15"/>
      <c r="BQ491" s="15"/>
      <c r="BR491" s="15"/>
      <c r="BS491" s="64"/>
      <c r="BT491" s="64"/>
      <c r="BU491" s="64"/>
      <c r="BV491" s="15"/>
      <c r="BW491" s="64"/>
      <c r="BX491" s="68"/>
      <c r="BY491" s="68"/>
      <c r="BZ491" s="68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15"/>
      <c r="CL491" s="68"/>
      <c r="CM491" s="68"/>
      <c r="CN491" s="68"/>
      <c r="CO491" s="68"/>
      <c r="CP491" s="68"/>
      <c r="CQ491" s="68"/>
      <c r="CR491" s="68"/>
      <c r="CS491" s="68"/>
      <c r="CT491" s="68"/>
      <c r="CU491" s="68"/>
      <c r="CV491" s="68"/>
      <c r="CW491" s="68"/>
      <c r="CX491" s="68"/>
      <c r="CY491" s="68"/>
      <c r="CZ491" s="68"/>
      <c r="DA491" s="68"/>
      <c r="DB491" s="68"/>
      <c r="DC491" s="68"/>
      <c r="DD491" s="68"/>
      <c r="DE491" s="68"/>
      <c r="DF491" s="68"/>
      <c r="DG491" s="68"/>
      <c r="DH491" s="68"/>
      <c r="DI491" s="68"/>
      <c r="DJ491" s="68"/>
      <c r="DK491" s="68"/>
      <c r="DL491" s="68"/>
      <c r="DM491" s="68"/>
      <c r="DN491" s="68"/>
      <c r="DO491" s="68"/>
      <c r="DP491" s="68"/>
      <c r="DQ491" s="68"/>
      <c r="DR491" s="68"/>
      <c r="DS491" s="68"/>
      <c r="DT491" s="68"/>
      <c r="DU491" s="68"/>
      <c r="DV491" s="68"/>
      <c r="DW491" s="68"/>
      <c r="DX491" s="68"/>
      <c r="DY491" s="68"/>
      <c r="DZ491" s="68"/>
      <c r="EA491" s="68"/>
      <c r="EB491" s="68"/>
      <c r="EC491" s="68"/>
      <c r="ED491" s="68"/>
      <c r="EE491" s="68"/>
      <c r="EF491" s="68"/>
      <c r="EG491" s="68"/>
      <c r="EH491" s="68"/>
      <c r="EI491" s="68"/>
      <c r="EJ491" s="68"/>
      <c r="EK491" s="68"/>
      <c r="EL491" s="68"/>
      <c r="EM491" s="68"/>
      <c r="EN491" s="68"/>
      <c r="EO491" s="68"/>
      <c r="EP491" s="68"/>
      <c r="EQ491" s="65"/>
      <c r="ER491" s="6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5"/>
      <c r="FD491" s="15"/>
      <c r="FE491" s="15"/>
      <c r="FF491" s="15"/>
      <c r="FG491" s="15"/>
      <c r="FH491" s="1" t="str">
        <f t="shared" si="44"/>
        <v/>
      </c>
      <c r="FI491" s="1">
        <f t="shared" si="45"/>
        <v>0</v>
      </c>
      <c r="FJ491" s="38"/>
      <c r="FL491" s="13"/>
    </row>
    <row r="492" spans="1:168" ht="21" hidden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63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61"/>
      <c r="BE492" s="61"/>
      <c r="BF492" s="15"/>
      <c r="BG492" s="15"/>
      <c r="BH492" s="15"/>
      <c r="BI492" s="15"/>
      <c r="BJ492" s="15"/>
      <c r="BK492" s="15"/>
      <c r="BL492" s="15"/>
      <c r="BM492" s="15"/>
      <c r="BN492" s="15"/>
      <c r="BO492" s="64"/>
      <c r="BP492" s="15"/>
      <c r="BQ492" s="15"/>
      <c r="BR492" s="15"/>
      <c r="BS492" s="64"/>
      <c r="BT492" s="64"/>
      <c r="BU492" s="64"/>
      <c r="BV492" s="15"/>
      <c r="BW492" s="64"/>
      <c r="BX492" s="68"/>
      <c r="BY492" s="68"/>
      <c r="BZ492" s="68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15"/>
      <c r="CL492" s="68"/>
      <c r="CM492" s="68"/>
      <c r="CN492" s="68"/>
      <c r="CO492" s="68"/>
      <c r="CP492" s="68"/>
      <c r="CQ492" s="68"/>
      <c r="CR492" s="68"/>
      <c r="CS492" s="68"/>
      <c r="CT492" s="68"/>
      <c r="CU492" s="68"/>
      <c r="CV492" s="68"/>
      <c r="CW492" s="68"/>
      <c r="CX492" s="68"/>
      <c r="CY492" s="68"/>
      <c r="CZ492" s="68"/>
      <c r="DA492" s="68"/>
      <c r="DB492" s="68"/>
      <c r="DC492" s="68"/>
      <c r="DD492" s="68"/>
      <c r="DE492" s="68"/>
      <c r="DF492" s="68"/>
      <c r="DG492" s="68"/>
      <c r="DH492" s="68"/>
      <c r="DI492" s="68"/>
      <c r="DJ492" s="68"/>
      <c r="DK492" s="68"/>
      <c r="DL492" s="68"/>
      <c r="DM492" s="68"/>
      <c r="DN492" s="68"/>
      <c r="DO492" s="68"/>
      <c r="DP492" s="68"/>
      <c r="DQ492" s="68"/>
      <c r="DR492" s="68"/>
      <c r="DS492" s="68"/>
      <c r="DT492" s="68"/>
      <c r="DU492" s="68"/>
      <c r="DV492" s="68"/>
      <c r="DW492" s="68"/>
      <c r="DX492" s="68"/>
      <c r="DY492" s="68"/>
      <c r="DZ492" s="68"/>
      <c r="EA492" s="68"/>
      <c r="EB492" s="68"/>
      <c r="EC492" s="68"/>
      <c r="ED492" s="68"/>
      <c r="EE492" s="68"/>
      <c r="EF492" s="68"/>
      <c r="EG492" s="68"/>
      <c r="EH492" s="68"/>
      <c r="EI492" s="68"/>
      <c r="EJ492" s="68"/>
      <c r="EK492" s="68"/>
      <c r="EL492" s="68"/>
      <c r="EM492" s="68"/>
      <c r="EN492" s="68"/>
      <c r="EO492" s="68"/>
      <c r="EP492" s="68"/>
      <c r="EQ492" s="65"/>
      <c r="ER492" s="6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" t="str">
        <f t="shared" si="44"/>
        <v/>
      </c>
      <c r="FI492" s="1">
        <f t="shared" si="45"/>
        <v>0</v>
      </c>
      <c r="FJ492" s="38"/>
      <c r="FL492" s="13"/>
    </row>
    <row r="493" spans="1:168" ht="21" hidden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63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61"/>
      <c r="BE493" s="61"/>
      <c r="BF493" s="15"/>
      <c r="BG493" s="15"/>
      <c r="BH493" s="15"/>
      <c r="BI493" s="15"/>
      <c r="BJ493" s="15"/>
      <c r="BK493" s="15"/>
      <c r="BL493" s="15"/>
      <c r="BM493" s="15"/>
      <c r="BN493" s="15"/>
      <c r="BO493" s="64"/>
      <c r="BP493" s="15"/>
      <c r="BQ493" s="15"/>
      <c r="BR493" s="15"/>
      <c r="BS493" s="64"/>
      <c r="BT493" s="64"/>
      <c r="BU493" s="64"/>
      <c r="BV493" s="15"/>
      <c r="BW493" s="64"/>
      <c r="BX493" s="68"/>
      <c r="BY493" s="68"/>
      <c r="BZ493" s="68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15"/>
      <c r="CL493" s="68"/>
      <c r="CM493" s="68"/>
      <c r="CN493" s="68"/>
      <c r="CO493" s="68"/>
      <c r="CP493" s="68"/>
      <c r="CQ493" s="68"/>
      <c r="CR493" s="68"/>
      <c r="CS493" s="68"/>
      <c r="CT493" s="68"/>
      <c r="CU493" s="68"/>
      <c r="CV493" s="68"/>
      <c r="CW493" s="68"/>
      <c r="CX493" s="68"/>
      <c r="CY493" s="68"/>
      <c r="CZ493" s="68"/>
      <c r="DA493" s="68"/>
      <c r="DB493" s="68"/>
      <c r="DC493" s="68"/>
      <c r="DD493" s="68"/>
      <c r="DE493" s="68"/>
      <c r="DF493" s="68"/>
      <c r="DG493" s="68"/>
      <c r="DH493" s="68"/>
      <c r="DI493" s="68"/>
      <c r="DJ493" s="68"/>
      <c r="DK493" s="68"/>
      <c r="DL493" s="68"/>
      <c r="DM493" s="68"/>
      <c r="DN493" s="68"/>
      <c r="DO493" s="68"/>
      <c r="DP493" s="68"/>
      <c r="DQ493" s="68"/>
      <c r="DR493" s="68"/>
      <c r="DS493" s="68"/>
      <c r="DT493" s="68"/>
      <c r="DU493" s="68"/>
      <c r="DV493" s="68"/>
      <c r="DW493" s="68"/>
      <c r="DX493" s="68"/>
      <c r="DY493" s="68"/>
      <c r="DZ493" s="68"/>
      <c r="EA493" s="68"/>
      <c r="EB493" s="68"/>
      <c r="EC493" s="68"/>
      <c r="ED493" s="68"/>
      <c r="EE493" s="68"/>
      <c r="EF493" s="68"/>
      <c r="EG493" s="68"/>
      <c r="EH493" s="68"/>
      <c r="EI493" s="68"/>
      <c r="EJ493" s="68"/>
      <c r="EK493" s="68"/>
      <c r="EL493" s="68"/>
      <c r="EM493" s="68"/>
      <c r="EN493" s="68"/>
      <c r="EO493" s="68"/>
      <c r="EP493" s="68"/>
      <c r="EQ493" s="65"/>
      <c r="ER493" s="6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" t="str">
        <f t="shared" si="44"/>
        <v/>
      </c>
      <c r="FI493" s="1">
        <f t="shared" si="45"/>
        <v>0</v>
      </c>
      <c r="FJ493" s="38"/>
      <c r="FL493" s="13"/>
    </row>
    <row r="494" spans="1:168" ht="21" hidden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63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61"/>
      <c r="BE494" s="61"/>
      <c r="BF494" s="15"/>
      <c r="BG494" s="15"/>
      <c r="BH494" s="15"/>
      <c r="BI494" s="15"/>
      <c r="BJ494" s="15"/>
      <c r="BK494" s="15"/>
      <c r="BL494" s="15"/>
      <c r="BM494" s="15"/>
      <c r="BN494" s="15"/>
      <c r="BO494" s="64"/>
      <c r="BP494" s="15"/>
      <c r="BQ494" s="15"/>
      <c r="BR494" s="15"/>
      <c r="BS494" s="64"/>
      <c r="BT494" s="64"/>
      <c r="BU494" s="64"/>
      <c r="BV494" s="15"/>
      <c r="BW494" s="64"/>
      <c r="BX494" s="68"/>
      <c r="BY494" s="68"/>
      <c r="BZ494" s="68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15"/>
      <c r="CL494" s="68"/>
      <c r="CM494" s="68"/>
      <c r="CN494" s="68"/>
      <c r="CO494" s="68"/>
      <c r="CP494" s="68"/>
      <c r="CQ494" s="68"/>
      <c r="CR494" s="68"/>
      <c r="CS494" s="68"/>
      <c r="CT494" s="68"/>
      <c r="CU494" s="68"/>
      <c r="CV494" s="68"/>
      <c r="CW494" s="68"/>
      <c r="CX494" s="68"/>
      <c r="CY494" s="68"/>
      <c r="CZ494" s="68"/>
      <c r="DA494" s="68"/>
      <c r="DB494" s="68"/>
      <c r="DC494" s="68"/>
      <c r="DD494" s="68"/>
      <c r="DE494" s="68"/>
      <c r="DF494" s="68"/>
      <c r="DG494" s="68"/>
      <c r="DH494" s="68"/>
      <c r="DI494" s="68"/>
      <c r="DJ494" s="68"/>
      <c r="DK494" s="68"/>
      <c r="DL494" s="68"/>
      <c r="DM494" s="68"/>
      <c r="DN494" s="68"/>
      <c r="DO494" s="68"/>
      <c r="DP494" s="68"/>
      <c r="DQ494" s="68"/>
      <c r="DR494" s="68"/>
      <c r="DS494" s="68"/>
      <c r="DT494" s="68"/>
      <c r="DU494" s="68"/>
      <c r="DV494" s="68"/>
      <c r="DW494" s="68"/>
      <c r="DX494" s="68"/>
      <c r="DY494" s="68"/>
      <c r="DZ494" s="68"/>
      <c r="EA494" s="68"/>
      <c r="EB494" s="68"/>
      <c r="EC494" s="68"/>
      <c r="ED494" s="68"/>
      <c r="EE494" s="68"/>
      <c r="EF494" s="68"/>
      <c r="EG494" s="68"/>
      <c r="EH494" s="68"/>
      <c r="EI494" s="68"/>
      <c r="EJ494" s="68"/>
      <c r="EK494" s="68"/>
      <c r="EL494" s="68"/>
      <c r="EM494" s="68"/>
      <c r="EN494" s="68"/>
      <c r="EO494" s="68"/>
      <c r="EP494" s="68"/>
      <c r="EQ494" s="65"/>
      <c r="ER494" s="6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" t="str">
        <f t="shared" si="44"/>
        <v/>
      </c>
      <c r="FI494" s="1">
        <f t="shared" si="45"/>
        <v>0</v>
      </c>
      <c r="FJ494" s="38"/>
      <c r="FL494" s="13"/>
    </row>
    <row r="495" spans="1:168" ht="21" hidden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63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61"/>
      <c r="BE495" s="61"/>
      <c r="BF495" s="15"/>
      <c r="BG495" s="15"/>
      <c r="BH495" s="15"/>
      <c r="BI495" s="15"/>
      <c r="BJ495" s="15"/>
      <c r="BK495" s="15"/>
      <c r="BL495" s="15"/>
      <c r="BM495" s="15"/>
      <c r="BN495" s="15"/>
      <c r="BO495" s="64"/>
      <c r="BP495" s="15"/>
      <c r="BQ495" s="15"/>
      <c r="BR495" s="15"/>
      <c r="BS495" s="64"/>
      <c r="BT495" s="64"/>
      <c r="BU495" s="64"/>
      <c r="BV495" s="15"/>
      <c r="BW495" s="64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15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  <c r="EE495" s="68"/>
      <c r="EF495" s="68"/>
      <c r="EG495" s="68"/>
      <c r="EH495" s="68"/>
      <c r="EI495" s="68"/>
      <c r="EJ495" s="68"/>
      <c r="EK495" s="68"/>
      <c r="EL495" s="68"/>
      <c r="EM495" s="68"/>
      <c r="EN495" s="68"/>
      <c r="EO495" s="68"/>
      <c r="EP495" s="68"/>
      <c r="EQ495" s="65"/>
      <c r="ER495" s="6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5"/>
      <c r="FD495" s="15"/>
      <c r="FE495" s="15"/>
      <c r="FF495" s="15"/>
      <c r="FG495" s="15"/>
      <c r="FH495" s="1" t="str">
        <f t="shared" si="44"/>
        <v/>
      </c>
      <c r="FI495" s="1">
        <f t="shared" si="45"/>
        <v>0</v>
      </c>
      <c r="FJ495" s="38"/>
      <c r="FL495" s="13"/>
    </row>
    <row r="496" spans="1:168" ht="21" hidden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63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61"/>
      <c r="BE496" s="61"/>
      <c r="BF496" s="15"/>
      <c r="BG496" s="15"/>
      <c r="BH496" s="15"/>
      <c r="BI496" s="15"/>
      <c r="BJ496" s="15"/>
      <c r="BK496" s="15"/>
      <c r="BL496" s="15"/>
      <c r="BM496" s="15"/>
      <c r="BN496" s="15"/>
      <c r="BO496" s="64"/>
      <c r="BP496" s="15"/>
      <c r="BQ496" s="15"/>
      <c r="BR496" s="15"/>
      <c r="BS496" s="64"/>
      <c r="BT496" s="64"/>
      <c r="BU496" s="64"/>
      <c r="BV496" s="15"/>
      <c r="BW496" s="64"/>
      <c r="BX496" s="68"/>
      <c r="BY496" s="68"/>
      <c r="BZ496" s="68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15"/>
      <c r="CL496" s="68"/>
      <c r="CM496" s="68"/>
      <c r="CN496" s="68"/>
      <c r="CO496" s="68"/>
      <c r="CP496" s="68"/>
      <c r="CQ496" s="68"/>
      <c r="CR496" s="68"/>
      <c r="CS496" s="68"/>
      <c r="CT496" s="68"/>
      <c r="CU496" s="68"/>
      <c r="CV496" s="68"/>
      <c r="CW496" s="68"/>
      <c r="CX496" s="68"/>
      <c r="CY496" s="68"/>
      <c r="CZ496" s="68"/>
      <c r="DA496" s="68"/>
      <c r="DB496" s="68"/>
      <c r="DC496" s="68"/>
      <c r="DD496" s="68"/>
      <c r="DE496" s="68"/>
      <c r="DF496" s="68"/>
      <c r="DG496" s="68"/>
      <c r="DH496" s="68"/>
      <c r="DI496" s="68"/>
      <c r="DJ496" s="68"/>
      <c r="DK496" s="68"/>
      <c r="DL496" s="68"/>
      <c r="DM496" s="68"/>
      <c r="DN496" s="68"/>
      <c r="DO496" s="68"/>
      <c r="DP496" s="68"/>
      <c r="DQ496" s="68"/>
      <c r="DR496" s="68"/>
      <c r="DS496" s="68"/>
      <c r="DT496" s="68"/>
      <c r="DU496" s="68"/>
      <c r="DV496" s="68"/>
      <c r="DW496" s="68"/>
      <c r="DX496" s="68"/>
      <c r="DY496" s="68"/>
      <c r="DZ496" s="68"/>
      <c r="EA496" s="68"/>
      <c r="EB496" s="68"/>
      <c r="EC496" s="68"/>
      <c r="ED496" s="68"/>
      <c r="EE496" s="68"/>
      <c r="EF496" s="68"/>
      <c r="EG496" s="68"/>
      <c r="EH496" s="68"/>
      <c r="EI496" s="68"/>
      <c r="EJ496" s="68"/>
      <c r="EK496" s="68"/>
      <c r="EL496" s="68"/>
      <c r="EM496" s="68"/>
      <c r="EN496" s="68"/>
      <c r="EO496" s="68"/>
      <c r="EP496" s="68"/>
      <c r="EQ496" s="65"/>
      <c r="ER496" s="6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" t="str">
        <f t="shared" si="44"/>
        <v/>
      </c>
      <c r="FI496" s="1">
        <f t="shared" si="45"/>
        <v>0</v>
      </c>
      <c r="FJ496" s="38"/>
      <c r="FL496" s="13"/>
    </row>
    <row r="497" spans="1:168" ht="21" hidden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63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61"/>
      <c r="BE497" s="61"/>
      <c r="BF497" s="15"/>
      <c r="BG497" s="15"/>
      <c r="BH497" s="15"/>
      <c r="BI497" s="15"/>
      <c r="BJ497" s="15"/>
      <c r="BK497" s="15"/>
      <c r="BL497" s="15"/>
      <c r="BM497" s="15"/>
      <c r="BN497" s="15"/>
      <c r="BO497" s="64"/>
      <c r="BP497" s="15"/>
      <c r="BQ497" s="15"/>
      <c r="BR497" s="15"/>
      <c r="BS497" s="64"/>
      <c r="BT497" s="64"/>
      <c r="BU497" s="64"/>
      <c r="BV497" s="15"/>
      <c r="BW497" s="64"/>
      <c r="BX497" s="68"/>
      <c r="BY497" s="68"/>
      <c r="BZ497" s="68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15"/>
      <c r="CL497" s="68"/>
      <c r="CM497" s="68"/>
      <c r="CN497" s="68"/>
      <c r="CO497" s="68"/>
      <c r="CP497" s="68"/>
      <c r="CQ497" s="68"/>
      <c r="CR497" s="68"/>
      <c r="CS497" s="68"/>
      <c r="CT497" s="68"/>
      <c r="CU497" s="68"/>
      <c r="CV497" s="68"/>
      <c r="CW497" s="68"/>
      <c r="CX497" s="68"/>
      <c r="CY497" s="68"/>
      <c r="CZ497" s="68"/>
      <c r="DA497" s="68"/>
      <c r="DB497" s="68"/>
      <c r="DC497" s="68"/>
      <c r="DD497" s="68"/>
      <c r="DE497" s="68"/>
      <c r="DF497" s="68"/>
      <c r="DG497" s="68"/>
      <c r="DH497" s="68"/>
      <c r="DI497" s="68"/>
      <c r="DJ497" s="68"/>
      <c r="DK497" s="68"/>
      <c r="DL497" s="68"/>
      <c r="DM497" s="68"/>
      <c r="DN497" s="68"/>
      <c r="DO497" s="68"/>
      <c r="DP497" s="68"/>
      <c r="DQ497" s="68"/>
      <c r="DR497" s="68"/>
      <c r="DS497" s="68"/>
      <c r="DT497" s="68"/>
      <c r="DU497" s="68"/>
      <c r="DV497" s="68"/>
      <c r="DW497" s="68"/>
      <c r="DX497" s="68"/>
      <c r="DY497" s="68"/>
      <c r="DZ497" s="68"/>
      <c r="EA497" s="68"/>
      <c r="EB497" s="68"/>
      <c r="EC497" s="68"/>
      <c r="ED497" s="68"/>
      <c r="EE497" s="68"/>
      <c r="EF497" s="68"/>
      <c r="EG497" s="68"/>
      <c r="EH497" s="68"/>
      <c r="EI497" s="68"/>
      <c r="EJ497" s="68"/>
      <c r="EK497" s="68"/>
      <c r="EL497" s="68"/>
      <c r="EM497" s="68"/>
      <c r="EN497" s="68"/>
      <c r="EO497" s="68"/>
      <c r="EP497" s="68"/>
      <c r="EQ497" s="65"/>
      <c r="ER497" s="6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5"/>
      <c r="FD497" s="15"/>
      <c r="FE497" s="15"/>
      <c r="FF497" s="15"/>
      <c r="FG497" s="15"/>
      <c r="FH497" s="1" t="str">
        <f t="shared" si="44"/>
        <v/>
      </c>
      <c r="FI497" s="1">
        <f t="shared" si="45"/>
        <v>0</v>
      </c>
      <c r="FJ497" s="38"/>
      <c r="FL497" s="13"/>
    </row>
    <row r="498" spans="1:168" ht="21" hidden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63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61"/>
      <c r="BE498" s="61"/>
      <c r="BF498" s="15"/>
      <c r="BG498" s="15"/>
      <c r="BH498" s="15"/>
      <c r="BI498" s="15"/>
      <c r="BJ498" s="15"/>
      <c r="BK498" s="15"/>
      <c r="BL498" s="15"/>
      <c r="BM498" s="15"/>
      <c r="BN498" s="15"/>
      <c r="BO498" s="64"/>
      <c r="BP498" s="15"/>
      <c r="BQ498" s="15"/>
      <c r="BR498" s="15"/>
      <c r="BS498" s="64"/>
      <c r="BT498" s="64"/>
      <c r="BU498" s="64"/>
      <c r="BV498" s="15"/>
      <c r="BW498" s="64"/>
      <c r="BX498" s="68"/>
      <c r="BY498" s="68"/>
      <c r="BZ498" s="68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15"/>
      <c r="CL498" s="68"/>
      <c r="CM498" s="68"/>
      <c r="CN498" s="68"/>
      <c r="CO498" s="68"/>
      <c r="CP498" s="68"/>
      <c r="CQ498" s="68"/>
      <c r="CR498" s="68"/>
      <c r="CS498" s="68"/>
      <c r="CT498" s="68"/>
      <c r="CU498" s="68"/>
      <c r="CV498" s="68"/>
      <c r="CW498" s="68"/>
      <c r="CX498" s="68"/>
      <c r="CY498" s="68"/>
      <c r="CZ498" s="68"/>
      <c r="DA498" s="68"/>
      <c r="DB498" s="68"/>
      <c r="DC498" s="68"/>
      <c r="DD498" s="68"/>
      <c r="DE498" s="68"/>
      <c r="DF498" s="68"/>
      <c r="DG498" s="68"/>
      <c r="DH498" s="68"/>
      <c r="DI498" s="68"/>
      <c r="DJ498" s="68"/>
      <c r="DK498" s="68"/>
      <c r="DL498" s="68"/>
      <c r="DM498" s="68"/>
      <c r="DN498" s="68"/>
      <c r="DO498" s="68"/>
      <c r="DP498" s="68"/>
      <c r="DQ498" s="68"/>
      <c r="DR498" s="68"/>
      <c r="DS498" s="68"/>
      <c r="DT498" s="68"/>
      <c r="DU498" s="68"/>
      <c r="DV498" s="68"/>
      <c r="DW498" s="68"/>
      <c r="DX498" s="68"/>
      <c r="DY498" s="68"/>
      <c r="DZ498" s="68"/>
      <c r="EA498" s="68"/>
      <c r="EB498" s="68"/>
      <c r="EC498" s="68"/>
      <c r="ED498" s="68"/>
      <c r="EE498" s="68"/>
      <c r="EF498" s="68"/>
      <c r="EG498" s="68"/>
      <c r="EH498" s="68"/>
      <c r="EI498" s="68"/>
      <c r="EJ498" s="68"/>
      <c r="EK498" s="68"/>
      <c r="EL498" s="68"/>
      <c r="EM498" s="68"/>
      <c r="EN498" s="68"/>
      <c r="EO498" s="68"/>
      <c r="EP498" s="68"/>
      <c r="EQ498" s="65"/>
      <c r="ER498" s="6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5"/>
      <c r="FD498" s="15"/>
      <c r="FE498" s="15"/>
      <c r="FF498" s="15"/>
      <c r="FG498" s="15"/>
      <c r="FH498" s="1" t="str">
        <f t="shared" si="44"/>
        <v/>
      </c>
      <c r="FI498" s="1">
        <f t="shared" si="45"/>
        <v>0</v>
      </c>
      <c r="FJ498" s="38"/>
      <c r="FL498" s="13"/>
    </row>
    <row r="499" spans="1:168" ht="21" hidden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63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61"/>
      <c r="BE499" s="61"/>
      <c r="BF499" s="15"/>
      <c r="BG499" s="15"/>
      <c r="BH499" s="15"/>
      <c r="BI499" s="15"/>
      <c r="BJ499" s="15"/>
      <c r="BK499" s="15"/>
      <c r="BL499" s="15"/>
      <c r="BM499" s="15"/>
      <c r="BN499" s="15"/>
      <c r="BO499" s="64"/>
      <c r="BP499" s="15"/>
      <c r="BQ499" s="15"/>
      <c r="BR499" s="15"/>
      <c r="BS499" s="64"/>
      <c r="BT499" s="64"/>
      <c r="BU499" s="64"/>
      <c r="BV499" s="15"/>
      <c r="BW499" s="64"/>
      <c r="BX499" s="68"/>
      <c r="BY499" s="68"/>
      <c r="BZ499" s="68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15"/>
      <c r="CL499" s="68"/>
      <c r="CM499" s="68"/>
      <c r="CN499" s="68"/>
      <c r="CO499" s="68"/>
      <c r="CP499" s="68"/>
      <c r="CQ499" s="68"/>
      <c r="CR499" s="68"/>
      <c r="CS499" s="68"/>
      <c r="CT499" s="68"/>
      <c r="CU499" s="68"/>
      <c r="CV499" s="68"/>
      <c r="CW499" s="68"/>
      <c r="CX499" s="68"/>
      <c r="CY499" s="68"/>
      <c r="CZ499" s="68"/>
      <c r="DA499" s="68"/>
      <c r="DB499" s="68"/>
      <c r="DC499" s="68"/>
      <c r="DD499" s="68"/>
      <c r="DE499" s="68"/>
      <c r="DF499" s="68"/>
      <c r="DG499" s="68"/>
      <c r="DH499" s="68"/>
      <c r="DI499" s="68"/>
      <c r="DJ499" s="68"/>
      <c r="DK499" s="68"/>
      <c r="DL499" s="68"/>
      <c r="DM499" s="68"/>
      <c r="DN499" s="68"/>
      <c r="DO499" s="68"/>
      <c r="DP499" s="68"/>
      <c r="DQ499" s="68"/>
      <c r="DR499" s="68"/>
      <c r="DS499" s="68"/>
      <c r="DT499" s="68"/>
      <c r="DU499" s="68"/>
      <c r="DV499" s="68"/>
      <c r="DW499" s="68"/>
      <c r="DX499" s="68"/>
      <c r="DY499" s="68"/>
      <c r="DZ499" s="68"/>
      <c r="EA499" s="68"/>
      <c r="EB499" s="68"/>
      <c r="EC499" s="68"/>
      <c r="ED499" s="68"/>
      <c r="EE499" s="68"/>
      <c r="EF499" s="68"/>
      <c r="EG499" s="68"/>
      <c r="EH499" s="68"/>
      <c r="EI499" s="68"/>
      <c r="EJ499" s="68"/>
      <c r="EK499" s="68"/>
      <c r="EL499" s="68"/>
      <c r="EM499" s="68"/>
      <c r="EN499" s="68"/>
      <c r="EO499" s="68"/>
      <c r="EP499" s="68"/>
      <c r="EQ499" s="65"/>
      <c r="ER499" s="6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5"/>
      <c r="FD499" s="15"/>
      <c r="FE499" s="15"/>
      <c r="FF499" s="15"/>
      <c r="FG499" s="15"/>
      <c r="FH499" s="1" t="str">
        <f t="shared" si="44"/>
        <v/>
      </c>
      <c r="FI499" s="1">
        <f t="shared" si="45"/>
        <v>0</v>
      </c>
      <c r="FJ499" s="38"/>
      <c r="FL499" s="13"/>
    </row>
    <row r="500" spans="1:168" ht="21" hidden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63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61"/>
      <c r="BE500" s="61"/>
      <c r="BF500" s="15"/>
      <c r="BG500" s="15"/>
      <c r="BH500" s="15"/>
      <c r="BI500" s="15"/>
      <c r="BJ500" s="15"/>
      <c r="BK500" s="15"/>
      <c r="BL500" s="15"/>
      <c r="BM500" s="15"/>
      <c r="BN500" s="15"/>
      <c r="BO500" s="64"/>
      <c r="BP500" s="15"/>
      <c r="BQ500" s="15"/>
      <c r="BR500" s="15"/>
      <c r="BS500" s="64"/>
      <c r="BT500" s="64"/>
      <c r="BU500" s="64"/>
      <c r="BV500" s="15"/>
      <c r="BW500" s="64"/>
      <c r="BX500" s="68"/>
      <c r="BY500" s="68"/>
      <c r="BZ500" s="68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15"/>
      <c r="CL500" s="68"/>
      <c r="CM500" s="68"/>
      <c r="CN500" s="68"/>
      <c r="CO500" s="68"/>
      <c r="CP500" s="68"/>
      <c r="CQ500" s="68"/>
      <c r="CR500" s="68"/>
      <c r="CS500" s="68"/>
      <c r="CT500" s="68"/>
      <c r="CU500" s="68"/>
      <c r="CV500" s="68"/>
      <c r="CW500" s="68"/>
      <c r="CX500" s="68"/>
      <c r="CY500" s="68"/>
      <c r="CZ500" s="68"/>
      <c r="DA500" s="68"/>
      <c r="DB500" s="68"/>
      <c r="DC500" s="68"/>
      <c r="DD500" s="68"/>
      <c r="DE500" s="68"/>
      <c r="DF500" s="68"/>
      <c r="DG500" s="68"/>
      <c r="DH500" s="68"/>
      <c r="DI500" s="68"/>
      <c r="DJ500" s="68"/>
      <c r="DK500" s="68"/>
      <c r="DL500" s="68"/>
      <c r="DM500" s="68"/>
      <c r="DN500" s="68"/>
      <c r="DO500" s="68"/>
      <c r="DP500" s="68"/>
      <c r="DQ500" s="68"/>
      <c r="DR500" s="68"/>
      <c r="DS500" s="68"/>
      <c r="DT500" s="68"/>
      <c r="DU500" s="68"/>
      <c r="DV500" s="68"/>
      <c r="DW500" s="68"/>
      <c r="DX500" s="68"/>
      <c r="DY500" s="68"/>
      <c r="DZ500" s="68"/>
      <c r="EA500" s="68"/>
      <c r="EB500" s="68"/>
      <c r="EC500" s="68"/>
      <c r="ED500" s="68"/>
      <c r="EE500" s="68"/>
      <c r="EF500" s="68"/>
      <c r="EG500" s="68"/>
      <c r="EH500" s="68"/>
      <c r="EI500" s="68"/>
      <c r="EJ500" s="68"/>
      <c r="EK500" s="68"/>
      <c r="EL500" s="68"/>
      <c r="EM500" s="68"/>
      <c r="EN500" s="68"/>
      <c r="EO500" s="68"/>
      <c r="EP500" s="68"/>
      <c r="EQ500" s="65"/>
      <c r="ER500" s="6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" t="str">
        <f t="shared" si="44"/>
        <v/>
      </c>
      <c r="FI500" s="1">
        <f t="shared" si="45"/>
        <v>0</v>
      </c>
      <c r="FJ500" s="38"/>
      <c r="FL500" s="13"/>
    </row>
    <row r="501" spans="1:168" ht="21" hidden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63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61"/>
      <c r="BE501" s="61"/>
      <c r="BF501" s="15"/>
      <c r="BG501" s="15"/>
      <c r="BH501" s="15"/>
      <c r="BI501" s="15"/>
      <c r="BJ501" s="15"/>
      <c r="BK501" s="15"/>
      <c r="BL501" s="15"/>
      <c r="BM501" s="15"/>
      <c r="BN501" s="15"/>
      <c r="BO501" s="64"/>
      <c r="BP501" s="15"/>
      <c r="BQ501" s="15"/>
      <c r="BR501" s="15"/>
      <c r="BS501" s="64"/>
      <c r="BT501" s="64"/>
      <c r="BU501" s="64"/>
      <c r="BV501" s="15"/>
      <c r="BW501" s="64"/>
      <c r="BX501" s="68"/>
      <c r="BY501" s="68"/>
      <c r="BZ501" s="68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15"/>
      <c r="CL501" s="68"/>
      <c r="CM501" s="68"/>
      <c r="CN501" s="68"/>
      <c r="CO501" s="68"/>
      <c r="CP501" s="68"/>
      <c r="CQ501" s="68"/>
      <c r="CR501" s="68"/>
      <c r="CS501" s="68"/>
      <c r="CT501" s="68"/>
      <c r="CU501" s="68"/>
      <c r="CV501" s="68"/>
      <c r="CW501" s="68"/>
      <c r="CX501" s="68"/>
      <c r="CY501" s="68"/>
      <c r="CZ501" s="68"/>
      <c r="DA501" s="68"/>
      <c r="DB501" s="68"/>
      <c r="DC501" s="68"/>
      <c r="DD501" s="68"/>
      <c r="DE501" s="68"/>
      <c r="DF501" s="68"/>
      <c r="DG501" s="68"/>
      <c r="DH501" s="68"/>
      <c r="DI501" s="68"/>
      <c r="DJ501" s="68"/>
      <c r="DK501" s="68"/>
      <c r="DL501" s="68"/>
      <c r="DM501" s="68"/>
      <c r="DN501" s="68"/>
      <c r="DO501" s="68"/>
      <c r="DP501" s="68"/>
      <c r="DQ501" s="68"/>
      <c r="DR501" s="68"/>
      <c r="DS501" s="68"/>
      <c r="DT501" s="68"/>
      <c r="DU501" s="68"/>
      <c r="DV501" s="68"/>
      <c r="DW501" s="68"/>
      <c r="DX501" s="68"/>
      <c r="DY501" s="68"/>
      <c r="DZ501" s="68"/>
      <c r="EA501" s="68"/>
      <c r="EB501" s="68"/>
      <c r="EC501" s="68"/>
      <c r="ED501" s="68"/>
      <c r="EE501" s="68"/>
      <c r="EF501" s="68"/>
      <c r="EG501" s="68"/>
      <c r="EH501" s="68"/>
      <c r="EI501" s="68"/>
      <c r="EJ501" s="68"/>
      <c r="EK501" s="68"/>
      <c r="EL501" s="68"/>
      <c r="EM501" s="68"/>
      <c r="EN501" s="68"/>
      <c r="EO501" s="68"/>
      <c r="EP501" s="68"/>
      <c r="EQ501" s="65"/>
      <c r="ER501" s="6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5"/>
      <c r="FD501" s="15"/>
      <c r="FE501" s="15"/>
      <c r="FF501" s="15"/>
      <c r="FG501" s="15"/>
      <c r="FH501" s="1" t="str">
        <f t="shared" si="44"/>
        <v/>
      </c>
      <c r="FI501" s="1">
        <f t="shared" si="45"/>
        <v>0</v>
      </c>
      <c r="FJ501" s="38"/>
      <c r="FL501" s="13"/>
    </row>
    <row r="502" spans="1:168" ht="21" hidden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63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61"/>
      <c r="BE502" s="61"/>
      <c r="BF502" s="15"/>
      <c r="BG502" s="15"/>
      <c r="BH502" s="15"/>
      <c r="BI502" s="15"/>
      <c r="BJ502" s="15"/>
      <c r="BK502" s="15"/>
      <c r="BL502" s="15"/>
      <c r="BM502" s="15"/>
      <c r="BN502" s="15"/>
      <c r="BO502" s="64"/>
      <c r="BP502" s="15"/>
      <c r="BQ502" s="15"/>
      <c r="BR502" s="15"/>
      <c r="BS502" s="64"/>
      <c r="BT502" s="64"/>
      <c r="BU502" s="64"/>
      <c r="BV502" s="15"/>
      <c r="BW502" s="64"/>
      <c r="BX502" s="68"/>
      <c r="BY502" s="68"/>
      <c r="BZ502" s="68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15"/>
      <c r="CL502" s="68"/>
      <c r="CM502" s="68"/>
      <c r="CN502" s="68"/>
      <c r="CO502" s="68"/>
      <c r="CP502" s="68"/>
      <c r="CQ502" s="68"/>
      <c r="CR502" s="68"/>
      <c r="CS502" s="68"/>
      <c r="CT502" s="68"/>
      <c r="CU502" s="68"/>
      <c r="CV502" s="68"/>
      <c r="CW502" s="68"/>
      <c r="CX502" s="68"/>
      <c r="CY502" s="68"/>
      <c r="CZ502" s="68"/>
      <c r="DA502" s="68"/>
      <c r="DB502" s="68"/>
      <c r="DC502" s="68"/>
      <c r="DD502" s="68"/>
      <c r="DE502" s="68"/>
      <c r="DF502" s="68"/>
      <c r="DG502" s="68"/>
      <c r="DH502" s="68"/>
      <c r="DI502" s="68"/>
      <c r="DJ502" s="68"/>
      <c r="DK502" s="68"/>
      <c r="DL502" s="68"/>
      <c r="DM502" s="68"/>
      <c r="DN502" s="68"/>
      <c r="DO502" s="68"/>
      <c r="DP502" s="68"/>
      <c r="DQ502" s="68"/>
      <c r="DR502" s="68"/>
      <c r="DS502" s="68"/>
      <c r="DT502" s="68"/>
      <c r="DU502" s="68"/>
      <c r="DV502" s="68"/>
      <c r="DW502" s="68"/>
      <c r="DX502" s="68"/>
      <c r="DY502" s="68"/>
      <c r="DZ502" s="68"/>
      <c r="EA502" s="68"/>
      <c r="EB502" s="68"/>
      <c r="EC502" s="68"/>
      <c r="ED502" s="68"/>
      <c r="EE502" s="68"/>
      <c r="EF502" s="68"/>
      <c r="EG502" s="68"/>
      <c r="EH502" s="68"/>
      <c r="EI502" s="68"/>
      <c r="EJ502" s="68"/>
      <c r="EK502" s="68"/>
      <c r="EL502" s="68"/>
      <c r="EM502" s="68"/>
      <c r="EN502" s="68"/>
      <c r="EO502" s="68"/>
      <c r="EP502" s="68"/>
      <c r="EQ502" s="65"/>
      <c r="ER502" s="6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5"/>
      <c r="FD502" s="15"/>
      <c r="FE502" s="15"/>
      <c r="FF502" s="15"/>
      <c r="FG502" s="15"/>
      <c r="FH502" s="1" t="str">
        <f t="shared" si="44"/>
        <v/>
      </c>
      <c r="FI502" s="1">
        <f t="shared" si="45"/>
        <v>0</v>
      </c>
      <c r="FJ502" s="38"/>
      <c r="FL502" s="13"/>
    </row>
    <row r="503" spans="1:168" ht="21" hidden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63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61"/>
      <c r="BE503" s="61"/>
      <c r="BF503" s="15"/>
      <c r="BG503" s="15"/>
      <c r="BH503" s="15"/>
      <c r="BI503" s="15"/>
      <c r="BJ503" s="15"/>
      <c r="BK503" s="15"/>
      <c r="BL503" s="15"/>
      <c r="BM503" s="15"/>
      <c r="BN503" s="15"/>
      <c r="BO503" s="64"/>
      <c r="BP503" s="15"/>
      <c r="BQ503" s="15"/>
      <c r="BR503" s="15"/>
      <c r="BS503" s="64"/>
      <c r="BT503" s="64"/>
      <c r="BU503" s="64"/>
      <c r="BV503" s="15"/>
      <c r="BW503" s="64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15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  <c r="EE503" s="68"/>
      <c r="EF503" s="68"/>
      <c r="EG503" s="68"/>
      <c r="EH503" s="68"/>
      <c r="EI503" s="68"/>
      <c r="EJ503" s="68"/>
      <c r="EK503" s="68"/>
      <c r="EL503" s="68"/>
      <c r="EM503" s="68"/>
      <c r="EN503" s="68"/>
      <c r="EO503" s="68"/>
      <c r="EP503" s="68"/>
      <c r="EQ503" s="65"/>
      <c r="ER503" s="6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5"/>
      <c r="FD503" s="15"/>
      <c r="FE503" s="15"/>
      <c r="FF503" s="15"/>
      <c r="FG503" s="15"/>
      <c r="FH503" s="1" t="str">
        <f t="shared" si="44"/>
        <v/>
      </c>
      <c r="FI503" s="1">
        <f t="shared" si="45"/>
        <v>0</v>
      </c>
      <c r="FJ503" s="38"/>
      <c r="FL503" s="13"/>
    </row>
    <row r="504" spans="1:168" ht="21" hidden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63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61"/>
      <c r="BE504" s="61"/>
      <c r="BF504" s="15"/>
      <c r="BG504" s="15"/>
      <c r="BH504" s="15"/>
      <c r="BI504" s="15"/>
      <c r="BJ504" s="15"/>
      <c r="BK504" s="15"/>
      <c r="BL504" s="15"/>
      <c r="BM504" s="15"/>
      <c r="BN504" s="15"/>
      <c r="BO504" s="64"/>
      <c r="BP504" s="15"/>
      <c r="BQ504" s="15"/>
      <c r="BR504" s="15"/>
      <c r="BS504" s="64"/>
      <c r="BT504" s="64"/>
      <c r="BU504" s="64"/>
      <c r="BV504" s="15"/>
      <c r="BW504" s="64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15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  <c r="EE504" s="68"/>
      <c r="EF504" s="68"/>
      <c r="EG504" s="68"/>
      <c r="EH504" s="68"/>
      <c r="EI504" s="68"/>
      <c r="EJ504" s="68"/>
      <c r="EK504" s="68"/>
      <c r="EL504" s="68"/>
      <c r="EM504" s="68"/>
      <c r="EN504" s="68"/>
      <c r="EO504" s="68"/>
      <c r="EP504" s="68"/>
      <c r="EQ504" s="65"/>
      <c r="ER504" s="6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" t="str">
        <f t="shared" si="44"/>
        <v/>
      </c>
      <c r="FI504" s="1">
        <f t="shared" si="45"/>
        <v>0</v>
      </c>
      <c r="FJ504" s="38"/>
      <c r="FL504" s="13"/>
    </row>
    <row r="505" spans="1:168" ht="21" hidden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63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61"/>
      <c r="BE505" s="61"/>
      <c r="BF505" s="15"/>
      <c r="BG505" s="15"/>
      <c r="BH505" s="15"/>
      <c r="BI505" s="15"/>
      <c r="BJ505" s="15"/>
      <c r="BK505" s="15"/>
      <c r="BL505" s="15"/>
      <c r="BM505" s="15"/>
      <c r="BN505" s="15"/>
      <c r="BO505" s="64"/>
      <c r="BP505" s="15"/>
      <c r="BQ505" s="15"/>
      <c r="BR505" s="15"/>
      <c r="BS505" s="64"/>
      <c r="BT505" s="64"/>
      <c r="BU505" s="64"/>
      <c r="BV505" s="15"/>
      <c r="BW505" s="64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15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  <c r="EE505" s="68"/>
      <c r="EF505" s="68"/>
      <c r="EG505" s="68"/>
      <c r="EH505" s="68"/>
      <c r="EI505" s="68"/>
      <c r="EJ505" s="68"/>
      <c r="EK505" s="68"/>
      <c r="EL505" s="68"/>
      <c r="EM505" s="68"/>
      <c r="EN505" s="68"/>
      <c r="EO505" s="68"/>
      <c r="EP505" s="68"/>
      <c r="EQ505" s="65"/>
      <c r="ER505" s="6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5"/>
      <c r="FD505" s="15"/>
      <c r="FE505" s="15"/>
      <c r="FF505" s="15"/>
      <c r="FG505" s="15"/>
      <c r="FH505" s="1" t="str">
        <f t="shared" si="44"/>
        <v/>
      </c>
      <c r="FI505" s="1">
        <f t="shared" si="45"/>
        <v>0</v>
      </c>
      <c r="FJ505" s="38"/>
      <c r="FL505" s="13"/>
    </row>
    <row r="506" spans="1:168" ht="21" hidden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63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61"/>
      <c r="BE506" s="61"/>
      <c r="BF506" s="15"/>
      <c r="BG506" s="15"/>
      <c r="BH506" s="15"/>
      <c r="BI506" s="15"/>
      <c r="BJ506" s="15"/>
      <c r="BK506" s="15"/>
      <c r="BL506" s="15"/>
      <c r="BM506" s="15"/>
      <c r="BN506" s="15"/>
      <c r="BO506" s="64"/>
      <c r="BP506" s="15"/>
      <c r="BQ506" s="15"/>
      <c r="BR506" s="15"/>
      <c r="BS506" s="64"/>
      <c r="BT506" s="64"/>
      <c r="BU506" s="64"/>
      <c r="BV506" s="15"/>
      <c r="BW506" s="64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15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  <c r="EE506" s="68"/>
      <c r="EF506" s="68"/>
      <c r="EG506" s="68"/>
      <c r="EH506" s="68"/>
      <c r="EI506" s="68"/>
      <c r="EJ506" s="68"/>
      <c r="EK506" s="68"/>
      <c r="EL506" s="68"/>
      <c r="EM506" s="68"/>
      <c r="EN506" s="68"/>
      <c r="EO506" s="68"/>
      <c r="EP506" s="68"/>
      <c r="EQ506" s="65"/>
      <c r="ER506" s="6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5"/>
      <c r="FD506" s="15"/>
      <c r="FE506" s="15"/>
      <c r="FF506" s="15"/>
      <c r="FG506" s="15"/>
      <c r="FH506" s="1" t="str">
        <f t="shared" si="44"/>
        <v/>
      </c>
      <c r="FI506" s="1">
        <f t="shared" si="45"/>
        <v>0</v>
      </c>
      <c r="FJ506" s="38"/>
      <c r="FL506" s="13"/>
    </row>
    <row r="507" spans="1:168" ht="21" hidden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63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61"/>
      <c r="BE507" s="61"/>
      <c r="BF507" s="15"/>
      <c r="BG507" s="15"/>
      <c r="BH507" s="15"/>
      <c r="BI507" s="15"/>
      <c r="BJ507" s="15"/>
      <c r="BK507" s="15"/>
      <c r="BL507" s="15"/>
      <c r="BM507" s="15"/>
      <c r="BN507" s="15"/>
      <c r="BO507" s="64"/>
      <c r="BP507" s="15"/>
      <c r="BQ507" s="15"/>
      <c r="BR507" s="15"/>
      <c r="BS507" s="64"/>
      <c r="BT507" s="64"/>
      <c r="BU507" s="64"/>
      <c r="BV507" s="15"/>
      <c r="BW507" s="64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15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  <c r="EE507" s="68"/>
      <c r="EF507" s="68"/>
      <c r="EG507" s="68"/>
      <c r="EH507" s="68"/>
      <c r="EI507" s="68"/>
      <c r="EJ507" s="68"/>
      <c r="EK507" s="68"/>
      <c r="EL507" s="68"/>
      <c r="EM507" s="68"/>
      <c r="EN507" s="68"/>
      <c r="EO507" s="68"/>
      <c r="EP507" s="68"/>
      <c r="EQ507" s="65"/>
      <c r="ER507" s="6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" t="str">
        <f t="shared" si="44"/>
        <v/>
      </c>
      <c r="FI507" s="1">
        <f t="shared" si="45"/>
        <v>0</v>
      </c>
      <c r="FJ507" s="38"/>
      <c r="FL507" s="13"/>
    </row>
    <row r="508" spans="1:168" ht="21" hidden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63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61"/>
      <c r="BE508" s="61"/>
      <c r="BF508" s="15"/>
      <c r="BG508" s="15"/>
      <c r="BH508" s="15"/>
      <c r="BI508" s="15"/>
      <c r="BJ508" s="15"/>
      <c r="BK508" s="15"/>
      <c r="BL508" s="15"/>
      <c r="BM508" s="15"/>
      <c r="BN508" s="15"/>
      <c r="BO508" s="64"/>
      <c r="BP508" s="15"/>
      <c r="BQ508" s="15"/>
      <c r="BR508" s="15"/>
      <c r="BS508" s="64"/>
      <c r="BT508" s="64"/>
      <c r="BU508" s="64"/>
      <c r="BV508" s="15"/>
      <c r="BW508" s="64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15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  <c r="EE508" s="68"/>
      <c r="EF508" s="68"/>
      <c r="EG508" s="68"/>
      <c r="EH508" s="68"/>
      <c r="EI508" s="68"/>
      <c r="EJ508" s="68"/>
      <c r="EK508" s="68"/>
      <c r="EL508" s="68"/>
      <c r="EM508" s="68"/>
      <c r="EN508" s="68"/>
      <c r="EO508" s="68"/>
      <c r="EP508" s="68"/>
      <c r="EQ508" s="65"/>
      <c r="ER508" s="6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/>
      <c r="FG508" s="15"/>
      <c r="FH508" s="1" t="str">
        <f t="shared" si="44"/>
        <v/>
      </c>
      <c r="FI508" s="1">
        <f t="shared" si="45"/>
        <v>0</v>
      </c>
      <c r="FJ508" s="38"/>
      <c r="FL508" s="13"/>
    </row>
    <row r="509" spans="1:168" ht="21" hidden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63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61"/>
      <c r="BE509" s="61"/>
      <c r="BF509" s="15"/>
      <c r="BG509" s="15"/>
      <c r="BH509" s="15"/>
      <c r="BI509" s="15"/>
      <c r="BJ509" s="15"/>
      <c r="BK509" s="15"/>
      <c r="BL509" s="15"/>
      <c r="BM509" s="15"/>
      <c r="BN509" s="15"/>
      <c r="BO509" s="64"/>
      <c r="BP509" s="15"/>
      <c r="BQ509" s="15"/>
      <c r="BR509" s="15"/>
      <c r="BS509" s="64"/>
      <c r="BT509" s="64"/>
      <c r="BU509" s="64"/>
      <c r="BV509" s="15"/>
      <c r="BW509" s="64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15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  <c r="EE509" s="68"/>
      <c r="EF509" s="68"/>
      <c r="EG509" s="68"/>
      <c r="EH509" s="68"/>
      <c r="EI509" s="68"/>
      <c r="EJ509" s="68"/>
      <c r="EK509" s="68"/>
      <c r="EL509" s="68"/>
      <c r="EM509" s="68"/>
      <c r="EN509" s="68"/>
      <c r="EO509" s="68"/>
      <c r="EP509" s="68"/>
      <c r="EQ509" s="65"/>
      <c r="ER509" s="6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" t="str">
        <f t="shared" si="44"/>
        <v/>
      </c>
      <c r="FI509" s="1">
        <f t="shared" si="45"/>
        <v>0</v>
      </c>
      <c r="FJ509" s="38"/>
      <c r="FL509" s="13"/>
    </row>
    <row r="510" spans="1:168" ht="21" hidden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63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61"/>
      <c r="BE510" s="61"/>
      <c r="BF510" s="15"/>
      <c r="BG510" s="15"/>
      <c r="BH510" s="15"/>
      <c r="BI510" s="15"/>
      <c r="BJ510" s="15"/>
      <c r="BK510" s="15"/>
      <c r="BL510" s="15"/>
      <c r="BM510" s="15"/>
      <c r="BN510" s="15"/>
      <c r="BO510" s="64"/>
      <c r="BP510" s="15"/>
      <c r="BQ510" s="15"/>
      <c r="BR510" s="15"/>
      <c r="BS510" s="64"/>
      <c r="BT510" s="64"/>
      <c r="BU510" s="64"/>
      <c r="BV510" s="15"/>
      <c r="BW510" s="64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15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  <c r="EE510" s="68"/>
      <c r="EF510" s="68"/>
      <c r="EG510" s="68"/>
      <c r="EH510" s="68"/>
      <c r="EI510" s="68"/>
      <c r="EJ510" s="68"/>
      <c r="EK510" s="68"/>
      <c r="EL510" s="68"/>
      <c r="EM510" s="68"/>
      <c r="EN510" s="68"/>
      <c r="EO510" s="68"/>
      <c r="EP510" s="68"/>
      <c r="EQ510" s="65"/>
      <c r="ER510" s="6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" t="str">
        <f t="shared" si="44"/>
        <v/>
      </c>
      <c r="FI510" s="1">
        <f t="shared" si="45"/>
        <v>0</v>
      </c>
      <c r="FJ510" s="38"/>
      <c r="FL510" s="13"/>
    </row>
    <row r="511" spans="1:168" ht="21" hidden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63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61"/>
      <c r="BE511" s="61"/>
      <c r="BF511" s="15"/>
      <c r="BG511" s="15"/>
      <c r="BH511" s="15"/>
      <c r="BI511" s="15"/>
      <c r="BJ511" s="15"/>
      <c r="BK511" s="15"/>
      <c r="BL511" s="15"/>
      <c r="BM511" s="15"/>
      <c r="BN511" s="15"/>
      <c r="BO511" s="64"/>
      <c r="BP511" s="15"/>
      <c r="BQ511" s="15"/>
      <c r="BR511" s="15"/>
      <c r="BS511" s="64"/>
      <c r="BT511" s="64"/>
      <c r="BU511" s="64"/>
      <c r="BV511" s="15"/>
      <c r="BW511" s="64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15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  <c r="EE511" s="68"/>
      <c r="EF511" s="68"/>
      <c r="EG511" s="68"/>
      <c r="EH511" s="68"/>
      <c r="EI511" s="68"/>
      <c r="EJ511" s="68"/>
      <c r="EK511" s="68"/>
      <c r="EL511" s="68"/>
      <c r="EM511" s="68"/>
      <c r="EN511" s="68"/>
      <c r="EO511" s="68"/>
      <c r="EP511" s="68"/>
      <c r="EQ511" s="65"/>
      <c r="ER511" s="6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" t="str">
        <f t="shared" si="44"/>
        <v/>
      </c>
      <c r="FI511" s="1">
        <f t="shared" si="45"/>
        <v>0</v>
      </c>
      <c r="FJ511" s="38"/>
      <c r="FL511" s="13"/>
    </row>
    <row r="512" spans="1:168" ht="21" hidden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63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61"/>
      <c r="BE512" s="61"/>
      <c r="BF512" s="15"/>
      <c r="BG512" s="15"/>
      <c r="BH512" s="15"/>
      <c r="BI512" s="15"/>
      <c r="BJ512" s="15"/>
      <c r="BK512" s="15"/>
      <c r="BL512" s="15"/>
      <c r="BM512" s="15"/>
      <c r="BN512" s="15"/>
      <c r="BO512" s="64"/>
      <c r="BP512" s="15"/>
      <c r="BQ512" s="15"/>
      <c r="BR512" s="15"/>
      <c r="BS512" s="64"/>
      <c r="BT512" s="64"/>
      <c r="BU512" s="64"/>
      <c r="BV512" s="15"/>
      <c r="BW512" s="64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15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  <c r="EE512" s="68"/>
      <c r="EF512" s="68"/>
      <c r="EG512" s="68"/>
      <c r="EH512" s="68"/>
      <c r="EI512" s="68"/>
      <c r="EJ512" s="68"/>
      <c r="EK512" s="68"/>
      <c r="EL512" s="68"/>
      <c r="EM512" s="68"/>
      <c r="EN512" s="68"/>
      <c r="EO512" s="68"/>
      <c r="EP512" s="68"/>
      <c r="EQ512" s="65"/>
      <c r="ER512" s="6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" t="str">
        <f t="shared" si="44"/>
        <v/>
      </c>
      <c r="FI512" s="1">
        <f t="shared" si="45"/>
        <v>0</v>
      </c>
      <c r="FJ512" s="38"/>
      <c r="FL512" s="13"/>
    </row>
    <row r="513" spans="1:168" ht="21" hidden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63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61"/>
      <c r="BE513" s="61"/>
      <c r="BF513" s="15"/>
      <c r="BG513" s="15"/>
      <c r="BH513" s="15"/>
      <c r="BI513" s="15"/>
      <c r="BJ513" s="15"/>
      <c r="BK513" s="15"/>
      <c r="BL513" s="15"/>
      <c r="BM513" s="15"/>
      <c r="BN513" s="15"/>
      <c r="BO513" s="64"/>
      <c r="BP513" s="15"/>
      <c r="BQ513" s="15"/>
      <c r="BR513" s="15"/>
      <c r="BS513" s="64"/>
      <c r="BT513" s="64"/>
      <c r="BU513" s="64"/>
      <c r="BV513" s="15"/>
      <c r="BW513" s="64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15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  <c r="EE513" s="68"/>
      <c r="EF513" s="68"/>
      <c r="EG513" s="68"/>
      <c r="EH513" s="68"/>
      <c r="EI513" s="68"/>
      <c r="EJ513" s="68"/>
      <c r="EK513" s="68"/>
      <c r="EL513" s="68"/>
      <c r="EM513" s="68"/>
      <c r="EN513" s="68"/>
      <c r="EO513" s="68"/>
      <c r="EP513" s="68"/>
      <c r="EQ513" s="65"/>
      <c r="ER513" s="6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5"/>
      <c r="FD513" s="15"/>
      <c r="FE513" s="15"/>
      <c r="FF513" s="15"/>
      <c r="FG513" s="15"/>
      <c r="FH513" s="1" t="str">
        <f t="shared" si="44"/>
        <v/>
      </c>
      <c r="FI513" s="1">
        <f t="shared" si="45"/>
        <v>0</v>
      </c>
      <c r="FJ513" s="38"/>
      <c r="FL513" s="13"/>
    </row>
    <row r="514" spans="1:168" ht="21" hidden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63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61"/>
      <c r="BE514" s="61"/>
      <c r="BF514" s="15"/>
      <c r="BG514" s="15"/>
      <c r="BH514" s="15"/>
      <c r="BI514" s="15"/>
      <c r="BJ514" s="15"/>
      <c r="BK514" s="15"/>
      <c r="BL514" s="15"/>
      <c r="BM514" s="15"/>
      <c r="BN514" s="15"/>
      <c r="BO514" s="64"/>
      <c r="BP514" s="15"/>
      <c r="BQ514" s="15"/>
      <c r="BR514" s="15"/>
      <c r="BS514" s="64"/>
      <c r="BT514" s="64"/>
      <c r="BU514" s="64"/>
      <c r="BV514" s="15"/>
      <c r="BW514" s="64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15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  <c r="EE514" s="68"/>
      <c r="EF514" s="68"/>
      <c r="EG514" s="68"/>
      <c r="EH514" s="68"/>
      <c r="EI514" s="68"/>
      <c r="EJ514" s="68"/>
      <c r="EK514" s="68"/>
      <c r="EL514" s="68"/>
      <c r="EM514" s="68"/>
      <c r="EN514" s="68"/>
      <c r="EO514" s="68"/>
      <c r="EP514" s="68"/>
      <c r="EQ514" s="65"/>
      <c r="ER514" s="6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5"/>
      <c r="FD514" s="15"/>
      <c r="FE514" s="15"/>
      <c r="FF514" s="15"/>
      <c r="FG514" s="15"/>
      <c r="FH514" s="1" t="str">
        <f t="shared" si="44"/>
        <v/>
      </c>
      <c r="FI514" s="1">
        <f t="shared" si="45"/>
        <v>0</v>
      </c>
      <c r="FJ514" s="38"/>
      <c r="FL514" s="13"/>
    </row>
    <row r="515" spans="1:168" ht="21" hidden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63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61"/>
      <c r="BE515" s="61"/>
      <c r="BF515" s="15"/>
      <c r="BG515" s="15"/>
      <c r="BH515" s="15"/>
      <c r="BI515" s="15"/>
      <c r="BJ515" s="15"/>
      <c r="BK515" s="15"/>
      <c r="BL515" s="15"/>
      <c r="BM515" s="15"/>
      <c r="BN515" s="15"/>
      <c r="BO515" s="64"/>
      <c r="BP515" s="15"/>
      <c r="BQ515" s="15"/>
      <c r="BR515" s="15"/>
      <c r="BS515" s="64"/>
      <c r="BT515" s="64"/>
      <c r="BU515" s="64"/>
      <c r="BV515" s="15"/>
      <c r="BW515" s="64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15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  <c r="EE515" s="68"/>
      <c r="EF515" s="68"/>
      <c r="EG515" s="68"/>
      <c r="EH515" s="68"/>
      <c r="EI515" s="68"/>
      <c r="EJ515" s="68"/>
      <c r="EK515" s="68"/>
      <c r="EL515" s="68"/>
      <c r="EM515" s="68"/>
      <c r="EN515" s="68"/>
      <c r="EO515" s="68"/>
      <c r="EP515" s="68"/>
      <c r="EQ515" s="65"/>
      <c r="ER515" s="6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/>
      <c r="FG515" s="15"/>
      <c r="FH515" s="1" t="str">
        <f t="shared" si="44"/>
        <v/>
      </c>
      <c r="FI515" s="1">
        <f t="shared" si="45"/>
        <v>0</v>
      </c>
      <c r="FJ515" s="38"/>
      <c r="FL515" s="13"/>
    </row>
    <row r="516" spans="1:168" ht="21" hidden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63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61"/>
      <c r="BE516" s="61"/>
      <c r="BF516" s="15"/>
      <c r="BG516" s="15"/>
      <c r="BH516" s="15"/>
      <c r="BI516" s="15"/>
      <c r="BJ516" s="15"/>
      <c r="BK516" s="15"/>
      <c r="BL516" s="15"/>
      <c r="BM516" s="15"/>
      <c r="BN516" s="15"/>
      <c r="BO516" s="64"/>
      <c r="BP516" s="15"/>
      <c r="BQ516" s="15"/>
      <c r="BR516" s="15"/>
      <c r="BS516" s="64"/>
      <c r="BT516" s="64"/>
      <c r="BU516" s="64"/>
      <c r="BV516" s="15"/>
      <c r="BW516" s="64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15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  <c r="EE516" s="68"/>
      <c r="EF516" s="68"/>
      <c r="EG516" s="68"/>
      <c r="EH516" s="68"/>
      <c r="EI516" s="68"/>
      <c r="EJ516" s="68"/>
      <c r="EK516" s="68"/>
      <c r="EL516" s="68"/>
      <c r="EM516" s="68"/>
      <c r="EN516" s="68"/>
      <c r="EO516" s="68"/>
      <c r="EP516" s="68"/>
      <c r="EQ516" s="65"/>
      <c r="ER516" s="6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" t="str">
        <f t="shared" si="44"/>
        <v/>
      </c>
      <c r="FI516" s="1">
        <f t="shared" si="45"/>
        <v>0</v>
      </c>
      <c r="FJ516" s="38"/>
      <c r="FL516" s="13"/>
    </row>
    <row r="517" spans="1:168" ht="21" hidden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63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61"/>
      <c r="BE517" s="61"/>
      <c r="BF517" s="15"/>
      <c r="BG517" s="15"/>
      <c r="BH517" s="15"/>
      <c r="BI517" s="15"/>
      <c r="BJ517" s="15"/>
      <c r="BK517" s="15"/>
      <c r="BL517" s="15"/>
      <c r="BM517" s="15"/>
      <c r="BN517" s="15"/>
      <c r="BO517" s="64"/>
      <c r="BP517" s="15"/>
      <c r="BQ517" s="15"/>
      <c r="BR517" s="15"/>
      <c r="BS517" s="64"/>
      <c r="BT517" s="64"/>
      <c r="BU517" s="64"/>
      <c r="BV517" s="15"/>
      <c r="BW517" s="64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15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  <c r="EE517" s="68"/>
      <c r="EF517" s="68"/>
      <c r="EG517" s="68"/>
      <c r="EH517" s="68"/>
      <c r="EI517" s="68"/>
      <c r="EJ517" s="68"/>
      <c r="EK517" s="68"/>
      <c r="EL517" s="68"/>
      <c r="EM517" s="68"/>
      <c r="EN517" s="68"/>
      <c r="EO517" s="68"/>
      <c r="EP517" s="68"/>
      <c r="EQ517" s="65"/>
      <c r="ER517" s="6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  <c r="FE517" s="15"/>
      <c r="FF517" s="15"/>
      <c r="FG517" s="15"/>
      <c r="FH517" s="1" t="str">
        <f t="shared" si="44"/>
        <v/>
      </c>
      <c r="FI517" s="1">
        <f t="shared" si="45"/>
        <v>0</v>
      </c>
      <c r="FJ517" s="38"/>
      <c r="FL517" s="13"/>
    </row>
    <row r="518" spans="1:168" ht="21" hidden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63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61"/>
      <c r="BE518" s="61"/>
      <c r="BF518" s="15"/>
      <c r="BG518" s="15"/>
      <c r="BH518" s="15"/>
      <c r="BI518" s="15"/>
      <c r="BJ518" s="15"/>
      <c r="BK518" s="15"/>
      <c r="BL518" s="15"/>
      <c r="BM518" s="15"/>
      <c r="BN518" s="15"/>
      <c r="BO518" s="64"/>
      <c r="BP518" s="15"/>
      <c r="BQ518" s="15"/>
      <c r="BR518" s="15"/>
      <c r="BS518" s="64"/>
      <c r="BT518" s="64"/>
      <c r="BU518" s="64"/>
      <c r="BV518" s="15"/>
      <c r="BW518" s="64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15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  <c r="EE518" s="68"/>
      <c r="EF518" s="68"/>
      <c r="EG518" s="68"/>
      <c r="EH518" s="68"/>
      <c r="EI518" s="68"/>
      <c r="EJ518" s="68"/>
      <c r="EK518" s="68"/>
      <c r="EL518" s="68"/>
      <c r="EM518" s="68"/>
      <c r="EN518" s="68"/>
      <c r="EO518" s="68"/>
      <c r="EP518" s="68"/>
      <c r="EQ518" s="65"/>
      <c r="ER518" s="6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" t="str">
        <f t="shared" si="44"/>
        <v/>
      </c>
      <c r="FI518" s="1">
        <f t="shared" si="45"/>
        <v>0</v>
      </c>
      <c r="FJ518" s="38"/>
      <c r="FL518" s="13"/>
    </row>
    <row r="519" spans="1:168" ht="21" hidden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63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61"/>
      <c r="BE519" s="61"/>
      <c r="BF519" s="15"/>
      <c r="BG519" s="15"/>
      <c r="BH519" s="15"/>
      <c r="BI519" s="15"/>
      <c r="BJ519" s="15"/>
      <c r="BK519" s="15"/>
      <c r="BL519" s="15"/>
      <c r="BM519" s="15"/>
      <c r="BN519" s="15"/>
      <c r="BO519" s="64"/>
      <c r="BP519" s="15"/>
      <c r="BQ519" s="15"/>
      <c r="BR519" s="15"/>
      <c r="BS519" s="64"/>
      <c r="BT519" s="64"/>
      <c r="BU519" s="64"/>
      <c r="BV519" s="15"/>
      <c r="BW519" s="64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15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  <c r="EE519" s="68"/>
      <c r="EF519" s="68"/>
      <c r="EG519" s="68"/>
      <c r="EH519" s="68"/>
      <c r="EI519" s="68"/>
      <c r="EJ519" s="68"/>
      <c r="EK519" s="68"/>
      <c r="EL519" s="68"/>
      <c r="EM519" s="68"/>
      <c r="EN519" s="68"/>
      <c r="EO519" s="68"/>
      <c r="EP519" s="68"/>
      <c r="EQ519" s="65"/>
      <c r="ER519" s="6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" t="str">
        <f t="shared" si="44"/>
        <v/>
      </c>
      <c r="FI519" s="1">
        <f t="shared" si="45"/>
        <v>0</v>
      </c>
      <c r="FJ519" s="38"/>
      <c r="FL519" s="13"/>
    </row>
    <row r="520" spans="1:168" ht="21" hidden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63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61"/>
      <c r="BE520" s="61"/>
      <c r="BF520" s="15"/>
      <c r="BG520" s="15"/>
      <c r="BH520" s="15"/>
      <c r="BI520" s="15"/>
      <c r="BJ520" s="15"/>
      <c r="BK520" s="15"/>
      <c r="BL520" s="15"/>
      <c r="BM520" s="15"/>
      <c r="BN520" s="15"/>
      <c r="BO520" s="64"/>
      <c r="BP520" s="15"/>
      <c r="BQ520" s="15"/>
      <c r="BR520" s="15"/>
      <c r="BS520" s="64"/>
      <c r="BT520" s="64"/>
      <c r="BU520" s="64"/>
      <c r="BV520" s="15"/>
      <c r="BW520" s="64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15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  <c r="EE520" s="68"/>
      <c r="EF520" s="68"/>
      <c r="EG520" s="68"/>
      <c r="EH520" s="68"/>
      <c r="EI520" s="68"/>
      <c r="EJ520" s="68"/>
      <c r="EK520" s="68"/>
      <c r="EL520" s="68"/>
      <c r="EM520" s="68"/>
      <c r="EN520" s="68"/>
      <c r="EO520" s="68"/>
      <c r="EP520" s="68"/>
      <c r="EQ520" s="65"/>
      <c r="ER520" s="6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5"/>
      <c r="FD520" s="15"/>
      <c r="FE520" s="15"/>
      <c r="FF520" s="15"/>
      <c r="FG520" s="15"/>
      <c r="FH520" s="1" t="str">
        <f t="shared" si="44"/>
        <v/>
      </c>
      <c r="FI520" s="1">
        <f t="shared" si="45"/>
        <v>0</v>
      </c>
      <c r="FJ520" s="38"/>
      <c r="FL520" s="13"/>
    </row>
    <row r="521" spans="1:168" ht="21" hidden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63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61"/>
      <c r="BE521" s="61"/>
      <c r="BF521" s="15"/>
      <c r="BG521" s="15"/>
      <c r="BH521" s="15"/>
      <c r="BI521" s="15"/>
      <c r="BJ521" s="15"/>
      <c r="BK521" s="15"/>
      <c r="BL521" s="15"/>
      <c r="BM521" s="15"/>
      <c r="BN521" s="15"/>
      <c r="BO521" s="64"/>
      <c r="BP521" s="15"/>
      <c r="BQ521" s="15"/>
      <c r="BR521" s="15"/>
      <c r="BS521" s="64"/>
      <c r="BT521" s="64"/>
      <c r="BU521" s="64"/>
      <c r="BV521" s="15"/>
      <c r="BW521" s="64"/>
      <c r="BX521" s="68"/>
      <c r="BY521" s="68"/>
      <c r="BZ521" s="68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15"/>
      <c r="CL521" s="68"/>
      <c r="CM521" s="68"/>
      <c r="CN521" s="68"/>
      <c r="CO521" s="68"/>
      <c r="CP521" s="68"/>
      <c r="CQ521" s="68"/>
      <c r="CR521" s="68"/>
      <c r="CS521" s="68"/>
      <c r="CT521" s="68"/>
      <c r="CU521" s="68"/>
      <c r="CV521" s="68"/>
      <c r="CW521" s="68"/>
      <c r="CX521" s="68"/>
      <c r="CY521" s="68"/>
      <c r="CZ521" s="68"/>
      <c r="DA521" s="68"/>
      <c r="DB521" s="68"/>
      <c r="DC521" s="68"/>
      <c r="DD521" s="68"/>
      <c r="DE521" s="68"/>
      <c r="DF521" s="68"/>
      <c r="DG521" s="68"/>
      <c r="DH521" s="68"/>
      <c r="DI521" s="68"/>
      <c r="DJ521" s="68"/>
      <c r="DK521" s="68"/>
      <c r="DL521" s="68"/>
      <c r="DM521" s="68"/>
      <c r="DN521" s="68"/>
      <c r="DO521" s="68"/>
      <c r="DP521" s="68"/>
      <c r="DQ521" s="68"/>
      <c r="DR521" s="68"/>
      <c r="DS521" s="68"/>
      <c r="DT521" s="68"/>
      <c r="DU521" s="68"/>
      <c r="DV521" s="68"/>
      <c r="DW521" s="68"/>
      <c r="DX521" s="68"/>
      <c r="DY521" s="68"/>
      <c r="DZ521" s="68"/>
      <c r="EA521" s="68"/>
      <c r="EB521" s="68"/>
      <c r="EC521" s="68"/>
      <c r="ED521" s="68"/>
      <c r="EE521" s="68"/>
      <c r="EF521" s="68"/>
      <c r="EG521" s="68"/>
      <c r="EH521" s="68"/>
      <c r="EI521" s="68"/>
      <c r="EJ521" s="68"/>
      <c r="EK521" s="68"/>
      <c r="EL521" s="68"/>
      <c r="EM521" s="68"/>
      <c r="EN521" s="68"/>
      <c r="EO521" s="68"/>
      <c r="EP521" s="68"/>
      <c r="EQ521" s="65"/>
      <c r="ER521" s="6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5"/>
      <c r="FD521" s="15"/>
      <c r="FE521" s="15"/>
      <c r="FF521" s="15"/>
      <c r="FG521" s="15"/>
      <c r="FH521" s="1" t="str">
        <f t="shared" si="44"/>
        <v/>
      </c>
      <c r="FI521" s="1">
        <f t="shared" si="45"/>
        <v>0</v>
      </c>
      <c r="FJ521" s="38"/>
      <c r="FL521" s="13"/>
    </row>
    <row r="522" spans="1:168" ht="21" hidden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63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61"/>
      <c r="BE522" s="61"/>
      <c r="BF522" s="15"/>
      <c r="BG522" s="15"/>
      <c r="BH522" s="15"/>
      <c r="BI522" s="15"/>
      <c r="BJ522" s="15"/>
      <c r="BK522" s="15"/>
      <c r="BL522" s="15"/>
      <c r="BM522" s="15"/>
      <c r="BN522" s="15"/>
      <c r="BO522" s="64"/>
      <c r="BP522" s="15"/>
      <c r="BQ522" s="15"/>
      <c r="BR522" s="15"/>
      <c r="BS522" s="64"/>
      <c r="BT522" s="64"/>
      <c r="BU522" s="64"/>
      <c r="BV522" s="15"/>
      <c r="BW522" s="64"/>
      <c r="BX522" s="68"/>
      <c r="BY522" s="68"/>
      <c r="BZ522" s="68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15"/>
      <c r="CL522" s="68"/>
      <c r="CM522" s="68"/>
      <c r="CN522" s="68"/>
      <c r="CO522" s="68"/>
      <c r="CP522" s="68"/>
      <c r="CQ522" s="68"/>
      <c r="CR522" s="68"/>
      <c r="CS522" s="68"/>
      <c r="CT522" s="68"/>
      <c r="CU522" s="68"/>
      <c r="CV522" s="68"/>
      <c r="CW522" s="68"/>
      <c r="CX522" s="68"/>
      <c r="CY522" s="68"/>
      <c r="CZ522" s="68"/>
      <c r="DA522" s="68"/>
      <c r="DB522" s="68"/>
      <c r="DC522" s="68"/>
      <c r="DD522" s="68"/>
      <c r="DE522" s="68"/>
      <c r="DF522" s="68"/>
      <c r="DG522" s="68"/>
      <c r="DH522" s="68"/>
      <c r="DI522" s="68"/>
      <c r="DJ522" s="68"/>
      <c r="DK522" s="68"/>
      <c r="DL522" s="68"/>
      <c r="DM522" s="68"/>
      <c r="DN522" s="68"/>
      <c r="DO522" s="68"/>
      <c r="DP522" s="68"/>
      <c r="DQ522" s="68"/>
      <c r="DR522" s="68"/>
      <c r="DS522" s="68"/>
      <c r="DT522" s="68"/>
      <c r="DU522" s="68"/>
      <c r="DV522" s="68"/>
      <c r="DW522" s="68"/>
      <c r="DX522" s="68"/>
      <c r="DY522" s="68"/>
      <c r="DZ522" s="68"/>
      <c r="EA522" s="68"/>
      <c r="EB522" s="68"/>
      <c r="EC522" s="68"/>
      <c r="ED522" s="68"/>
      <c r="EE522" s="68"/>
      <c r="EF522" s="68"/>
      <c r="EG522" s="68"/>
      <c r="EH522" s="68"/>
      <c r="EI522" s="68"/>
      <c r="EJ522" s="68"/>
      <c r="EK522" s="68"/>
      <c r="EL522" s="68"/>
      <c r="EM522" s="68"/>
      <c r="EN522" s="68"/>
      <c r="EO522" s="68"/>
      <c r="EP522" s="68"/>
      <c r="EQ522" s="65"/>
      <c r="ER522" s="6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/>
      <c r="FF522" s="15"/>
      <c r="FG522" s="15"/>
      <c r="FH522" s="1" t="str">
        <f t="shared" si="44"/>
        <v/>
      </c>
      <c r="FI522" s="1">
        <f t="shared" si="45"/>
        <v>0</v>
      </c>
      <c r="FJ522" s="38"/>
      <c r="FL522" s="13"/>
    </row>
    <row r="523" spans="1:168" ht="21" hidden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63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61"/>
      <c r="BE523" s="61"/>
      <c r="BF523" s="15"/>
      <c r="BG523" s="15"/>
      <c r="BH523" s="15"/>
      <c r="BI523" s="15"/>
      <c r="BJ523" s="15"/>
      <c r="BK523" s="15"/>
      <c r="BL523" s="15"/>
      <c r="BM523" s="15"/>
      <c r="BN523" s="15"/>
      <c r="BO523" s="64"/>
      <c r="BP523" s="15"/>
      <c r="BQ523" s="15"/>
      <c r="BR523" s="15"/>
      <c r="BS523" s="64"/>
      <c r="BT523" s="64"/>
      <c r="BU523" s="64"/>
      <c r="BV523" s="15"/>
      <c r="BW523" s="64"/>
      <c r="BX523" s="68"/>
      <c r="BY523" s="68"/>
      <c r="BZ523" s="68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15"/>
      <c r="CL523" s="68"/>
      <c r="CM523" s="68"/>
      <c r="CN523" s="68"/>
      <c r="CO523" s="68"/>
      <c r="CP523" s="68"/>
      <c r="CQ523" s="68"/>
      <c r="CR523" s="68"/>
      <c r="CS523" s="68"/>
      <c r="CT523" s="68"/>
      <c r="CU523" s="68"/>
      <c r="CV523" s="68"/>
      <c r="CW523" s="68"/>
      <c r="CX523" s="68"/>
      <c r="CY523" s="68"/>
      <c r="CZ523" s="68"/>
      <c r="DA523" s="68"/>
      <c r="DB523" s="68"/>
      <c r="DC523" s="68"/>
      <c r="DD523" s="68"/>
      <c r="DE523" s="68"/>
      <c r="DF523" s="68"/>
      <c r="DG523" s="68"/>
      <c r="DH523" s="68"/>
      <c r="DI523" s="68"/>
      <c r="DJ523" s="68"/>
      <c r="DK523" s="68"/>
      <c r="DL523" s="68"/>
      <c r="DM523" s="68"/>
      <c r="DN523" s="68"/>
      <c r="DO523" s="68"/>
      <c r="DP523" s="68"/>
      <c r="DQ523" s="68"/>
      <c r="DR523" s="68"/>
      <c r="DS523" s="68"/>
      <c r="DT523" s="68"/>
      <c r="DU523" s="68"/>
      <c r="DV523" s="68"/>
      <c r="DW523" s="68"/>
      <c r="DX523" s="68"/>
      <c r="DY523" s="68"/>
      <c r="DZ523" s="68"/>
      <c r="EA523" s="68"/>
      <c r="EB523" s="68"/>
      <c r="EC523" s="68"/>
      <c r="ED523" s="68"/>
      <c r="EE523" s="68"/>
      <c r="EF523" s="68"/>
      <c r="EG523" s="68"/>
      <c r="EH523" s="68"/>
      <c r="EI523" s="68"/>
      <c r="EJ523" s="68"/>
      <c r="EK523" s="68"/>
      <c r="EL523" s="68"/>
      <c r="EM523" s="68"/>
      <c r="EN523" s="68"/>
      <c r="EO523" s="68"/>
      <c r="EP523" s="68"/>
      <c r="EQ523" s="65"/>
      <c r="ER523" s="6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5"/>
      <c r="FD523" s="15"/>
      <c r="FE523" s="15"/>
      <c r="FF523" s="15"/>
      <c r="FG523" s="15"/>
      <c r="FH523" s="1" t="str">
        <f t="shared" si="44"/>
        <v/>
      </c>
      <c r="FI523" s="1">
        <f t="shared" si="45"/>
        <v>0</v>
      </c>
      <c r="FJ523" s="38"/>
      <c r="FL523" s="13"/>
    </row>
    <row r="524" spans="1:168" ht="21" hidden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63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61"/>
      <c r="BE524" s="61"/>
      <c r="BF524" s="15"/>
      <c r="BG524" s="15"/>
      <c r="BH524" s="15"/>
      <c r="BI524" s="15"/>
      <c r="BJ524" s="15"/>
      <c r="BK524" s="15"/>
      <c r="BL524" s="15"/>
      <c r="BM524" s="15"/>
      <c r="BN524" s="15"/>
      <c r="BO524" s="64"/>
      <c r="BP524" s="15"/>
      <c r="BQ524" s="15"/>
      <c r="BR524" s="15"/>
      <c r="BS524" s="64"/>
      <c r="BT524" s="64"/>
      <c r="BU524" s="64"/>
      <c r="BV524" s="15"/>
      <c r="BW524" s="64"/>
      <c r="BX524" s="68"/>
      <c r="BY524" s="68"/>
      <c r="BZ524" s="68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15"/>
      <c r="CL524" s="68"/>
      <c r="CM524" s="68"/>
      <c r="CN524" s="68"/>
      <c r="CO524" s="68"/>
      <c r="CP524" s="68"/>
      <c r="CQ524" s="68"/>
      <c r="CR524" s="68"/>
      <c r="CS524" s="68"/>
      <c r="CT524" s="68"/>
      <c r="CU524" s="68"/>
      <c r="CV524" s="68"/>
      <c r="CW524" s="68"/>
      <c r="CX524" s="68"/>
      <c r="CY524" s="68"/>
      <c r="CZ524" s="68"/>
      <c r="DA524" s="68"/>
      <c r="DB524" s="68"/>
      <c r="DC524" s="68"/>
      <c r="DD524" s="68"/>
      <c r="DE524" s="68"/>
      <c r="DF524" s="68"/>
      <c r="DG524" s="68"/>
      <c r="DH524" s="68"/>
      <c r="DI524" s="68"/>
      <c r="DJ524" s="68"/>
      <c r="DK524" s="68"/>
      <c r="DL524" s="68"/>
      <c r="DM524" s="68"/>
      <c r="DN524" s="68"/>
      <c r="DO524" s="68"/>
      <c r="DP524" s="68"/>
      <c r="DQ524" s="68"/>
      <c r="DR524" s="68"/>
      <c r="DS524" s="68"/>
      <c r="DT524" s="68"/>
      <c r="DU524" s="68"/>
      <c r="DV524" s="68"/>
      <c r="DW524" s="68"/>
      <c r="DX524" s="68"/>
      <c r="DY524" s="68"/>
      <c r="DZ524" s="68"/>
      <c r="EA524" s="68"/>
      <c r="EB524" s="68"/>
      <c r="EC524" s="68"/>
      <c r="ED524" s="68"/>
      <c r="EE524" s="68"/>
      <c r="EF524" s="68"/>
      <c r="EG524" s="68"/>
      <c r="EH524" s="68"/>
      <c r="EI524" s="68"/>
      <c r="EJ524" s="68"/>
      <c r="EK524" s="68"/>
      <c r="EL524" s="68"/>
      <c r="EM524" s="68"/>
      <c r="EN524" s="68"/>
      <c r="EO524" s="68"/>
      <c r="EP524" s="68"/>
      <c r="EQ524" s="65"/>
      <c r="ER524" s="6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" t="str">
        <f t="shared" si="44"/>
        <v/>
      </c>
      <c r="FI524" s="1">
        <f t="shared" si="45"/>
        <v>0</v>
      </c>
      <c r="FJ524" s="38"/>
      <c r="FL524" s="13"/>
    </row>
    <row r="525" spans="1:168" ht="21" hidden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63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61"/>
      <c r="BE525" s="61"/>
      <c r="BF525" s="15"/>
      <c r="BG525" s="15"/>
      <c r="BH525" s="15"/>
      <c r="BI525" s="15"/>
      <c r="BJ525" s="15"/>
      <c r="BK525" s="15"/>
      <c r="BL525" s="15"/>
      <c r="BM525" s="15"/>
      <c r="BN525" s="15"/>
      <c r="BO525" s="64"/>
      <c r="BP525" s="15"/>
      <c r="BQ525" s="15"/>
      <c r="BR525" s="15"/>
      <c r="BS525" s="64"/>
      <c r="BT525" s="64"/>
      <c r="BU525" s="64"/>
      <c r="BV525" s="15"/>
      <c r="BW525" s="64"/>
      <c r="BX525" s="68"/>
      <c r="BY525" s="68"/>
      <c r="BZ525" s="68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15"/>
      <c r="CL525" s="68"/>
      <c r="CM525" s="68"/>
      <c r="CN525" s="68"/>
      <c r="CO525" s="68"/>
      <c r="CP525" s="68"/>
      <c r="CQ525" s="68"/>
      <c r="CR525" s="68"/>
      <c r="CS525" s="68"/>
      <c r="CT525" s="68"/>
      <c r="CU525" s="68"/>
      <c r="CV525" s="68"/>
      <c r="CW525" s="68"/>
      <c r="CX525" s="68"/>
      <c r="CY525" s="68"/>
      <c r="CZ525" s="68"/>
      <c r="DA525" s="68"/>
      <c r="DB525" s="68"/>
      <c r="DC525" s="68"/>
      <c r="DD525" s="68"/>
      <c r="DE525" s="68"/>
      <c r="DF525" s="68"/>
      <c r="DG525" s="68"/>
      <c r="DH525" s="68"/>
      <c r="DI525" s="68"/>
      <c r="DJ525" s="68"/>
      <c r="DK525" s="68"/>
      <c r="DL525" s="68"/>
      <c r="DM525" s="68"/>
      <c r="DN525" s="68"/>
      <c r="DO525" s="68"/>
      <c r="DP525" s="68"/>
      <c r="DQ525" s="68"/>
      <c r="DR525" s="68"/>
      <c r="DS525" s="68"/>
      <c r="DT525" s="68"/>
      <c r="DU525" s="68"/>
      <c r="DV525" s="68"/>
      <c r="DW525" s="68"/>
      <c r="DX525" s="68"/>
      <c r="DY525" s="68"/>
      <c r="DZ525" s="68"/>
      <c r="EA525" s="68"/>
      <c r="EB525" s="68"/>
      <c r="EC525" s="68"/>
      <c r="ED525" s="68"/>
      <c r="EE525" s="68"/>
      <c r="EF525" s="68"/>
      <c r="EG525" s="68"/>
      <c r="EH525" s="68"/>
      <c r="EI525" s="68"/>
      <c r="EJ525" s="68"/>
      <c r="EK525" s="68"/>
      <c r="EL525" s="68"/>
      <c r="EM525" s="68"/>
      <c r="EN525" s="68"/>
      <c r="EO525" s="68"/>
      <c r="EP525" s="68"/>
      <c r="EQ525" s="65"/>
      <c r="ER525" s="6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5"/>
      <c r="FD525" s="15"/>
      <c r="FE525" s="15"/>
      <c r="FF525" s="15"/>
      <c r="FG525" s="15"/>
      <c r="FH525" s="1" t="str">
        <f t="shared" si="44"/>
        <v/>
      </c>
      <c r="FI525" s="1">
        <f t="shared" si="45"/>
        <v>0</v>
      </c>
      <c r="FJ525" s="38"/>
      <c r="FL525" s="13"/>
    </row>
    <row r="526" spans="1:168" ht="21" hidden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63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61"/>
      <c r="BE526" s="61"/>
      <c r="BF526" s="15"/>
      <c r="BG526" s="15"/>
      <c r="BH526" s="15"/>
      <c r="BI526" s="15"/>
      <c r="BJ526" s="15"/>
      <c r="BK526" s="15"/>
      <c r="BL526" s="15"/>
      <c r="BM526" s="15"/>
      <c r="BN526" s="15"/>
      <c r="BO526" s="64"/>
      <c r="BP526" s="15"/>
      <c r="BQ526" s="15"/>
      <c r="BR526" s="15"/>
      <c r="BS526" s="64"/>
      <c r="BT526" s="64"/>
      <c r="BU526" s="64"/>
      <c r="BV526" s="15"/>
      <c r="BW526" s="64"/>
      <c r="BX526" s="68"/>
      <c r="BY526" s="68"/>
      <c r="BZ526" s="68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15"/>
      <c r="CL526" s="68"/>
      <c r="CM526" s="68"/>
      <c r="CN526" s="68"/>
      <c r="CO526" s="68"/>
      <c r="CP526" s="68"/>
      <c r="CQ526" s="68"/>
      <c r="CR526" s="68"/>
      <c r="CS526" s="68"/>
      <c r="CT526" s="68"/>
      <c r="CU526" s="68"/>
      <c r="CV526" s="68"/>
      <c r="CW526" s="68"/>
      <c r="CX526" s="68"/>
      <c r="CY526" s="68"/>
      <c r="CZ526" s="68"/>
      <c r="DA526" s="68"/>
      <c r="DB526" s="68"/>
      <c r="DC526" s="68"/>
      <c r="DD526" s="68"/>
      <c r="DE526" s="68"/>
      <c r="DF526" s="68"/>
      <c r="DG526" s="68"/>
      <c r="DH526" s="68"/>
      <c r="DI526" s="68"/>
      <c r="DJ526" s="68"/>
      <c r="DK526" s="68"/>
      <c r="DL526" s="68"/>
      <c r="DM526" s="68"/>
      <c r="DN526" s="68"/>
      <c r="DO526" s="68"/>
      <c r="DP526" s="68"/>
      <c r="DQ526" s="68"/>
      <c r="DR526" s="68"/>
      <c r="DS526" s="68"/>
      <c r="DT526" s="68"/>
      <c r="DU526" s="68"/>
      <c r="DV526" s="68"/>
      <c r="DW526" s="68"/>
      <c r="DX526" s="68"/>
      <c r="DY526" s="68"/>
      <c r="DZ526" s="68"/>
      <c r="EA526" s="68"/>
      <c r="EB526" s="68"/>
      <c r="EC526" s="68"/>
      <c r="ED526" s="68"/>
      <c r="EE526" s="68"/>
      <c r="EF526" s="68"/>
      <c r="EG526" s="68"/>
      <c r="EH526" s="68"/>
      <c r="EI526" s="68"/>
      <c r="EJ526" s="68"/>
      <c r="EK526" s="68"/>
      <c r="EL526" s="68"/>
      <c r="EM526" s="68"/>
      <c r="EN526" s="68"/>
      <c r="EO526" s="68"/>
      <c r="EP526" s="68"/>
      <c r="EQ526" s="65"/>
      <c r="ER526" s="6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5"/>
      <c r="FD526" s="15"/>
      <c r="FE526" s="15"/>
      <c r="FF526" s="15"/>
      <c r="FG526" s="15"/>
      <c r="FH526" s="1" t="str">
        <f t="shared" ref="FH526:FH589" si="46">H526&amp;D526</f>
        <v/>
      </c>
      <c r="FI526" s="1">
        <f t="shared" ref="FI526:FI589" si="47">A526</f>
        <v>0</v>
      </c>
      <c r="FJ526" s="38"/>
      <c r="FL526" s="13"/>
    </row>
    <row r="527" spans="1:168" ht="21" hidden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63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61"/>
      <c r="BE527" s="61"/>
      <c r="BF527" s="15"/>
      <c r="BG527" s="15"/>
      <c r="BH527" s="15"/>
      <c r="BI527" s="15"/>
      <c r="BJ527" s="15"/>
      <c r="BK527" s="15"/>
      <c r="BL527" s="15"/>
      <c r="BM527" s="15"/>
      <c r="BN527" s="15"/>
      <c r="BO527" s="64"/>
      <c r="BP527" s="15"/>
      <c r="BQ527" s="15"/>
      <c r="BR527" s="15"/>
      <c r="BS527" s="64"/>
      <c r="BT527" s="64"/>
      <c r="BU527" s="64"/>
      <c r="BV527" s="15"/>
      <c r="BW527" s="64"/>
      <c r="BX527" s="68"/>
      <c r="BY527" s="68"/>
      <c r="BZ527" s="68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15"/>
      <c r="CL527" s="68"/>
      <c r="CM527" s="68"/>
      <c r="CN527" s="68"/>
      <c r="CO527" s="68"/>
      <c r="CP527" s="68"/>
      <c r="CQ527" s="68"/>
      <c r="CR527" s="68"/>
      <c r="CS527" s="68"/>
      <c r="CT527" s="68"/>
      <c r="CU527" s="68"/>
      <c r="CV527" s="68"/>
      <c r="CW527" s="68"/>
      <c r="CX527" s="68"/>
      <c r="CY527" s="68"/>
      <c r="CZ527" s="68"/>
      <c r="DA527" s="68"/>
      <c r="DB527" s="68"/>
      <c r="DC527" s="68"/>
      <c r="DD527" s="68"/>
      <c r="DE527" s="68"/>
      <c r="DF527" s="68"/>
      <c r="DG527" s="68"/>
      <c r="DH527" s="68"/>
      <c r="DI527" s="68"/>
      <c r="DJ527" s="68"/>
      <c r="DK527" s="68"/>
      <c r="DL527" s="68"/>
      <c r="DM527" s="68"/>
      <c r="DN527" s="68"/>
      <c r="DO527" s="68"/>
      <c r="DP527" s="68"/>
      <c r="DQ527" s="68"/>
      <c r="DR527" s="68"/>
      <c r="DS527" s="68"/>
      <c r="DT527" s="68"/>
      <c r="DU527" s="68"/>
      <c r="DV527" s="68"/>
      <c r="DW527" s="68"/>
      <c r="DX527" s="68"/>
      <c r="DY527" s="68"/>
      <c r="DZ527" s="68"/>
      <c r="EA527" s="68"/>
      <c r="EB527" s="68"/>
      <c r="EC527" s="68"/>
      <c r="ED527" s="68"/>
      <c r="EE527" s="68"/>
      <c r="EF527" s="68"/>
      <c r="EG527" s="68"/>
      <c r="EH527" s="68"/>
      <c r="EI527" s="68"/>
      <c r="EJ527" s="68"/>
      <c r="EK527" s="68"/>
      <c r="EL527" s="68"/>
      <c r="EM527" s="68"/>
      <c r="EN527" s="68"/>
      <c r="EO527" s="68"/>
      <c r="EP527" s="68"/>
      <c r="EQ527" s="65"/>
      <c r="ER527" s="6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5"/>
      <c r="FD527" s="15"/>
      <c r="FE527" s="15"/>
      <c r="FF527" s="15"/>
      <c r="FG527" s="15"/>
      <c r="FH527" s="1" t="str">
        <f t="shared" si="46"/>
        <v/>
      </c>
      <c r="FI527" s="1">
        <f t="shared" si="47"/>
        <v>0</v>
      </c>
      <c r="FJ527" s="38"/>
      <c r="FL527" s="13"/>
    </row>
    <row r="528" spans="1:168" ht="21" hidden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63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61"/>
      <c r="BE528" s="61"/>
      <c r="BF528" s="15"/>
      <c r="BG528" s="15"/>
      <c r="BH528" s="15"/>
      <c r="BI528" s="15"/>
      <c r="BJ528" s="15"/>
      <c r="BK528" s="15"/>
      <c r="BL528" s="15"/>
      <c r="BM528" s="15"/>
      <c r="BN528" s="15"/>
      <c r="BO528" s="64"/>
      <c r="BP528" s="15"/>
      <c r="BQ528" s="15"/>
      <c r="BR528" s="15"/>
      <c r="BS528" s="64"/>
      <c r="BT528" s="64"/>
      <c r="BU528" s="64"/>
      <c r="BV528" s="15"/>
      <c r="BW528" s="64"/>
      <c r="BX528" s="68"/>
      <c r="BY528" s="68"/>
      <c r="BZ528" s="68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15"/>
      <c r="CL528" s="68"/>
      <c r="CM528" s="68"/>
      <c r="CN528" s="68"/>
      <c r="CO528" s="68"/>
      <c r="CP528" s="68"/>
      <c r="CQ528" s="68"/>
      <c r="CR528" s="68"/>
      <c r="CS528" s="68"/>
      <c r="CT528" s="68"/>
      <c r="CU528" s="68"/>
      <c r="CV528" s="68"/>
      <c r="CW528" s="68"/>
      <c r="CX528" s="68"/>
      <c r="CY528" s="68"/>
      <c r="CZ528" s="68"/>
      <c r="DA528" s="68"/>
      <c r="DB528" s="68"/>
      <c r="DC528" s="68"/>
      <c r="DD528" s="68"/>
      <c r="DE528" s="68"/>
      <c r="DF528" s="68"/>
      <c r="DG528" s="68"/>
      <c r="DH528" s="68"/>
      <c r="DI528" s="68"/>
      <c r="DJ528" s="68"/>
      <c r="DK528" s="68"/>
      <c r="DL528" s="68"/>
      <c r="DM528" s="68"/>
      <c r="DN528" s="68"/>
      <c r="DO528" s="68"/>
      <c r="DP528" s="68"/>
      <c r="DQ528" s="68"/>
      <c r="DR528" s="68"/>
      <c r="DS528" s="68"/>
      <c r="DT528" s="68"/>
      <c r="DU528" s="68"/>
      <c r="DV528" s="68"/>
      <c r="DW528" s="68"/>
      <c r="DX528" s="68"/>
      <c r="DY528" s="68"/>
      <c r="DZ528" s="68"/>
      <c r="EA528" s="68"/>
      <c r="EB528" s="68"/>
      <c r="EC528" s="68"/>
      <c r="ED528" s="68"/>
      <c r="EE528" s="68"/>
      <c r="EF528" s="68"/>
      <c r="EG528" s="68"/>
      <c r="EH528" s="68"/>
      <c r="EI528" s="68"/>
      <c r="EJ528" s="68"/>
      <c r="EK528" s="68"/>
      <c r="EL528" s="68"/>
      <c r="EM528" s="68"/>
      <c r="EN528" s="68"/>
      <c r="EO528" s="68"/>
      <c r="EP528" s="68"/>
      <c r="EQ528" s="65"/>
      <c r="ER528" s="6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" t="str">
        <f t="shared" si="46"/>
        <v/>
      </c>
      <c r="FI528" s="1">
        <f t="shared" si="47"/>
        <v>0</v>
      </c>
      <c r="FJ528" s="38"/>
      <c r="FL528" s="13"/>
    </row>
    <row r="529" spans="1:168" ht="21" hidden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63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61"/>
      <c r="BE529" s="61"/>
      <c r="BF529" s="15"/>
      <c r="BG529" s="15"/>
      <c r="BH529" s="15"/>
      <c r="BI529" s="15"/>
      <c r="BJ529" s="15"/>
      <c r="BK529" s="15"/>
      <c r="BL529" s="15"/>
      <c r="BM529" s="15"/>
      <c r="BN529" s="15"/>
      <c r="BO529" s="64"/>
      <c r="BP529" s="15"/>
      <c r="BQ529" s="15"/>
      <c r="BR529" s="15"/>
      <c r="BS529" s="64"/>
      <c r="BT529" s="64"/>
      <c r="BU529" s="64"/>
      <c r="BV529" s="15"/>
      <c r="BW529" s="64"/>
      <c r="BX529" s="68"/>
      <c r="BY529" s="68"/>
      <c r="BZ529" s="68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15"/>
      <c r="CL529" s="68"/>
      <c r="CM529" s="68"/>
      <c r="CN529" s="68"/>
      <c r="CO529" s="68"/>
      <c r="CP529" s="68"/>
      <c r="CQ529" s="68"/>
      <c r="CR529" s="68"/>
      <c r="CS529" s="68"/>
      <c r="CT529" s="68"/>
      <c r="CU529" s="68"/>
      <c r="CV529" s="68"/>
      <c r="CW529" s="68"/>
      <c r="CX529" s="68"/>
      <c r="CY529" s="68"/>
      <c r="CZ529" s="68"/>
      <c r="DA529" s="68"/>
      <c r="DB529" s="68"/>
      <c r="DC529" s="68"/>
      <c r="DD529" s="68"/>
      <c r="DE529" s="68"/>
      <c r="DF529" s="68"/>
      <c r="DG529" s="68"/>
      <c r="DH529" s="68"/>
      <c r="DI529" s="68"/>
      <c r="DJ529" s="68"/>
      <c r="DK529" s="68"/>
      <c r="DL529" s="68"/>
      <c r="DM529" s="68"/>
      <c r="DN529" s="68"/>
      <c r="DO529" s="68"/>
      <c r="DP529" s="68"/>
      <c r="DQ529" s="68"/>
      <c r="DR529" s="68"/>
      <c r="DS529" s="68"/>
      <c r="DT529" s="68"/>
      <c r="DU529" s="68"/>
      <c r="DV529" s="68"/>
      <c r="DW529" s="68"/>
      <c r="DX529" s="68"/>
      <c r="DY529" s="68"/>
      <c r="DZ529" s="68"/>
      <c r="EA529" s="68"/>
      <c r="EB529" s="68"/>
      <c r="EC529" s="68"/>
      <c r="ED529" s="68"/>
      <c r="EE529" s="68"/>
      <c r="EF529" s="68"/>
      <c r="EG529" s="68"/>
      <c r="EH529" s="68"/>
      <c r="EI529" s="68"/>
      <c r="EJ529" s="68"/>
      <c r="EK529" s="68"/>
      <c r="EL529" s="68"/>
      <c r="EM529" s="68"/>
      <c r="EN529" s="68"/>
      <c r="EO529" s="68"/>
      <c r="EP529" s="68"/>
      <c r="EQ529" s="65"/>
      <c r="ER529" s="6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5"/>
      <c r="FD529" s="15"/>
      <c r="FE529" s="15"/>
      <c r="FF529" s="15"/>
      <c r="FG529" s="15"/>
      <c r="FH529" s="1" t="str">
        <f t="shared" si="46"/>
        <v/>
      </c>
      <c r="FI529" s="1">
        <f t="shared" si="47"/>
        <v>0</v>
      </c>
      <c r="FJ529" s="38"/>
      <c r="FL529" s="13"/>
    </row>
    <row r="530" spans="1:168" ht="21" hidden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63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61"/>
      <c r="BE530" s="61"/>
      <c r="BF530" s="15"/>
      <c r="BG530" s="15"/>
      <c r="BH530" s="15"/>
      <c r="BI530" s="15"/>
      <c r="BJ530" s="15"/>
      <c r="BK530" s="15"/>
      <c r="BL530" s="15"/>
      <c r="BM530" s="15"/>
      <c r="BN530" s="15"/>
      <c r="BO530" s="64"/>
      <c r="BP530" s="15"/>
      <c r="BQ530" s="15"/>
      <c r="BR530" s="15"/>
      <c r="BS530" s="64"/>
      <c r="BT530" s="64"/>
      <c r="BU530" s="64"/>
      <c r="BV530" s="15"/>
      <c r="BW530" s="64"/>
      <c r="BX530" s="68"/>
      <c r="BY530" s="68"/>
      <c r="BZ530" s="68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15"/>
      <c r="CL530" s="68"/>
      <c r="CM530" s="68"/>
      <c r="CN530" s="68"/>
      <c r="CO530" s="68"/>
      <c r="CP530" s="68"/>
      <c r="CQ530" s="68"/>
      <c r="CR530" s="68"/>
      <c r="CS530" s="68"/>
      <c r="CT530" s="68"/>
      <c r="CU530" s="68"/>
      <c r="CV530" s="68"/>
      <c r="CW530" s="68"/>
      <c r="CX530" s="68"/>
      <c r="CY530" s="68"/>
      <c r="CZ530" s="68"/>
      <c r="DA530" s="68"/>
      <c r="DB530" s="68"/>
      <c r="DC530" s="68"/>
      <c r="DD530" s="68"/>
      <c r="DE530" s="68"/>
      <c r="DF530" s="68"/>
      <c r="DG530" s="68"/>
      <c r="DH530" s="68"/>
      <c r="DI530" s="68"/>
      <c r="DJ530" s="68"/>
      <c r="DK530" s="68"/>
      <c r="DL530" s="68"/>
      <c r="DM530" s="68"/>
      <c r="DN530" s="68"/>
      <c r="DO530" s="68"/>
      <c r="DP530" s="68"/>
      <c r="DQ530" s="68"/>
      <c r="DR530" s="68"/>
      <c r="DS530" s="68"/>
      <c r="DT530" s="68"/>
      <c r="DU530" s="68"/>
      <c r="DV530" s="68"/>
      <c r="DW530" s="68"/>
      <c r="DX530" s="68"/>
      <c r="DY530" s="68"/>
      <c r="DZ530" s="68"/>
      <c r="EA530" s="68"/>
      <c r="EB530" s="68"/>
      <c r="EC530" s="68"/>
      <c r="ED530" s="68"/>
      <c r="EE530" s="68"/>
      <c r="EF530" s="68"/>
      <c r="EG530" s="68"/>
      <c r="EH530" s="68"/>
      <c r="EI530" s="68"/>
      <c r="EJ530" s="68"/>
      <c r="EK530" s="68"/>
      <c r="EL530" s="68"/>
      <c r="EM530" s="68"/>
      <c r="EN530" s="68"/>
      <c r="EO530" s="68"/>
      <c r="EP530" s="68"/>
      <c r="EQ530" s="65"/>
      <c r="ER530" s="6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" t="str">
        <f t="shared" si="46"/>
        <v/>
      </c>
      <c r="FI530" s="1">
        <f t="shared" si="47"/>
        <v>0</v>
      </c>
      <c r="FJ530" s="38"/>
      <c r="FL530" s="13"/>
    </row>
    <row r="531" spans="1:168" ht="21" hidden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63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61"/>
      <c r="BE531" s="61"/>
      <c r="BF531" s="15"/>
      <c r="BG531" s="15"/>
      <c r="BH531" s="15"/>
      <c r="BI531" s="15"/>
      <c r="BJ531" s="15"/>
      <c r="BK531" s="15"/>
      <c r="BL531" s="15"/>
      <c r="BM531" s="15"/>
      <c r="BN531" s="15"/>
      <c r="BO531" s="64"/>
      <c r="BP531" s="15"/>
      <c r="BQ531" s="15"/>
      <c r="BR531" s="15"/>
      <c r="BS531" s="64"/>
      <c r="BT531" s="64"/>
      <c r="BU531" s="64"/>
      <c r="BV531" s="15"/>
      <c r="BW531" s="64"/>
      <c r="BX531" s="68"/>
      <c r="BY531" s="68"/>
      <c r="BZ531" s="68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15"/>
      <c r="CL531" s="68"/>
      <c r="CM531" s="68"/>
      <c r="CN531" s="68"/>
      <c r="CO531" s="68"/>
      <c r="CP531" s="68"/>
      <c r="CQ531" s="68"/>
      <c r="CR531" s="68"/>
      <c r="CS531" s="68"/>
      <c r="CT531" s="68"/>
      <c r="CU531" s="68"/>
      <c r="CV531" s="68"/>
      <c r="CW531" s="68"/>
      <c r="CX531" s="68"/>
      <c r="CY531" s="68"/>
      <c r="CZ531" s="68"/>
      <c r="DA531" s="68"/>
      <c r="DB531" s="68"/>
      <c r="DC531" s="68"/>
      <c r="DD531" s="68"/>
      <c r="DE531" s="68"/>
      <c r="DF531" s="68"/>
      <c r="DG531" s="68"/>
      <c r="DH531" s="68"/>
      <c r="DI531" s="68"/>
      <c r="DJ531" s="68"/>
      <c r="DK531" s="68"/>
      <c r="DL531" s="68"/>
      <c r="DM531" s="68"/>
      <c r="DN531" s="68"/>
      <c r="DO531" s="68"/>
      <c r="DP531" s="68"/>
      <c r="DQ531" s="68"/>
      <c r="DR531" s="68"/>
      <c r="DS531" s="68"/>
      <c r="DT531" s="68"/>
      <c r="DU531" s="68"/>
      <c r="DV531" s="68"/>
      <c r="DW531" s="68"/>
      <c r="DX531" s="68"/>
      <c r="DY531" s="68"/>
      <c r="DZ531" s="68"/>
      <c r="EA531" s="68"/>
      <c r="EB531" s="68"/>
      <c r="EC531" s="68"/>
      <c r="ED531" s="68"/>
      <c r="EE531" s="68"/>
      <c r="EF531" s="68"/>
      <c r="EG531" s="68"/>
      <c r="EH531" s="68"/>
      <c r="EI531" s="68"/>
      <c r="EJ531" s="68"/>
      <c r="EK531" s="68"/>
      <c r="EL531" s="68"/>
      <c r="EM531" s="68"/>
      <c r="EN531" s="68"/>
      <c r="EO531" s="68"/>
      <c r="EP531" s="68"/>
      <c r="EQ531" s="65"/>
      <c r="ER531" s="6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5"/>
      <c r="FD531" s="15"/>
      <c r="FE531" s="15"/>
      <c r="FF531" s="15"/>
      <c r="FG531" s="15"/>
      <c r="FH531" s="1" t="str">
        <f t="shared" si="46"/>
        <v/>
      </c>
      <c r="FI531" s="1">
        <f t="shared" si="47"/>
        <v>0</v>
      </c>
      <c r="FJ531" s="38"/>
      <c r="FL531" s="13"/>
    </row>
    <row r="532" spans="1:168" ht="21" hidden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63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61"/>
      <c r="BE532" s="61"/>
      <c r="BF532" s="15"/>
      <c r="BG532" s="15"/>
      <c r="BH532" s="15"/>
      <c r="BI532" s="15"/>
      <c r="BJ532" s="15"/>
      <c r="BK532" s="15"/>
      <c r="BL532" s="15"/>
      <c r="BM532" s="15"/>
      <c r="BN532" s="15"/>
      <c r="BO532" s="64"/>
      <c r="BP532" s="15"/>
      <c r="BQ532" s="15"/>
      <c r="BR532" s="15"/>
      <c r="BS532" s="64"/>
      <c r="BT532" s="64"/>
      <c r="BU532" s="64"/>
      <c r="BV532" s="15"/>
      <c r="BW532" s="64"/>
      <c r="BX532" s="68"/>
      <c r="BY532" s="68"/>
      <c r="BZ532" s="68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15"/>
      <c r="CL532" s="68"/>
      <c r="CM532" s="68"/>
      <c r="CN532" s="68"/>
      <c r="CO532" s="68"/>
      <c r="CP532" s="68"/>
      <c r="CQ532" s="68"/>
      <c r="CR532" s="68"/>
      <c r="CS532" s="68"/>
      <c r="CT532" s="68"/>
      <c r="CU532" s="68"/>
      <c r="CV532" s="68"/>
      <c r="CW532" s="68"/>
      <c r="CX532" s="68"/>
      <c r="CY532" s="68"/>
      <c r="CZ532" s="68"/>
      <c r="DA532" s="68"/>
      <c r="DB532" s="68"/>
      <c r="DC532" s="68"/>
      <c r="DD532" s="68"/>
      <c r="DE532" s="68"/>
      <c r="DF532" s="68"/>
      <c r="DG532" s="68"/>
      <c r="DH532" s="68"/>
      <c r="DI532" s="68"/>
      <c r="DJ532" s="68"/>
      <c r="DK532" s="68"/>
      <c r="DL532" s="68"/>
      <c r="DM532" s="68"/>
      <c r="DN532" s="68"/>
      <c r="DO532" s="68"/>
      <c r="DP532" s="68"/>
      <c r="DQ532" s="68"/>
      <c r="DR532" s="68"/>
      <c r="DS532" s="68"/>
      <c r="DT532" s="68"/>
      <c r="DU532" s="68"/>
      <c r="DV532" s="68"/>
      <c r="DW532" s="68"/>
      <c r="DX532" s="68"/>
      <c r="DY532" s="68"/>
      <c r="DZ532" s="68"/>
      <c r="EA532" s="68"/>
      <c r="EB532" s="68"/>
      <c r="EC532" s="68"/>
      <c r="ED532" s="68"/>
      <c r="EE532" s="68"/>
      <c r="EF532" s="68"/>
      <c r="EG532" s="68"/>
      <c r="EH532" s="68"/>
      <c r="EI532" s="68"/>
      <c r="EJ532" s="68"/>
      <c r="EK532" s="68"/>
      <c r="EL532" s="68"/>
      <c r="EM532" s="68"/>
      <c r="EN532" s="68"/>
      <c r="EO532" s="68"/>
      <c r="EP532" s="68"/>
      <c r="EQ532" s="65"/>
      <c r="ER532" s="6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5"/>
      <c r="FD532" s="15"/>
      <c r="FE532" s="15"/>
      <c r="FF532" s="15"/>
      <c r="FG532" s="15"/>
      <c r="FH532" s="1" t="str">
        <f t="shared" si="46"/>
        <v/>
      </c>
      <c r="FI532" s="1">
        <f t="shared" si="47"/>
        <v>0</v>
      </c>
      <c r="FJ532" s="38"/>
      <c r="FL532" s="13"/>
    </row>
    <row r="533" spans="1:168" ht="21" hidden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63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61"/>
      <c r="BE533" s="61"/>
      <c r="BF533" s="15"/>
      <c r="BG533" s="15"/>
      <c r="BH533" s="15"/>
      <c r="BI533" s="15"/>
      <c r="BJ533" s="15"/>
      <c r="BK533" s="15"/>
      <c r="BL533" s="15"/>
      <c r="BM533" s="15"/>
      <c r="BN533" s="15"/>
      <c r="BO533" s="64"/>
      <c r="BP533" s="15"/>
      <c r="BQ533" s="15"/>
      <c r="BR533" s="15"/>
      <c r="BS533" s="64"/>
      <c r="BT533" s="64"/>
      <c r="BU533" s="64"/>
      <c r="BV533" s="15"/>
      <c r="BW533" s="64"/>
      <c r="BX533" s="68"/>
      <c r="BY533" s="68"/>
      <c r="BZ533" s="68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15"/>
      <c r="CL533" s="68"/>
      <c r="CM533" s="68"/>
      <c r="CN533" s="68"/>
      <c r="CO533" s="68"/>
      <c r="CP533" s="68"/>
      <c r="CQ533" s="68"/>
      <c r="CR533" s="68"/>
      <c r="CS533" s="68"/>
      <c r="CT533" s="68"/>
      <c r="CU533" s="68"/>
      <c r="CV533" s="68"/>
      <c r="CW533" s="68"/>
      <c r="CX533" s="68"/>
      <c r="CY533" s="68"/>
      <c r="CZ533" s="68"/>
      <c r="DA533" s="68"/>
      <c r="DB533" s="68"/>
      <c r="DC533" s="68"/>
      <c r="DD533" s="68"/>
      <c r="DE533" s="68"/>
      <c r="DF533" s="68"/>
      <c r="DG533" s="68"/>
      <c r="DH533" s="68"/>
      <c r="DI533" s="68"/>
      <c r="DJ533" s="68"/>
      <c r="DK533" s="68"/>
      <c r="DL533" s="68"/>
      <c r="DM533" s="68"/>
      <c r="DN533" s="68"/>
      <c r="DO533" s="68"/>
      <c r="DP533" s="68"/>
      <c r="DQ533" s="68"/>
      <c r="DR533" s="68"/>
      <c r="DS533" s="68"/>
      <c r="DT533" s="68"/>
      <c r="DU533" s="68"/>
      <c r="DV533" s="68"/>
      <c r="DW533" s="68"/>
      <c r="DX533" s="68"/>
      <c r="DY533" s="68"/>
      <c r="DZ533" s="68"/>
      <c r="EA533" s="68"/>
      <c r="EB533" s="68"/>
      <c r="EC533" s="68"/>
      <c r="ED533" s="68"/>
      <c r="EE533" s="68"/>
      <c r="EF533" s="68"/>
      <c r="EG533" s="68"/>
      <c r="EH533" s="68"/>
      <c r="EI533" s="68"/>
      <c r="EJ533" s="68"/>
      <c r="EK533" s="68"/>
      <c r="EL533" s="68"/>
      <c r="EM533" s="68"/>
      <c r="EN533" s="68"/>
      <c r="EO533" s="68"/>
      <c r="EP533" s="68"/>
      <c r="EQ533" s="65"/>
      <c r="ER533" s="6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" t="str">
        <f t="shared" si="46"/>
        <v/>
      </c>
      <c r="FI533" s="1">
        <f t="shared" si="47"/>
        <v>0</v>
      </c>
      <c r="FJ533" s="38"/>
      <c r="FL533" s="13"/>
    </row>
    <row r="534" spans="1:168" ht="21" hidden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63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61"/>
      <c r="BE534" s="61"/>
      <c r="BF534" s="15"/>
      <c r="BG534" s="15"/>
      <c r="BH534" s="15"/>
      <c r="BI534" s="15"/>
      <c r="BJ534" s="15"/>
      <c r="BK534" s="15"/>
      <c r="BL534" s="15"/>
      <c r="BM534" s="15"/>
      <c r="BN534" s="15"/>
      <c r="BO534" s="64"/>
      <c r="BP534" s="15"/>
      <c r="BQ534" s="15"/>
      <c r="BR534" s="15"/>
      <c r="BS534" s="64"/>
      <c r="BT534" s="64"/>
      <c r="BU534" s="64"/>
      <c r="BV534" s="15"/>
      <c r="BW534" s="64"/>
      <c r="BX534" s="68"/>
      <c r="BY534" s="68"/>
      <c r="BZ534" s="68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15"/>
      <c r="CL534" s="68"/>
      <c r="CM534" s="68"/>
      <c r="CN534" s="68"/>
      <c r="CO534" s="68"/>
      <c r="CP534" s="68"/>
      <c r="CQ534" s="68"/>
      <c r="CR534" s="68"/>
      <c r="CS534" s="68"/>
      <c r="CT534" s="68"/>
      <c r="CU534" s="68"/>
      <c r="CV534" s="68"/>
      <c r="CW534" s="68"/>
      <c r="CX534" s="68"/>
      <c r="CY534" s="68"/>
      <c r="CZ534" s="68"/>
      <c r="DA534" s="68"/>
      <c r="DB534" s="68"/>
      <c r="DC534" s="68"/>
      <c r="DD534" s="68"/>
      <c r="DE534" s="68"/>
      <c r="DF534" s="68"/>
      <c r="DG534" s="68"/>
      <c r="DH534" s="68"/>
      <c r="DI534" s="68"/>
      <c r="DJ534" s="68"/>
      <c r="DK534" s="68"/>
      <c r="DL534" s="68"/>
      <c r="DM534" s="68"/>
      <c r="DN534" s="68"/>
      <c r="DO534" s="68"/>
      <c r="DP534" s="68"/>
      <c r="DQ534" s="68"/>
      <c r="DR534" s="68"/>
      <c r="DS534" s="68"/>
      <c r="DT534" s="68"/>
      <c r="DU534" s="68"/>
      <c r="DV534" s="68"/>
      <c r="DW534" s="68"/>
      <c r="DX534" s="68"/>
      <c r="DY534" s="68"/>
      <c r="DZ534" s="68"/>
      <c r="EA534" s="68"/>
      <c r="EB534" s="68"/>
      <c r="EC534" s="68"/>
      <c r="ED534" s="68"/>
      <c r="EE534" s="68"/>
      <c r="EF534" s="68"/>
      <c r="EG534" s="68"/>
      <c r="EH534" s="68"/>
      <c r="EI534" s="68"/>
      <c r="EJ534" s="68"/>
      <c r="EK534" s="68"/>
      <c r="EL534" s="68"/>
      <c r="EM534" s="68"/>
      <c r="EN534" s="68"/>
      <c r="EO534" s="68"/>
      <c r="EP534" s="68"/>
      <c r="EQ534" s="65"/>
      <c r="ER534" s="6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" t="str">
        <f t="shared" si="46"/>
        <v/>
      </c>
      <c r="FI534" s="1">
        <f t="shared" si="47"/>
        <v>0</v>
      </c>
      <c r="FJ534" s="38"/>
      <c r="FL534" s="13"/>
    </row>
    <row r="535" spans="1:168" ht="21" hidden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63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61"/>
      <c r="BE535" s="61"/>
      <c r="BF535" s="15"/>
      <c r="BG535" s="15"/>
      <c r="BH535" s="15"/>
      <c r="BI535" s="15"/>
      <c r="BJ535" s="15"/>
      <c r="BK535" s="15"/>
      <c r="BL535" s="15"/>
      <c r="BM535" s="15"/>
      <c r="BN535" s="15"/>
      <c r="BO535" s="64"/>
      <c r="BP535" s="15"/>
      <c r="BQ535" s="15"/>
      <c r="BR535" s="15"/>
      <c r="BS535" s="64"/>
      <c r="BT535" s="64"/>
      <c r="BU535" s="64"/>
      <c r="BV535" s="15"/>
      <c r="BW535" s="64"/>
      <c r="BX535" s="68"/>
      <c r="BY535" s="68"/>
      <c r="BZ535" s="68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15"/>
      <c r="CL535" s="68"/>
      <c r="CM535" s="68"/>
      <c r="CN535" s="68"/>
      <c r="CO535" s="68"/>
      <c r="CP535" s="68"/>
      <c r="CQ535" s="68"/>
      <c r="CR535" s="68"/>
      <c r="CS535" s="68"/>
      <c r="CT535" s="68"/>
      <c r="CU535" s="68"/>
      <c r="CV535" s="68"/>
      <c r="CW535" s="68"/>
      <c r="CX535" s="68"/>
      <c r="CY535" s="68"/>
      <c r="CZ535" s="68"/>
      <c r="DA535" s="68"/>
      <c r="DB535" s="68"/>
      <c r="DC535" s="68"/>
      <c r="DD535" s="68"/>
      <c r="DE535" s="68"/>
      <c r="DF535" s="68"/>
      <c r="DG535" s="68"/>
      <c r="DH535" s="68"/>
      <c r="DI535" s="68"/>
      <c r="DJ535" s="68"/>
      <c r="DK535" s="68"/>
      <c r="DL535" s="68"/>
      <c r="DM535" s="68"/>
      <c r="DN535" s="68"/>
      <c r="DO535" s="68"/>
      <c r="DP535" s="68"/>
      <c r="DQ535" s="68"/>
      <c r="DR535" s="68"/>
      <c r="DS535" s="68"/>
      <c r="DT535" s="68"/>
      <c r="DU535" s="68"/>
      <c r="DV535" s="68"/>
      <c r="DW535" s="68"/>
      <c r="DX535" s="68"/>
      <c r="DY535" s="68"/>
      <c r="DZ535" s="68"/>
      <c r="EA535" s="68"/>
      <c r="EB535" s="68"/>
      <c r="EC535" s="68"/>
      <c r="ED535" s="68"/>
      <c r="EE535" s="68"/>
      <c r="EF535" s="68"/>
      <c r="EG535" s="68"/>
      <c r="EH535" s="68"/>
      <c r="EI535" s="68"/>
      <c r="EJ535" s="68"/>
      <c r="EK535" s="68"/>
      <c r="EL535" s="68"/>
      <c r="EM535" s="68"/>
      <c r="EN535" s="68"/>
      <c r="EO535" s="68"/>
      <c r="EP535" s="68"/>
      <c r="EQ535" s="65"/>
      <c r="ER535" s="6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" t="str">
        <f t="shared" si="46"/>
        <v/>
      </c>
      <c r="FI535" s="1">
        <f t="shared" si="47"/>
        <v>0</v>
      </c>
      <c r="FJ535" s="38"/>
      <c r="FL535" s="13"/>
    </row>
    <row r="536" spans="1:168" ht="21" hidden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63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61"/>
      <c r="BE536" s="61"/>
      <c r="BF536" s="15"/>
      <c r="BG536" s="15"/>
      <c r="BH536" s="15"/>
      <c r="BI536" s="15"/>
      <c r="BJ536" s="15"/>
      <c r="BK536" s="15"/>
      <c r="BL536" s="15"/>
      <c r="BM536" s="15"/>
      <c r="BN536" s="15"/>
      <c r="BO536" s="64"/>
      <c r="BP536" s="15"/>
      <c r="BQ536" s="15"/>
      <c r="BR536" s="15"/>
      <c r="BS536" s="64"/>
      <c r="BT536" s="64"/>
      <c r="BU536" s="64"/>
      <c r="BV536" s="15"/>
      <c r="BW536" s="64"/>
      <c r="BX536" s="68"/>
      <c r="BY536" s="68"/>
      <c r="BZ536" s="68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15"/>
      <c r="CL536" s="68"/>
      <c r="CM536" s="68"/>
      <c r="CN536" s="68"/>
      <c r="CO536" s="68"/>
      <c r="CP536" s="68"/>
      <c r="CQ536" s="68"/>
      <c r="CR536" s="68"/>
      <c r="CS536" s="68"/>
      <c r="CT536" s="68"/>
      <c r="CU536" s="68"/>
      <c r="CV536" s="68"/>
      <c r="CW536" s="68"/>
      <c r="CX536" s="68"/>
      <c r="CY536" s="68"/>
      <c r="CZ536" s="68"/>
      <c r="DA536" s="68"/>
      <c r="DB536" s="68"/>
      <c r="DC536" s="68"/>
      <c r="DD536" s="68"/>
      <c r="DE536" s="68"/>
      <c r="DF536" s="68"/>
      <c r="DG536" s="68"/>
      <c r="DH536" s="68"/>
      <c r="DI536" s="68"/>
      <c r="DJ536" s="68"/>
      <c r="DK536" s="68"/>
      <c r="DL536" s="68"/>
      <c r="DM536" s="68"/>
      <c r="DN536" s="68"/>
      <c r="DO536" s="68"/>
      <c r="DP536" s="68"/>
      <c r="DQ536" s="68"/>
      <c r="DR536" s="68"/>
      <c r="DS536" s="68"/>
      <c r="DT536" s="68"/>
      <c r="DU536" s="68"/>
      <c r="DV536" s="68"/>
      <c r="DW536" s="68"/>
      <c r="DX536" s="68"/>
      <c r="DY536" s="68"/>
      <c r="DZ536" s="68"/>
      <c r="EA536" s="68"/>
      <c r="EB536" s="68"/>
      <c r="EC536" s="68"/>
      <c r="ED536" s="68"/>
      <c r="EE536" s="68"/>
      <c r="EF536" s="68"/>
      <c r="EG536" s="68"/>
      <c r="EH536" s="68"/>
      <c r="EI536" s="68"/>
      <c r="EJ536" s="68"/>
      <c r="EK536" s="68"/>
      <c r="EL536" s="68"/>
      <c r="EM536" s="68"/>
      <c r="EN536" s="68"/>
      <c r="EO536" s="68"/>
      <c r="EP536" s="68"/>
      <c r="EQ536" s="65"/>
      <c r="ER536" s="6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" t="str">
        <f t="shared" si="46"/>
        <v/>
      </c>
      <c r="FI536" s="1">
        <f t="shared" si="47"/>
        <v>0</v>
      </c>
      <c r="FJ536" s="38"/>
      <c r="FL536" s="13"/>
    </row>
    <row r="537" spans="1:168" ht="21" hidden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63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61"/>
      <c r="BE537" s="61"/>
      <c r="BF537" s="15"/>
      <c r="BG537" s="15"/>
      <c r="BH537" s="15"/>
      <c r="BI537" s="15"/>
      <c r="BJ537" s="15"/>
      <c r="BK537" s="15"/>
      <c r="BL537" s="15"/>
      <c r="BM537" s="15"/>
      <c r="BN537" s="15"/>
      <c r="BO537" s="64"/>
      <c r="BP537" s="15"/>
      <c r="BQ537" s="15"/>
      <c r="BR537" s="15"/>
      <c r="BS537" s="64"/>
      <c r="BT537" s="64"/>
      <c r="BU537" s="64"/>
      <c r="BV537" s="15"/>
      <c r="BW537" s="64"/>
      <c r="BX537" s="68"/>
      <c r="BY537" s="68"/>
      <c r="BZ537" s="68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15"/>
      <c r="CL537" s="68"/>
      <c r="CM537" s="68"/>
      <c r="CN537" s="68"/>
      <c r="CO537" s="68"/>
      <c r="CP537" s="68"/>
      <c r="CQ537" s="68"/>
      <c r="CR537" s="68"/>
      <c r="CS537" s="68"/>
      <c r="CT537" s="68"/>
      <c r="CU537" s="68"/>
      <c r="CV537" s="68"/>
      <c r="CW537" s="68"/>
      <c r="CX537" s="68"/>
      <c r="CY537" s="68"/>
      <c r="CZ537" s="68"/>
      <c r="DA537" s="68"/>
      <c r="DB537" s="68"/>
      <c r="DC537" s="68"/>
      <c r="DD537" s="68"/>
      <c r="DE537" s="68"/>
      <c r="DF537" s="68"/>
      <c r="DG537" s="68"/>
      <c r="DH537" s="68"/>
      <c r="DI537" s="68"/>
      <c r="DJ537" s="68"/>
      <c r="DK537" s="68"/>
      <c r="DL537" s="68"/>
      <c r="DM537" s="68"/>
      <c r="DN537" s="68"/>
      <c r="DO537" s="68"/>
      <c r="DP537" s="68"/>
      <c r="DQ537" s="68"/>
      <c r="DR537" s="68"/>
      <c r="DS537" s="68"/>
      <c r="DT537" s="68"/>
      <c r="DU537" s="68"/>
      <c r="DV537" s="68"/>
      <c r="DW537" s="68"/>
      <c r="DX537" s="68"/>
      <c r="DY537" s="68"/>
      <c r="DZ537" s="68"/>
      <c r="EA537" s="68"/>
      <c r="EB537" s="68"/>
      <c r="EC537" s="68"/>
      <c r="ED537" s="68"/>
      <c r="EE537" s="68"/>
      <c r="EF537" s="68"/>
      <c r="EG537" s="68"/>
      <c r="EH537" s="68"/>
      <c r="EI537" s="68"/>
      <c r="EJ537" s="68"/>
      <c r="EK537" s="68"/>
      <c r="EL537" s="68"/>
      <c r="EM537" s="68"/>
      <c r="EN537" s="68"/>
      <c r="EO537" s="68"/>
      <c r="EP537" s="68"/>
      <c r="EQ537" s="65"/>
      <c r="ER537" s="6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" t="str">
        <f t="shared" si="46"/>
        <v/>
      </c>
      <c r="FI537" s="1">
        <f t="shared" si="47"/>
        <v>0</v>
      </c>
      <c r="FJ537" s="38"/>
      <c r="FL537" s="13"/>
    </row>
    <row r="538" spans="1:168" ht="21" hidden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63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61"/>
      <c r="BE538" s="61"/>
      <c r="BF538" s="15"/>
      <c r="BG538" s="15"/>
      <c r="BH538" s="15"/>
      <c r="BI538" s="15"/>
      <c r="BJ538" s="15"/>
      <c r="BK538" s="15"/>
      <c r="BL538" s="15"/>
      <c r="BM538" s="15"/>
      <c r="BN538" s="15"/>
      <c r="BO538" s="64"/>
      <c r="BP538" s="15"/>
      <c r="BQ538" s="15"/>
      <c r="BR538" s="15"/>
      <c r="BS538" s="64"/>
      <c r="BT538" s="64"/>
      <c r="BU538" s="64"/>
      <c r="BV538" s="15"/>
      <c r="BW538" s="64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15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  <c r="EE538" s="68"/>
      <c r="EF538" s="68"/>
      <c r="EG538" s="68"/>
      <c r="EH538" s="68"/>
      <c r="EI538" s="68"/>
      <c r="EJ538" s="68"/>
      <c r="EK538" s="68"/>
      <c r="EL538" s="68"/>
      <c r="EM538" s="68"/>
      <c r="EN538" s="68"/>
      <c r="EO538" s="68"/>
      <c r="EP538" s="68"/>
      <c r="EQ538" s="65"/>
      <c r="ER538" s="6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" t="str">
        <f t="shared" si="46"/>
        <v/>
      </c>
      <c r="FI538" s="1">
        <f t="shared" si="47"/>
        <v>0</v>
      </c>
      <c r="FJ538" s="38"/>
      <c r="FL538" s="13"/>
    </row>
    <row r="539" spans="1:168" ht="21" hidden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63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61"/>
      <c r="BE539" s="61"/>
      <c r="BF539" s="15"/>
      <c r="BG539" s="15"/>
      <c r="BH539" s="15"/>
      <c r="BI539" s="15"/>
      <c r="BJ539" s="15"/>
      <c r="BK539" s="15"/>
      <c r="BL539" s="15"/>
      <c r="BM539" s="15"/>
      <c r="BN539" s="15"/>
      <c r="BO539" s="64"/>
      <c r="BP539" s="15"/>
      <c r="BQ539" s="15"/>
      <c r="BR539" s="15"/>
      <c r="BS539" s="64"/>
      <c r="BT539" s="64"/>
      <c r="BU539" s="64"/>
      <c r="BV539" s="15"/>
      <c r="BW539" s="64"/>
      <c r="BX539" s="68"/>
      <c r="BY539" s="68"/>
      <c r="BZ539" s="68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15"/>
      <c r="CL539" s="68"/>
      <c r="CM539" s="68"/>
      <c r="CN539" s="68"/>
      <c r="CO539" s="68"/>
      <c r="CP539" s="68"/>
      <c r="CQ539" s="68"/>
      <c r="CR539" s="68"/>
      <c r="CS539" s="68"/>
      <c r="CT539" s="68"/>
      <c r="CU539" s="68"/>
      <c r="CV539" s="68"/>
      <c r="CW539" s="68"/>
      <c r="CX539" s="68"/>
      <c r="CY539" s="68"/>
      <c r="CZ539" s="68"/>
      <c r="DA539" s="68"/>
      <c r="DB539" s="68"/>
      <c r="DC539" s="68"/>
      <c r="DD539" s="68"/>
      <c r="DE539" s="68"/>
      <c r="DF539" s="68"/>
      <c r="DG539" s="68"/>
      <c r="DH539" s="68"/>
      <c r="DI539" s="68"/>
      <c r="DJ539" s="68"/>
      <c r="DK539" s="68"/>
      <c r="DL539" s="68"/>
      <c r="DM539" s="68"/>
      <c r="DN539" s="68"/>
      <c r="DO539" s="68"/>
      <c r="DP539" s="68"/>
      <c r="DQ539" s="68"/>
      <c r="DR539" s="68"/>
      <c r="DS539" s="68"/>
      <c r="DT539" s="68"/>
      <c r="DU539" s="68"/>
      <c r="DV539" s="68"/>
      <c r="DW539" s="68"/>
      <c r="DX539" s="68"/>
      <c r="DY539" s="68"/>
      <c r="DZ539" s="68"/>
      <c r="EA539" s="68"/>
      <c r="EB539" s="68"/>
      <c r="EC539" s="68"/>
      <c r="ED539" s="68"/>
      <c r="EE539" s="68"/>
      <c r="EF539" s="68"/>
      <c r="EG539" s="68"/>
      <c r="EH539" s="68"/>
      <c r="EI539" s="68"/>
      <c r="EJ539" s="68"/>
      <c r="EK539" s="68"/>
      <c r="EL539" s="68"/>
      <c r="EM539" s="68"/>
      <c r="EN539" s="68"/>
      <c r="EO539" s="68"/>
      <c r="EP539" s="68"/>
      <c r="EQ539" s="65"/>
      <c r="ER539" s="6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" t="str">
        <f t="shared" si="46"/>
        <v/>
      </c>
      <c r="FI539" s="1">
        <f t="shared" si="47"/>
        <v>0</v>
      </c>
      <c r="FJ539" s="38"/>
      <c r="FL539" s="13"/>
    </row>
    <row r="540" spans="1:168" ht="21" hidden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63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61"/>
      <c r="BE540" s="61"/>
      <c r="BF540" s="15"/>
      <c r="BG540" s="15"/>
      <c r="BH540" s="15"/>
      <c r="BI540" s="15"/>
      <c r="BJ540" s="15"/>
      <c r="BK540" s="15"/>
      <c r="BL540" s="15"/>
      <c r="BM540" s="15"/>
      <c r="BN540" s="15"/>
      <c r="BO540" s="64"/>
      <c r="BP540" s="15"/>
      <c r="BQ540" s="15"/>
      <c r="BR540" s="15"/>
      <c r="BS540" s="64"/>
      <c r="BT540" s="64"/>
      <c r="BU540" s="64"/>
      <c r="BV540" s="15"/>
      <c r="BW540" s="64"/>
      <c r="BX540" s="68"/>
      <c r="BY540" s="68"/>
      <c r="BZ540" s="68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15"/>
      <c r="CL540" s="68"/>
      <c r="CM540" s="68"/>
      <c r="CN540" s="68"/>
      <c r="CO540" s="68"/>
      <c r="CP540" s="68"/>
      <c r="CQ540" s="68"/>
      <c r="CR540" s="68"/>
      <c r="CS540" s="68"/>
      <c r="CT540" s="68"/>
      <c r="CU540" s="68"/>
      <c r="CV540" s="68"/>
      <c r="CW540" s="68"/>
      <c r="CX540" s="68"/>
      <c r="CY540" s="68"/>
      <c r="CZ540" s="68"/>
      <c r="DA540" s="68"/>
      <c r="DB540" s="68"/>
      <c r="DC540" s="68"/>
      <c r="DD540" s="68"/>
      <c r="DE540" s="68"/>
      <c r="DF540" s="68"/>
      <c r="DG540" s="68"/>
      <c r="DH540" s="68"/>
      <c r="DI540" s="68"/>
      <c r="DJ540" s="68"/>
      <c r="DK540" s="68"/>
      <c r="DL540" s="68"/>
      <c r="DM540" s="68"/>
      <c r="DN540" s="68"/>
      <c r="DO540" s="68"/>
      <c r="DP540" s="68"/>
      <c r="DQ540" s="68"/>
      <c r="DR540" s="68"/>
      <c r="DS540" s="68"/>
      <c r="DT540" s="68"/>
      <c r="DU540" s="68"/>
      <c r="DV540" s="68"/>
      <c r="DW540" s="68"/>
      <c r="DX540" s="68"/>
      <c r="DY540" s="68"/>
      <c r="DZ540" s="68"/>
      <c r="EA540" s="68"/>
      <c r="EB540" s="68"/>
      <c r="EC540" s="68"/>
      <c r="ED540" s="68"/>
      <c r="EE540" s="68"/>
      <c r="EF540" s="68"/>
      <c r="EG540" s="68"/>
      <c r="EH540" s="68"/>
      <c r="EI540" s="68"/>
      <c r="EJ540" s="68"/>
      <c r="EK540" s="68"/>
      <c r="EL540" s="68"/>
      <c r="EM540" s="68"/>
      <c r="EN540" s="68"/>
      <c r="EO540" s="68"/>
      <c r="EP540" s="68"/>
      <c r="EQ540" s="65"/>
      <c r="ER540" s="6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" t="str">
        <f t="shared" si="46"/>
        <v/>
      </c>
      <c r="FI540" s="1">
        <f t="shared" si="47"/>
        <v>0</v>
      </c>
      <c r="FJ540" s="38"/>
      <c r="FL540" s="13"/>
    </row>
    <row r="541" spans="1:168" ht="21" hidden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63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61"/>
      <c r="BE541" s="61"/>
      <c r="BF541" s="15"/>
      <c r="BG541" s="15"/>
      <c r="BH541" s="15"/>
      <c r="BI541" s="15"/>
      <c r="BJ541" s="15"/>
      <c r="BK541" s="15"/>
      <c r="BL541" s="15"/>
      <c r="BM541" s="15"/>
      <c r="BN541" s="15"/>
      <c r="BO541" s="64"/>
      <c r="BP541" s="15"/>
      <c r="BQ541" s="15"/>
      <c r="BR541" s="15"/>
      <c r="BS541" s="64"/>
      <c r="BT541" s="64"/>
      <c r="BU541" s="64"/>
      <c r="BV541" s="15"/>
      <c r="BW541" s="64"/>
      <c r="BX541" s="68"/>
      <c r="BY541" s="68"/>
      <c r="BZ541" s="68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15"/>
      <c r="CL541" s="68"/>
      <c r="CM541" s="68"/>
      <c r="CN541" s="68"/>
      <c r="CO541" s="68"/>
      <c r="CP541" s="68"/>
      <c r="CQ541" s="68"/>
      <c r="CR541" s="68"/>
      <c r="CS541" s="68"/>
      <c r="CT541" s="68"/>
      <c r="CU541" s="68"/>
      <c r="CV541" s="68"/>
      <c r="CW541" s="68"/>
      <c r="CX541" s="68"/>
      <c r="CY541" s="68"/>
      <c r="CZ541" s="68"/>
      <c r="DA541" s="68"/>
      <c r="DB541" s="68"/>
      <c r="DC541" s="68"/>
      <c r="DD541" s="68"/>
      <c r="DE541" s="68"/>
      <c r="DF541" s="68"/>
      <c r="DG541" s="68"/>
      <c r="DH541" s="68"/>
      <c r="DI541" s="68"/>
      <c r="DJ541" s="68"/>
      <c r="DK541" s="68"/>
      <c r="DL541" s="68"/>
      <c r="DM541" s="68"/>
      <c r="DN541" s="68"/>
      <c r="DO541" s="68"/>
      <c r="DP541" s="68"/>
      <c r="DQ541" s="68"/>
      <c r="DR541" s="68"/>
      <c r="DS541" s="68"/>
      <c r="DT541" s="68"/>
      <c r="DU541" s="68"/>
      <c r="DV541" s="68"/>
      <c r="DW541" s="68"/>
      <c r="DX541" s="68"/>
      <c r="DY541" s="68"/>
      <c r="DZ541" s="68"/>
      <c r="EA541" s="68"/>
      <c r="EB541" s="68"/>
      <c r="EC541" s="68"/>
      <c r="ED541" s="68"/>
      <c r="EE541" s="68"/>
      <c r="EF541" s="68"/>
      <c r="EG541" s="68"/>
      <c r="EH541" s="68"/>
      <c r="EI541" s="68"/>
      <c r="EJ541" s="68"/>
      <c r="EK541" s="68"/>
      <c r="EL541" s="68"/>
      <c r="EM541" s="68"/>
      <c r="EN541" s="68"/>
      <c r="EO541" s="68"/>
      <c r="EP541" s="68"/>
      <c r="EQ541" s="65"/>
      <c r="ER541" s="6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5"/>
      <c r="FD541" s="15"/>
      <c r="FE541" s="15"/>
      <c r="FF541" s="15"/>
      <c r="FG541" s="15"/>
      <c r="FH541" s="1" t="str">
        <f t="shared" si="46"/>
        <v/>
      </c>
      <c r="FI541" s="1">
        <f t="shared" si="47"/>
        <v>0</v>
      </c>
      <c r="FJ541" s="38"/>
      <c r="FL541" s="13"/>
    </row>
    <row r="542" spans="1:168" ht="21" hidden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63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61"/>
      <c r="BE542" s="61"/>
      <c r="BF542" s="15"/>
      <c r="BG542" s="15"/>
      <c r="BH542" s="15"/>
      <c r="BI542" s="15"/>
      <c r="BJ542" s="15"/>
      <c r="BK542" s="15"/>
      <c r="BL542" s="15"/>
      <c r="BM542" s="15"/>
      <c r="BN542" s="15"/>
      <c r="BO542" s="64"/>
      <c r="BP542" s="15"/>
      <c r="BQ542" s="15"/>
      <c r="BR542" s="15"/>
      <c r="BS542" s="64"/>
      <c r="BT542" s="64"/>
      <c r="BU542" s="64"/>
      <c r="BV542" s="15"/>
      <c r="BW542" s="64"/>
      <c r="BX542" s="68"/>
      <c r="BY542" s="68"/>
      <c r="BZ542" s="68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15"/>
      <c r="CL542" s="68"/>
      <c r="CM542" s="68"/>
      <c r="CN542" s="68"/>
      <c r="CO542" s="68"/>
      <c r="CP542" s="68"/>
      <c r="CQ542" s="68"/>
      <c r="CR542" s="68"/>
      <c r="CS542" s="68"/>
      <c r="CT542" s="68"/>
      <c r="CU542" s="68"/>
      <c r="CV542" s="68"/>
      <c r="CW542" s="68"/>
      <c r="CX542" s="68"/>
      <c r="CY542" s="68"/>
      <c r="CZ542" s="68"/>
      <c r="DA542" s="68"/>
      <c r="DB542" s="68"/>
      <c r="DC542" s="68"/>
      <c r="DD542" s="68"/>
      <c r="DE542" s="68"/>
      <c r="DF542" s="68"/>
      <c r="DG542" s="68"/>
      <c r="DH542" s="68"/>
      <c r="DI542" s="68"/>
      <c r="DJ542" s="68"/>
      <c r="DK542" s="68"/>
      <c r="DL542" s="68"/>
      <c r="DM542" s="68"/>
      <c r="DN542" s="68"/>
      <c r="DO542" s="68"/>
      <c r="DP542" s="68"/>
      <c r="DQ542" s="68"/>
      <c r="DR542" s="68"/>
      <c r="DS542" s="68"/>
      <c r="DT542" s="68"/>
      <c r="DU542" s="68"/>
      <c r="DV542" s="68"/>
      <c r="DW542" s="68"/>
      <c r="DX542" s="68"/>
      <c r="DY542" s="68"/>
      <c r="DZ542" s="68"/>
      <c r="EA542" s="68"/>
      <c r="EB542" s="68"/>
      <c r="EC542" s="68"/>
      <c r="ED542" s="68"/>
      <c r="EE542" s="68"/>
      <c r="EF542" s="68"/>
      <c r="EG542" s="68"/>
      <c r="EH542" s="68"/>
      <c r="EI542" s="68"/>
      <c r="EJ542" s="68"/>
      <c r="EK542" s="68"/>
      <c r="EL542" s="68"/>
      <c r="EM542" s="68"/>
      <c r="EN542" s="68"/>
      <c r="EO542" s="68"/>
      <c r="EP542" s="68"/>
      <c r="EQ542" s="65"/>
      <c r="ER542" s="6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" t="str">
        <f t="shared" si="46"/>
        <v/>
      </c>
      <c r="FI542" s="1">
        <f t="shared" si="47"/>
        <v>0</v>
      </c>
      <c r="FJ542" s="38"/>
      <c r="FL542" s="13"/>
    </row>
    <row r="543" spans="1:168" ht="21" hidden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63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61"/>
      <c r="BE543" s="61"/>
      <c r="BF543" s="15"/>
      <c r="BG543" s="15"/>
      <c r="BH543" s="15"/>
      <c r="BI543" s="15"/>
      <c r="BJ543" s="15"/>
      <c r="BK543" s="15"/>
      <c r="BL543" s="15"/>
      <c r="BM543" s="15"/>
      <c r="BN543" s="15"/>
      <c r="BO543" s="64"/>
      <c r="BP543" s="15"/>
      <c r="BQ543" s="15"/>
      <c r="BR543" s="15"/>
      <c r="BS543" s="64"/>
      <c r="BT543" s="64"/>
      <c r="BU543" s="64"/>
      <c r="BV543" s="15"/>
      <c r="BW543" s="64"/>
      <c r="BX543" s="68"/>
      <c r="BY543" s="68"/>
      <c r="BZ543" s="68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15"/>
      <c r="CL543" s="68"/>
      <c r="CM543" s="68"/>
      <c r="CN543" s="68"/>
      <c r="CO543" s="68"/>
      <c r="CP543" s="68"/>
      <c r="CQ543" s="68"/>
      <c r="CR543" s="68"/>
      <c r="CS543" s="68"/>
      <c r="CT543" s="68"/>
      <c r="CU543" s="68"/>
      <c r="CV543" s="68"/>
      <c r="CW543" s="68"/>
      <c r="CX543" s="68"/>
      <c r="CY543" s="68"/>
      <c r="CZ543" s="68"/>
      <c r="DA543" s="68"/>
      <c r="DB543" s="68"/>
      <c r="DC543" s="68"/>
      <c r="DD543" s="68"/>
      <c r="DE543" s="68"/>
      <c r="DF543" s="68"/>
      <c r="DG543" s="68"/>
      <c r="DH543" s="68"/>
      <c r="DI543" s="68"/>
      <c r="DJ543" s="68"/>
      <c r="DK543" s="68"/>
      <c r="DL543" s="68"/>
      <c r="DM543" s="68"/>
      <c r="DN543" s="68"/>
      <c r="DO543" s="68"/>
      <c r="DP543" s="68"/>
      <c r="DQ543" s="68"/>
      <c r="DR543" s="68"/>
      <c r="DS543" s="68"/>
      <c r="DT543" s="68"/>
      <c r="DU543" s="68"/>
      <c r="DV543" s="68"/>
      <c r="DW543" s="68"/>
      <c r="DX543" s="68"/>
      <c r="DY543" s="68"/>
      <c r="DZ543" s="68"/>
      <c r="EA543" s="68"/>
      <c r="EB543" s="68"/>
      <c r="EC543" s="68"/>
      <c r="ED543" s="68"/>
      <c r="EE543" s="68"/>
      <c r="EF543" s="68"/>
      <c r="EG543" s="68"/>
      <c r="EH543" s="68"/>
      <c r="EI543" s="68"/>
      <c r="EJ543" s="68"/>
      <c r="EK543" s="68"/>
      <c r="EL543" s="68"/>
      <c r="EM543" s="68"/>
      <c r="EN543" s="68"/>
      <c r="EO543" s="68"/>
      <c r="EP543" s="68"/>
      <c r="EQ543" s="65"/>
      <c r="ER543" s="6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" t="str">
        <f t="shared" si="46"/>
        <v/>
      </c>
      <c r="FI543" s="1">
        <f t="shared" si="47"/>
        <v>0</v>
      </c>
      <c r="FJ543" s="38"/>
      <c r="FL543" s="13"/>
    </row>
    <row r="544" spans="1:168" ht="21" hidden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63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61"/>
      <c r="BE544" s="61"/>
      <c r="BF544" s="15"/>
      <c r="BG544" s="15"/>
      <c r="BH544" s="15"/>
      <c r="BI544" s="15"/>
      <c r="BJ544" s="15"/>
      <c r="BK544" s="15"/>
      <c r="BL544" s="15"/>
      <c r="BM544" s="15"/>
      <c r="BN544" s="15"/>
      <c r="BO544" s="64"/>
      <c r="BP544" s="15"/>
      <c r="BQ544" s="15"/>
      <c r="BR544" s="15"/>
      <c r="BS544" s="64"/>
      <c r="BT544" s="64"/>
      <c r="BU544" s="64"/>
      <c r="BV544" s="15"/>
      <c r="BW544" s="64"/>
      <c r="BX544" s="68"/>
      <c r="BY544" s="68"/>
      <c r="BZ544" s="68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15"/>
      <c r="CL544" s="68"/>
      <c r="CM544" s="68"/>
      <c r="CN544" s="68"/>
      <c r="CO544" s="68"/>
      <c r="CP544" s="68"/>
      <c r="CQ544" s="68"/>
      <c r="CR544" s="68"/>
      <c r="CS544" s="68"/>
      <c r="CT544" s="68"/>
      <c r="CU544" s="68"/>
      <c r="CV544" s="68"/>
      <c r="CW544" s="68"/>
      <c r="CX544" s="68"/>
      <c r="CY544" s="68"/>
      <c r="CZ544" s="68"/>
      <c r="DA544" s="68"/>
      <c r="DB544" s="68"/>
      <c r="DC544" s="68"/>
      <c r="DD544" s="68"/>
      <c r="DE544" s="68"/>
      <c r="DF544" s="68"/>
      <c r="DG544" s="68"/>
      <c r="DH544" s="68"/>
      <c r="DI544" s="68"/>
      <c r="DJ544" s="68"/>
      <c r="DK544" s="68"/>
      <c r="DL544" s="68"/>
      <c r="DM544" s="68"/>
      <c r="DN544" s="68"/>
      <c r="DO544" s="68"/>
      <c r="DP544" s="68"/>
      <c r="DQ544" s="68"/>
      <c r="DR544" s="68"/>
      <c r="DS544" s="68"/>
      <c r="DT544" s="68"/>
      <c r="DU544" s="68"/>
      <c r="DV544" s="68"/>
      <c r="DW544" s="68"/>
      <c r="DX544" s="68"/>
      <c r="DY544" s="68"/>
      <c r="DZ544" s="68"/>
      <c r="EA544" s="68"/>
      <c r="EB544" s="68"/>
      <c r="EC544" s="68"/>
      <c r="ED544" s="68"/>
      <c r="EE544" s="68"/>
      <c r="EF544" s="68"/>
      <c r="EG544" s="68"/>
      <c r="EH544" s="68"/>
      <c r="EI544" s="68"/>
      <c r="EJ544" s="68"/>
      <c r="EK544" s="68"/>
      <c r="EL544" s="68"/>
      <c r="EM544" s="68"/>
      <c r="EN544" s="68"/>
      <c r="EO544" s="68"/>
      <c r="EP544" s="68"/>
      <c r="EQ544" s="65"/>
      <c r="ER544" s="6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" t="str">
        <f t="shared" si="46"/>
        <v/>
      </c>
      <c r="FI544" s="1">
        <f t="shared" si="47"/>
        <v>0</v>
      </c>
      <c r="FJ544" s="38"/>
      <c r="FL544" s="13"/>
    </row>
    <row r="545" spans="1:168" ht="21" hidden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63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61"/>
      <c r="BE545" s="61"/>
      <c r="BF545" s="15"/>
      <c r="BG545" s="15"/>
      <c r="BH545" s="15"/>
      <c r="BI545" s="15"/>
      <c r="BJ545" s="15"/>
      <c r="BK545" s="15"/>
      <c r="BL545" s="15"/>
      <c r="BM545" s="15"/>
      <c r="BN545" s="15"/>
      <c r="BO545" s="64"/>
      <c r="BP545" s="15"/>
      <c r="BQ545" s="15"/>
      <c r="BR545" s="15"/>
      <c r="BS545" s="64"/>
      <c r="BT545" s="64"/>
      <c r="BU545" s="64"/>
      <c r="BV545" s="15"/>
      <c r="BW545" s="64"/>
      <c r="BX545" s="68"/>
      <c r="BY545" s="68"/>
      <c r="BZ545" s="68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15"/>
      <c r="CL545" s="68"/>
      <c r="CM545" s="68"/>
      <c r="CN545" s="68"/>
      <c r="CO545" s="68"/>
      <c r="CP545" s="68"/>
      <c r="CQ545" s="68"/>
      <c r="CR545" s="68"/>
      <c r="CS545" s="68"/>
      <c r="CT545" s="68"/>
      <c r="CU545" s="68"/>
      <c r="CV545" s="68"/>
      <c r="CW545" s="68"/>
      <c r="CX545" s="68"/>
      <c r="CY545" s="68"/>
      <c r="CZ545" s="68"/>
      <c r="DA545" s="68"/>
      <c r="DB545" s="68"/>
      <c r="DC545" s="68"/>
      <c r="DD545" s="68"/>
      <c r="DE545" s="68"/>
      <c r="DF545" s="68"/>
      <c r="DG545" s="68"/>
      <c r="DH545" s="68"/>
      <c r="DI545" s="68"/>
      <c r="DJ545" s="68"/>
      <c r="DK545" s="68"/>
      <c r="DL545" s="68"/>
      <c r="DM545" s="68"/>
      <c r="DN545" s="68"/>
      <c r="DO545" s="68"/>
      <c r="DP545" s="68"/>
      <c r="DQ545" s="68"/>
      <c r="DR545" s="68"/>
      <c r="DS545" s="68"/>
      <c r="DT545" s="68"/>
      <c r="DU545" s="68"/>
      <c r="DV545" s="68"/>
      <c r="DW545" s="68"/>
      <c r="DX545" s="68"/>
      <c r="DY545" s="68"/>
      <c r="DZ545" s="68"/>
      <c r="EA545" s="68"/>
      <c r="EB545" s="68"/>
      <c r="EC545" s="68"/>
      <c r="ED545" s="68"/>
      <c r="EE545" s="68"/>
      <c r="EF545" s="68"/>
      <c r="EG545" s="68"/>
      <c r="EH545" s="68"/>
      <c r="EI545" s="68"/>
      <c r="EJ545" s="68"/>
      <c r="EK545" s="68"/>
      <c r="EL545" s="68"/>
      <c r="EM545" s="68"/>
      <c r="EN545" s="68"/>
      <c r="EO545" s="68"/>
      <c r="EP545" s="68"/>
      <c r="EQ545" s="65"/>
      <c r="ER545" s="6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" t="str">
        <f t="shared" si="46"/>
        <v/>
      </c>
      <c r="FI545" s="1">
        <f t="shared" si="47"/>
        <v>0</v>
      </c>
      <c r="FJ545" s="38"/>
      <c r="FL545" s="13"/>
    </row>
    <row r="546" spans="1:168" ht="21" hidden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63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61"/>
      <c r="BE546" s="61"/>
      <c r="BF546" s="15"/>
      <c r="BG546" s="15"/>
      <c r="BH546" s="15"/>
      <c r="BI546" s="15"/>
      <c r="BJ546" s="15"/>
      <c r="BK546" s="15"/>
      <c r="BL546" s="15"/>
      <c r="BM546" s="15"/>
      <c r="BN546" s="15"/>
      <c r="BO546" s="64"/>
      <c r="BP546" s="15"/>
      <c r="BQ546" s="15"/>
      <c r="BR546" s="15"/>
      <c r="BS546" s="64"/>
      <c r="BT546" s="64"/>
      <c r="BU546" s="64"/>
      <c r="BV546" s="15"/>
      <c r="BW546" s="64"/>
      <c r="BX546" s="68"/>
      <c r="BY546" s="68"/>
      <c r="BZ546" s="68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15"/>
      <c r="CL546" s="68"/>
      <c r="CM546" s="68"/>
      <c r="CN546" s="68"/>
      <c r="CO546" s="68"/>
      <c r="CP546" s="68"/>
      <c r="CQ546" s="68"/>
      <c r="CR546" s="68"/>
      <c r="CS546" s="68"/>
      <c r="CT546" s="68"/>
      <c r="CU546" s="68"/>
      <c r="CV546" s="68"/>
      <c r="CW546" s="68"/>
      <c r="CX546" s="68"/>
      <c r="CY546" s="68"/>
      <c r="CZ546" s="68"/>
      <c r="DA546" s="68"/>
      <c r="DB546" s="68"/>
      <c r="DC546" s="68"/>
      <c r="DD546" s="68"/>
      <c r="DE546" s="68"/>
      <c r="DF546" s="68"/>
      <c r="DG546" s="68"/>
      <c r="DH546" s="68"/>
      <c r="DI546" s="68"/>
      <c r="DJ546" s="68"/>
      <c r="DK546" s="68"/>
      <c r="DL546" s="68"/>
      <c r="DM546" s="68"/>
      <c r="DN546" s="68"/>
      <c r="DO546" s="68"/>
      <c r="DP546" s="68"/>
      <c r="DQ546" s="68"/>
      <c r="DR546" s="68"/>
      <c r="DS546" s="68"/>
      <c r="DT546" s="68"/>
      <c r="DU546" s="68"/>
      <c r="DV546" s="68"/>
      <c r="DW546" s="68"/>
      <c r="DX546" s="68"/>
      <c r="DY546" s="68"/>
      <c r="DZ546" s="68"/>
      <c r="EA546" s="68"/>
      <c r="EB546" s="68"/>
      <c r="EC546" s="68"/>
      <c r="ED546" s="68"/>
      <c r="EE546" s="68"/>
      <c r="EF546" s="68"/>
      <c r="EG546" s="68"/>
      <c r="EH546" s="68"/>
      <c r="EI546" s="68"/>
      <c r="EJ546" s="68"/>
      <c r="EK546" s="68"/>
      <c r="EL546" s="68"/>
      <c r="EM546" s="68"/>
      <c r="EN546" s="68"/>
      <c r="EO546" s="68"/>
      <c r="EP546" s="68"/>
      <c r="EQ546" s="65"/>
      <c r="ER546" s="6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" t="str">
        <f t="shared" si="46"/>
        <v/>
      </c>
      <c r="FI546" s="1">
        <f t="shared" si="47"/>
        <v>0</v>
      </c>
      <c r="FJ546" s="38"/>
      <c r="FL546" s="13"/>
    </row>
    <row r="547" spans="1:168" ht="21" hidden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63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61"/>
      <c r="BE547" s="61"/>
      <c r="BF547" s="15"/>
      <c r="BG547" s="15"/>
      <c r="BH547" s="15"/>
      <c r="BI547" s="15"/>
      <c r="BJ547" s="15"/>
      <c r="BK547" s="15"/>
      <c r="BL547" s="15"/>
      <c r="BM547" s="15"/>
      <c r="BN547" s="15"/>
      <c r="BO547" s="64"/>
      <c r="BP547" s="15"/>
      <c r="BQ547" s="15"/>
      <c r="BR547" s="15"/>
      <c r="BS547" s="64"/>
      <c r="BT547" s="64"/>
      <c r="BU547" s="64"/>
      <c r="BV547" s="15"/>
      <c r="BW547" s="64"/>
      <c r="BX547" s="68"/>
      <c r="BY547" s="68"/>
      <c r="BZ547" s="68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15"/>
      <c r="CL547" s="68"/>
      <c r="CM547" s="68"/>
      <c r="CN547" s="68"/>
      <c r="CO547" s="68"/>
      <c r="CP547" s="68"/>
      <c r="CQ547" s="68"/>
      <c r="CR547" s="68"/>
      <c r="CS547" s="68"/>
      <c r="CT547" s="68"/>
      <c r="CU547" s="68"/>
      <c r="CV547" s="68"/>
      <c r="CW547" s="68"/>
      <c r="CX547" s="68"/>
      <c r="CY547" s="68"/>
      <c r="CZ547" s="68"/>
      <c r="DA547" s="68"/>
      <c r="DB547" s="68"/>
      <c r="DC547" s="68"/>
      <c r="DD547" s="68"/>
      <c r="DE547" s="68"/>
      <c r="DF547" s="68"/>
      <c r="DG547" s="68"/>
      <c r="DH547" s="68"/>
      <c r="DI547" s="68"/>
      <c r="DJ547" s="68"/>
      <c r="DK547" s="68"/>
      <c r="DL547" s="68"/>
      <c r="DM547" s="68"/>
      <c r="DN547" s="68"/>
      <c r="DO547" s="68"/>
      <c r="DP547" s="68"/>
      <c r="DQ547" s="68"/>
      <c r="DR547" s="68"/>
      <c r="DS547" s="68"/>
      <c r="DT547" s="68"/>
      <c r="DU547" s="68"/>
      <c r="DV547" s="68"/>
      <c r="DW547" s="68"/>
      <c r="DX547" s="68"/>
      <c r="DY547" s="68"/>
      <c r="DZ547" s="68"/>
      <c r="EA547" s="68"/>
      <c r="EB547" s="68"/>
      <c r="EC547" s="68"/>
      <c r="ED547" s="68"/>
      <c r="EE547" s="68"/>
      <c r="EF547" s="68"/>
      <c r="EG547" s="68"/>
      <c r="EH547" s="68"/>
      <c r="EI547" s="68"/>
      <c r="EJ547" s="68"/>
      <c r="EK547" s="68"/>
      <c r="EL547" s="68"/>
      <c r="EM547" s="68"/>
      <c r="EN547" s="68"/>
      <c r="EO547" s="68"/>
      <c r="EP547" s="68"/>
      <c r="EQ547" s="65"/>
      <c r="ER547" s="6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" t="str">
        <f t="shared" si="46"/>
        <v/>
      </c>
      <c r="FI547" s="1">
        <f t="shared" si="47"/>
        <v>0</v>
      </c>
      <c r="FJ547" s="38"/>
      <c r="FL547" s="13"/>
    </row>
    <row r="548" spans="1:168" ht="21" hidden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63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61"/>
      <c r="BE548" s="61"/>
      <c r="BF548" s="15"/>
      <c r="BG548" s="15"/>
      <c r="BH548" s="15"/>
      <c r="BI548" s="15"/>
      <c r="BJ548" s="15"/>
      <c r="BK548" s="15"/>
      <c r="BL548" s="15"/>
      <c r="BM548" s="15"/>
      <c r="BN548" s="15"/>
      <c r="BO548" s="64"/>
      <c r="BP548" s="15"/>
      <c r="BQ548" s="15"/>
      <c r="BR548" s="15"/>
      <c r="BS548" s="64"/>
      <c r="BT548" s="64"/>
      <c r="BU548" s="64"/>
      <c r="BV548" s="15"/>
      <c r="BW548" s="64"/>
      <c r="BX548" s="68"/>
      <c r="BY548" s="68"/>
      <c r="BZ548" s="68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15"/>
      <c r="CL548" s="68"/>
      <c r="CM548" s="68"/>
      <c r="CN548" s="68"/>
      <c r="CO548" s="68"/>
      <c r="CP548" s="68"/>
      <c r="CQ548" s="68"/>
      <c r="CR548" s="68"/>
      <c r="CS548" s="68"/>
      <c r="CT548" s="68"/>
      <c r="CU548" s="68"/>
      <c r="CV548" s="68"/>
      <c r="CW548" s="68"/>
      <c r="CX548" s="68"/>
      <c r="CY548" s="68"/>
      <c r="CZ548" s="68"/>
      <c r="DA548" s="68"/>
      <c r="DB548" s="68"/>
      <c r="DC548" s="68"/>
      <c r="DD548" s="68"/>
      <c r="DE548" s="68"/>
      <c r="DF548" s="68"/>
      <c r="DG548" s="68"/>
      <c r="DH548" s="68"/>
      <c r="DI548" s="68"/>
      <c r="DJ548" s="68"/>
      <c r="DK548" s="68"/>
      <c r="DL548" s="68"/>
      <c r="DM548" s="68"/>
      <c r="DN548" s="68"/>
      <c r="DO548" s="68"/>
      <c r="DP548" s="68"/>
      <c r="DQ548" s="68"/>
      <c r="DR548" s="68"/>
      <c r="DS548" s="68"/>
      <c r="DT548" s="68"/>
      <c r="DU548" s="68"/>
      <c r="DV548" s="68"/>
      <c r="DW548" s="68"/>
      <c r="DX548" s="68"/>
      <c r="DY548" s="68"/>
      <c r="DZ548" s="68"/>
      <c r="EA548" s="68"/>
      <c r="EB548" s="68"/>
      <c r="EC548" s="68"/>
      <c r="ED548" s="68"/>
      <c r="EE548" s="68"/>
      <c r="EF548" s="68"/>
      <c r="EG548" s="68"/>
      <c r="EH548" s="68"/>
      <c r="EI548" s="68"/>
      <c r="EJ548" s="68"/>
      <c r="EK548" s="68"/>
      <c r="EL548" s="68"/>
      <c r="EM548" s="68"/>
      <c r="EN548" s="68"/>
      <c r="EO548" s="68"/>
      <c r="EP548" s="68"/>
      <c r="EQ548" s="65"/>
      <c r="ER548" s="6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" t="str">
        <f t="shared" si="46"/>
        <v/>
      </c>
      <c r="FI548" s="1">
        <f t="shared" si="47"/>
        <v>0</v>
      </c>
      <c r="FJ548" s="38"/>
      <c r="FL548" s="13"/>
    </row>
    <row r="549" spans="1:168" ht="21" hidden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63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61"/>
      <c r="BE549" s="61"/>
      <c r="BF549" s="15"/>
      <c r="BG549" s="15"/>
      <c r="BH549" s="15"/>
      <c r="BI549" s="15"/>
      <c r="BJ549" s="15"/>
      <c r="BK549" s="15"/>
      <c r="BL549" s="15"/>
      <c r="BM549" s="15"/>
      <c r="BN549" s="15"/>
      <c r="BO549" s="64"/>
      <c r="BP549" s="15"/>
      <c r="BQ549" s="15"/>
      <c r="BR549" s="15"/>
      <c r="BS549" s="64"/>
      <c r="BT549" s="64"/>
      <c r="BU549" s="64"/>
      <c r="BV549" s="15"/>
      <c r="BW549" s="64"/>
      <c r="BX549" s="68"/>
      <c r="BY549" s="68"/>
      <c r="BZ549" s="68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15"/>
      <c r="CL549" s="68"/>
      <c r="CM549" s="68"/>
      <c r="CN549" s="68"/>
      <c r="CO549" s="68"/>
      <c r="CP549" s="68"/>
      <c r="CQ549" s="68"/>
      <c r="CR549" s="68"/>
      <c r="CS549" s="68"/>
      <c r="CT549" s="68"/>
      <c r="CU549" s="68"/>
      <c r="CV549" s="68"/>
      <c r="CW549" s="68"/>
      <c r="CX549" s="68"/>
      <c r="CY549" s="6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/>
      <c r="DS549" s="68"/>
      <c r="DT549" s="68"/>
      <c r="DU549" s="68"/>
      <c r="DV549" s="68"/>
      <c r="DW549" s="68"/>
      <c r="DX549" s="68"/>
      <c r="DY549" s="68"/>
      <c r="DZ549" s="68"/>
      <c r="EA549" s="68"/>
      <c r="EB549" s="68"/>
      <c r="EC549" s="68"/>
      <c r="ED549" s="68"/>
      <c r="EE549" s="68"/>
      <c r="EF549" s="68"/>
      <c r="EG549" s="68"/>
      <c r="EH549" s="68"/>
      <c r="EI549" s="68"/>
      <c r="EJ549" s="68"/>
      <c r="EK549" s="68"/>
      <c r="EL549" s="68"/>
      <c r="EM549" s="68"/>
      <c r="EN549" s="68"/>
      <c r="EO549" s="68"/>
      <c r="EP549" s="68"/>
      <c r="EQ549" s="65"/>
      <c r="ER549" s="6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" t="str">
        <f t="shared" si="46"/>
        <v/>
      </c>
      <c r="FI549" s="1">
        <f t="shared" si="47"/>
        <v>0</v>
      </c>
      <c r="FJ549" s="38"/>
      <c r="FL549" s="13"/>
    </row>
    <row r="550" spans="1:168" ht="21" hidden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63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61"/>
      <c r="BE550" s="61"/>
      <c r="BF550" s="15"/>
      <c r="BG550" s="15"/>
      <c r="BH550" s="15"/>
      <c r="BI550" s="15"/>
      <c r="BJ550" s="15"/>
      <c r="BK550" s="15"/>
      <c r="BL550" s="15"/>
      <c r="BM550" s="15"/>
      <c r="BN550" s="15"/>
      <c r="BO550" s="64"/>
      <c r="BP550" s="15"/>
      <c r="BQ550" s="15"/>
      <c r="BR550" s="15"/>
      <c r="BS550" s="64"/>
      <c r="BT550" s="64"/>
      <c r="BU550" s="64"/>
      <c r="BV550" s="15"/>
      <c r="BW550" s="64"/>
      <c r="BX550" s="68"/>
      <c r="BY550" s="68"/>
      <c r="BZ550" s="68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15"/>
      <c r="CL550" s="68"/>
      <c r="CM550" s="68"/>
      <c r="CN550" s="68"/>
      <c r="CO550" s="68"/>
      <c r="CP550" s="68"/>
      <c r="CQ550" s="68"/>
      <c r="CR550" s="68"/>
      <c r="CS550" s="68"/>
      <c r="CT550" s="68"/>
      <c r="CU550" s="68"/>
      <c r="CV550" s="68"/>
      <c r="CW550" s="68"/>
      <c r="CX550" s="68"/>
      <c r="CY550" s="68"/>
      <c r="CZ550" s="68"/>
      <c r="DA550" s="68"/>
      <c r="DB550" s="68"/>
      <c r="DC550" s="68"/>
      <c r="DD550" s="68"/>
      <c r="DE550" s="68"/>
      <c r="DF550" s="68"/>
      <c r="DG550" s="68"/>
      <c r="DH550" s="68"/>
      <c r="DI550" s="68"/>
      <c r="DJ550" s="68"/>
      <c r="DK550" s="68"/>
      <c r="DL550" s="68"/>
      <c r="DM550" s="68"/>
      <c r="DN550" s="68"/>
      <c r="DO550" s="68"/>
      <c r="DP550" s="68"/>
      <c r="DQ550" s="68"/>
      <c r="DR550" s="68"/>
      <c r="DS550" s="68"/>
      <c r="DT550" s="68"/>
      <c r="DU550" s="68"/>
      <c r="DV550" s="68"/>
      <c r="DW550" s="68"/>
      <c r="DX550" s="68"/>
      <c r="DY550" s="68"/>
      <c r="DZ550" s="68"/>
      <c r="EA550" s="68"/>
      <c r="EB550" s="68"/>
      <c r="EC550" s="68"/>
      <c r="ED550" s="68"/>
      <c r="EE550" s="68"/>
      <c r="EF550" s="68"/>
      <c r="EG550" s="68"/>
      <c r="EH550" s="68"/>
      <c r="EI550" s="68"/>
      <c r="EJ550" s="68"/>
      <c r="EK550" s="68"/>
      <c r="EL550" s="68"/>
      <c r="EM550" s="68"/>
      <c r="EN550" s="68"/>
      <c r="EO550" s="68"/>
      <c r="EP550" s="68"/>
      <c r="EQ550" s="65"/>
      <c r="ER550" s="6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" t="str">
        <f t="shared" si="46"/>
        <v/>
      </c>
      <c r="FI550" s="1">
        <f t="shared" si="47"/>
        <v>0</v>
      </c>
      <c r="FJ550" s="38"/>
      <c r="FL550" s="13"/>
    </row>
    <row r="551" spans="1:168" ht="21" hidden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63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61"/>
      <c r="BE551" s="61"/>
      <c r="BF551" s="15"/>
      <c r="BG551" s="15"/>
      <c r="BH551" s="15"/>
      <c r="BI551" s="15"/>
      <c r="BJ551" s="15"/>
      <c r="BK551" s="15"/>
      <c r="BL551" s="15"/>
      <c r="BM551" s="15"/>
      <c r="BN551" s="15"/>
      <c r="BO551" s="64"/>
      <c r="BP551" s="15"/>
      <c r="BQ551" s="15"/>
      <c r="BR551" s="15"/>
      <c r="BS551" s="64"/>
      <c r="BT551" s="64"/>
      <c r="BU551" s="64"/>
      <c r="BV551" s="15"/>
      <c r="BW551" s="64"/>
      <c r="BX551" s="68"/>
      <c r="BY551" s="68"/>
      <c r="BZ551" s="68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15"/>
      <c r="CL551" s="68"/>
      <c r="CM551" s="68"/>
      <c r="CN551" s="68"/>
      <c r="CO551" s="68"/>
      <c r="CP551" s="68"/>
      <c r="CQ551" s="68"/>
      <c r="CR551" s="68"/>
      <c r="CS551" s="68"/>
      <c r="CT551" s="68"/>
      <c r="CU551" s="68"/>
      <c r="CV551" s="68"/>
      <c r="CW551" s="68"/>
      <c r="CX551" s="68"/>
      <c r="CY551" s="68"/>
      <c r="CZ551" s="68"/>
      <c r="DA551" s="68"/>
      <c r="DB551" s="68"/>
      <c r="DC551" s="68"/>
      <c r="DD551" s="68"/>
      <c r="DE551" s="68"/>
      <c r="DF551" s="68"/>
      <c r="DG551" s="68"/>
      <c r="DH551" s="68"/>
      <c r="DI551" s="68"/>
      <c r="DJ551" s="68"/>
      <c r="DK551" s="68"/>
      <c r="DL551" s="68"/>
      <c r="DM551" s="68"/>
      <c r="DN551" s="68"/>
      <c r="DO551" s="68"/>
      <c r="DP551" s="68"/>
      <c r="DQ551" s="68"/>
      <c r="DR551" s="68"/>
      <c r="DS551" s="68"/>
      <c r="DT551" s="68"/>
      <c r="DU551" s="68"/>
      <c r="DV551" s="68"/>
      <c r="DW551" s="68"/>
      <c r="DX551" s="68"/>
      <c r="DY551" s="68"/>
      <c r="DZ551" s="68"/>
      <c r="EA551" s="68"/>
      <c r="EB551" s="68"/>
      <c r="EC551" s="68"/>
      <c r="ED551" s="68"/>
      <c r="EE551" s="68"/>
      <c r="EF551" s="68"/>
      <c r="EG551" s="68"/>
      <c r="EH551" s="68"/>
      <c r="EI551" s="68"/>
      <c r="EJ551" s="68"/>
      <c r="EK551" s="68"/>
      <c r="EL551" s="68"/>
      <c r="EM551" s="68"/>
      <c r="EN551" s="68"/>
      <c r="EO551" s="68"/>
      <c r="EP551" s="68"/>
      <c r="EQ551" s="65"/>
      <c r="ER551" s="6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" t="str">
        <f t="shared" si="46"/>
        <v/>
      </c>
      <c r="FI551" s="1">
        <f t="shared" si="47"/>
        <v>0</v>
      </c>
      <c r="FJ551" s="38"/>
      <c r="FL551" s="13"/>
    </row>
    <row r="552" spans="1:168" ht="21" hidden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63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61"/>
      <c r="BE552" s="61"/>
      <c r="BF552" s="15"/>
      <c r="BG552" s="15"/>
      <c r="BH552" s="15"/>
      <c r="BI552" s="15"/>
      <c r="BJ552" s="15"/>
      <c r="BK552" s="15"/>
      <c r="BL552" s="15"/>
      <c r="BM552" s="15"/>
      <c r="BN552" s="15"/>
      <c r="BO552" s="64"/>
      <c r="BP552" s="15"/>
      <c r="BQ552" s="15"/>
      <c r="BR552" s="15"/>
      <c r="BS552" s="64"/>
      <c r="BT552" s="64"/>
      <c r="BU552" s="64"/>
      <c r="BV552" s="15"/>
      <c r="BW552" s="64"/>
      <c r="BX552" s="68"/>
      <c r="BY552" s="68"/>
      <c r="BZ552" s="68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15"/>
      <c r="CL552" s="68"/>
      <c r="CM552" s="68"/>
      <c r="CN552" s="68"/>
      <c r="CO552" s="68"/>
      <c r="CP552" s="68"/>
      <c r="CQ552" s="68"/>
      <c r="CR552" s="68"/>
      <c r="CS552" s="68"/>
      <c r="CT552" s="68"/>
      <c r="CU552" s="68"/>
      <c r="CV552" s="68"/>
      <c r="CW552" s="68"/>
      <c r="CX552" s="68"/>
      <c r="CY552" s="68"/>
      <c r="CZ552" s="68"/>
      <c r="DA552" s="68"/>
      <c r="DB552" s="68"/>
      <c r="DC552" s="68"/>
      <c r="DD552" s="68"/>
      <c r="DE552" s="68"/>
      <c r="DF552" s="68"/>
      <c r="DG552" s="68"/>
      <c r="DH552" s="68"/>
      <c r="DI552" s="68"/>
      <c r="DJ552" s="68"/>
      <c r="DK552" s="68"/>
      <c r="DL552" s="68"/>
      <c r="DM552" s="68"/>
      <c r="DN552" s="68"/>
      <c r="DO552" s="68"/>
      <c r="DP552" s="68"/>
      <c r="DQ552" s="68"/>
      <c r="DR552" s="68"/>
      <c r="DS552" s="68"/>
      <c r="DT552" s="68"/>
      <c r="DU552" s="68"/>
      <c r="DV552" s="68"/>
      <c r="DW552" s="68"/>
      <c r="DX552" s="68"/>
      <c r="DY552" s="68"/>
      <c r="DZ552" s="68"/>
      <c r="EA552" s="68"/>
      <c r="EB552" s="68"/>
      <c r="EC552" s="68"/>
      <c r="ED552" s="68"/>
      <c r="EE552" s="68"/>
      <c r="EF552" s="68"/>
      <c r="EG552" s="68"/>
      <c r="EH552" s="68"/>
      <c r="EI552" s="68"/>
      <c r="EJ552" s="68"/>
      <c r="EK552" s="68"/>
      <c r="EL552" s="68"/>
      <c r="EM552" s="68"/>
      <c r="EN552" s="68"/>
      <c r="EO552" s="68"/>
      <c r="EP552" s="68"/>
      <c r="EQ552" s="65"/>
      <c r="ER552" s="6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" t="str">
        <f t="shared" si="46"/>
        <v/>
      </c>
      <c r="FI552" s="1">
        <f t="shared" si="47"/>
        <v>0</v>
      </c>
      <c r="FJ552" s="38"/>
      <c r="FL552" s="13"/>
    </row>
    <row r="553" spans="1:168" ht="21" hidden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63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61"/>
      <c r="BE553" s="61"/>
      <c r="BF553" s="15"/>
      <c r="BG553" s="15"/>
      <c r="BH553" s="15"/>
      <c r="BI553" s="15"/>
      <c r="BJ553" s="15"/>
      <c r="BK553" s="15"/>
      <c r="BL553" s="15"/>
      <c r="BM553" s="15"/>
      <c r="BN553" s="15"/>
      <c r="BO553" s="64"/>
      <c r="BP553" s="15"/>
      <c r="BQ553" s="15"/>
      <c r="BR553" s="15"/>
      <c r="BS553" s="64"/>
      <c r="BT553" s="64"/>
      <c r="BU553" s="64"/>
      <c r="BV553" s="15"/>
      <c r="BW553" s="64"/>
      <c r="BX553" s="68"/>
      <c r="BY553" s="68"/>
      <c r="BZ553" s="68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15"/>
      <c r="CL553" s="68"/>
      <c r="CM553" s="68"/>
      <c r="CN553" s="68"/>
      <c r="CO553" s="68"/>
      <c r="CP553" s="68"/>
      <c r="CQ553" s="68"/>
      <c r="CR553" s="68"/>
      <c r="CS553" s="68"/>
      <c r="CT553" s="68"/>
      <c r="CU553" s="68"/>
      <c r="CV553" s="68"/>
      <c r="CW553" s="68"/>
      <c r="CX553" s="68"/>
      <c r="CY553" s="68"/>
      <c r="CZ553" s="68"/>
      <c r="DA553" s="68"/>
      <c r="DB553" s="68"/>
      <c r="DC553" s="68"/>
      <c r="DD553" s="68"/>
      <c r="DE553" s="68"/>
      <c r="DF553" s="68"/>
      <c r="DG553" s="68"/>
      <c r="DH553" s="68"/>
      <c r="DI553" s="68"/>
      <c r="DJ553" s="68"/>
      <c r="DK553" s="68"/>
      <c r="DL553" s="68"/>
      <c r="DM553" s="68"/>
      <c r="DN553" s="68"/>
      <c r="DO553" s="68"/>
      <c r="DP553" s="68"/>
      <c r="DQ553" s="68"/>
      <c r="DR553" s="68"/>
      <c r="DS553" s="68"/>
      <c r="DT553" s="68"/>
      <c r="DU553" s="68"/>
      <c r="DV553" s="68"/>
      <c r="DW553" s="68"/>
      <c r="DX553" s="68"/>
      <c r="DY553" s="68"/>
      <c r="DZ553" s="68"/>
      <c r="EA553" s="68"/>
      <c r="EB553" s="68"/>
      <c r="EC553" s="68"/>
      <c r="ED553" s="68"/>
      <c r="EE553" s="68"/>
      <c r="EF553" s="68"/>
      <c r="EG553" s="68"/>
      <c r="EH553" s="68"/>
      <c r="EI553" s="68"/>
      <c r="EJ553" s="68"/>
      <c r="EK553" s="68"/>
      <c r="EL553" s="68"/>
      <c r="EM553" s="68"/>
      <c r="EN553" s="68"/>
      <c r="EO553" s="68"/>
      <c r="EP553" s="68"/>
      <c r="EQ553" s="65"/>
      <c r="ER553" s="6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" t="str">
        <f t="shared" si="46"/>
        <v/>
      </c>
      <c r="FI553" s="1">
        <f t="shared" si="47"/>
        <v>0</v>
      </c>
      <c r="FJ553" s="38"/>
      <c r="FL553" s="13"/>
    </row>
    <row r="554" spans="1:168" ht="21" hidden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63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61"/>
      <c r="BE554" s="61"/>
      <c r="BF554" s="15"/>
      <c r="BG554" s="15"/>
      <c r="BH554" s="15"/>
      <c r="BI554" s="15"/>
      <c r="BJ554" s="15"/>
      <c r="BK554" s="15"/>
      <c r="BL554" s="15"/>
      <c r="BM554" s="15"/>
      <c r="BN554" s="15"/>
      <c r="BO554" s="64"/>
      <c r="BP554" s="15"/>
      <c r="BQ554" s="15"/>
      <c r="BR554" s="15"/>
      <c r="BS554" s="64"/>
      <c r="BT554" s="64"/>
      <c r="BU554" s="64"/>
      <c r="BV554" s="15"/>
      <c r="BW554" s="64"/>
      <c r="BX554" s="68"/>
      <c r="BY554" s="68"/>
      <c r="BZ554" s="68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15"/>
      <c r="CL554" s="68"/>
      <c r="CM554" s="68"/>
      <c r="CN554" s="68"/>
      <c r="CO554" s="68"/>
      <c r="CP554" s="68"/>
      <c r="CQ554" s="68"/>
      <c r="CR554" s="68"/>
      <c r="CS554" s="68"/>
      <c r="CT554" s="68"/>
      <c r="CU554" s="68"/>
      <c r="CV554" s="68"/>
      <c r="CW554" s="68"/>
      <c r="CX554" s="68"/>
      <c r="CY554" s="68"/>
      <c r="CZ554" s="68"/>
      <c r="DA554" s="68"/>
      <c r="DB554" s="68"/>
      <c r="DC554" s="68"/>
      <c r="DD554" s="68"/>
      <c r="DE554" s="68"/>
      <c r="DF554" s="68"/>
      <c r="DG554" s="68"/>
      <c r="DH554" s="68"/>
      <c r="DI554" s="68"/>
      <c r="DJ554" s="68"/>
      <c r="DK554" s="68"/>
      <c r="DL554" s="68"/>
      <c r="DM554" s="68"/>
      <c r="DN554" s="68"/>
      <c r="DO554" s="68"/>
      <c r="DP554" s="68"/>
      <c r="DQ554" s="68"/>
      <c r="DR554" s="68"/>
      <c r="DS554" s="68"/>
      <c r="DT554" s="68"/>
      <c r="DU554" s="68"/>
      <c r="DV554" s="68"/>
      <c r="DW554" s="68"/>
      <c r="DX554" s="68"/>
      <c r="DY554" s="68"/>
      <c r="DZ554" s="68"/>
      <c r="EA554" s="68"/>
      <c r="EB554" s="68"/>
      <c r="EC554" s="68"/>
      <c r="ED554" s="68"/>
      <c r="EE554" s="68"/>
      <c r="EF554" s="68"/>
      <c r="EG554" s="68"/>
      <c r="EH554" s="68"/>
      <c r="EI554" s="68"/>
      <c r="EJ554" s="68"/>
      <c r="EK554" s="68"/>
      <c r="EL554" s="68"/>
      <c r="EM554" s="68"/>
      <c r="EN554" s="68"/>
      <c r="EO554" s="68"/>
      <c r="EP554" s="68"/>
      <c r="EQ554" s="65"/>
      <c r="ER554" s="6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" t="str">
        <f t="shared" si="46"/>
        <v/>
      </c>
      <c r="FI554" s="1">
        <f t="shared" si="47"/>
        <v>0</v>
      </c>
      <c r="FJ554" s="38"/>
      <c r="FL554" s="13"/>
    </row>
    <row r="555" spans="1:168" ht="21" hidden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63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61"/>
      <c r="BE555" s="61"/>
      <c r="BF555" s="15"/>
      <c r="BG555" s="15"/>
      <c r="BH555" s="15"/>
      <c r="BI555" s="15"/>
      <c r="BJ555" s="15"/>
      <c r="BK555" s="15"/>
      <c r="BL555" s="15"/>
      <c r="BM555" s="15"/>
      <c r="BN555" s="15"/>
      <c r="BO555" s="64"/>
      <c r="BP555" s="15"/>
      <c r="BQ555" s="15"/>
      <c r="BR555" s="15"/>
      <c r="BS555" s="64"/>
      <c r="BT555" s="64"/>
      <c r="BU555" s="64"/>
      <c r="BV555" s="15"/>
      <c r="BW555" s="64"/>
      <c r="BX555" s="68"/>
      <c r="BY555" s="68"/>
      <c r="BZ555" s="68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15"/>
      <c r="CL555" s="68"/>
      <c r="CM555" s="68"/>
      <c r="CN555" s="68"/>
      <c r="CO555" s="68"/>
      <c r="CP555" s="68"/>
      <c r="CQ555" s="68"/>
      <c r="CR555" s="68"/>
      <c r="CS555" s="68"/>
      <c r="CT555" s="68"/>
      <c r="CU555" s="68"/>
      <c r="CV555" s="68"/>
      <c r="CW555" s="68"/>
      <c r="CX555" s="68"/>
      <c r="CY555" s="68"/>
      <c r="CZ555" s="68"/>
      <c r="DA555" s="68"/>
      <c r="DB555" s="68"/>
      <c r="DC555" s="68"/>
      <c r="DD555" s="68"/>
      <c r="DE555" s="68"/>
      <c r="DF555" s="68"/>
      <c r="DG555" s="68"/>
      <c r="DH555" s="68"/>
      <c r="DI555" s="68"/>
      <c r="DJ555" s="68"/>
      <c r="DK555" s="68"/>
      <c r="DL555" s="68"/>
      <c r="DM555" s="68"/>
      <c r="DN555" s="68"/>
      <c r="DO555" s="68"/>
      <c r="DP555" s="68"/>
      <c r="DQ555" s="68"/>
      <c r="DR555" s="68"/>
      <c r="DS555" s="68"/>
      <c r="DT555" s="68"/>
      <c r="DU555" s="68"/>
      <c r="DV555" s="68"/>
      <c r="DW555" s="68"/>
      <c r="DX555" s="68"/>
      <c r="DY555" s="68"/>
      <c r="DZ555" s="68"/>
      <c r="EA555" s="68"/>
      <c r="EB555" s="68"/>
      <c r="EC555" s="68"/>
      <c r="ED555" s="68"/>
      <c r="EE555" s="68"/>
      <c r="EF555" s="68"/>
      <c r="EG555" s="68"/>
      <c r="EH555" s="68"/>
      <c r="EI555" s="68"/>
      <c r="EJ555" s="68"/>
      <c r="EK555" s="68"/>
      <c r="EL555" s="68"/>
      <c r="EM555" s="68"/>
      <c r="EN555" s="68"/>
      <c r="EO555" s="68"/>
      <c r="EP555" s="68"/>
      <c r="EQ555" s="65"/>
      <c r="ER555" s="6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" t="str">
        <f t="shared" si="46"/>
        <v/>
      </c>
      <c r="FI555" s="1">
        <f t="shared" si="47"/>
        <v>0</v>
      </c>
      <c r="FJ555" s="38"/>
      <c r="FL555" s="13"/>
    </row>
    <row r="556" spans="1:168" ht="21" hidden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63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61"/>
      <c r="BE556" s="61"/>
      <c r="BF556" s="15"/>
      <c r="BG556" s="15"/>
      <c r="BH556" s="15"/>
      <c r="BI556" s="15"/>
      <c r="BJ556" s="15"/>
      <c r="BK556" s="15"/>
      <c r="BL556" s="15"/>
      <c r="BM556" s="15"/>
      <c r="BN556" s="15"/>
      <c r="BO556" s="64"/>
      <c r="BP556" s="15"/>
      <c r="BQ556" s="15"/>
      <c r="BR556" s="15"/>
      <c r="BS556" s="64"/>
      <c r="BT556" s="64"/>
      <c r="BU556" s="64"/>
      <c r="BV556" s="15"/>
      <c r="BW556" s="64"/>
      <c r="BX556" s="68"/>
      <c r="BY556" s="68"/>
      <c r="BZ556" s="68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15"/>
      <c r="CL556" s="68"/>
      <c r="CM556" s="68"/>
      <c r="CN556" s="68"/>
      <c r="CO556" s="68"/>
      <c r="CP556" s="68"/>
      <c r="CQ556" s="68"/>
      <c r="CR556" s="68"/>
      <c r="CS556" s="68"/>
      <c r="CT556" s="68"/>
      <c r="CU556" s="68"/>
      <c r="CV556" s="68"/>
      <c r="CW556" s="68"/>
      <c r="CX556" s="68"/>
      <c r="CY556" s="6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/>
      <c r="DS556" s="68"/>
      <c r="DT556" s="68"/>
      <c r="DU556" s="68"/>
      <c r="DV556" s="68"/>
      <c r="DW556" s="68"/>
      <c r="DX556" s="68"/>
      <c r="DY556" s="68"/>
      <c r="DZ556" s="68"/>
      <c r="EA556" s="68"/>
      <c r="EB556" s="68"/>
      <c r="EC556" s="68"/>
      <c r="ED556" s="68"/>
      <c r="EE556" s="68"/>
      <c r="EF556" s="68"/>
      <c r="EG556" s="68"/>
      <c r="EH556" s="68"/>
      <c r="EI556" s="68"/>
      <c r="EJ556" s="68"/>
      <c r="EK556" s="68"/>
      <c r="EL556" s="68"/>
      <c r="EM556" s="68"/>
      <c r="EN556" s="68"/>
      <c r="EO556" s="68"/>
      <c r="EP556" s="68"/>
      <c r="EQ556" s="65"/>
      <c r="ER556" s="6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" t="str">
        <f t="shared" si="46"/>
        <v/>
      </c>
      <c r="FI556" s="1">
        <f t="shared" si="47"/>
        <v>0</v>
      </c>
      <c r="FJ556" s="38"/>
      <c r="FL556" s="13"/>
    </row>
    <row r="557" spans="1:168" ht="21" hidden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63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61"/>
      <c r="BE557" s="61"/>
      <c r="BF557" s="15"/>
      <c r="BG557" s="15"/>
      <c r="BH557" s="15"/>
      <c r="BI557" s="15"/>
      <c r="BJ557" s="15"/>
      <c r="BK557" s="15"/>
      <c r="BL557" s="15"/>
      <c r="BM557" s="15"/>
      <c r="BN557" s="15"/>
      <c r="BO557" s="64"/>
      <c r="BP557" s="15"/>
      <c r="BQ557" s="15"/>
      <c r="BR557" s="15"/>
      <c r="BS557" s="64"/>
      <c r="BT557" s="64"/>
      <c r="BU557" s="64"/>
      <c r="BV557" s="15"/>
      <c r="BW557" s="64"/>
      <c r="BX557" s="68"/>
      <c r="BY557" s="68"/>
      <c r="BZ557" s="68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15"/>
      <c r="CL557" s="68"/>
      <c r="CM557" s="68"/>
      <c r="CN557" s="68"/>
      <c r="CO557" s="68"/>
      <c r="CP557" s="68"/>
      <c r="CQ557" s="68"/>
      <c r="CR557" s="68"/>
      <c r="CS557" s="68"/>
      <c r="CT557" s="68"/>
      <c r="CU557" s="68"/>
      <c r="CV557" s="68"/>
      <c r="CW557" s="68"/>
      <c r="CX557" s="68"/>
      <c r="CY557" s="68"/>
      <c r="CZ557" s="68"/>
      <c r="DA557" s="68"/>
      <c r="DB557" s="68"/>
      <c r="DC557" s="68"/>
      <c r="DD557" s="68"/>
      <c r="DE557" s="68"/>
      <c r="DF557" s="68"/>
      <c r="DG557" s="68"/>
      <c r="DH557" s="68"/>
      <c r="DI557" s="68"/>
      <c r="DJ557" s="68"/>
      <c r="DK557" s="68"/>
      <c r="DL557" s="68"/>
      <c r="DM557" s="68"/>
      <c r="DN557" s="68"/>
      <c r="DO557" s="68"/>
      <c r="DP557" s="68"/>
      <c r="DQ557" s="68"/>
      <c r="DR557" s="68"/>
      <c r="DS557" s="68"/>
      <c r="DT557" s="68"/>
      <c r="DU557" s="68"/>
      <c r="DV557" s="68"/>
      <c r="DW557" s="68"/>
      <c r="DX557" s="68"/>
      <c r="DY557" s="68"/>
      <c r="DZ557" s="68"/>
      <c r="EA557" s="68"/>
      <c r="EB557" s="68"/>
      <c r="EC557" s="68"/>
      <c r="ED557" s="68"/>
      <c r="EE557" s="68"/>
      <c r="EF557" s="68"/>
      <c r="EG557" s="68"/>
      <c r="EH557" s="68"/>
      <c r="EI557" s="68"/>
      <c r="EJ557" s="68"/>
      <c r="EK557" s="68"/>
      <c r="EL557" s="68"/>
      <c r="EM557" s="68"/>
      <c r="EN557" s="68"/>
      <c r="EO557" s="68"/>
      <c r="EP557" s="68"/>
      <c r="EQ557" s="65"/>
      <c r="ER557" s="6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" t="str">
        <f t="shared" si="46"/>
        <v/>
      </c>
      <c r="FI557" s="1">
        <f t="shared" si="47"/>
        <v>0</v>
      </c>
      <c r="FJ557" s="38"/>
      <c r="FL557" s="13"/>
    </row>
    <row r="558" spans="1:168" ht="21" hidden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63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61"/>
      <c r="BE558" s="61"/>
      <c r="BF558" s="15"/>
      <c r="BG558" s="15"/>
      <c r="BH558" s="15"/>
      <c r="BI558" s="15"/>
      <c r="BJ558" s="15"/>
      <c r="BK558" s="15"/>
      <c r="BL558" s="15"/>
      <c r="BM558" s="15"/>
      <c r="BN558" s="15"/>
      <c r="BO558" s="64"/>
      <c r="BP558" s="15"/>
      <c r="BQ558" s="15"/>
      <c r="BR558" s="15"/>
      <c r="BS558" s="64"/>
      <c r="BT558" s="64"/>
      <c r="BU558" s="64"/>
      <c r="BV558" s="15"/>
      <c r="BW558" s="64"/>
      <c r="BX558" s="68"/>
      <c r="BY558" s="68"/>
      <c r="BZ558" s="68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15"/>
      <c r="CL558" s="68"/>
      <c r="CM558" s="68"/>
      <c r="CN558" s="68"/>
      <c r="CO558" s="68"/>
      <c r="CP558" s="68"/>
      <c r="CQ558" s="68"/>
      <c r="CR558" s="68"/>
      <c r="CS558" s="68"/>
      <c r="CT558" s="68"/>
      <c r="CU558" s="68"/>
      <c r="CV558" s="68"/>
      <c r="CW558" s="68"/>
      <c r="CX558" s="68"/>
      <c r="CY558" s="68"/>
      <c r="CZ558" s="68"/>
      <c r="DA558" s="68"/>
      <c r="DB558" s="68"/>
      <c r="DC558" s="68"/>
      <c r="DD558" s="68"/>
      <c r="DE558" s="68"/>
      <c r="DF558" s="68"/>
      <c r="DG558" s="68"/>
      <c r="DH558" s="68"/>
      <c r="DI558" s="68"/>
      <c r="DJ558" s="68"/>
      <c r="DK558" s="68"/>
      <c r="DL558" s="68"/>
      <c r="DM558" s="68"/>
      <c r="DN558" s="68"/>
      <c r="DO558" s="68"/>
      <c r="DP558" s="68"/>
      <c r="DQ558" s="68"/>
      <c r="DR558" s="68"/>
      <c r="DS558" s="68"/>
      <c r="DT558" s="68"/>
      <c r="DU558" s="68"/>
      <c r="DV558" s="68"/>
      <c r="DW558" s="68"/>
      <c r="DX558" s="68"/>
      <c r="DY558" s="68"/>
      <c r="DZ558" s="68"/>
      <c r="EA558" s="68"/>
      <c r="EB558" s="68"/>
      <c r="EC558" s="68"/>
      <c r="ED558" s="68"/>
      <c r="EE558" s="68"/>
      <c r="EF558" s="68"/>
      <c r="EG558" s="68"/>
      <c r="EH558" s="68"/>
      <c r="EI558" s="68"/>
      <c r="EJ558" s="68"/>
      <c r="EK558" s="68"/>
      <c r="EL558" s="68"/>
      <c r="EM558" s="68"/>
      <c r="EN558" s="68"/>
      <c r="EO558" s="68"/>
      <c r="EP558" s="68"/>
      <c r="EQ558" s="65"/>
      <c r="ER558" s="6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" t="str">
        <f t="shared" si="46"/>
        <v/>
      </c>
      <c r="FI558" s="1">
        <f t="shared" si="47"/>
        <v>0</v>
      </c>
      <c r="FJ558" s="38"/>
      <c r="FL558" s="13"/>
    </row>
    <row r="559" spans="1:168" ht="21" hidden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63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61"/>
      <c r="BE559" s="61"/>
      <c r="BF559" s="15"/>
      <c r="BG559" s="15"/>
      <c r="BH559" s="15"/>
      <c r="BI559" s="15"/>
      <c r="BJ559" s="15"/>
      <c r="BK559" s="15"/>
      <c r="BL559" s="15"/>
      <c r="BM559" s="15"/>
      <c r="BN559" s="15"/>
      <c r="BO559" s="64"/>
      <c r="BP559" s="15"/>
      <c r="BQ559" s="15"/>
      <c r="BR559" s="15"/>
      <c r="BS559" s="64"/>
      <c r="BT559" s="64"/>
      <c r="BU559" s="64"/>
      <c r="BV559" s="15"/>
      <c r="BW559" s="64"/>
      <c r="BX559" s="68"/>
      <c r="BY559" s="68"/>
      <c r="BZ559" s="68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15"/>
      <c r="CL559" s="68"/>
      <c r="CM559" s="68"/>
      <c r="CN559" s="68"/>
      <c r="CO559" s="68"/>
      <c r="CP559" s="68"/>
      <c r="CQ559" s="68"/>
      <c r="CR559" s="68"/>
      <c r="CS559" s="68"/>
      <c r="CT559" s="68"/>
      <c r="CU559" s="68"/>
      <c r="CV559" s="68"/>
      <c r="CW559" s="68"/>
      <c r="CX559" s="68"/>
      <c r="CY559" s="68"/>
      <c r="CZ559" s="68"/>
      <c r="DA559" s="68"/>
      <c r="DB559" s="68"/>
      <c r="DC559" s="68"/>
      <c r="DD559" s="68"/>
      <c r="DE559" s="68"/>
      <c r="DF559" s="68"/>
      <c r="DG559" s="68"/>
      <c r="DH559" s="68"/>
      <c r="DI559" s="68"/>
      <c r="DJ559" s="68"/>
      <c r="DK559" s="68"/>
      <c r="DL559" s="68"/>
      <c r="DM559" s="68"/>
      <c r="DN559" s="68"/>
      <c r="DO559" s="68"/>
      <c r="DP559" s="68"/>
      <c r="DQ559" s="68"/>
      <c r="DR559" s="68"/>
      <c r="DS559" s="68"/>
      <c r="DT559" s="68"/>
      <c r="DU559" s="68"/>
      <c r="DV559" s="68"/>
      <c r="DW559" s="68"/>
      <c r="DX559" s="68"/>
      <c r="DY559" s="68"/>
      <c r="DZ559" s="68"/>
      <c r="EA559" s="68"/>
      <c r="EB559" s="68"/>
      <c r="EC559" s="68"/>
      <c r="ED559" s="68"/>
      <c r="EE559" s="68"/>
      <c r="EF559" s="68"/>
      <c r="EG559" s="68"/>
      <c r="EH559" s="68"/>
      <c r="EI559" s="68"/>
      <c r="EJ559" s="68"/>
      <c r="EK559" s="68"/>
      <c r="EL559" s="68"/>
      <c r="EM559" s="68"/>
      <c r="EN559" s="68"/>
      <c r="EO559" s="68"/>
      <c r="EP559" s="68"/>
      <c r="EQ559" s="65"/>
      <c r="ER559" s="6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" t="str">
        <f t="shared" si="46"/>
        <v/>
      </c>
      <c r="FI559" s="1">
        <f t="shared" si="47"/>
        <v>0</v>
      </c>
      <c r="FJ559" s="38"/>
      <c r="FL559" s="13"/>
    </row>
    <row r="560" spans="1:168" ht="21" hidden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63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61"/>
      <c r="BE560" s="61"/>
      <c r="BF560" s="15"/>
      <c r="BG560" s="15"/>
      <c r="BH560" s="15"/>
      <c r="BI560" s="15"/>
      <c r="BJ560" s="15"/>
      <c r="BK560" s="15"/>
      <c r="BL560" s="15"/>
      <c r="BM560" s="15"/>
      <c r="BN560" s="15"/>
      <c r="BO560" s="64"/>
      <c r="BP560" s="15"/>
      <c r="BQ560" s="15"/>
      <c r="BR560" s="15"/>
      <c r="BS560" s="64"/>
      <c r="BT560" s="64"/>
      <c r="BU560" s="64"/>
      <c r="BV560" s="15"/>
      <c r="BW560" s="64"/>
      <c r="BX560" s="68"/>
      <c r="BY560" s="68"/>
      <c r="BZ560" s="68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15"/>
      <c r="CL560" s="68"/>
      <c r="CM560" s="68"/>
      <c r="CN560" s="68"/>
      <c r="CO560" s="68"/>
      <c r="CP560" s="68"/>
      <c r="CQ560" s="68"/>
      <c r="CR560" s="68"/>
      <c r="CS560" s="68"/>
      <c r="CT560" s="68"/>
      <c r="CU560" s="68"/>
      <c r="CV560" s="68"/>
      <c r="CW560" s="68"/>
      <c r="CX560" s="68"/>
      <c r="CY560" s="68"/>
      <c r="CZ560" s="68"/>
      <c r="DA560" s="68"/>
      <c r="DB560" s="68"/>
      <c r="DC560" s="68"/>
      <c r="DD560" s="68"/>
      <c r="DE560" s="68"/>
      <c r="DF560" s="68"/>
      <c r="DG560" s="68"/>
      <c r="DH560" s="68"/>
      <c r="DI560" s="68"/>
      <c r="DJ560" s="68"/>
      <c r="DK560" s="68"/>
      <c r="DL560" s="68"/>
      <c r="DM560" s="68"/>
      <c r="DN560" s="68"/>
      <c r="DO560" s="68"/>
      <c r="DP560" s="68"/>
      <c r="DQ560" s="68"/>
      <c r="DR560" s="68"/>
      <c r="DS560" s="68"/>
      <c r="DT560" s="68"/>
      <c r="DU560" s="68"/>
      <c r="DV560" s="68"/>
      <c r="DW560" s="68"/>
      <c r="DX560" s="68"/>
      <c r="DY560" s="68"/>
      <c r="DZ560" s="68"/>
      <c r="EA560" s="68"/>
      <c r="EB560" s="68"/>
      <c r="EC560" s="68"/>
      <c r="ED560" s="68"/>
      <c r="EE560" s="68"/>
      <c r="EF560" s="68"/>
      <c r="EG560" s="68"/>
      <c r="EH560" s="68"/>
      <c r="EI560" s="68"/>
      <c r="EJ560" s="68"/>
      <c r="EK560" s="68"/>
      <c r="EL560" s="68"/>
      <c r="EM560" s="68"/>
      <c r="EN560" s="68"/>
      <c r="EO560" s="68"/>
      <c r="EP560" s="68"/>
      <c r="EQ560" s="65"/>
      <c r="ER560" s="6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" t="str">
        <f t="shared" si="46"/>
        <v/>
      </c>
      <c r="FI560" s="1">
        <f t="shared" si="47"/>
        <v>0</v>
      </c>
      <c r="FJ560" s="38"/>
      <c r="FL560" s="13"/>
    </row>
    <row r="561" spans="1:168" ht="21" hidden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63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61"/>
      <c r="BE561" s="61"/>
      <c r="BF561" s="15"/>
      <c r="BG561" s="15"/>
      <c r="BH561" s="15"/>
      <c r="BI561" s="15"/>
      <c r="BJ561" s="15"/>
      <c r="BK561" s="15"/>
      <c r="BL561" s="15"/>
      <c r="BM561" s="15"/>
      <c r="BN561" s="15"/>
      <c r="BO561" s="64"/>
      <c r="BP561" s="15"/>
      <c r="BQ561" s="15"/>
      <c r="BR561" s="15"/>
      <c r="BS561" s="64"/>
      <c r="BT561" s="64"/>
      <c r="BU561" s="64"/>
      <c r="BV561" s="15"/>
      <c r="BW561" s="64"/>
      <c r="BX561" s="68"/>
      <c r="BY561" s="68"/>
      <c r="BZ561" s="68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15"/>
      <c r="CL561" s="68"/>
      <c r="CM561" s="68"/>
      <c r="CN561" s="68"/>
      <c r="CO561" s="68"/>
      <c r="CP561" s="68"/>
      <c r="CQ561" s="68"/>
      <c r="CR561" s="68"/>
      <c r="CS561" s="68"/>
      <c r="CT561" s="68"/>
      <c r="CU561" s="68"/>
      <c r="CV561" s="68"/>
      <c r="CW561" s="68"/>
      <c r="CX561" s="68"/>
      <c r="CY561" s="68"/>
      <c r="CZ561" s="68"/>
      <c r="DA561" s="68"/>
      <c r="DB561" s="68"/>
      <c r="DC561" s="68"/>
      <c r="DD561" s="68"/>
      <c r="DE561" s="68"/>
      <c r="DF561" s="68"/>
      <c r="DG561" s="68"/>
      <c r="DH561" s="68"/>
      <c r="DI561" s="68"/>
      <c r="DJ561" s="68"/>
      <c r="DK561" s="68"/>
      <c r="DL561" s="68"/>
      <c r="DM561" s="68"/>
      <c r="DN561" s="68"/>
      <c r="DO561" s="68"/>
      <c r="DP561" s="68"/>
      <c r="DQ561" s="68"/>
      <c r="DR561" s="68"/>
      <c r="DS561" s="68"/>
      <c r="DT561" s="68"/>
      <c r="DU561" s="68"/>
      <c r="DV561" s="68"/>
      <c r="DW561" s="68"/>
      <c r="DX561" s="68"/>
      <c r="DY561" s="68"/>
      <c r="DZ561" s="68"/>
      <c r="EA561" s="68"/>
      <c r="EB561" s="68"/>
      <c r="EC561" s="68"/>
      <c r="ED561" s="68"/>
      <c r="EE561" s="68"/>
      <c r="EF561" s="68"/>
      <c r="EG561" s="68"/>
      <c r="EH561" s="68"/>
      <c r="EI561" s="68"/>
      <c r="EJ561" s="68"/>
      <c r="EK561" s="68"/>
      <c r="EL561" s="68"/>
      <c r="EM561" s="68"/>
      <c r="EN561" s="68"/>
      <c r="EO561" s="68"/>
      <c r="EP561" s="68"/>
      <c r="EQ561" s="65"/>
      <c r="ER561" s="6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" t="str">
        <f t="shared" si="46"/>
        <v/>
      </c>
      <c r="FI561" s="1">
        <f t="shared" si="47"/>
        <v>0</v>
      </c>
      <c r="FJ561" s="38"/>
      <c r="FL561" s="13"/>
    </row>
    <row r="562" spans="1:168" ht="21" hidden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63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61"/>
      <c r="BE562" s="61"/>
      <c r="BF562" s="15"/>
      <c r="BG562" s="15"/>
      <c r="BH562" s="15"/>
      <c r="BI562" s="15"/>
      <c r="BJ562" s="15"/>
      <c r="BK562" s="15"/>
      <c r="BL562" s="15"/>
      <c r="BM562" s="15"/>
      <c r="BN562" s="15"/>
      <c r="BO562" s="64"/>
      <c r="BP562" s="15"/>
      <c r="BQ562" s="15"/>
      <c r="BR562" s="15"/>
      <c r="BS562" s="64"/>
      <c r="BT562" s="64"/>
      <c r="BU562" s="64"/>
      <c r="BV562" s="15"/>
      <c r="BW562" s="64"/>
      <c r="BX562" s="68"/>
      <c r="BY562" s="68"/>
      <c r="BZ562" s="68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15"/>
      <c r="CL562" s="68"/>
      <c r="CM562" s="68"/>
      <c r="CN562" s="68"/>
      <c r="CO562" s="68"/>
      <c r="CP562" s="68"/>
      <c r="CQ562" s="68"/>
      <c r="CR562" s="68"/>
      <c r="CS562" s="68"/>
      <c r="CT562" s="68"/>
      <c r="CU562" s="68"/>
      <c r="CV562" s="68"/>
      <c r="CW562" s="68"/>
      <c r="CX562" s="68"/>
      <c r="CY562" s="68"/>
      <c r="CZ562" s="68"/>
      <c r="DA562" s="68"/>
      <c r="DB562" s="68"/>
      <c r="DC562" s="68"/>
      <c r="DD562" s="68"/>
      <c r="DE562" s="68"/>
      <c r="DF562" s="68"/>
      <c r="DG562" s="68"/>
      <c r="DH562" s="68"/>
      <c r="DI562" s="68"/>
      <c r="DJ562" s="68"/>
      <c r="DK562" s="68"/>
      <c r="DL562" s="68"/>
      <c r="DM562" s="68"/>
      <c r="DN562" s="68"/>
      <c r="DO562" s="68"/>
      <c r="DP562" s="68"/>
      <c r="DQ562" s="68"/>
      <c r="DR562" s="68"/>
      <c r="DS562" s="68"/>
      <c r="DT562" s="68"/>
      <c r="DU562" s="68"/>
      <c r="DV562" s="68"/>
      <c r="DW562" s="68"/>
      <c r="DX562" s="68"/>
      <c r="DY562" s="68"/>
      <c r="DZ562" s="68"/>
      <c r="EA562" s="68"/>
      <c r="EB562" s="68"/>
      <c r="EC562" s="68"/>
      <c r="ED562" s="68"/>
      <c r="EE562" s="68"/>
      <c r="EF562" s="68"/>
      <c r="EG562" s="68"/>
      <c r="EH562" s="68"/>
      <c r="EI562" s="68"/>
      <c r="EJ562" s="68"/>
      <c r="EK562" s="68"/>
      <c r="EL562" s="68"/>
      <c r="EM562" s="68"/>
      <c r="EN562" s="68"/>
      <c r="EO562" s="68"/>
      <c r="EP562" s="68"/>
      <c r="EQ562" s="65"/>
      <c r="ER562" s="6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" t="str">
        <f t="shared" si="46"/>
        <v/>
      </c>
      <c r="FI562" s="1">
        <f t="shared" si="47"/>
        <v>0</v>
      </c>
      <c r="FJ562" s="38"/>
      <c r="FL562" s="13"/>
    </row>
    <row r="563" spans="1:168" ht="21" hidden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63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61"/>
      <c r="BE563" s="61"/>
      <c r="BF563" s="15"/>
      <c r="BG563" s="15"/>
      <c r="BH563" s="15"/>
      <c r="BI563" s="15"/>
      <c r="BJ563" s="15"/>
      <c r="BK563" s="15"/>
      <c r="BL563" s="15"/>
      <c r="BM563" s="15"/>
      <c r="BN563" s="15"/>
      <c r="BO563" s="64"/>
      <c r="BP563" s="15"/>
      <c r="BQ563" s="15"/>
      <c r="BR563" s="15"/>
      <c r="BS563" s="64"/>
      <c r="BT563" s="64"/>
      <c r="BU563" s="64"/>
      <c r="BV563" s="15"/>
      <c r="BW563" s="64"/>
      <c r="BX563" s="68"/>
      <c r="BY563" s="68"/>
      <c r="BZ563" s="68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15"/>
      <c r="CL563" s="68"/>
      <c r="CM563" s="68"/>
      <c r="CN563" s="68"/>
      <c r="CO563" s="68"/>
      <c r="CP563" s="68"/>
      <c r="CQ563" s="68"/>
      <c r="CR563" s="68"/>
      <c r="CS563" s="68"/>
      <c r="CT563" s="68"/>
      <c r="CU563" s="68"/>
      <c r="CV563" s="68"/>
      <c r="CW563" s="68"/>
      <c r="CX563" s="68"/>
      <c r="CY563" s="68"/>
      <c r="CZ563" s="68"/>
      <c r="DA563" s="68"/>
      <c r="DB563" s="68"/>
      <c r="DC563" s="68"/>
      <c r="DD563" s="68"/>
      <c r="DE563" s="68"/>
      <c r="DF563" s="68"/>
      <c r="DG563" s="68"/>
      <c r="DH563" s="68"/>
      <c r="DI563" s="68"/>
      <c r="DJ563" s="68"/>
      <c r="DK563" s="68"/>
      <c r="DL563" s="68"/>
      <c r="DM563" s="68"/>
      <c r="DN563" s="68"/>
      <c r="DO563" s="68"/>
      <c r="DP563" s="68"/>
      <c r="DQ563" s="68"/>
      <c r="DR563" s="68"/>
      <c r="DS563" s="68"/>
      <c r="DT563" s="68"/>
      <c r="DU563" s="68"/>
      <c r="DV563" s="68"/>
      <c r="DW563" s="68"/>
      <c r="DX563" s="68"/>
      <c r="DY563" s="68"/>
      <c r="DZ563" s="68"/>
      <c r="EA563" s="68"/>
      <c r="EB563" s="68"/>
      <c r="EC563" s="68"/>
      <c r="ED563" s="68"/>
      <c r="EE563" s="68"/>
      <c r="EF563" s="68"/>
      <c r="EG563" s="68"/>
      <c r="EH563" s="68"/>
      <c r="EI563" s="68"/>
      <c r="EJ563" s="68"/>
      <c r="EK563" s="68"/>
      <c r="EL563" s="68"/>
      <c r="EM563" s="68"/>
      <c r="EN563" s="68"/>
      <c r="EO563" s="68"/>
      <c r="EP563" s="68"/>
      <c r="EQ563" s="65"/>
      <c r="ER563" s="6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" t="str">
        <f t="shared" si="46"/>
        <v/>
      </c>
      <c r="FI563" s="1">
        <f t="shared" si="47"/>
        <v>0</v>
      </c>
      <c r="FJ563" s="38"/>
      <c r="FL563" s="13"/>
    </row>
    <row r="564" spans="1:168" ht="21" hidden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63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61"/>
      <c r="BE564" s="61"/>
      <c r="BF564" s="15"/>
      <c r="BG564" s="15"/>
      <c r="BH564" s="15"/>
      <c r="BI564" s="15"/>
      <c r="BJ564" s="15"/>
      <c r="BK564" s="15"/>
      <c r="BL564" s="15"/>
      <c r="BM564" s="15"/>
      <c r="BN564" s="15"/>
      <c r="BO564" s="64"/>
      <c r="BP564" s="15"/>
      <c r="BQ564" s="15"/>
      <c r="BR564" s="15"/>
      <c r="BS564" s="64"/>
      <c r="BT564" s="64"/>
      <c r="BU564" s="64"/>
      <c r="BV564" s="15"/>
      <c r="BW564" s="64"/>
      <c r="BX564" s="68"/>
      <c r="BY564" s="68"/>
      <c r="BZ564" s="68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15"/>
      <c r="CL564" s="68"/>
      <c r="CM564" s="68"/>
      <c r="CN564" s="68"/>
      <c r="CO564" s="68"/>
      <c r="CP564" s="68"/>
      <c r="CQ564" s="68"/>
      <c r="CR564" s="68"/>
      <c r="CS564" s="68"/>
      <c r="CT564" s="68"/>
      <c r="CU564" s="68"/>
      <c r="CV564" s="68"/>
      <c r="CW564" s="68"/>
      <c r="CX564" s="68"/>
      <c r="CY564" s="68"/>
      <c r="CZ564" s="68"/>
      <c r="DA564" s="68"/>
      <c r="DB564" s="68"/>
      <c r="DC564" s="68"/>
      <c r="DD564" s="68"/>
      <c r="DE564" s="68"/>
      <c r="DF564" s="68"/>
      <c r="DG564" s="68"/>
      <c r="DH564" s="68"/>
      <c r="DI564" s="68"/>
      <c r="DJ564" s="68"/>
      <c r="DK564" s="68"/>
      <c r="DL564" s="68"/>
      <c r="DM564" s="68"/>
      <c r="DN564" s="68"/>
      <c r="DO564" s="68"/>
      <c r="DP564" s="68"/>
      <c r="DQ564" s="68"/>
      <c r="DR564" s="68"/>
      <c r="DS564" s="68"/>
      <c r="DT564" s="68"/>
      <c r="DU564" s="68"/>
      <c r="DV564" s="68"/>
      <c r="DW564" s="68"/>
      <c r="DX564" s="68"/>
      <c r="DY564" s="68"/>
      <c r="DZ564" s="68"/>
      <c r="EA564" s="68"/>
      <c r="EB564" s="68"/>
      <c r="EC564" s="68"/>
      <c r="ED564" s="68"/>
      <c r="EE564" s="68"/>
      <c r="EF564" s="68"/>
      <c r="EG564" s="68"/>
      <c r="EH564" s="68"/>
      <c r="EI564" s="68"/>
      <c r="EJ564" s="68"/>
      <c r="EK564" s="68"/>
      <c r="EL564" s="68"/>
      <c r="EM564" s="68"/>
      <c r="EN564" s="68"/>
      <c r="EO564" s="68"/>
      <c r="EP564" s="68"/>
      <c r="EQ564" s="65"/>
      <c r="ER564" s="6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" t="str">
        <f t="shared" si="46"/>
        <v/>
      </c>
      <c r="FI564" s="1">
        <f t="shared" si="47"/>
        <v>0</v>
      </c>
      <c r="FJ564" s="38"/>
      <c r="FL564" s="13"/>
    </row>
    <row r="565" spans="1:168" ht="21" hidden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63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61"/>
      <c r="BE565" s="61"/>
      <c r="BF565" s="15"/>
      <c r="BG565" s="15"/>
      <c r="BH565" s="15"/>
      <c r="BI565" s="15"/>
      <c r="BJ565" s="15"/>
      <c r="BK565" s="15"/>
      <c r="BL565" s="15"/>
      <c r="BM565" s="15"/>
      <c r="BN565" s="15"/>
      <c r="BO565" s="64"/>
      <c r="BP565" s="15"/>
      <c r="BQ565" s="15"/>
      <c r="BR565" s="15"/>
      <c r="BS565" s="64"/>
      <c r="BT565" s="64"/>
      <c r="BU565" s="64"/>
      <c r="BV565" s="15"/>
      <c r="BW565" s="64"/>
      <c r="BX565" s="68"/>
      <c r="BY565" s="68"/>
      <c r="BZ565" s="68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15"/>
      <c r="CL565" s="68"/>
      <c r="CM565" s="68"/>
      <c r="CN565" s="68"/>
      <c r="CO565" s="68"/>
      <c r="CP565" s="68"/>
      <c r="CQ565" s="68"/>
      <c r="CR565" s="68"/>
      <c r="CS565" s="68"/>
      <c r="CT565" s="68"/>
      <c r="CU565" s="68"/>
      <c r="CV565" s="68"/>
      <c r="CW565" s="68"/>
      <c r="CX565" s="68"/>
      <c r="CY565" s="68"/>
      <c r="CZ565" s="68"/>
      <c r="DA565" s="68"/>
      <c r="DB565" s="68"/>
      <c r="DC565" s="68"/>
      <c r="DD565" s="68"/>
      <c r="DE565" s="68"/>
      <c r="DF565" s="68"/>
      <c r="DG565" s="68"/>
      <c r="DH565" s="68"/>
      <c r="DI565" s="68"/>
      <c r="DJ565" s="68"/>
      <c r="DK565" s="68"/>
      <c r="DL565" s="68"/>
      <c r="DM565" s="68"/>
      <c r="DN565" s="68"/>
      <c r="DO565" s="68"/>
      <c r="DP565" s="68"/>
      <c r="DQ565" s="68"/>
      <c r="DR565" s="68"/>
      <c r="DS565" s="68"/>
      <c r="DT565" s="68"/>
      <c r="DU565" s="68"/>
      <c r="DV565" s="68"/>
      <c r="DW565" s="68"/>
      <c r="DX565" s="68"/>
      <c r="DY565" s="68"/>
      <c r="DZ565" s="68"/>
      <c r="EA565" s="68"/>
      <c r="EB565" s="68"/>
      <c r="EC565" s="68"/>
      <c r="ED565" s="68"/>
      <c r="EE565" s="68"/>
      <c r="EF565" s="68"/>
      <c r="EG565" s="68"/>
      <c r="EH565" s="68"/>
      <c r="EI565" s="68"/>
      <c r="EJ565" s="68"/>
      <c r="EK565" s="68"/>
      <c r="EL565" s="68"/>
      <c r="EM565" s="68"/>
      <c r="EN565" s="68"/>
      <c r="EO565" s="68"/>
      <c r="EP565" s="68"/>
      <c r="EQ565" s="65"/>
      <c r="ER565" s="6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" t="str">
        <f t="shared" si="46"/>
        <v/>
      </c>
      <c r="FI565" s="1">
        <f t="shared" si="47"/>
        <v>0</v>
      </c>
      <c r="FJ565" s="38"/>
      <c r="FL565" s="13"/>
    </row>
    <row r="566" spans="1:168" ht="21" hidden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63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61"/>
      <c r="BE566" s="61"/>
      <c r="BF566" s="15"/>
      <c r="BG566" s="15"/>
      <c r="BH566" s="15"/>
      <c r="BI566" s="15"/>
      <c r="BJ566" s="15"/>
      <c r="BK566" s="15"/>
      <c r="BL566" s="15"/>
      <c r="BM566" s="15"/>
      <c r="BN566" s="15"/>
      <c r="BO566" s="64"/>
      <c r="BP566" s="15"/>
      <c r="BQ566" s="15"/>
      <c r="BR566" s="15"/>
      <c r="BS566" s="64"/>
      <c r="BT566" s="64"/>
      <c r="BU566" s="64"/>
      <c r="BV566" s="15"/>
      <c r="BW566" s="64"/>
      <c r="BX566" s="68"/>
      <c r="BY566" s="68"/>
      <c r="BZ566" s="68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15"/>
      <c r="CL566" s="68"/>
      <c r="CM566" s="68"/>
      <c r="CN566" s="68"/>
      <c r="CO566" s="68"/>
      <c r="CP566" s="68"/>
      <c r="CQ566" s="68"/>
      <c r="CR566" s="68"/>
      <c r="CS566" s="68"/>
      <c r="CT566" s="68"/>
      <c r="CU566" s="68"/>
      <c r="CV566" s="68"/>
      <c r="CW566" s="68"/>
      <c r="CX566" s="68"/>
      <c r="CY566" s="68"/>
      <c r="CZ566" s="68"/>
      <c r="DA566" s="68"/>
      <c r="DB566" s="68"/>
      <c r="DC566" s="68"/>
      <c r="DD566" s="68"/>
      <c r="DE566" s="68"/>
      <c r="DF566" s="68"/>
      <c r="DG566" s="68"/>
      <c r="DH566" s="68"/>
      <c r="DI566" s="68"/>
      <c r="DJ566" s="68"/>
      <c r="DK566" s="68"/>
      <c r="DL566" s="68"/>
      <c r="DM566" s="68"/>
      <c r="DN566" s="68"/>
      <c r="DO566" s="68"/>
      <c r="DP566" s="68"/>
      <c r="DQ566" s="68"/>
      <c r="DR566" s="68"/>
      <c r="DS566" s="68"/>
      <c r="DT566" s="68"/>
      <c r="DU566" s="68"/>
      <c r="DV566" s="68"/>
      <c r="DW566" s="68"/>
      <c r="DX566" s="68"/>
      <c r="DY566" s="68"/>
      <c r="DZ566" s="68"/>
      <c r="EA566" s="68"/>
      <c r="EB566" s="68"/>
      <c r="EC566" s="68"/>
      <c r="ED566" s="68"/>
      <c r="EE566" s="68"/>
      <c r="EF566" s="68"/>
      <c r="EG566" s="68"/>
      <c r="EH566" s="68"/>
      <c r="EI566" s="68"/>
      <c r="EJ566" s="68"/>
      <c r="EK566" s="68"/>
      <c r="EL566" s="68"/>
      <c r="EM566" s="68"/>
      <c r="EN566" s="68"/>
      <c r="EO566" s="68"/>
      <c r="EP566" s="68"/>
      <c r="EQ566" s="65"/>
      <c r="ER566" s="6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" t="str">
        <f t="shared" si="46"/>
        <v/>
      </c>
      <c r="FI566" s="1">
        <f t="shared" si="47"/>
        <v>0</v>
      </c>
      <c r="FJ566" s="38"/>
      <c r="FL566" s="13"/>
    </row>
    <row r="567" spans="1:168" ht="21" hidden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63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61"/>
      <c r="BE567" s="61"/>
      <c r="BF567" s="15"/>
      <c r="BG567" s="15"/>
      <c r="BH567" s="15"/>
      <c r="BI567" s="15"/>
      <c r="BJ567" s="15"/>
      <c r="BK567" s="15"/>
      <c r="BL567" s="15"/>
      <c r="BM567" s="15"/>
      <c r="BN567" s="15"/>
      <c r="BO567" s="64"/>
      <c r="BP567" s="15"/>
      <c r="BQ567" s="15"/>
      <c r="BR567" s="15"/>
      <c r="BS567" s="64"/>
      <c r="BT567" s="64"/>
      <c r="BU567" s="64"/>
      <c r="BV567" s="15"/>
      <c r="BW567" s="64"/>
      <c r="BX567" s="68"/>
      <c r="BY567" s="68"/>
      <c r="BZ567" s="68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15"/>
      <c r="CL567" s="68"/>
      <c r="CM567" s="68"/>
      <c r="CN567" s="68"/>
      <c r="CO567" s="68"/>
      <c r="CP567" s="68"/>
      <c r="CQ567" s="68"/>
      <c r="CR567" s="68"/>
      <c r="CS567" s="68"/>
      <c r="CT567" s="68"/>
      <c r="CU567" s="68"/>
      <c r="CV567" s="68"/>
      <c r="CW567" s="68"/>
      <c r="CX567" s="68"/>
      <c r="CY567" s="68"/>
      <c r="CZ567" s="68"/>
      <c r="DA567" s="68"/>
      <c r="DB567" s="68"/>
      <c r="DC567" s="68"/>
      <c r="DD567" s="68"/>
      <c r="DE567" s="68"/>
      <c r="DF567" s="68"/>
      <c r="DG567" s="68"/>
      <c r="DH567" s="68"/>
      <c r="DI567" s="68"/>
      <c r="DJ567" s="68"/>
      <c r="DK567" s="68"/>
      <c r="DL567" s="68"/>
      <c r="DM567" s="68"/>
      <c r="DN567" s="68"/>
      <c r="DO567" s="68"/>
      <c r="DP567" s="68"/>
      <c r="DQ567" s="68"/>
      <c r="DR567" s="68"/>
      <c r="DS567" s="68"/>
      <c r="DT567" s="68"/>
      <c r="DU567" s="68"/>
      <c r="DV567" s="68"/>
      <c r="DW567" s="68"/>
      <c r="DX567" s="68"/>
      <c r="DY567" s="68"/>
      <c r="DZ567" s="68"/>
      <c r="EA567" s="68"/>
      <c r="EB567" s="68"/>
      <c r="EC567" s="68"/>
      <c r="ED567" s="68"/>
      <c r="EE567" s="68"/>
      <c r="EF567" s="68"/>
      <c r="EG567" s="68"/>
      <c r="EH567" s="68"/>
      <c r="EI567" s="68"/>
      <c r="EJ567" s="68"/>
      <c r="EK567" s="68"/>
      <c r="EL567" s="68"/>
      <c r="EM567" s="68"/>
      <c r="EN567" s="68"/>
      <c r="EO567" s="68"/>
      <c r="EP567" s="68"/>
      <c r="EQ567" s="65"/>
      <c r="ER567" s="6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" t="str">
        <f t="shared" si="46"/>
        <v/>
      </c>
      <c r="FI567" s="1">
        <f t="shared" si="47"/>
        <v>0</v>
      </c>
      <c r="FJ567" s="38"/>
      <c r="FL567" s="13"/>
    </row>
    <row r="568" spans="1:168" ht="21" hidden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63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61"/>
      <c r="BE568" s="61"/>
      <c r="BF568" s="15"/>
      <c r="BG568" s="15"/>
      <c r="BH568" s="15"/>
      <c r="BI568" s="15"/>
      <c r="BJ568" s="15"/>
      <c r="BK568" s="15"/>
      <c r="BL568" s="15"/>
      <c r="BM568" s="15"/>
      <c r="BN568" s="15"/>
      <c r="BO568" s="64"/>
      <c r="BP568" s="15"/>
      <c r="BQ568" s="15"/>
      <c r="BR568" s="15"/>
      <c r="BS568" s="64"/>
      <c r="BT568" s="64"/>
      <c r="BU568" s="64"/>
      <c r="BV568" s="15"/>
      <c r="BW568" s="64"/>
      <c r="BX568" s="68"/>
      <c r="BY568" s="68"/>
      <c r="BZ568" s="68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15"/>
      <c r="CL568" s="68"/>
      <c r="CM568" s="68"/>
      <c r="CN568" s="68"/>
      <c r="CO568" s="68"/>
      <c r="CP568" s="68"/>
      <c r="CQ568" s="68"/>
      <c r="CR568" s="68"/>
      <c r="CS568" s="68"/>
      <c r="CT568" s="68"/>
      <c r="CU568" s="68"/>
      <c r="CV568" s="68"/>
      <c r="CW568" s="68"/>
      <c r="CX568" s="68"/>
      <c r="CY568" s="68"/>
      <c r="CZ568" s="68"/>
      <c r="DA568" s="68"/>
      <c r="DB568" s="68"/>
      <c r="DC568" s="68"/>
      <c r="DD568" s="68"/>
      <c r="DE568" s="68"/>
      <c r="DF568" s="68"/>
      <c r="DG568" s="68"/>
      <c r="DH568" s="68"/>
      <c r="DI568" s="68"/>
      <c r="DJ568" s="68"/>
      <c r="DK568" s="68"/>
      <c r="DL568" s="68"/>
      <c r="DM568" s="68"/>
      <c r="DN568" s="68"/>
      <c r="DO568" s="68"/>
      <c r="DP568" s="68"/>
      <c r="DQ568" s="68"/>
      <c r="DR568" s="68"/>
      <c r="DS568" s="68"/>
      <c r="DT568" s="68"/>
      <c r="DU568" s="68"/>
      <c r="DV568" s="68"/>
      <c r="DW568" s="68"/>
      <c r="DX568" s="68"/>
      <c r="DY568" s="68"/>
      <c r="DZ568" s="68"/>
      <c r="EA568" s="68"/>
      <c r="EB568" s="68"/>
      <c r="EC568" s="68"/>
      <c r="ED568" s="68"/>
      <c r="EE568" s="68"/>
      <c r="EF568" s="68"/>
      <c r="EG568" s="68"/>
      <c r="EH568" s="68"/>
      <c r="EI568" s="68"/>
      <c r="EJ568" s="68"/>
      <c r="EK568" s="68"/>
      <c r="EL568" s="68"/>
      <c r="EM568" s="68"/>
      <c r="EN568" s="68"/>
      <c r="EO568" s="68"/>
      <c r="EP568" s="68"/>
      <c r="EQ568" s="65"/>
      <c r="ER568" s="6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" t="str">
        <f t="shared" si="46"/>
        <v/>
      </c>
      <c r="FI568" s="1">
        <f t="shared" si="47"/>
        <v>0</v>
      </c>
      <c r="FJ568" s="38"/>
      <c r="FL568" s="13"/>
    </row>
    <row r="569" spans="1:168" ht="21" hidden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63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61"/>
      <c r="BE569" s="61"/>
      <c r="BF569" s="15"/>
      <c r="BG569" s="15"/>
      <c r="BH569" s="15"/>
      <c r="BI569" s="15"/>
      <c r="BJ569" s="15"/>
      <c r="BK569" s="15"/>
      <c r="BL569" s="15"/>
      <c r="BM569" s="15"/>
      <c r="BN569" s="15"/>
      <c r="BO569" s="64"/>
      <c r="BP569" s="15"/>
      <c r="BQ569" s="15"/>
      <c r="BR569" s="15"/>
      <c r="BS569" s="64"/>
      <c r="BT569" s="64"/>
      <c r="BU569" s="64"/>
      <c r="BV569" s="15"/>
      <c r="BW569" s="64"/>
      <c r="BX569" s="68"/>
      <c r="BY569" s="68"/>
      <c r="BZ569" s="68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15"/>
      <c r="CL569" s="68"/>
      <c r="CM569" s="68"/>
      <c r="CN569" s="68"/>
      <c r="CO569" s="68"/>
      <c r="CP569" s="68"/>
      <c r="CQ569" s="68"/>
      <c r="CR569" s="68"/>
      <c r="CS569" s="68"/>
      <c r="CT569" s="68"/>
      <c r="CU569" s="68"/>
      <c r="CV569" s="68"/>
      <c r="CW569" s="68"/>
      <c r="CX569" s="68"/>
      <c r="CY569" s="68"/>
      <c r="CZ569" s="68"/>
      <c r="DA569" s="68"/>
      <c r="DB569" s="68"/>
      <c r="DC569" s="68"/>
      <c r="DD569" s="68"/>
      <c r="DE569" s="68"/>
      <c r="DF569" s="68"/>
      <c r="DG569" s="68"/>
      <c r="DH569" s="68"/>
      <c r="DI569" s="68"/>
      <c r="DJ569" s="68"/>
      <c r="DK569" s="68"/>
      <c r="DL569" s="68"/>
      <c r="DM569" s="68"/>
      <c r="DN569" s="68"/>
      <c r="DO569" s="68"/>
      <c r="DP569" s="68"/>
      <c r="DQ569" s="68"/>
      <c r="DR569" s="68"/>
      <c r="DS569" s="68"/>
      <c r="DT569" s="68"/>
      <c r="DU569" s="68"/>
      <c r="DV569" s="68"/>
      <c r="DW569" s="68"/>
      <c r="DX569" s="68"/>
      <c r="DY569" s="68"/>
      <c r="DZ569" s="68"/>
      <c r="EA569" s="68"/>
      <c r="EB569" s="68"/>
      <c r="EC569" s="68"/>
      <c r="ED569" s="68"/>
      <c r="EE569" s="68"/>
      <c r="EF569" s="68"/>
      <c r="EG569" s="68"/>
      <c r="EH569" s="68"/>
      <c r="EI569" s="68"/>
      <c r="EJ569" s="68"/>
      <c r="EK569" s="68"/>
      <c r="EL569" s="68"/>
      <c r="EM569" s="68"/>
      <c r="EN569" s="68"/>
      <c r="EO569" s="68"/>
      <c r="EP569" s="68"/>
      <c r="EQ569" s="65"/>
      <c r="ER569" s="6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" t="str">
        <f t="shared" si="46"/>
        <v/>
      </c>
      <c r="FI569" s="1">
        <f t="shared" si="47"/>
        <v>0</v>
      </c>
      <c r="FJ569" s="38"/>
      <c r="FL569" s="13"/>
    </row>
    <row r="570" spans="1:168" ht="21" hidden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63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61"/>
      <c r="BE570" s="61"/>
      <c r="BF570" s="15"/>
      <c r="BG570" s="15"/>
      <c r="BH570" s="15"/>
      <c r="BI570" s="15"/>
      <c r="BJ570" s="15"/>
      <c r="BK570" s="15"/>
      <c r="BL570" s="15"/>
      <c r="BM570" s="15"/>
      <c r="BN570" s="15"/>
      <c r="BO570" s="64"/>
      <c r="BP570" s="15"/>
      <c r="BQ570" s="15"/>
      <c r="BR570" s="15"/>
      <c r="BS570" s="64"/>
      <c r="BT570" s="64"/>
      <c r="BU570" s="64"/>
      <c r="BV570" s="15"/>
      <c r="BW570" s="64"/>
      <c r="BX570" s="68"/>
      <c r="BY570" s="68"/>
      <c r="BZ570" s="68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15"/>
      <c r="CL570" s="68"/>
      <c r="CM570" s="68"/>
      <c r="CN570" s="68"/>
      <c r="CO570" s="68"/>
      <c r="CP570" s="68"/>
      <c r="CQ570" s="68"/>
      <c r="CR570" s="68"/>
      <c r="CS570" s="68"/>
      <c r="CT570" s="68"/>
      <c r="CU570" s="68"/>
      <c r="CV570" s="68"/>
      <c r="CW570" s="68"/>
      <c r="CX570" s="68"/>
      <c r="CY570" s="68"/>
      <c r="CZ570" s="68"/>
      <c r="DA570" s="68"/>
      <c r="DB570" s="68"/>
      <c r="DC570" s="68"/>
      <c r="DD570" s="68"/>
      <c r="DE570" s="68"/>
      <c r="DF570" s="68"/>
      <c r="DG570" s="68"/>
      <c r="DH570" s="68"/>
      <c r="DI570" s="68"/>
      <c r="DJ570" s="68"/>
      <c r="DK570" s="68"/>
      <c r="DL570" s="68"/>
      <c r="DM570" s="68"/>
      <c r="DN570" s="68"/>
      <c r="DO570" s="68"/>
      <c r="DP570" s="68"/>
      <c r="DQ570" s="68"/>
      <c r="DR570" s="68"/>
      <c r="DS570" s="68"/>
      <c r="DT570" s="68"/>
      <c r="DU570" s="68"/>
      <c r="DV570" s="68"/>
      <c r="DW570" s="68"/>
      <c r="DX570" s="68"/>
      <c r="DY570" s="68"/>
      <c r="DZ570" s="68"/>
      <c r="EA570" s="68"/>
      <c r="EB570" s="68"/>
      <c r="EC570" s="68"/>
      <c r="ED570" s="68"/>
      <c r="EE570" s="68"/>
      <c r="EF570" s="68"/>
      <c r="EG570" s="68"/>
      <c r="EH570" s="68"/>
      <c r="EI570" s="68"/>
      <c r="EJ570" s="68"/>
      <c r="EK570" s="68"/>
      <c r="EL570" s="68"/>
      <c r="EM570" s="68"/>
      <c r="EN570" s="68"/>
      <c r="EO570" s="68"/>
      <c r="EP570" s="68"/>
      <c r="EQ570" s="65"/>
      <c r="ER570" s="6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" t="str">
        <f t="shared" si="46"/>
        <v/>
      </c>
      <c r="FI570" s="1">
        <f t="shared" si="47"/>
        <v>0</v>
      </c>
      <c r="FJ570" s="38"/>
      <c r="FL570" s="13"/>
    </row>
    <row r="571" spans="1:168" ht="21" hidden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63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61"/>
      <c r="BE571" s="61"/>
      <c r="BF571" s="15"/>
      <c r="BG571" s="15"/>
      <c r="BH571" s="15"/>
      <c r="BI571" s="15"/>
      <c r="BJ571" s="15"/>
      <c r="BK571" s="15"/>
      <c r="BL571" s="15"/>
      <c r="BM571" s="15"/>
      <c r="BN571" s="15"/>
      <c r="BO571" s="64"/>
      <c r="BP571" s="15"/>
      <c r="BQ571" s="15"/>
      <c r="BR571" s="15"/>
      <c r="BS571" s="64"/>
      <c r="BT571" s="64"/>
      <c r="BU571" s="64"/>
      <c r="BV571" s="15"/>
      <c r="BW571" s="64"/>
      <c r="BX571" s="68"/>
      <c r="BY571" s="68"/>
      <c r="BZ571" s="68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15"/>
      <c r="CL571" s="68"/>
      <c r="CM571" s="68"/>
      <c r="CN571" s="68"/>
      <c r="CO571" s="68"/>
      <c r="CP571" s="68"/>
      <c r="CQ571" s="68"/>
      <c r="CR571" s="68"/>
      <c r="CS571" s="68"/>
      <c r="CT571" s="68"/>
      <c r="CU571" s="68"/>
      <c r="CV571" s="68"/>
      <c r="CW571" s="68"/>
      <c r="CX571" s="68"/>
      <c r="CY571" s="68"/>
      <c r="CZ571" s="68"/>
      <c r="DA571" s="68"/>
      <c r="DB571" s="68"/>
      <c r="DC571" s="68"/>
      <c r="DD571" s="68"/>
      <c r="DE571" s="68"/>
      <c r="DF571" s="68"/>
      <c r="DG571" s="68"/>
      <c r="DH571" s="68"/>
      <c r="DI571" s="68"/>
      <c r="DJ571" s="68"/>
      <c r="DK571" s="68"/>
      <c r="DL571" s="68"/>
      <c r="DM571" s="68"/>
      <c r="DN571" s="68"/>
      <c r="DO571" s="68"/>
      <c r="DP571" s="68"/>
      <c r="DQ571" s="68"/>
      <c r="DR571" s="68"/>
      <c r="DS571" s="68"/>
      <c r="DT571" s="68"/>
      <c r="DU571" s="68"/>
      <c r="DV571" s="68"/>
      <c r="DW571" s="68"/>
      <c r="DX571" s="68"/>
      <c r="DY571" s="68"/>
      <c r="DZ571" s="68"/>
      <c r="EA571" s="68"/>
      <c r="EB571" s="68"/>
      <c r="EC571" s="68"/>
      <c r="ED571" s="68"/>
      <c r="EE571" s="68"/>
      <c r="EF571" s="68"/>
      <c r="EG571" s="68"/>
      <c r="EH571" s="68"/>
      <c r="EI571" s="68"/>
      <c r="EJ571" s="68"/>
      <c r="EK571" s="68"/>
      <c r="EL571" s="68"/>
      <c r="EM571" s="68"/>
      <c r="EN571" s="68"/>
      <c r="EO571" s="68"/>
      <c r="EP571" s="68"/>
      <c r="EQ571" s="65"/>
      <c r="ER571" s="6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" t="str">
        <f t="shared" si="46"/>
        <v/>
      </c>
      <c r="FI571" s="1">
        <f t="shared" si="47"/>
        <v>0</v>
      </c>
      <c r="FJ571" s="38"/>
      <c r="FL571" s="13"/>
    </row>
    <row r="572" spans="1:168" ht="21" hidden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63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61"/>
      <c r="BE572" s="61"/>
      <c r="BF572" s="15"/>
      <c r="BG572" s="15"/>
      <c r="BH572" s="15"/>
      <c r="BI572" s="15"/>
      <c r="BJ572" s="15"/>
      <c r="BK572" s="15"/>
      <c r="BL572" s="15"/>
      <c r="BM572" s="15"/>
      <c r="BN572" s="15"/>
      <c r="BO572" s="64"/>
      <c r="BP572" s="15"/>
      <c r="BQ572" s="15"/>
      <c r="BR572" s="15"/>
      <c r="BS572" s="64"/>
      <c r="BT572" s="64"/>
      <c r="BU572" s="64"/>
      <c r="BV572" s="15"/>
      <c r="BW572" s="64"/>
      <c r="BX572" s="68"/>
      <c r="BY572" s="68"/>
      <c r="BZ572" s="68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15"/>
      <c r="CL572" s="68"/>
      <c r="CM572" s="68"/>
      <c r="CN572" s="68"/>
      <c r="CO572" s="68"/>
      <c r="CP572" s="68"/>
      <c r="CQ572" s="68"/>
      <c r="CR572" s="68"/>
      <c r="CS572" s="68"/>
      <c r="CT572" s="68"/>
      <c r="CU572" s="68"/>
      <c r="CV572" s="68"/>
      <c r="CW572" s="68"/>
      <c r="CX572" s="68"/>
      <c r="CY572" s="68"/>
      <c r="CZ572" s="68"/>
      <c r="DA572" s="68"/>
      <c r="DB572" s="68"/>
      <c r="DC572" s="68"/>
      <c r="DD572" s="68"/>
      <c r="DE572" s="68"/>
      <c r="DF572" s="68"/>
      <c r="DG572" s="68"/>
      <c r="DH572" s="68"/>
      <c r="DI572" s="68"/>
      <c r="DJ572" s="68"/>
      <c r="DK572" s="68"/>
      <c r="DL572" s="68"/>
      <c r="DM572" s="68"/>
      <c r="DN572" s="68"/>
      <c r="DO572" s="68"/>
      <c r="DP572" s="68"/>
      <c r="DQ572" s="68"/>
      <c r="DR572" s="68"/>
      <c r="DS572" s="68"/>
      <c r="DT572" s="68"/>
      <c r="DU572" s="68"/>
      <c r="DV572" s="68"/>
      <c r="DW572" s="68"/>
      <c r="DX572" s="68"/>
      <c r="DY572" s="68"/>
      <c r="DZ572" s="68"/>
      <c r="EA572" s="68"/>
      <c r="EB572" s="68"/>
      <c r="EC572" s="68"/>
      <c r="ED572" s="68"/>
      <c r="EE572" s="68"/>
      <c r="EF572" s="68"/>
      <c r="EG572" s="68"/>
      <c r="EH572" s="68"/>
      <c r="EI572" s="68"/>
      <c r="EJ572" s="68"/>
      <c r="EK572" s="68"/>
      <c r="EL572" s="68"/>
      <c r="EM572" s="68"/>
      <c r="EN572" s="68"/>
      <c r="EO572" s="68"/>
      <c r="EP572" s="68"/>
      <c r="EQ572" s="65"/>
      <c r="ER572" s="6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" t="str">
        <f t="shared" si="46"/>
        <v/>
      </c>
      <c r="FI572" s="1">
        <f t="shared" si="47"/>
        <v>0</v>
      </c>
      <c r="FJ572" s="38"/>
      <c r="FL572" s="13"/>
    </row>
    <row r="573" spans="1:168" ht="21" hidden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63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61"/>
      <c r="BE573" s="61"/>
      <c r="BF573" s="15"/>
      <c r="BG573" s="15"/>
      <c r="BH573" s="15"/>
      <c r="BI573" s="15"/>
      <c r="BJ573" s="15"/>
      <c r="BK573" s="15"/>
      <c r="BL573" s="15"/>
      <c r="BM573" s="15"/>
      <c r="BN573" s="15"/>
      <c r="BO573" s="64"/>
      <c r="BP573" s="15"/>
      <c r="BQ573" s="15"/>
      <c r="BR573" s="15"/>
      <c r="BS573" s="64"/>
      <c r="BT573" s="64"/>
      <c r="BU573" s="64"/>
      <c r="BV573" s="15"/>
      <c r="BW573" s="64"/>
      <c r="BX573" s="68"/>
      <c r="BY573" s="68"/>
      <c r="BZ573" s="68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15"/>
      <c r="CL573" s="68"/>
      <c r="CM573" s="68"/>
      <c r="CN573" s="68"/>
      <c r="CO573" s="68"/>
      <c r="CP573" s="68"/>
      <c r="CQ573" s="68"/>
      <c r="CR573" s="68"/>
      <c r="CS573" s="68"/>
      <c r="CT573" s="68"/>
      <c r="CU573" s="68"/>
      <c r="CV573" s="68"/>
      <c r="CW573" s="68"/>
      <c r="CX573" s="68"/>
      <c r="CY573" s="68"/>
      <c r="CZ573" s="68"/>
      <c r="DA573" s="68"/>
      <c r="DB573" s="68"/>
      <c r="DC573" s="68"/>
      <c r="DD573" s="68"/>
      <c r="DE573" s="68"/>
      <c r="DF573" s="68"/>
      <c r="DG573" s="68"/>
      <c r="DH573" s="68"/>
      <c r="DI573" s="68"/>
      <c r="DJ573" s="68"/>
      <c r="DK573" s="68"/>
      <c r="DL573" s="68"/>
      <c r="DM573" s="68"/>
      <c r="DN573" s="68"/>
      <c r="DO573" s="68"/>
      <c r="DP573" s="68"/>
      <c r="DQ573" s="68"/>
      <c r="DR573" s="68"/>
      <c r="DS573" s="68"/>
      <c r="DT573" s="68"/>
      <c r="DU573" s="68"/>
      <c r="DV573" s="68"/>
      <c r="DW573" s="68"/>
      <c r="DX573" s="68"/>
      <c r="DY573" s="68"/>
      <c r="DZ573" s="68"/>
      <c r="EA573" s="68"/>
      <c r="EB573" s="68"/>
      <c r="EC573" s="68"/>
      <c r="ED573" s="68"/>
      <c r="EE573" s="68"/>
      <c r="EF573" s="68"/>
      <c r="EG573" s="68"/>
      <c r="EH573" s="68"/>
      <c r="EI573" s="68"/>
      <c r="EJ573" s="68"/>
      <c r="EK573" s="68"/>
      <c r="EL573" s="68"/>
      <c r="EM573" s="68"/>
      <c r="EN573" s="68"/>
      <c r="EO573" s="68"/>
      <c r="EP573" s="68"/>
      <c r="EQ573" s="65"/>
      <c r="ER573" s="6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" t="str">
        <f t="shared" si="46"/>
        <v/>
      </c>
      <c r="FI573" s="1">
        <f t="shared" si="47"/>
        <v>0</v>
      </c>
      <c r="FJ573" s="38"/>
      <c r="FL573" s="13"/>
    </row>
    <row r="574" spans="1:168" ht="21" hidden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63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61"/>
      <c r="BE574" s="61"/>
      <c r="BF574" s="15"/>
      <c r="BG574" s="15"/>
      <c r="BH574" s="15"/>
      <c r="BI574" s="15"/>
      <c r="BJ574" s="15"/>
      <c r="BK574" s="15"/>
      <c r="BL574" s="15"/>
      <c r="BM574" s="15"/>
      <c r="BN574" s="15"/>
      <c r="BO574" s="64"/>
      <c r="BP574" s="15"/>
      <c r="BQ574" s="15"/>
      <c r="BR574" s="15"/>
      <c r="BS574" s="64"/>
      <c r="BT574" s="64"/>
      <c r="BU574" s="64"/>
      <c r="BV574" s="15"/>
      <c r="BW574" s="64"/>
      <c r="BX574" s="68"/>
      <c r="BY574" s="68"/>
      <c r="BZ574" s="68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15"/>
      <c r="CL574" s="68"/>
      <c r="CM574" s="68"/>
      <c r="CN574" s="68"/>
      <c r="CO574" s="68"/>
      <c r="CP574" s="68"/>
      <c r="CQ574" s="68"/>
      <c r="CR574" s="68"/>
      <c r="CS574" s="68"/>
      <c r="CT574" s="68"/>
      <c r="CU574" s="68"/>
      <c r="CV574" s="68"/>
      <c r="CW574" s="68"/>
      <c r="CX574" s="68"/>
      <c r="CY574" s="68"/>
      <c r="CZ574" s="68"/>
      <c r="DA574" s="68"/>
      <c r="DB574" s="68"/>
      <c r="DC574" s="68"/>
      <c r="DD574" s="68"/>
      <c r="DE574" s="68"/>
      <c r="DF574" s="68"/>
      <c r="DG574" s="68"/>
      <c r="DH574" s="68"/>
      <c r="DI574" s="68"/>
      <c r="DJ574" s="68"/>
      <c r="DK574" s="68"/>
      <c r="DL574" s="68"/>
      <c r="DM574" s="68"/>
      <c r="DN574" s="68"/>
      <c r="DO574" s="68"/>
      <c r="DP574" s="68"/>
      <c r="DQ574" s="68"/>
      <c r="DR574" s="68"/>
      <c r="DS574" s="68"/>
      <c r="DT574" s="68"/>
      <c r="DU574" s="68"/>
      <c r="DV574" s="68"/>
      <c r="DW574" s="68"/>
      <c r="DX574" s="68"/>
      <c r="DY574" s="68"/>
      <c r="DZ574" s="68"/>
      <c r="EA574" s="68"/>
      <c r="EB574" s="68"/>
      <c r="EC574" s="68"/>
      <c r="ED574" s="68"/>
      <c r="EE574" s="68"/>
      <c r="EF574" s="68"/>
      <c r="EG574" s="68"/>
      <c r="EH574" s="68"/>
      <c r="EI574" s="68"/>
      <c r="EJ574" s="68"/>
      <c r="EK574" s="68"/>
      <c r="EL574" s="68"/>
      <c r="EM574" s="68"/>
      <c r="EN574" s="68"/>
      <c r="EO574" s="68"/>
      <c r="EP574" s="68"/>
      <c r="EQ574" s="65"/>
      <c r="ER574" s="6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" t="str">
        <f t="shared" si="46"/>
        <v/>
      </c>
      <c r="FI574" s="1">
        <f t="shared" si="47"/>
        <v>0</v>
      </c>
      <c r="FJ574" s="38"/>
      <c r="FL574" s="13"/>
    </row>
    <row r="575" spans="1:168" ht="21" hidden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63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61"/>
      <c r="BE575" s="61"/>
      <c r="BF575" s="15"/>
      <c r="BG575" s="15"/>
      <c r="BH575" s="15"/>
      <c r="BI575" s="15"/>
      <c r="BJ575" s="15"/>
      <c r="BK575" s="15"/>
      <c r="BL575" s="15"/>
      <c r="BM575" s="15"/>
      <c r="BN575" s="15"/>
      <c r="BO575" s="64"/>
      <c r="BP575" s="15"/>
      <c r="BQ575" s="15"/>
      <c r="BR575" s="15"/>
      <c r="BS575" s="64"/>
      <c r="BT575" s="64"/>
      <c r="BU575" s="64"/>
      <c r="BV575" s="15"/>
      <c r="BW575" s="64"/>
      <c r="BX575" s="68"/>
      <c r="BY575" s="68"/>
      <c r="BZ575" s="68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15"/>
      <c r="CL575" s="68"/>
      <c r="CM575" s="68"/>
      <c r="CN575" s="68"/>
      <c r="CO575" s="68"/>
      <c r="CP575" s="68"/>
      <c r="CQ575" s="68"/>
      <c r="CR575" s="68"/>
      <c r="CS575" s="68"/>
      <c r="CT575" s="68"/>
      <c r="CU575" s="68"/>
      <c r="CV575" s="68"/>
      <c r="CW575" s="68"/>
      <c r="CX575" s="68"/>
      <c r="CY575" s="68"/>
      <c r="CZ575" s="68"/>
      <c r="DA575" s="68"/>
      <c r="DB575" s="68"/>
      <c r="DC575" s="68"/>
      <c r="DD575" s="68"/>
      <c r="DE575" s="68"/>
      <c r="DF575" s="68"/>
      <c r="DG575" s="68"/>
      <c r="DH575" s="68"/>
      <c r="DI575" s="68"/>
      <c r="DJ575" s="68"/>
      <c r="DK575" s="68"/>
      <c r="DL575" s="68"/>
      <c r="DM575" s="68"/>
      <c r="DN575" s="68"/>
      <c r="DO575" s="68"/>
      <c r="DP575" s="68"/>
      <c r="DQ575" s="68"/>
      <c r="DR575" s="68"/>
      <c r="DS575" s="68"/>
      <c r="DT575" s="68"/>
      <c r="DU575" s="68"/>
      <c r="DV575" s="68"/>
      <c r="DW575" s="68"/>
      <c r="DX575" s="68"/>
      <c r="DY575" s="68"/>
      <c r="DZ575" s="68"/>
      <c r="EA575" s="68"/>
      <c r="EB575" s="68"/>
      <c r="EC575" s="68"/>
      <c r="ED575" s="68"/>
      <c r="EE575" s="68"/>
      <c r="EF575" s="68"/>
      <c r="EG575" s="68"/>
      <c r="EH575" s="68"/>
      <c r="EI575" s="68"/>
      <c r="EJ575" s="68"/>
      <c r="EK575" s="68"/>
      <c r="EL575" s="68"/>
      <c r="EM575" s="68"/>
      <c r="EN575" s="68"/>
      <c r="EO575" s="68"/>
      <c r="EP575" s="68"/>
      <c r="EQ575" s="65"/>
      <c r="ER575" s="6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5"/>
      <c r="FD575" s="15"/>
      <c r="FE575" s="15"/>
      <c r="FF575" s="15"/>
      <c r="FG575" s="15"/>
      <c r="FH575" s="1" t="str">
        <f t="shared" si="46"/>
        <v/>
      </c>
      <c r="FI575" s="1">
        <f t="shared" si="47"/>
        <v>0</v>
      </c>
      <c r="FJ575" s="38"/>
      <c r="FL575" s="13"/>
    </row>
    <row r="576" spans="1:168" ht="21" hidden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63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61"/>
      <c r="BE576" s="61"/>
      <c r="BF576" s="15"/>
      <c r="BG576" s="15"/>
      <c r="BH576" s="15"/>
      <c r="BI576" s="15"/>
      <c r="BJ576" s="15"/>
      <c r="BK576" s="15"/>
      <c r="BL576" s="15"/>
      <c r="BM576" s="15"/>
      <c r="BN576" s="15"/>
      <c r="BO576" s="64"/>
      <c r="BP576" s="15"/>
      <c r="BQ576" s="15"/>
      <c r="BR576" s="15"/>
      <c r="BS576" s="64"/>
      <c r="BT576" s="64"/>
      <c r="BU576" s="64"/>
      <c r="BV576" s="15"/>
      <c r="BW576" s="64"/>
      <c r="BX576" s="68"/>
      <c r="BY576" s="68"/>
      <c r="BZ576" s="68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15"/>
      <c r="CL576" s="68"/>
      <c r="CM576" s="68"/>
      <c r="CN576" s="68"/>
      <c r="CO576" s="68"/>
      <c r="CP576" s="68"/>
      <c r="CQ576" s="68"/>
      <c r="CR576" s="68"/>
      <c r="CS576" s="68"/>
      <c r="CT576" s="68"/>
      <c r="CU576" s="68"/>
      <c r="CV576" s="68"/>
      <c r="CW576" s="68"/>
      <c r="CX576" s="68"/>
      <c r="CY576" s="68"/>
      <c r="CZ576" s="68"/>
      <c r="DA576" s="68"/>
      <c r="DB576" s="68"/>
      <c r="DC576" s="68"/>
      <c r="DD576" s="68"/>
      <c r="DE576" s="68"/>
      <c r="DF576" s="68"/>
      <c r="DG576" s="68"/>
      <c r="DH576" s="68"/>
      <c r="DI576" s="68"/>
      <c r="DJ576" s="68"/>
      <c r="DK576" s="68"/>
      <c r="DL576" s="68"/>
      <c r="DM576" s="68"/>
      <c r="DN576" s="68"/>
      <c r="DO576" s="68"/>
      <c r="DP576" s="68"/>
      <c r="DQ576" s="68"/>
      <c r="DR576" s="68"/>
      <c r="DS576" s="68"/>
      <c r="DT576" s="68"/>
      <c r="DU576" s="68"/>
      <c r="DV576" s="68"/>
      <c r="DW576" s="68"/>
      <c r="DX576" s="68"/>
      <c r="DY576" s="68"/>
      <c r="DZ576" s="68"/>
      <c r="EA576" s="68"/>
      <c r="EB576" s="68"/>
      <c r="EC576" s="68"/>
      <c r="ED576" s="68"/>
      <c r="EE576" s="68"/>
      <c r="EF576" s="68"/>
      <c r="EG576" s="68"/>
      <c r="EH576" s="68"/>
      <c r="EI576" s="68"/>
      <c r="EJ576" s="68"/>
      <c r="EK576" s="68"/>
      <c r="EL576" s="68"/>
      <c r="EM576" s="68"/>
      <c r="EN576" s="68"/>
      <c r="EO576" s="68"/>
      <c r="EP576" s="68"/>
      <c r="EQ576" s="65"/>
      <c r="ER576" s="6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" t="str">
        <f t="shared" si="46"/>
        <v/>
      </c>
      <c r="FI576" s="1">
        <f t="shared" si="47"/>
        <v>0</v>
      </c>
      <c r="FJ576" s="38"/>
      <c r="FL576" s="13"/>
    </row>
    <row r="577" spans="1:168" ht="21" hidden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63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61"/>
      <c r="BE577" s="61"/>
      <c r="BF577" s="15"/>
      <c r="BG577" s="15"/>
      <c r="BH577" s="15"/>
      <c r="BI577" s="15"/>
      <c r="BJ577" s="15"/>
      <c r="BK577" s="15"/>
      <c r="BL577" s="15"/>
      <c r="BM577" s="15"/>
      <c r="BN577" s="15"/>
      <c r="BO577" s="64"/>
      <c r="BP577" s="15"/>
      <c r="BQ577" s="15"/>
      <c r="BR577" s="15"/>
      <c r="BS577" s="64"/>
      <c r="BT577" s="64"/>
      <c r="BU577" s="64"/>
      <c r="BV577" s="15"/>
      <c r="BW577" s="64"/>
      <c r="BX577" s="68"/>
      <c r="BY577" s="68"/>
      <c r="BZ577" s="68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15"/>
      <c r="CL577" s="68"/>
      <c r="CM577" s="68"/>
      <c r="CN577" s="68"/>
      <c r="CO577" s="68"/>
      <c r="CP577" s="68"/>
      <c r="CQ577" s="68"/>
      <c r="CR577" s="68"/>
      <c r="CS577" s="68"/>
      <c r="CT577" s="68"/>
      <c r="CU577" s="68"/>
      <c r="CV577" s="68"/>
      <c r="CW577" s="68"/>
      <c r="CX577" s="68"/>
      <c r="CY577" s="68"/>
      <c r="CZ577" s="68"/>
      <c r="DA577" s="68"/>
      <c r="DB577" s="68"/>
      <c r="DC577" s="68"/>
      <c r="DD577" s="68"/>
      <c r="DE577" s="68"/>
      <c r="DF577" s="68"/>
      <c r="DG577" s="68"/>
      <c r="DH577" s="68"/>
      <c r="DI577" s="68"/>
      <c r="DJ577" s="68"/>
      <c r="DK577" s="68"/>
      <c r="DL577" s="68"/>
      <c r="DM577" s="68"/>
      <c r="DN577" s="68"/>
      <c r="DO577" s="68"/>
      <c r="DP577" s="68"/>
      <c r="DQ577" s="68"/>
      <c r="DR577" s="68"/>
      <c r="DS577" s="68"/>
      <c r="DT577" s="68"/>
      <c r="DU577" s="68"/>
      <c r="DV577" s="68"/>
      <c r="DW577" s="68"/>
      <c r="DX577" s="68"/>
      <c r="DY577" s="68"/>
      <c r="DZ577" s="68"/>
      <c r="EA577" s="68"/>
      <c r="EB577" s="68"/>
      <c r="EC577" s="68"/>
      <c r="ED577" s="68"/>
      <c r="EE577" s="68"/>
      <c r="EF577" s="68"/>
      <c r="EG577" s="68"/>
      <c r="EH577" s="68"/>
      <c r="EI577" s="68"/>
      <c r="EJ577" s="68"/>
      <c r="EK577" s="68"/>
      <c r="EL577" s="68"/>
      <c r="EM577" s="68"/>
      <c r="EN577" s="68"/>
      <c r="EO577" s="68"/>
      <c r="EP577" s="68"/>
      <c r="EQ577" s="65"/>
      <c r="ER577" s="6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" t="str">
        <f t="shared" si="46"/>
        <v/>
      </c>
      <c r="FI577" s="1">
        <f t="shared" si="47"/>
        <v>0</v>
      </c>
      <c r="FJ577" s="38"/>
      <c r="FL577" s="13"/>
    </row>
    <row r="578" spans="1:168" ht="21" hidden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63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61"/>
      <c r="BE578" s="61"/>
      <c r="BF578" s="15"/>
      <c r="BG578" s="15"/>
      <c r="BH578" s="15"/>
      <c r="BI578" s="15"/>
      <c r="BJ578" s="15"/>
      <c r="BK578" s="15"/>
      <c r="BL578" s="15"/>
      <c r="BM578" s="15"/>
      <c r="BN578" s="15"/>
      <c r="BO578" s="64"/>
      <c r="BP578" s="15"/>
      <c r="BQ578" s="15"/>
      <c r="BR578" s="15"/>
      <c r="BS578" s="64"/>
      <c r="BT578" s="64"/>
      <c r="BU578" s="64"/>
      <c r="BV578" s="15"/>
      <c r="BW578" s="64"/>
      <c r="BX578" s="68"/>
      <c r="BY578" s="68"/>
      <c r="BZ578" s="68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15"/>
      <c r="CL578" s="68"/>
      <c r="CM578" s="68"/>
      <c r="CN578" s="68"/>
      <c r="CO578" s="68"/>
      <c r="CP578" s="68"/>
      <c r="CQ578" s="68"/>
      <c r="CR578" s="68"/>
      <c r="CS578" s="68"/>
      <c r="CT578" s="68"/>
      <c r="CU578" s="68"/>
      <c r="CV578" s="68"/>
      <c r="CW578" s="68"/>
      <c r="CX578" s="68"/>
      <c r="CY578" s="68"/>
      <c r="CZ578" s="68"/>
      <c r="DA578" s="68"/>
      <c r="DB578" s="68"/>
      <c r="DC578" s="68"/>
      <c r="DD578" s="68"/>
      <c r="DE578" s="68"/>
      <c r="DF578" s="68"/>
      <c r="DG578" s="68"/>
      <c r="DH578" s="68"/>
      <c r="DI578" s="68"/>
      <c r="DJ578" s="68"/>
      <c r="DK578" s="68"/>
      <c r="DL578" s="68"/>
      <c r="DM578" s="68"/>
      <c r="DN578" s="68"/>
      <c r="DO578" s="68"/>
      <c r="DP578" s="68"/>
      <c r="DQ578" s="68"/>
      <c r="DR578" s="68"/>
      <c r="DS578" s="68"/>
      <c r="DT578" s="68"/>
      <c r="DU578" s="68"/>
      <c r="DV578" s="68"/>
      <c r="DW578" s="68"/>
      <c r="DX578" s="68"/>
      <c r="DY578" s="68"/>
      <c r="DZ578" s="68"/>
      <c r="EA578" s="68"/>
      <c r="EB578" s="68"/>
      <c r="EC578" s="68"/>
      <c r="ED578" s="68"/>
      <c r="EE578" s="68"/>
      <c r="EF578" s="68"/>
      <c r="EG578" s="68"/>
      <c r="EH578" s="68"/>
      <c r="EI578" s="68"/>
      <c r="EJ578" s="68"/>
      <c r="EK578" s="68"/>
      <c r="EL578" s="68"/>
      <c r="EM578" s="68"/>
      <c r="EN578" s="68"/>
      <c r="EO578" s="68"/>
      <c r="EP578" s="68"/>
      <c r="EQ578" s="65"/>
      <c r="ER578" s="6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" t="str">
        <f t="shared" si="46"/>
        <v/>
      </c>
      <c r="FI578" s="1">
        <f t="shared" si="47"/>
        <v>0</v>
      </c>
      <c r="FJ578" s="38"/>
      <c r="FL578" s="13"/>
    </row>
    <row r="579" spans="1:168" ht="21" hidden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63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61"/>
      <c r="BE579" s="61"/>
      <c r="BF579" s="15"/>
      <c r="BG579" s="15"/>
      <c r="BH579" s="15"/>
      <c r="BI579" s="15"/>
      <c r="BJ579" s="15"/>
      <c r="BK579" s="15"/>
      <c r="BL579" s="15"/>
      <c r="BM579" s="15"/>
      <c r="BN579" s="15"/>
      <c r="BO579" s="64"/>
      <c r="BP579" s="15"/>
      <c r="BQ579" s="15"/>
      <c r="BR579" s="15"/>
      <c r="BS579" s="64"/>
      <c r="BT579" s="64"/>
      <c r="BU579" s="64"/>
      <c r="BV579" s="15"/>
      <c r="BW579" s="64"/>
      <c r="BX579" s="68"/>
      <c r="BY579" s="68"/>
      <c r="BZ579" s="68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15"/>
      <c r="CL579" s="68"/>
      <c r="CM579" s="68"/>
      <c r="CN579" s="68"/>
      <c r="CO579" s="68"/>
      <c r="CP579" s="68"/>
      <c r="CQ579" s="68"/>
      <c r="CR579" s="68"/>
      <c r="CS579" s="68"/>
      <c r="CT579" s="68"/>
      <c r="CU579" s="68"/>
      <c r="CV579" s="68"/>
      <c r="CW579" s="68"/>
      <c r="CX579" s="68"/>
      <c r="CY579" s="68"/>
      <c r="CZ579" s="68"/>
      <c r="DA579" s="68"/>
      <c r="DB579" s="68"/>
      <c r="DC579" s="68"/>
      <c r="DD579" s="68"/>
      <c r="DE579" s="68"/>
      <c r="DF579" s="68"/>
      <c r="DG579" s="68"/>
      <c r="DH579" s="68"/>
      <c r="DI579" s="68"/>
      <c r="DJ579" s="68"/>
      <c r="DK579" s="68"/>
      <c r="DL579" s="68"/>
      <c r="DM579" s="68"/>
      <c r="DN579" s="68"/>
      <c r="DO579" s="68"/>
      <c r="DP579" s="68"/>
      <c r="DQ579" s="68"/>
      <c r="DR579" s="68"/>
      <c r="DS579" s="68"/>
      <c r="DT579" s="68"/>
      <c r="DU579" s="68"/>
      <c r="DV579" s="68"/>
      <c r="DW579" s="68"/>
      <c r="DX579" s="68"/>
      <c r="DY579" s="68"/>
      <c r="DZ579" s="68"/>
      <c r="EA579" s="68"/>
      <c r="EB579" s="68"/>
      <c r="EC579" s="68"/>
      <c r="ED579" s="68"/>
      <c r="EE579" s="68"/>
      <c r="EF579" s="68"/>
      <c r="EG579" s="68"/>
      <c r="EH579" s="68"/>
      <c r="EI579" s="68"/>
      <c r="EJ579" s="68"/>
      <c r="EK579" s="68"/>
      <c r="EL579" s="68"/>
      <c r="EM579" s="68"/>
      <c r="EN579" s="68"/>
      <c r="EO579" s="68"/>
      <c r="EP579" s="68"/>
      <c r="EQ579" s="65"/>
      <c r="ER579" s="6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" t="str">
        <f t="shared" si="46"/>
        <v/>
      </c>
      <c r="FI579" s="1">
        <f t="shared" si="47"/>
        <v>0</v>
      </c>
      <c r="FJ579" s="38"/>
      <c r="FL579" s="13"/>
    </row>
    <row r="580" spans="1:168" ht="21" hidden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63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61"/>
      <c r="BE580" s="61"/>
      <c r="BF580" s="15"/>
      <c r="BG580" s="15"/>
      <c r="BH580" s="15"/>
      <c r="BI580" s="15"/>
      <c r="BJ580" s="15"/>
      <c r="BK580" s="15"/>
      <c r="BL580" s="15"/>
      <c r="BM580" s="15"/>
      <c r="BN580" s="15"/>
      <c r="BO580" s="64"/>
      <c r="BP580" s="15"/>
      <c r="BQ580" s="15"/>
      <c r="BR580" s="15"/>
      <c r="BS580" s="64"/>
      <c r="BT580" s="64"/>
      <c r="BU580" s="64"/>
      <c r="BV580" s="15"/>
      <c r="BW580" s="64"/>
      <c r="BX580" s="68"/>
      <c r="BY580" s="68"/>
      <c r="BZ580" s="68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15"/>
      <c r="CL580" s="68"/>
      <c r="CM580" s="68"/>
      <c r="CN580" s="68"/>
      <c r="CO580" s="68"/>
      <c r="CP580" s="68"/>
      <c r="CQ580" s="68"/>
      <c r="CR580" s="68"/>
      <c r="CS580" s="68"/>
      <c r="CT580" s="68"/>
      <c r="CU580" s="68"/>
      <c r="CV580" s="68"/>
      <c r="CW580" s="68"/>
      <c r="CX580" s="68"/>
      <c r="CY580" s="68"/>
      <c r="CZ580" s="68"/>
      <c r="DA580" s="68"/>
      <c r="DB580" s="68"/>
      <c r="DC580" s="68"/>
      <c r="DD580" s="68"/>
      <c r="DE580" s="68"/>
      <c r="DF580" s="68"/>
      <c r="DG580" s="68"/>
      <c r="DH580" s="68"/>
      <c r="DI580" s="68"/>
      <c r="DJ580" s="68"/>
      <c r="DK580" s="68"/>
      <c r="DL580" s="68"/>
      <c r="DM580" s="68"/>
      <c r="DN580" s="68"/>
      <c r="DO580" s="68"/>
      <c r="DP580" s="68"/>
      <c r="DQ580" s="68"/>
      <c r="DR580" s="68"/>
      <c r="DS580" s="68"/>
      <c r="DT580" s="68"/>
      <c r="DU580" s="68"/>
      <c r="DV580" s="68"/>
      <c r="DW580" s="68"/>
      <c r="DX580" s="68"/>
      <c r="DY580" s="68"/>
      <c r="DZ580" s="68"/>
      <c r="EA580" s="68"/>
      <c r="EB580" s="68"/>
      <c r="EC580" s="68"/>
      <c r="ED580" s="68"/>
      <c r="EE580" s="68"/>
      <c r="EF580" s="68"/>
      <c r="EG580" s="68"/>
      <c r="EH580" s="68"/>
      <c r="EI580" s="68"/>
      <c r="EJ580" s="68"/>
      <c r="EK580" s="68"/>
      <c r="EL580" s="68"/>
      <c r="EM580" s="68"/>
      <c r="EN580" s="68"/>
      <c r="EO580" s="68"/>
      <c r="EP580" s="68"/>
      <c r="EQ580" s="65"/>
      <c r="ER580" s="6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" t="str">
        <f t="shared" si="46"/>
        <v/>
      </c>
      <c r="FI580" s="1">
        <f t="shared" si="47"/>
        <v>0</v>
      </c>
      <c r="FJ580" s="38"/>
      <c r="FL580" s="13"/>
    </row>
    <row r="581" spans="1:168" ht="21" hidden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63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61"/>
      <c r="BE581" s="61"/>
      <c r="BF581" s="15"/>
      <c r="BG581" s="15"/>
      <c r="BH581" s="15"/>
      <c r="BI581" s="15"/>
      <c r="BJ581" s="15"/>
      <c r="BK581" s="15"/>
      <c r="BL581" s="15"/>
      <c r="BM581" s="15"/>
      <c r="BN581" s="15"/>
      <c r="BO581" s="64"/>
      <c r="BP581" s="15"/>
      <c r="BQ581" s="15"/>
      <c r="BR581" s="15"/>
      <c r="BS581" s="64"/>
      <c r="BT581" s="64"/>
      <c r="BU581" s="64"/>
      <c r="BV581" s="15"/>
      <c r="BW581" s="64"/>
      <c r="BX581" s="68"/>
      <c r="BY581" s="68"/>
      <c r="BZ581" s="68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15"/>
      <c r="CL581" s="68"/>
      <c r="CM581" s="68"/>
      <c r="CN581" s="68"/>
      <c r="CO581" s="68"/>
      <c r="CP581" s="68"/>
      <c r="CQ581" s="68"/>
      <c r="CR581" s="68"/>
      <c r="CS581" s="68"/>
      <c r="CT581" s="68"/>
      <c r="CU581" s="68"/>
      <c r="CV581" s="68"/>
      <c r="CW581" s="68"/>
      <c r="CX581" s="68"/>
      <c r="CY581" s="68"/>
      <c r="CZ581" s="68"/>
      <c r="DA581" s="68"/>
      <c r="DB581" s="68"/>
      <c r="DC581" s="68"/>
      <c r="DD581" s="68"/>
      <c r="DE581" s="68"/>
      <c r="DF581" s="68"/>
      <c r="DG581" s="68"/>
      <c r="DH581" s="68"/>
      <c r="DI581" s="68"/>
      <c r="DJ581" s="68"/>
      <c r="DK581" s="68"/>
      <c r="DL581" s="68"/>
      <c r="DM581" s="68"/>
      <c r="DN581" s="68"/>
      <c r="DO581" s="68"/>
      <c r="DP581" s="68"/>
      <c r="DQ581" s="68"/>
      <c r="DR581" s="68"/>
      <c r="DS581" s="68"/>
      <c r="DT581" s="68"/>
      <c r="DU581" s="68"/>
      <c r="DV581" s="68"/>
      <c r="DW581" s="68"/>
      <c r="DX581" s="68"/>
      <c r="DY581" s="68"/>
      <c r="DZ581" s="68"/>
      <c r="EA581" s="68"/>
      <c r="EB581" s="68"/>
      <c r="EC581" s="68"/>
      <c r="ED581" s="68"/>
      <c r="EE581" s="68"/>
      <c r="EF581" s="68"/>
      <c r="EG581" s="68"/>
      <c r="EH581" s="68"/>
      <c r="EI581" s="68"/>
      <c r="EJ581" s="68"/>
      <c r="EK581" s="68"/>
      <c r="EL581" s="68"/>
      <c r="EM581" s="68"/>
      <c r="EN581" s="68"/>
      <c r="EO581" s="68"/>
      <c r="EP581" s="68"/>
      <c r="EQ581" s="65"/>
      <c r="ER581" s="6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" t="str">
        <f t="shared" si="46"/>
        <v/>
      </c>
      <c r="FI581" s="1">
        <f t="shared" si="47"/>
        <v>0</v>
      </c>
      <c r="FJ581" s="38"/>
      <c r="FL581" s="13"/>
    </row>
    <row r="582" spans="1:168" ht="21" hidden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63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61"/>
      <c r="BE582" s="61"/>
      <c r="BF582" s="15"/>
      <c r="BG582" s="15"/>
      <c r="BH582" s="15"/>
      <c r="BI582" s="15"/>
      <c r="BJ582" s="15"/>
      <c r="BK582" s="15"/>
      <c r="BL582" s="15"/>
      <c r="BM582" s="15"/>
      <c r="BN582" s="15"/>
      <c r="BO582" s="64"/>
      <c r="BP582" s="15"/>
      <c r="BQ582" s="15"/>
      <c r="BR582" s="15"/>
      <c r="BS582" s="64"/>
      <c r="BT582" s="64"/>
      <c r="BU582" s="64"/>
      <c r="BV582" s="15"/>
      <c r="BW582" s="64"/>
      <c r="BX582" s="68"/>
      <c r="BY582" s="68"/>
      <c r="BZ582" s="68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15"/>
      <c r="CL582" s="68"/>
      <c r="CM582" s="68"/>
      <c r="CN582" s="68"/>
      <c r="CO582" s="68"/>
      <c r="CP582" s="68"/>
      <c r="CQ582" s="68"/>
      <c r="CR582" s="68"/>
      <c r="CS582" s="68"/>
      <c r="CT582" s="68"/>
      <c r="CU582" s="68"/>
      <c r="CV582" s="68"/>
      <c r="CW582" s="68"/>
      <c r="CX582" s="68"/>
      <c r="CY582" s="68"/>
      <c r="CZ582" s="68"/>
      <c r="DA582" s="68"/>
      <c r="DB582" s="68"/>
      <c r="DC582" s="68"/>
      <c r="DD582" s="68"/>
      <c r="DE582" s="68"/>
      <c r="DF582" s="68"/>
      <c r="DG582" s="68"/>
      <c r="DH582" s="68"/>
      <c r="DI582" s="68"/>
      <c r="DJ582" s="68"/>
      <c r="DK582" s="68"/>
      <c r="DL582" s="68"/>
      <c r="DM582" s="68"/>
      <c r="DN582" s="68"/>
      <c r="DO582" s="68"/>
      <c r="DP582" s="68"/>
      <c r="DQ582" s="68"/>
      <c r="DR582" s="68"/>
      <c r="DS582" s="68"/>
      <c r="DT582" s="68"/>
      <c r="DU582" s="68"/>
      <c r="DV582" s="68"/>
      <c r="DW582" s="68"/>
      <c r="DX582" s="68"/>
      <c r="DY582" s="68"/>
      <c r="DZ582" s="68"/>
      <c r="EA582" s="68"/>
      <c r="EB582" s="68"/>
      <c r="EC582" s="68"/>
      <c r="ED582" s="68"/>
      <c r="EE582" s="68"/>
      <c r="EF582" s="68"/>
      <c r="EG582" s="68"/>
      <c r="EH582" s="68"/>
      <c r="EI582" s="68"/>
      <c r="EJ582" s="68"/>
      <c r="EK582" s="68"/>
      <c r="EL582" s="68"/>
      <c r="EM582" s="68"/>
      <c r="EN582" s="68"/>
      <c r="EO582" s="68"/>
      <c r="EP582" s="68"/>
      <c r="EQ582" s="65"/>
      <c r="ER582" s="6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" t="str">
        <f t="shared" si="46"/>
        <v/>
      </c>
      <c r="FI582" s="1">
        <f t="shared" si="47"/>
        <v>0</v>
      </c>
      <c r="FJ582" s="38"/>
      <c r="FL582" s="13"/>
    </row>
    <row r="583" spans="1:168" ht="21" hidden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63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61"/>
      <c r="BE583" s="61"/>
      <c r="BF583" s="15"/>
      <c r="BG583" s="15"/>
      <c r="BH583" s="15"/>
      <c r="BI583" s="15"/>
      <c r="BJ583" s="15"/>
      <c r="BK583" s="15"/>
      <c r="BL583" s="15"/>
      <c r="BM583" s="15"/>
      <c r="BN583" s="15"/>
      <c r="BO583" s="64"/>
      <c r="BP583" s="15"/>
      <c r="BQ583" s="15"/>
      <c r="BR583" s="15"/>
      <c r="BS583" s="64"/>
      <c r="BT583" s="64"/>
      <c r="BU583" s="64"/>
      <c r="BV583" s="15"/>
      <c r="BW583" s="64"/>
      <c r="BX583" s="68"/>
      <c r="BY583" s="68"/>
      <c r="BZ583" s="68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15"/>
      <c r="CL583" s="68"/>
      <c r="CM583" s="68"/>
      <c r="CN583" s="68"/>
      <c r="CO583" s="68"/>
      <c r="CP583" s="68"/>
      <c r="CQ583" s="68"/>
      <c r="CR583" s="68"/>
      <c r="CS583" s="68"/>
      <c r="CT583" s="68"/>
      <c r="CU583" s="68"/>
      <c r="CV583" s="68"/>
      <c r="CW583" s="68"/>
      <c r="CX583" s="68"/>
      <c r="CY583" s="68"/>
      <c r="CZ583" s="68"/>
      <c r="DA583" s="68"/>
      <c r="DB583" s="68"/>
      <c r="DC583" s="68"/>
      <c r="DD583" s="68"/>
      <c r="DE583" s="68"/>
      <c r="DF583" s="68"/>
      <c r="DG583" s="68"/>
      <c r="DH583" s="68"/>
      <c r="DI583" s="68"/>
      <c r="DJ583" s="68"/>
      <c r="DK583" s="68"/>
      <c r="DL583" s="68"/>
      <c r="DM583" s="68"/>
      <c r="DN583" s="68"/>
      <c r="DO583" s="68"/>
      <c r="DP583" s="68"/>
      <c r="DQ583" s="68"/>
      <c r="DR583" s="68"/>
      <c r="DS583" s="68"/>
      <c r="DT583" s="68"/>
      <c r="DU583" s="68"/>
      <c r="DV583" s="68"/>
      <c r="DW583" s="68"/>
      <c r="DX583" s="68"/>
      <c r="DY583" s="68"/>
      <c r="DZ583" s="68"/>
      <c r="EA583" s="68"/>
      <c r="EB583" s="68"/>
      <c r="EC583" s="68"/>
      <c r="ED583" s="68"/>
      <c r="EE583" s="68"/>
      <c r="EF583" s="68"/>
      <c r="EG583" s="68"/>
      <c r="EH583" s="68"/>
      <c r="EI583" s="68"/>
      <c r="EJ583" s="68"/>
      <c r="EK583" s="68"/>
      <c r="EL583" s="68"/>
      <c r="EM583" s="68"/>
      <c r="EN583" s="68"/>
      <c r="EO583" s="68"/>
      <c r="EP583" s="68"/>
      <c r="EQ583" s="65"/>
      <c r="ER583" s="6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5"/>
      <c r="FD583" s="15"/>
      <c r="FE583" s="15"/>
      <c r="FF583" s="15"/>
      <c r="FG583" s="15"/>
      <c r="FH583" s="1" t="str">
        <f t="shared" si="46"/>
        <v/>
      </c>
      <c r="FI583" s="1">
        <f t="shared" si="47"/>
        <v>0</v>
      </c>
      <c r="FJ583" s="38"/>
      <c r="FL583" s="13"/>
    </row>
    <row r="584" spans="1:168" ht="21" hidden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63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61"/>
      <c r="BE584" s="61"/>
      <c r="BF584" s="15"/>
      <c r="BG584" s="15"/>
      <c r="BH584" s="15"/>
      <c r="BI584" s="15"/>
      <c r="BJ584" s="15"/>
      <c r="BK584" s="15"/>
      <c r="BL584" s="15"/>
      <c r="BM584" s="15"/>
      <c r="BN584" s="15"/>
      <c r="BO584" s="64"/>
      <c r="BP584" s="15"/>
      <c r="BQ584" s="15"/>
      <c r="BR584" s="15"/>
      <c r="BS584" s="64"/>
      <c r="BT584" s="64"/>
      <c r="BU584" s="64"/>
      <c r="BV584" s="15"/>
      <c r="BW584" s="64"/>
      <c r="BX584" s="68"/>
      <c r="BY584" s="68"/>
      <c r="BZ584" s="68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15"/>
      <c r="CL584" s="68"/>
      <c r="CM584" s="68"/>
      <c r="CN584" s="68"/>
      <c r="CO584" s="68"/>
      <c r="CP584" s="68"/>
      <c r="CQ584" s="68"/>
      <c r="CR584" s="68"/>
      <c r="CS584" s="68"/>
      <c r="CT584" s="68"/>
      <c r="CU584" s="68"/>
      <c r="CV584" s="68"/>
      <c r="CW584" s="68"/>
      <c r="CX584" s="68"/>
      <c r="CY584" s="68"/>
      <c r="CZ584" s="68"/>
      <c r="DA584" s="68"/>
      <c r="DB584" s="68"/>
      <c r="DC584" s="68"/>
      <c r="DD584" s="68"/>
      <c r="DE584" s="68"/>
      <c r="DF584" s="68"/>
      <c r="DG584" s="68"/>
      <c r="DH584" s="68"/>
      <c r="DI584" s="68"/>
      <c r="DJ584" s="68"/>
      <c r="DK584" s="68"/>
      <c r="DL584" s="68"/>
      <c r="DM584" s="68"/>
      <c r="DN584" s="68"/>
      <c r="DO584" s="68"/>
      <c r="DP584" s="68"/>
      <c r="DQ584" s="68"/>
      <c r="DR584" s="68"/>
      <c r="DS584" s="68"/>
      <c r="DT584" s="68"/>
      <c r="DU584" s="68"/>
      <c r="DV584" s="68"/>
      <c r="DW584" s="68"/>
      <c r="DX584" s="68"/>
      <c r="DY584" s="68"/>
      <c r="DZ584" s="68"/>
      <c r="EA584" s="68"/>
      <c r="EB584" s="68"/>
      <c r="EC584" s="68"/>
      <c r="ED584" s="68"/>
      <c r="EE584" s="68"/>
      <c r="EF584" s="68"/>
      <c r="EG584" s="68"/>
      <c r="EH584" s="68"/>
      <c r="EI584" s="68"/>
      <c r="EJ584" s="68"/>
      <c r="EK584" s="68"/>
      <c r="EL584" s="68"/>
      <c r="EM584" s="68"/>
      <c r="EN584" s="68"/>
      <c r="EO584" s="68"/>
      <c r="EP584" s="68"/>
      <c r="EQ584" s="65"/>
      <c r="ER584" s="6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" t="str">
        <f t="shared" si="46"/>
        <v/>
      </c>
      <c r="FI584" s="1">
        <f t="shared" si="47"/>
        <v>0</v>
      </c>
      <c r="FJ584" s="38"/>
      <c r="FL584" s="13"/>
    </row>
    <row r="585" spans="1:168" ht="21" hidden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63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61"/>
      <c r="BE585" s="61"/>
      <c r="BF585" s="15"/>
      <c r="BG585" s="15"/>
      <c r="BH585" s="15"/>
      <c r="BI585" s="15"/>
      <c r="BJ585" s="15"/>
      <c r="BK585" s="15"/>
      <c r="BL585" s="15"/>
      <c r="BM585" s="15"/>
      <c r="BN585" s="15"/>
      <c r="BO585" s="64"/>
      <c r="BP585" s="15"/>
      <c r="BQ585" s="15"/>
      <c r="BR585" s="15"/>
      <c r="BS585" s="64"/>
      <c r="BT585" s="64"/>
      <c r="BU585" s="64"/>
      <c r="BV585" s="15"/>
      <c r="BW585" s="64"/>
      <c r="BX585" s="68"/>
      <c r="BY585" s="68"/>
      <c r="BZ585" s="68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15"/>
      <c r="CL585" s="68"/>
      <c r="CM585" s="68"/>
      <c r="CN585" s="68"/>
      <c r="CO585" s="68"/>
      <c r="CP585" s="68"/>
      <c r="CQ585" s="68"/>
      <c r="CR585" s="68"/>
      <c r="CS585" s="68"/>
      <c r="CT585" s="68"/>
      <c r="CU585" s="68"/>
      <c r="CV585" s="68"/>
      <c r="CW585" s="68"/>
      <c r="CX585" s="68"/>
      <c r="CY585" s="68"/>
      <c r="CZ585" s="68"/>
      <c r="DA585" s="68"/>
      <c r="DB585" s="68"/>
      <c r="DC585" s="68"/>
      <c r="DD585" s="68"/>
      <c r="DE585" s="68"/>
      <c r="DF585" s="68"/>
      <c r="DG585" s="68"/>
      <c r="DH585" s="68"/>
      <c r="DI585" s="68"/>
      <c r="DJ585" s="68"/>
      <c r="DK585" s="68"/>
      <c r="DL585" s="68"/>
      <c r="DM585" s="68"/>
      <c r="DN585" s="68"/>
      <c r="DO585" s="68"/>
      <c r="DP585" s="68"/>
      <c r="DQ585" s="68"/>
      <c r="DR585" s="68"/>
      <c r="DS585" s="68"/>
      <c r="DT585" s="68"/>
      <c r="DU585" s="68"/>
      <c r="DV585" s="68"/>
      <c r="DW585" s="68"/>
      <c r="DX585" s="68"/>
      <c r="DY585" s="68"/>
      <c r="DZ585" s="68"/>
      <c r="EA585" s="68"/>
      <c r="EB585" s="68"/>
      <c r="EC585" s="68"/>
      <c r="ED585" s="68"/>
      <c r="EE585" s="68"/>
      <c r="EF585" s="68"/>
      <c r="EG585" s="68"/>
      <c r="EH585" s="68"/>
      <c r="EI585" s="68"/>
      <c r="EJ585" s="68"/>
      <c r="EK585" s="68"/>
      <c r="EL585" s="68"/>
      <c r="EM585" s="68"/>
      <c r="EN585" s="68"/>
      <c r="EO585" s="68"/>
      <c r="EP585" s="68"/>
      <c r="EQ585" s="65"/>
      <c r="ER585" s="6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" t="str">
        <f t="shared" si="46"/>
        <v/>
      </c>
      <c r="FI585" s="1">
        <f t="shared" si="47"/>
        <v>0</v>
      </c>
      <c r="FJ585" s="38"/>
      <c r="FL585" s="13"/>
    </row>
    <row r="586" spans="1:168" ht="21" hidden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63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61"/>
      <c r="BE586" s="61"/>
      <c r="BF586" s="15"/>
      <c r="BG586" s="15"/>
      <c r="BH586" s="15"/>
      <c r="BI586" s="15"/>
      <c r="BJ586" s="15"/>
      <c r="BK586" s="15"/>
      <c r="BL586" s="15"/>
      <c r="BM586" s="15"/>
      <c r="BN586" s="15"/>
      <c r="BO586" s="64"/>
      <c r="BP586" s="15"/>
      <c r="BQ586" s="15"/>
      <c r="BR586" s="15"/>
      <c r="BS586" s="64"/>
      <c r="BT586" s="64"/>
      <c r="BU586" s="64"/>
      <c r="BV586" s="15"/>
      <c r="BW586" s="64"/>
      <c r="BX586" s="68"/>
      <c r="BY586" s="68"/>
      <c r="BZ586" s="68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15"/>
      <c r="CL586" s="68"/>
      <c r="CM586" s="68"/>
      <c r="CN586" s="68"/>
      <c r="CO586" s="68"/>
      <c r="CP586" s="68"/>
      <c r="CQ586" s="68"/>
      <c r="CR586" s="68"/>
      <c r="CS586" s="68"/>
      <c r="CT586" s="68"/>
      <c r="CU586" s="68"/>
      <c r="CV586" s="68"/>
      <c r="CW586" s="68"/>
      <c r="CX586" s="68"/>
      <c r="CY586" s="68"/>
      <c r="CZ586" s="68"/>
      <c r="DA586" s="68"/>
      <c r="DB586" s="68"/>
      <c r="DC586" s="68"/>
      <c r="DD586" s="68"/>
      <c r="DE586" s="68"/>
      <c r="DF586" s="68"/>
      <c r="DG586" s="68"/>
      <c r="DH586" s="68"/>
      <c r="DI586" s="68"/>
      <c r="DJ586" s="68"/>
      <c r="DK586" s="68"/>
      <c r="DL586" s="68"/>
      <c r="DM586" s="68"/>
      <c r="DN586" s="68"/>
      <c r="DO586" s="68"/>
      <c r="DP586" s="68"/>
      <c r="DQ586" s="68"/>
      <c r="DR586" s="68"/>
      <c r="DS586" s="68"/>
      <c r="DT586" s="68"/>
      <c r="DU586" s="68"/>
      <c r="DV586" s="68"/>
      <c r="DW586" s="68"/>
      <c r="DX586" s="68"/>
      <c r="DY586" s="68"/>
      <c r="DZ586" s="68"/>
      <c r="EA586" s="68"/>
      <c r="EB586" s="68"/>
      <c r="EC586" s="68"/>
      <c r="ED586" s="68"/>
      <c r="EE586" s="68"/>
      <c r="EF586" s="68"/>
      <c r="EG586" s="68"/>
      <c r="EH586" s="68"/>
      <c r="EI586" s="68"/>
      <c r="EJ586" s="68"/>
      <c r="EK586" s="68"/>
      <c r="EL586" s="68"/>
      <c r="EM586" s="68"/>
      <c r="EN586" s="68"/>
      <c r="EO586" s="68"/>
      <c r="EP586" s="68"/>
      <c r="EQ586" s="65"/>
      <c r="ER586" s="6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" t="str">
        <f t="shared" si="46"/>
        <v/>
      </c>
      <c r="FI586" s="1">
        <f t="shared" si="47"/>
        <v>0</v>
      </c>
      <c r="FJ586" s="38"/>
      <c r="FL586" s="13"/>
    </row>
    <row r="587" spans="1:168" ht="21" hidden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63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61"/>
      <c r="BE587" s="61"/>
      <c r="BF587" s="15"/>
      <c r="BG587" s="15"/>
      <c r="BH587" s="15"/>
      <c r="BI587" s="15"/>
      <c r="BJ587" s="15"/>
      <c r="BK587" s="15"/>
      <c r="BL587" s="15"/>
      <c r="BM587" s="15"/>
      <c r="BN587" s="15"/>
      <c r="BO587" s="64"/>
      <c r="BP587" s="15"/>
      <c r="BQ587" s="15"/>
      <c r="BR587" s="15"/>
      <c r="BS587" s="64"/>
      <c r="BT587" s="64"/>
      <c r="BU587" s="64"/>
      <c r="BV587" s="15"/>
      <c r="BW587" s="64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15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  <c r="EE587" s="68"/>
      <c r="EF587" s="68"/>
      <c r="EG587" s="68"/>
      <c r="EH587" s="68"/>
      <c r="EI587" s="68"/>
      <c r="EJ587" s="68"/>
      <c r="EK587" s="68"/>
      <c r="EL587" s="68"/>
      <c r="EM587" s="68"/>
      <c r="EN587" s="68"/>
      <c r="EO587" s="68"/>
      <c r="EP587" s="68"/>
      <c r="EQ587" s="65"/>
      <c r="ER587" s="6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5"/>
      <c r="FD587" s="15"/>
      <c r="FE587" s="15"/>
      <c r="FF587" s="15"/>
      <c r="FG587" s="15"/>
      <c r="FH587" s="1" t="str">
        <f t="shared" si="46"/>
        <v/>
      </c>
      <c r="FI587" s="1">
        <f t="shared" si="47"/>
        <v>0</v>
      </c>
      <c r="FJ587" s="38"/>
      <c r="FL587" s="13"/>
    </row>
    <row r="588" spans="1:168" ht="21" hidden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63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61"/>
      <c r="BE588" s="61"/>
      <c r="BF588" s="15"/>
      <c r="BG588" s="15"/>
      <c r="BH588" s="15"/>
      <c r="BI588" s="15"/>
      <c r="BJ588" s="15"/>
      <c r="BK588" s="15"/>
      <c r="BL588" s="15"/>
      <c r="BM588" s="15"/>
      <c r="BN588" s="15"/>
      <c r="BO588" s="64"/>
      <c r="BP588" s="15"/>
      <c r="BQ588" s="15"/>
      <c r="BR588" s="15"/>
      <c r="BS588" s="64"/>
      <c r="BT588" s="64"/>
      <c r="BU588" s="64"/>
      <c r="BV588" s="15"/>
      <c r="BW588" s="64"/>
      <c r="BX588" s="68"/>
      <c r="BY588" s="68"/>
      <c r="BZ588" s="68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15"/>
      <c r="CL588" s="68"/>
      <c r="CM588" s="68"/>
      <c r="CN588" s="68"/>
      <c r="CO588" s="68"/>
      <c r="CP588" s="68"/>
      <c r="CQ588" s="68"/>
      <c r="CR588" s="68"/>
      <c r="CS588" s="68"/>
      <c r="CT588" s="68"/>
      <c r="CU588" s="68"/>
      <c r="CV588" s="68"/>
      <c r="CW588" s="68"/>
      <c r="CX588" s="68"/>
      <c r="CY588" s="68"/>
      <c r="CZ588" s="68"/>
      <c r="DA588" s="68"/>
      <c r="DB588" s="68"/>
      <c r="DC588" s="68"/>
      <c r="DD588" s="68"/>
      <c r="DE588" s="68"/>
      <c r="DF588" s="68"/>
      <c r="DG588" s="68"/>
      <c r="DH588" s="68"/>
      <c r="DI588" s="68"/>
      <c r="DJ588" s="68"/>
      <c r="DK588" s="68"/>
      <c r="DL588" s="68"/>
      <c r="DM588" s="68"/>
      <c r="DN588" s="68"/>
      <c r="DO588" s="68"/>
      <c r="DP588" s="68"/>
      <c r="DQ588" s="68"/>
      <c r="DR588" s="68"/>
      <c r="DS588" s="68"/>
      <c r="DT588" s="68"/>
      <c r="DU588" s="68"/>
      <c r="DV588" s="68"/>
      <c r="DW588" s="68"/>
      <c r="DX588" s="68"/>
      <c r="DY588" s="68"/>
      <c r="DZ588" s="68"/>
      <c r="EA588" s="68"/>
      <c r="EB588" s="68"/>
      <c r="EC588" s="68"/>
      <c r="ED588" s="68"/>
      <c r="EE588" s="68"/>
      <c r="EF588" s="68"/>
      <c r="EG588" s="68"/>
      <c r="EH588" s="68"/>
      <c r="EI588" s="68"/>
      <c r="EJ588" s="68"/>
      <c r="EK588" s="68"/>
      <c r="EL588" s="68"/>
      <c r="EM588" s="68"/>
      <c r="EN588" s="68"/>
      <c r="EO588" s="68"/>
      <c r="EP588" s="68"/>
      <c r="EQ588" s="65"/>
      <c r="ER588" s="6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" t="str">
        <f t="shared" si="46"/>
        <v/>
      </c>
      <c r="FI588" s="1">
        <f t="shared" si="47"/>
        <v>0</v>
      </c>
      <c r="FJ588" s="38"/>
      <c r="FL588" s="13"/>
    </row>
    <row r="589" spans="1:168" ht="21" hidden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63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61"/>
      <c r="BE589" s="61"/>
      <c r="BF589" s="15"/>
      <c r="BG589" s="15"/>
      <c r="BH589" s="15"/>
      <c r="BI589" s="15"/>
      <c r="BJ589" s="15"/>
      <c r="BK589" s="15"/>
      <c r="BL589" s="15"/>
      <c r="BM589" s="15"/>
      <c r="BN589" s="15"/>
      <c r="BO589" s="64"/>
      <c r="BP589" s="15"/>
      <c r="BQ589" s="15"/>
      <c r="BR589" s="15"/>
      <c r="BS589" s="64"/>
      <c r="BT589" s="64"/>
      <c r="BU589" s="64"/>
      <c r="BV589" s="15"/>
      <c r="BW589" s="64"/>
      <c r="BX589" s="68"/>
      <c r="BY589" s="68"/>
      <c r="BZ589" s="68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15"/>
      <c r="CL589" s="68"/>
      <c r="CM589" s="68"/>
      <c r="CN589" s="68"/>
      <c r="CO589" s="68"/>
      <c r="CP589" s="68"/>
      <c r="CQ589" s="68"/>
      <c r="CR589" s="68"/>
      <c r="CS589" s="68"/>
      <c r="CT589" s="68"/>
      <c r="CU589" s="68"/>
      <c r="CV589" s="68"/>
      <c r="CW589" s="68"/>
      <c r="CX589" s="68"/>
      <c r="CY589" s="68"/>
      <c r="CZ589" s="68"/>
      <c r="DA589" s="68"/>
      <c r="DB589" s="68"/>
      <c r="DC589" s="68"/>
      <c r="DD589" s="68"/>
      <c r="DE589" s="68"/>
      <c r="DF589" s="68"/>
      <c r="DG589" s="68"/>
      <c r="DH589" s="68"/>
      <c r="DI589" s="68"/>
      <c r="DJ589" s="68"/>
      <c r="DK589" s="68"/>
      <c r="DL589" s="68"/>
      <c r="DM589" s="68"/>
      <c r="DN589" s="68"/>
      <c r="DO589" s="68"/>
      <c r="DP589" s="68"/>
      <c r="DQ589" s="68"/>
      <c r="DR589" s="68"/>
      <c r="DS589" s="68"/>
      <c r="DT589" s="68"/>
      <c r="DU589" s="68"/>
      <c r="DV589" s="68"/>
      <c r="DW589" s="68"/>
      <c r="DX589" s="68"/>
      <c r="DY589" s="68"/>
      <c r="DZ589" s="68"/>
      <c r="EA589" s="68"/>
      <c r="EB589" s="68"/>
      <c r="EC589" s="68"/>
      <c r="ED589" s="68"/>
      <c r="EE589" s="68"/>
      <c r="EF589" s="68"/>
      <c r="EG589" s="68"/>
      <c r="EH589" s="68"/>
      <c r="EI589" s="68"/>
      <c r="EJ589" s="68"/>
      <c r="EK589" s="68"/>
      <c r="EL589" s="68"/>
      <c r="EM589" s="68"/>
      <c r="EN589" s="68"/>
      <c r="EO589" s="68"/>
      <c r="EP589" s="68"/>
      <c r="EQ589" s="65"/>
      <c r="ER589" s="6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" t="str">
        <f t="shared" si="46"/>
        <v/>
      </c>
      <c r="FI589" s="1">
        <f t="shared" si="47"/>
        <v>0</v>
      </c>
      <c r="FJ589" s="38"/>
      <c r="FL589" s="13"/>
    </row>
    <row r="590" spans="1:168" ht="21" hidden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63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61"/>
      <c r="BE590" s="61"/>
      <c r="BF590" s="15"/>
      <c r="BG590" s="15"/>
      <c r="BH590" s="15"/>
      <c r="BI590" s="15"/>
      <c r="BJ590" s="15"/>
      <c r="BK590" s="15"/>
      <c r="BL590" s="15"/>
      <c r="BM590" s="15"/>
      <c r="BN590" s="15"/>
      <c r="BO590" s="64"/>
      <c r="BP590" s="15"/>
      <c r="BQ590" s="15"/>
      <c r="BR590" s="15"/>
      <c r="BS590" s="64"/>
      <c r="BT590" s="64"/>
      <c r="BU590" s="64"/>
      <c r="BV590" s="15"/>
      <c r="BW590" s="64"/>
      <c r="BX590" s="68"/>
      <c r="BY590" s="68"/>
      <c r="BZ590" s="68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15"/>
      <c r="CL590" s="68"/>
      <c r="CM590" s="68"/>
      <c r="CN590" s="68"/>
      <c r="CO590" s="68"/>
      <c r="CP590" s="68"/>
      <c r="CQ590" s="68"/>
      <c r="CR590" s="68"/>
      <c r="CS590" s="68"/>
      <c r="CT590" s="68"/>
      <c r="CU590" s="68"/>
      <c r="CV590" s="68"/>
      <c r="CW590" s="68"/>
      <c r="CX590" s="68"/>
      <c r="CY590" s="68"/>
      <c r="CZ590" s="68"/>
      <c r="DA590" s="68"/>
      <c r="DB590" s="68"/>
      <c r="DC590" s="68"/>
      <c r="DD590" s="68"/>
      <c r="DE590" s="68"/>
      <c r="DF590" s="68"/>
      <c r="DG590" s="68"/>
      <c r="DH590" s="68"/>
      <c r="DI590" s="68"/>
      <c r="DJ590" s="68"/>
      <c r="DK590" s="68"/>
      <c r="DL590" s="68"/>
      <c r="DM590" s="68"/>
      <c r="DN590" s="68"/>
      <c r="DO590" s="68"/>
      <c r="DP590" s="68"/>
      <c r="DQ590" s="68"/>
      <c r="DR590" s="68"/>
      <c r="DS590" s="68"/>
      <c r="DT590" s="68"/>
      <c r="DU590" s="68"/>
      <c r="DV590" s="68"/>
      <c r="DW590" s="68"/>
      <c r="DX590" s="68"/>
      <c r="DY590" s="68"/>
      <c r="DZ590" s="68"/>
      <c r="EA590" s="68"/>
      <c r="EB590" s="68"/>
      <c r="EC590" s="68"/>
      <c r="ED590" s="68"/>
      <c r="EE590" s="68"/>
      <c r="EF590" s="68"/>
      <c r="EG590" s="68"/>
      <c r="EH590" s="68"/>
      <c r="EI590" s="68"/>
      <c r="EJ590" s="68"/>
      <c r="EK590" s="68"/>
      <c r="EL590" s="68"/>
      <c r="EM590" s="68"/>
      <c r="EN590" s="68"/>
      <c r="EO590" s="68"/>
      <c r="EP590" s="68"/>
      <c r="EQ590" s="65"/>
      <c r="ER590" s="6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" t="str">
        <f t="shared" ref="FH590:FH622" si="48">H590&amp;D590</f>
        <v/>
      </c>
      <c r="FI590" s="1">
        <f t="shared" ref="FI590:FI622" si="49">A590</f>
        <v>0</v>
      </c>
      <c r="FJ590" s="38"/>
      <c r="FL590" s="13"/>
    </row>
    <row r="591" spans="1:168" ht="21" hidden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63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61"/>
      <c r="BE591" s="61"/>
      <c r="BF591" s="15"/>
      <c r="BG591" s="15"/>
      <c r="BH591" s="15"/>
      <c r="BI591" s="15"/>
      <c r="BJ591" s="15"/>
      <c r="BK591" s="15"/>
      <c r="BL591" s="15"/>
      <c r="BM591" s="15"/>
      <c r="BN591" s="15"/>
      <c r="BO591" s="64"/>
      <c r="BP591" s="15"/>
      <c r="BQ591" s="15"/>
      <c r="BR591" s="15"/>
      <c r="BS591" s="64"/>
      <c r="BT591" s="64"/>
      <c r="BU591" s="64"/>
      <c r="BV591" s="15"/>
      <c r="BW591" s="64"/>
      <c r="BX591" s="68"/>
      <c r="BY591" s="68"/>
      <c r="BZ591" s="68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15"/>
      <c r="CL591" s="68"/>
      <c r="CM591" s="68"/>
      <c r="CN591" s="68"/>
      <c r="CO591" s="68"/>
      <c r="CP591" s="68"/>
      <c r="CQ591" s="68"/>
      <c r="CR591" s="68"/>
      <c r="CS591" s="68"/>
      <c r="CT591" s="68"/>
      <c r="CU591" s="68"/>
      <c r="CV591" s="68"/>
      <c r="CW591" s="68"/>
      <c r="CX591" s="68"/>
      <c r="CY591" s="68"/>
      <c r="CZ591" s="68"/>
      <c r="DA591" s="68"/>
      <c r="DB591" s="68"/>
      <c r="DC591" s="68"/>
      <c r="DD591" s="68"/>
      <c r="DE591" s="68"/>
      <c r="DF591" s="68"/>
      <c r="DG591" s="68"/>
      <c r="DH591" s="68"/>
      <c r="DI591" s="68"/>
      <c r="DJ591" s="68"/>
      <c r="DK591" s="68"/>
      <c r="DL591" s="68"/>
      <c r="DM591" s="68"/>
      <c r="DN591" s="68"/>
      <c r="DO591" s="68"/>
      <c r="DP591" s="68"/>
      <c r="DQ591" s="68"/>
      <c r="DR591" s="68"/>
      <c r="DS591" s="68"/>
      <c r="DT591" s="68"/>
      <c r="DU591" s="68"/>
      <c r="DV591" s="68"/>
      <c r="DW591" s="68"/>
      <c r="DX591" s="68"/>
      <c r="DY591" s="68"/>
      <c r="DZ591" s="68"/>
      <c r="EA591" s="68"/>
      <c r="EB591" s="68"/>
      <c r="EC591" s="68"/>
      <c r="ED591" s="68"/>
      <c r="EE591" s="68"/>
      <c r="EF591" s="68"/>
      <c r="EG591" s="68"/>
      <c r="EH591" s="68"/>
      <c r="EI591" s="68"/>
      <c r="EJ591" s="68"/>
      <c r="EK591" s="68"/>
      <c r="EL591" s="68"/>
      <c r="EM591" s="68"/>
      <c r="EN591" s="68"/>
      <c r="EO591" s="68"/>
      <c r="EP591" s="68"/>
      <c r="EQ591" s="65"/>
      <c r="ER591" s="6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" t="str">
        <f t="shared" si="48"/>
        <v/>
      </c>
      <c r="FI591" s="1">
        <f t="shared" si="49"/>
        <v>0</v>
      </c>
      <c r="FJ591" s="38"/>
      <c r="FL591" s="13"/>
    </row>
    <row r="592" spans="1:168" ht="21" hidden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63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61"/>
      <c r="BE592" s="61"/>
      <c r="BF592" s="15"/>
      <c r="BG592" s="15"/>
      <c r="BH592" s="15"/>
      <c r="BI592" s="15"/>
      <c r="BJ592" s="15"/>
      <c r="BK592" s="15"/>
      <c r="BL592" s="15"/>
      <c r="BM592" s="15"/>
      <c r="BN592" s="15"/>
      <c r="BO592" s="64"/>
      <c r="BP592" s="15"/>
      <c r="BQ592" s="15"/>
      <c r="BR592" s="15"/>
      <c r="BS592" s="64"/>
      <c r="BT592" s="64"/>
      <c r="BU592" s="64"/>
      <c r="BV592" s="15"/>
      <c r="BW592" s="64"/>
      <c r="BX592" s="68"/>
      <c r="BY592" s="68"/>
      <c r="BZ592" s="68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15"/>
      <c r="CL592" s="68"/>
      <c r="CM592" s="68"/>
      <c r="CN592" s="68"/>
      <c r="CO592" s="68"/>
      <c r="CP592" s="68"/>
      <c r="CQ592" s="68"/>
      <c r="CR592" s="68"/>
      <c r="CS592" s="68"/>
      <c r="CT592" s="68"/>
      <c r="CU592" s="68"/>
      <c r="CV592" s="68"/>
      <c r="CW592" s="68"/>
      <c r="CX592" s="68"/>
      <c r="CY592" s="68"/>
      <c r="CZ592" s="68"/>
      <c r="DA592" s="68"/>
      <c r="DB592" s="68"/>
      <c r="DC592" s="68"/>
      <c r="DD592" s="68"/>
      <c r="DE592" s="68"/>
      <c r="DF592" s="68"/>
      <c r="DG592" s="68"/>
      <c r="DH592" s="68"/>
      <c r="DI592" s="68"/>
      <c r="DJ592" s="68"/>
      <c r="DK592" s="68"/>
      <c r="DL592" s="68"/>
      <c r="DM592" s="68"/>
      <c r="DN592" s="68"/>
      <c r="DO592" s="68"/>
      <c r="DP592" s="68"/>
      <c r="DQ592" s="68"/>
      <c r="DR592" s="68"/>
      <c r="DS592" s="68"/>
      <c r="DT592" s="68"/>
      <c r="DU592" s="68"/>
      <c r="DV592" s="68"/>
      <c r="DW592" s="68"/>
      <c r="DX592" s="68"/>
      <c r="DY592" s="68"/>
      <c r="DZ592" s="68"/>
      <c r="EA592" s="68"/>
      <c r="EB592" s="68"/>
      <c r="EC592" s="68"/>
      <c r="ED592" s="68"/>
      <c r="EE592" s="68"/>
      <c r="EF592" s="68"/>
      <c r="EG592" s="68"/>
      <c r="EH592" s="68"/>
      <c r="EI592" s="68"/>
      <c r="EJ592" s="68"/>
      <c r="EK592" s="68"/>
      <c r="EL592" s="68"/>
      <c r="EM592" s="68"/>
      <c r="EN592" s="68"/>
      <c r="EO592" s="68"/>
      <c r="EP592" s="68"/>
      <c r="EQ592" s="65"/>
      <c r="ER592" s="6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" t="str">
        <f t="shared" si="48"/>
        <v/>
      </c>
      <c r="FI592" s="1">
        <f t="shared" si="49"/>
        <v>0</v>
      </c>
      <c r="FJ592" s="38"/>
      <c r="FL592" s="13"/>
    </row>
    <row r="593" spans="1:168" ht="21" hidden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63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61"/>
      <c r="BE593" s="61"/>
      <c r="BF593" s="15"/>
      <c r="BG593" s="15"/>
      <c r="BH593" s="15"/>
      <c r="BI593" s="15"/>
      <c r="BJ593" s="15"/>
      <c r="BK593" s="15"/>
      <c r="BL593" s="15"/>
      <c r="BM593" s="15"/>
      <c r="BN593" s="15"/>
      <c r="BO593" s="64"/>
      <c r="BP593" s="15"/>
      <c r="BQ593" s="15"/>
      <c r="BR593" s="15"/>
      <c r="BS593" s="64"/>
      <c r="BT593" s="64"/>
      <c r="BU593" s="64"/>
      <c r="BV593" s="15"/>
      <c r="BW593" s="64"/>
      <c r="BX593" s="68"/>
      <c r="BY593" s="68"/>
      <c r="BZ593" s="68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15"/>
      <c r="CL593" s="68"/>
      <c r="CM593" s="68"/>
      <c r="CN593" s="68"/>
      <c r="CO593" s="68"/>
      <c r="CP593" s="68"/>
      <c r="CQ593" s="68"/>
      <c r="CR593" s="68"/>
      <c r="CS593" s="68"/>
      <c r="CT593" s="68"/>
      <c r="CU593" s="68"/>
      <c r="CV593" s="68"/>
      <c r="CW593" s="68"/>
      <c r="CX593" s="68"/>
      <c r="CY593" s="68"/>
      <c r="CZ593" s="68"/>
      <c r="DA593" s="68"/>
      <c r="DB593" s="68"/>
      <c r="DC593" s="68"/>
      <c r="DD593" s="68"/>
      <c r="DE593" s="68"/>
      <c r="DF593" s="68"/>
      <c r="DG593" s="68"/>
      <c r="DH593" s="68"/>
      <c r="DI593" s="68"/>
      <c r="DJ593" s="68"/>
      <c r="DK593" s="68"/>
      <c r="DL593" s="68"/>
      <c r="DM593" s="68"/>
      <c r="DN593" s="68"/>
      <c r="DO593" s="68"/>
      <c r="DP593" s="68"/>
      <c r="DQ593" s="68"/>
      <c r="DR593" s="68"/>
      <c r="DS593" s="68"/>
      <c r="DT593" s="68"/>
      <c r="DU593" s="68"/>
      <c r="DV593" s="68"/>
      <c r="DW593" s="68"/>
      <c r="DX593" s="68"/>
      <c r="DY593" s="68"/>
      <c r="DZ593" s="68"/>
      <c r="EA593" s="68"/>
      <c r="EB593" s="68"/>
      <c r="EC593" s="68"/>
      <c r="ED593" s="68"/>
      <c r="EE593" s="68"/>
      <c r="EF593" s="68"/>
      <c r="EG593" s="68"/>
      <c r="EH593" s="68"/>
      <c r="EI593" s="68"/>
      <c r="EJ593" s="68"/>
      <c r="EK593" s="68"/>
      <c r="EL593" s="68"/>
      <c r="EM593" s="68"/>
      <c r="EN593" s="68"/>
      <c r="EO593" s="68"/>
      <c r="EP593" s="68"/>
      <c r="EQ593" s="65"/>
      <c r="ER593" s="6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" t="str">
        <f t="shared" si="48"/>
        <v/>
      </c>
      <c r="FI593" s="1">
        <f t="shared" si="49"/>
        <v>0</v>
      </c>
      <c r="FJ593" s="38"/>
      <c r="FL593" s="13"/>
    </row>
    <row r="594" spans="1:168" ht="21" hidden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63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61"/>
      <c r="BE594" s="61"/>
      <c r="BF594" s="15"/>
      <c r="BG594" s="15"/>
      <c r="BH594" s="15"/>
      <c r="BI594" s="15"/>
      <c r="BJ594" s="15"/>
      <c r="BK594" s="15"/>
      <c r="BL594" s="15"/>
      <c r="BM594" s="15"/>
      <c r="BN594" s="15"/>
      <c r="BO594" s="64"/>
      <c r="BP594" s="15"/>
      <c r="BQ594" s="15"/>
      <c r="BR594" s="15"/>
      <c r="BS594" s="64"/>
      <c r="BT594" s="64"/>
      <c r="BU594" s="64"/>
      <c r="BV594" s="15"/>
      <c r="BW594" s="64"/>
      <c r="BX594" s="68"/>
      <c r="BY594" s="68"/>
      <c r="BZ594" s="68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15"/>
      <c r="CL594" s="68"/>
      <c r="CM594" s="68"/>
      <c r="CN594" s="68"/>
      <c r="CO594" s="68"/>
      <c r="CP594" s="68"/>
      <c r="CQ594" s="68"/>
      <c r="CR594" s="68"/>
      <c r="CS594" s="68"/>
      <c r="CT594" s="68"/>
      <c r="CU594" s="68"/>
      <c r="CV594" s="68"/>
      <c r="CW594" s="68"/>
      <c r="CX594" s="68"/>
      <c r="CY594" s="68"/>
      <c r="CZ594" s="68"/>
      <c r="DA594" s="68"/>
      <c r="DB594" s="68"/>
      <c r="DC594" s="68"/>
      <c r="DD594" s="68"/>
      <c r="DE594" s="68"/>
      <c r="DF594" s="68"/>
      <c r="DG594" s="68"/>
      <c r="DH594" s="68"/>
      <c r="DI594" s="68"/>
      <c r="DJ594" s="68"/>
      <c r="DK594" s="68"/>
      <c r="DL594" s="68"/>
      <c r="DM594" s="68"/>
      <c r="DN594" s="68"/>
      <c r="DO594" s="68"/>
      <c r="DP594" s="68"/>
      <c r="DQ594" s="68"/>
      <c r="DR594" s="68"/>
      <c r="DS594" s="68"/>
      <c r="DT594" s="68"/>
      <c r="DU594" s="68"/>
      <c r="DV594" s="68"/>
      <c r="DW594" s="68"/>
      <c r="DX594" s="68"/>
      <c r="DY594" s="68"/>
      <c r="DZ594" s="68"/>
      <c r="EA594" s="68"/>
      <c r="EB594" s="68"/>
      <c r="EC594" s="68"/>
      <c r="ED594" s="68"/>
      <c r="EE594" s="68"/>
      <c r="EF594" s="68"/>
      <c r="EG594" s="68"/>
      <c r="EH594" s="68"/>
      <c r="EI594" s="68"/>
      <c r="EJ594" s="68"/>
      <c r="EK594" s="68"/>
      <c r="EL594" s="68"/>
      <c r="EM594" s="68"/>
      <c r="EN594" s="68"/>
      <c r="EO594" s="68"/>
      <c r="EP594" s="68"/>
      <c r="EQ594" s="65"/>
      <c r="ER594" s="6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" t="str">
        <f t="shared" si="48"/>
        <v/>
      </c>
      <c r="FI594" s="1">
        <f t="shared" si="49"/>
        <v>0</v>
      </c>
      <c r="FJ594" s="38"/>
      <c r="FL594" s="13"/>
    </row>
    <row r="595" spans="1:168" ht="21" hidden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63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61"/>
      <c r="BE595" s="61"/>
      <c r="BF595" s="15"/>
      <c r="BG595" s="15"/>
      <c r="BH595" s="15"/>
      <c r="BI595" s="15"/>
      <c r="BJ595" s="15"/>
      <c r="BK595" s="15"/>
      <c r="BL595" s="15"/>
      <c r="BM595" s="15"/>
      <c r="BN595" s="15"/>
      <c r="BO595" s="64"/>
      <c r="BP595" s="15"/>
      <c r="BQ595" s="15"/>
      <c r="BR595" s="15"/>
      <c r="BS595" s="64"/>
      <c r="BT595" s="64"/>
      <c r="BU595" s="64"/>
      <c r="BV595" s="15"/>
      <c r="BW595" s="64"/>
      <c r="BX595" s="68"/>
      <c r="BY595" s="68"/>
      <c r="BZ595" s="68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15"/>
      <c r="CL595" s="68"/>
      <c r="CM595" s="68"/>
      <c r="CN595" s="68"/>
      <c r="CO595" s="68"/>
      <c r="CP595" s="68"/>
      <c r="CQ595" s="68"/>
      <c r="CR595" s="68"/>
      <c r="CS595" s="68"/>
      <c r="CT595" s="68"/>
      <c r="CU595" s="68"/>
      <c r="CV595" s="68"/>
      <c r="CW595" s="68"/>
      <c r="CX595" s="68"/>
      <c r="CY595" s="68"/>
      <c r="CZ595" s="68"/>
      <c r="DA595" s="68"/>
      <c r="DB595" s="68"/>
      <c r="DC595" s="68"/>
      <c r="DD595" s="68"/>
      <c r="DE595" s="68"/>
      <c r="DF595" s="68"/>
      <c r="DG595" s="68"/>
      <c r="DH595" s="68"/>
      <c r="DI595" s="68"/>
      <c r="DJ595" s="68"/>
      <c r="DK595" s="68"/>
      <c r="DL595" s="68"/>
      <c r="DM595" s="68"/>
      <c r="DN595" s="68"/>
      <c r="DO595" s="68"/>
      <c r="DP595" s="68"/>
      <c r="DQ595" s="68"/>
      <c r="DR595" s="68"/>
      <c r="DS595" s="68"/>
      <c r="DT595" s="68"/>
      <c r="DU595" s="68"/>
      <c r="DV595" s="68"/>
      <c r="DW595" s="68"/>
      <c r="DX595" s="68"/>
      <c r="DY595" s="68"/>
      <c r="DZ595" s="68"/>
      <c r="EA595" s="68"/>
      <c r="EB595" s="68"/>
      <c r="EC595" s="68"/>
      <c r="ED595" s="68"/>
      <c r="EE595" s="68"/>
      <c r="EF595" s="68"/>
      <c r="EG595" s="68"/>
      <c r="EH595" s="68"/>
      <c r="EI595" s="68"/>
      <c r="EJ595" s="68"/>
      <c r="EK595" s="68"/>
      <c r="EL595" s="68"/>
      <c r="EM595" s="68"/>
      <c r="EN595" s="68"/>
      <c r="EO595" s="68"/>
      <c r="EP595" s="68"/>
      <c r="EQ595" s="65"/>
      <c r="ER595" s="6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" t="str">
        <f t="shared" si="48"/>
        <v/>
      </c>
      <c r="FI595" s="1">
        <f t="shared" si="49"/>
        <v>0</v>
      </c>
      <c r="FJ595" s="38"/>
      <c r="FL595" s="13"/>
    </row>
    <row r="596" spans="1:168" ht="21" hidden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63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61"/>
      <c r="BE596" s="61"/>
      <c r="BF596" s="15"/>
      <c r="BG596" s="15"/>
      <c r="BH596" s="15"/>
      <c r="BI596" s="15"/>
      <c r="BJ596" s="15"/>
      <c r="BK596" s="15"/>
      <c r="BL596" s="15"/>
      <c r="BM596" s="15"/>
      <c r="BN596" s="15"/>
      <c r="BO596" s="64"/>
      <c r="BP596" s="15"/>
      <c r="BQ596" s="15"/>
      <c r="BR596" s="15"/>
      <c r="BS596" s="64"/>
      <c r="BT596" s="64"/>
      <c r="BU596" s="64"/>
      <c r="BV596" s="15"/>
      <c r="BW596" s="64"/>
      <c r="BX596" s="68"/>
      <c r="BY596" s="68"/>
      <c r="BZ596" s="68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15"/>
      <c r="CL596" s="68"/>
      <c r="CM596" s="68"/>
      <c r="CN596" s="68"/>
      <c r="CO596" s="68"/>
      <c r="CP596" s="68"/>
      <c r="CQ596" s="68"/>
      <c r="CR596" s="68"/>
      <c r="CS596" s="68"/>
      <c r="CT596" s="68"/>
      <c r="CU596" s="68"/>
      <c r="CV596" s="68"/>
      <c r="CW596" s="68"/>
      <c r="CX596" s="68"/>
      <c r="CY596" s="68"/>
      <c r="CZ596" s="68"/>
      <c r="DA596" s="68"/>
      <c r="DB596" s="68"/>
      <c r="DC596" s="68"/>
      <c r="DD596" s="68"/>
      <c r="DE596" s="68"/>
      <c r="DF596" s="68"/>
      <c r="DG596" s="68"/>
      <c r="DH596" s="68"/>
      <c r="DI596" s="68"/>
      <c r="DJ596" s="68"/>
      <c r="DK596" s="68"/>
      <c r="DL596" s="68"/>
      <c r="DM596" s="68"/>
      <c r="DN596" s="68"/>
      <c r="DO596" s="68"/>
      <c r="DP596" s="68"/>
      <c r="DQ596" s="68"/>
      <c r="DR596" s="68"/>
      <c r="DS596" s="68"/>
      <c r="DT596" s="68"/>
      <c r="DU596" s="68"/>
      <c r="DV596" s="68"/>
      <c r="DW596" s="68"/>
      <c r="DX596" s="68"/>
      <c r="DY596" s="68"/>
      <c r="DZ596" s="68"/>
      <c r="EA596" s="68"/>
      <c r="EB596" s="68"/>
      <c r="EC596" s="68"/>
      <c r="ED596" s="68"/>
      <c r="EE596" s="68"/>
      <c r="EF596" s="68"/>
      <c r="EG596" s="68"/>
      <c r="EH596" s="68"/>
      <c r="EI596" s="68"/>
      <c r="EJ596" s="68"/>
      <c r="EK596" s="68"/>
      <c r="EL596" s="68"/>
      <c r="EM596" s="68"/>
      <c r="EN596" s="68"/>
      <c r="EO596" s="68"/>
      <c r="EP596" s="68"/>
      <c r="EQ596" s="65"/>
      <c r="ER596" s="6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" t="str">
        <f t="shared" si="48"/>
        <v/>
      </c>
      <c r="FI596" s="1">
        <f t="shared" si="49"/>
        <v>0</v>
      </c>
      <c r="FJ596" s="38"/>
      <c r="FL596" s="13"/>
    </row>
    <row r="597" spans="1:168" ht="21" hidden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63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61"/>
      <c r="BE597" s="61"/>
      <c r="BF597" s="15"/>
      <c r="BG597" s="15"/>
      <c r="BH597" s="15"/>
      <c r="BI597" s="15"/>
      <c r="BJ597" s="15"/>
      <c r="BK597" s="15"/>
      <c r="BL597" s="15"/>
      <c r="BM597" s="15"/>
      <c r="BN597" s="15"/>
      <c r="BO597" s="64"/>
      <c r="BP597" s="15"/>
      <c r="BQ597" s="15"/>
      <c r="BR597" s="15"/>
      <c r="BS597" s="64"/>
      <c r="BT597" s="64"/>
      <c r="BU597" s="64"/>
      <c r="BV597" s="15"/>
      <c r="BW597" s="64"/>
      <c r="BX597" s="68"/>
      <c r="BY597" s="68"/>
      <c r="BZ597" s="68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15"/>
      <c r="CL597" s="68"/>
      <c r="CM597" s="68"/>
      <c r="CN597" s="68"/>
      <c r="CO597" s="68"/>
      <c r="CP597" s="68"/>
      <c r="CQ597" s="68"/>
      <c r="CR597" s="68"/>
      <c r="CS597" s="68"/>
      <c r="CT597" s="68"/>
      <c r="CU597" s="68"/>
      <c r="CV597" s="68"/>
      <c r="CW597" s="68"/>
      <c r="CX597" s="68"/>
      <c r="CY597" s="68"/>
      <c r="CZ597" s="68"/>
      <c r="DA597" s="68"/>
      <c r="DB597" s="68"/>
      <c r="DC597" s="68"/>
      <c r="DD597" s="68"/>
      <c r="DE597" s="68"/>
      <c r="DF597" s="68"/>
      <c r="DG597" s="68"/>
      <c r="DH597" s="68"/>
      <c r="DI597" s="68"/>
      <c r="DJ597" s="68"/>
      <c r="DK597" s="68"/>
      <c r="DL597" s="68"/>
      <c r="DM597" s="68"/>
      <c r="DN597" s="68"/>
      <c r="DO597" s="68"/>
      <c r="DP597" s="68"/>
      <c r="DQ597" s="68"/>
      <c r="DR597" s="68"/>
      <c r="DS597" s="68"/>
      <c r="DT597" s="68"/>
      <c r="DU597" s="68"/>
      <c r="DV597" s="68"/>
      <c r="DW597" s="68"/>
      <c r="DX597" s="68"/>
      <c r="DY597" s="68"/>
      <c r="DZ597" s="68"/>
      <c r="EA597" s="68"/>
      <c r="EB597" s="68"/>
      <c r="EC597" s="68"/>
      <c r="ED597" s="68"/>
      <c r="EE597" s="68"/>
      <c r="EF597" s="68"/>
      <c r="EG597" s="68"/>
      <c r="EH597" s="68"/>
      <c r="EI597" s="68"/>
      <c r="EJ597" s="68"/>
      <c r="EK597" s="68"/>
      <c r="EL597" s="68"/>
      <c r="EM597" s="68"/>
      <c r="EN597" s="68"/>
      <c r="EO597" s="68"/>
      <c r="EP597" s="68"/>
      <c r="EQ597" s="65"/>
      <c r="ER597" s="6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" t="str">
        <f t="shared" si="48"/>
        <v/>
      </c>
      <c r="FI597" s="1">
        <f t="shared" si="49"/>
        <v>0</v>
      </c>
      <c r="FJ597" s="38"/>
      <c r="FL597" s="13"/>
    </row>
    <row r="598" spans="1:168" ht="21" hidden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63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61"/>
      <c r="BE598" s="61"/>
      <c r="BF598" s="15"/>
      <c r="BG598" s="15"/>
      <c r="BH598" s="15"/>
      <c r="BI598" s="15"/>
      <c r="BJ598" s="15"/>
      <c r="BK598" s="15"/>
      <c r="BL598" s="15"/>
      <c r="BM598" s="15"/>
      <c r="BN598" s="15"/>
      <c r="BO598" s="64"/>
      <c r="BP598" s="15"/>
      <c r="BQ598" s="15"/>
      <c r="BR598" s="15"/>
      <c r="BS598" s="64"/>
      <c r="BT598" s="64"/>
      <c r="BU598" s="64"/>
      <c r="BV598" s="15"/>
      <c r="BW598" s="64"/>
      <c r="BX598" s="68"/>
      <c r="BY598" s="68"/>
      <c r="BZ598" s="68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15"/>
      <c r="CL598" s="68"/>
      <c r="CM598" s="68"/>
      <c r="CN598" s="68"/>
      <c r="CO598" s="68"/>
      <c r="CP598" s="68"/>
      <c r="CQ598" s="68"/>
      <c r="CR598" s="68"/>
      <c r="CS598" s="68"/>
      <c r="CT598" s="68"/>
      <c r="CU598" s="68"/>
      <c r="CV598" s="68"/>
      <c r="CW598" s="68"/>
      <c r="CX598" s="68"/>
      <c r="CY598" s="68"/>
      <c r="CZ598" s="68"/>
      <c r="DA598" s="68"/>
      <c r="DB598" s="68"/>
      <c r="DC598" s="68"/>
      <c r="DD598" s="68"/>
      <c r="DE598" s="68"/>
      <c r="DF598" s="68"/>
      <c r="DG598" s="68"/>
      <c r="DH598" s="68"/>
      <c r="DI598" s="68"/>
      <c r="DJ598" s="68"/>
      <c r="DK598" s="68"/>
      <c r="DL598" s="68"/>
      <c r="DM598" s="68"/>
      <c r="DN598" s="68"/>
      <c r="DO598" s="68"/>
      <c r="DP598" s="68"/>
      <c r="DQ598" s="68"/>
      <c r="DR598" s="68"/>
      <c r="DS598" s="68"/>
      <c r="DT598" s="68"/>
      <c r="DU598" s="68"/>
      <c r="DV598" s="68"/>
      <c r="DW598" s="68"/>
      <c r="DX598" s="68"/>
      <c r="DY598" s="68"/>
      <c r="DZ598" s="68"/>
      <c r="EA598" s="68"/>
      <c r="EB598" s="68"/>
      <c r="EC598" s="68"/>
      <c r="ED598" s="68"/>
      <c r="EE598" s="68"/>
      <c r="EF598" s="68"/>
      <c r="EG598" s="68"/>
      <c r="EH598" s="68"/>
      <c r="EI598" s="68"/>
      <c r="EJ598" s="68"/>
      <c r="EK598" s="68"/>
      <c r="EL598" s="68"/>
      <c r="EM598" s="68"/>
      <c r="EN598" s="68"/>
      <c r="EO598" s="68"/>
      <c r="EP598" s="68"/>
      <c r="EQ598" s="65"/>
      <c r="ER598" s="6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" t="str">
        <f t="shared" si="48"/>
        <v/>
      </c>
      <c r="FI598" s="1">
        <f t="shared" si="49"/>
        <v>0</v>
      </c>
      <c r="FJ598" s="38"/>
      <c r="FL598" s="13"/>
    </row>
    <row r="599" spans="1:168" ht="21" hidden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63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61"/>
      <c r="BE599" s="61"/>
      <c r="BF599" s="15"/>
      <c r="BG599" s="15"/>
      <c r="BH599" s="15"/>
      <c r="BI599" s="15"/>
      <c r="BJ599" s="15"/>
      <c r="BK599" s="15"/>
      <c r="BL599" s="15"/>
      <c r="BM599" s="15"/>
      <c r="BN599" s="15"/>
      <c r="BO599" s="64"/>
      <c r="BP599" s="15"/>
      <c r="BQ599" s="15"/>
      <c r="BR599" s="15"/>
      <c r="BS599" s="64"/>
      <c r="BT599" s="64"/>
      <c r="BU599" s="64"/>
      <c r="BV599" s="15"/>
      <c r="BW599" s="64"/>
      <c r="BX599" s="68"/>
      <c r="BY599" s="68"/>
      <c r="BZ599" s="68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15"/>
      <c r="CL599" s="68"/>
      <c r="CM599" s="68"/>
      <c r="CN599" s="68"/>
      <c r="CO599" s="68"/>
      <c r="CP599" s="68"/>
      <c r="CQ599" s="68"/>
      <c r="CR599" s="68"/>
      <c r="CS599" s="68"/>
      <c r="CT599" s="68"/>
      <c r="CU599" s="68"/>
      <c r="CV599" s="68"/>
      <c r="CW599" s="68"/>
      <c r="CX599" s="68"/>
      <c r="CY599" s="68"/>
      <c r="CZ599" s="68"/>
      <c r="DA599" s="68"/>
      <c r="DB599" s="68"/>
      <c r="DC599" s="68"/>
      <c r="DD599" s="68"/>
      <c r="DE599" s="68"/>
      <c r="DF599" s="68"/>
      <c r="DG599" s="68"/>
      <c r="DH599" s="68"/>
      <c r="DI599" s="68"/>
      <c r="DJ599" s="68"/>
      <c r="DK599" s="68"/>
      <c r="DL599" s="68"/>
      <c r="DM599" s="68"/>
      <c r="DN599" s="68"/>
      <c r="DO599" s="68"/>
      <c r="DP599" s="68"/>
      <c r="DQ599" s="68"/>
      <c r="DR599" s="68"/>
      <c r="DS599" s="68"/>
      <c r="DT599" s="68"/>
      <c r="DU599" s="68"/>
      <c r="DV599" s="68"/>
      <c r="DW599" s="68"/>
      <c r="DX599" s="68"/>
      <c r="DY599" s="68"/>
      <c r="DZ599" s="68"/>
      <c r="EA599" s="68"/>
      <c r="EB599" s="68"/>
      <c r="EC599" s="68"/>
      <c r="ED599" s="68"/>
      <c r="EE599" s="68"/>
      <c r="EF599" s="68"/>
      <c r="EG599" s="68"/>
      <c r="EH599" s="68"/>
      <c r="EI599" s="68"/>
      <c r="EJ599" s="68"/>
      <c r="EK599" s="68"/>
      <c r="EL599" s="68"/>
      <c r="EM599" s="68"/>
      <c r="EN599" s="68"/>
      <c r="EO599" s="68"/>
      <c r="EP599" s="68"/>
      <c r="EQ599" s="65"/>
      <c r="ER599" s="6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" t="str">
        <f t="shared" si="48"/>
        <v/>
      </c>
      <c r="FI599" s="1">
        <f t="shared" si="49"/>
        <v>0</v>
      </c>
      <c r="FJ599" s="38"/>
      <c r="FL599" s="13"/>
    </row>
    <row r="600" spans="1:168" ht="21" hidden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63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61"/>
      <c r="BE600" s="61"/>
      <c r="BF600" s="15"/>
      <c r="BG600" s="15"/>
      <c r="BH600" s="15"/>
      <c r="BI600" s="15"/>
      <c r="BJ600" s="15"/>
      <c r="BK600" s="15"/>
      <c r="BL600" s="15"/>
      <c r="BM600" s="15"/>
      <c r="BN600" s="15"/>
      <c r="BO600" s="64"/>
      <c r="BP600" s="15"/>
      <c r="BQ600" s="15"/>
      <c r="BR600" s="15"/>
      <c r="BS600" s="64"/>
      <c r="BT600" s="64"/>
      <c r="BU600" s="64"/>
      <c r="BV600" s="15"/>
      <c r="BW600" s="64"/>
      <c r="BX600" s="68"/>
      <c r="BY600" s="68"/>
      <c r="BZ600" s="68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15"/>
      <c r="CL600" s="68"/>
      <c r="CM600" s="68"/>
      <c r="CN600" s="68"/>
      <c r="CO600" s="68"/>
      <c r="CP600" s="68"/>
      <c r="CQ600" s="68"/>
      <c r="CR600" s="68"/>
      <c r="CS600" s="68"/>
      <c r="CT600" s="68"/>
      <c r="CU600" s="68"/>
      <c r="CV600" s="68"/>
      <c r="CW600" s="68"/>
      <c r="CX600" s="68"/>
      <c r="CY600" s="68"/>
      <c r="CZ600" s="68"/>
      <c r="DA600" s="68"/>
      <c r="DB600" s="68"/>
      <c r="DC600" s="68"/>
      <c r="DD600" s="68"/>
      <c r="DE600" s="68"/>
      <c r="DF600" s="68"/>
      <c r="DG600" s="68"/>
      <c r="DH600" s="68"/>
      <c r="DI600" s="68"/>
      <c r="DJ600" s="68"/>
      <c r="DK600" s="68"/>
      <c r="DL600" s="68"/>
      <c r="DM600" s="68"/>
      <c r="DN600" s="68"/>
      <c r="DO600" s="68"/>
      <c r="DP600" s="68"/>
      <c r="DQ600" s="68"/>
      <c r="DR600" s="68"/>
      <c r="DS600" s="68"/>
      <c r="DT600" s="68"/>
      <c r="DU600" s="68"/>
      <c r="DV600" s="68"/>
      <c r="DW600" s="68"/>
      <c r="DX600" s="68"/>
      <c r="DY600" s="68"/>
      <c r="DZ600" s="68"/>
      <c r="EA600" s="68"/>
      <c r="EB600" s="68"/>
      <c r="EC600" s="68"/>
      <c r="ED600" s="68"/>
      <c r="EE600" s="68"/>
      <c r="EF600" s="68"/>
      <c r="EG600" s="68"/>
      <c r="EH600" s="68"/>
      <c r="EI600" s="68"/>
      <c r="EJ600" s="68"/>
      <c r="EK600" s="68"/>
      <c r="EL600" s="68"/>
      <c r="EM600" s="68"/>
      <c r="EN600" s="68"/>
      <c r="EO600" s="68"/>
      <c r="EP600" s="68"/>
      <c r="EQ600" s="65"/>
      <c r="ER600" s="6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" t="str">
        <f t="shared" si="48"/>
        <v/>
      </c>
      <c r="FI600" s="1">
        <f t="shared" si="49"/>
        <v>0</v>
      </c>
      <c r="FJ600" s="38"/>
      <c r="FL600" s="13"/>
    </row>
    <row r="601" spans="1:168" ht="21" hidden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63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61"/>
      <c r="BE601" s="61"/>
      <c r="BF601" s="15"/>
      <c r="BG601" s="15"/>
      <c r="BH601" s="15"/>
      <c r="BI601" s="15"/>
      <c r="BJ601" s="15"/>
      <c r="BK601" s="15"/>
      <c r="BL601" s="15"/>
      <c r="BM601" s="15"/>
      <c r="BN601" s="15"/>
      <c r="BO601" s="64"/>
      <c r="BP601" s="15"/>
      <c r="BQ601" s="15"/>
      <c r="BR601" s="15"/>
      <c r="BS601" s="64"/>
      <c r="BT601" s="64"/>
      <c r="BU601" s="64"/>
      <c r="BV601" s="15"/>
      <c r="BW601" s="64"/>
      <c r="BX601" s="68"/>
      <c r="BY601" s="68"/>
      <c r="BZ601" s="68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15"/>
      <c r="CL601" s="68"/>
      <c r="CM601" s="68"/>
      <c r="CN601" s="68"/>
      <c r="CO601" s="68"/>
      <c r="CP601" s="68"/>
      <c r="CQ601" s="68"/>
      <c r="CR601" s="68"/>
      <c r="CS601" s="68"/>
      <c r="CT601" s="68"/>
      <c r="CU601" s="68"/>
      <c r="CV601" s="68"/>
      <c r="CW601" s="68"/>
      <c r="CX601" s="68"/>
      <c r="CY601" s="68"/>
      <c r="CZ601" s="68"/>
      <c r="DA601" s="68"/>
      <c r="DB601" s="68"/>
      <c r="DC601" s="68"/>
      <c r="DD601" s="68"/>
      <c r="DE601" s="68"/>
      <c r="DF601" s="68"/>
      <c r="DG601" s="68"/>
      <c r="DH601" s="68"/>
      <c r="DI601" s="68"/>
      <c r="DJ601" s="68"/>
      <c r="DK601" s="68"/>
      <c r="DL601" s="68"/>
      <c r="DM601" s="68"/>
      <c r="DN601" s="68"/>
      <c r="DO601" s="68"/>
      <c r="DP601" s="68"/>
      <c r="DQ601" s="68"/>
      <c r="DR601" s="68"/>
      <c r="DS601" s="68"/>
      <c r="DT601" s="68"/>
      <c r="DU601" s="68"/>
      <c r="DV601" s="68"/>
      <c r="DW601" s="68"/>
      <c r="DX601" s="68"/>
      <c r="DY601" s="68"/>
      <c r="DZ601" s="68"/>
      <c r="EA601" s="68"/>
      <c r="EB601" s="68"/>
      <c r="EC601" s="68"/>
      <c r="ED601" s="68"/>
      <c r="EE601" s="68"/>
      <c r="EF601" s="68"/>
      <c r="EG601" s="68"/>
      <c r="EH601" s="68"/>
      <c r="EI601" s="68"/>
      <c r="EJ601" s="68"/>
      <c r="EK601" s="68"/>
      <c r="EL601" s="68"/>
      <c r="EM601" s="68"/>
      <c r="EN601" s="68"/>
      <c r="EO601" s="68"/>
      <c r="EP601" s="68"/>
      <c r="EQ601" s="65"/>
      <c r="ER601" s="6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" t="str">
        <f t="shared" si="48"/>
        <v/>
      </c>
      <c r="FI601" s="1">
        <f t="shared" si="49"/>
        <v>0</v>
      </c>
      <c r="FJ601" s="38"/>
      <c r="FL601" s="13"/>
    </row>
    <row r="602" spans="1:168" ht="21" hidden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63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61"/>
      <c r="BE602" s="61"/>
      <c r="BF602" s="15"/>
      <c r="BG602" s="15"/>
      <c r="BH602" s="15"/>
      <c r="BI602" s="15"/>
      <c r="BJ602" s="15"/>
      <c r="BK602" s="15"/>
      <c r="BL602" s="15"/>
      <c r="BM602" s="15"/>
      <c r="BN602" s="15"/>
      <c r="BO602" s="64"/>
      <c r="BP602" s="15"/>
      <c r="BQ602" s="15"/>
      <c r="BR602" s="15"/>
      <c r="BS602" s="64"/>
      <c r="BT602" s="64"/>
      <c r="BU602" s="64"/>
      <c r="BV602" s="15"/>
      <c r="BW602" s="64"/>
      <c r="BX602" s="68"/>
      <c r="BY602" s="68"/>
      <c r="BZ602" s="68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15"/>
      <c r="CL602" s="68"/>
      <c r="CM602" s="68"/>
      <c r="CN602" s="68"/>
      <c r="CO602" s="68"/>
      <c r="CP602" s="68"/>
      <c r="CQ602" s="68"/>
      <c r="CR602" s="68"/>
      <c r="CS602" s="68"/>
      <c r="CT602" s="68"/>
      <c r="CU602" s="68"/>
      <c r="CV602" s="68"/>
      <c r="CW602" s="68"/>
      <c r="CX602" s="68"/>
      <c r="CY602" s="68"/>
      <c r="CZ602" s="68"/>
      <c r="DA602" s="68"/>
      <c r="DB602" s="68"/>
      <c r="DC602" s="68"/>
      <c r="DD602" s="68"/>
      <c r="DE602" s="68"/>
      <c r="DF602" s="68"/>
      <c r="DG602" s="68"/>
      <c r="DH602" s="68"/>
      <c r="DI602" s="68"/>
      <c r="DJ602" s="68"/>
      <c r="DK602" s="68"/>
      <c r="DL602" s="68"/>
      <c r="DM602" s="68"/>
      <c r="DN602" s="68"/>
      <c r="DO602" s="68"/>
      <c r="DP602" s="68"/>
      <c r="DQ602" s="68"/>
      <c r="DR602" s="68"/>
      <c r="DS602" s="68"/>
      <c r="DT602" s="68"/>
      <c r="DU602" s="68"/>
      <c r="DV602" s="68"/>
      <c r="DW602" s="68"/>
      <c r="DX602" s="68"/>
      <c r="DY602" s="68"/>
      <c r="DZ602" s="68"/>
      <c r="EA602" s="68"/>
      <c r="EB602" s="68"/>
      <c r="EC602" s="68"/>
      <c r="ED602" s="68"/>
      <c r="EE602" s="68"/>
      <c r="EF602" s="68"/>
      <c r="EG602" s="68"/>
      <c r="EH602" s="68"/>
      <c r="EI602" s="68"/>
      <c r="EJ602" s="68"/>
      <c r="EK602" s="68"/>
      <c r="EL602" s="68"/>
      <c r="EM602" s="68"/>
      <c r="EN602" s="68"/>
      <c r="EO602" s="68"/>
      <c r="EP602" s="68"/>
      <c r="EQ602" s="65"/>
      <c r="ER602" s="6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" t="str">
        <f t="shared" si="48"/>
        <v/>
      </c>
      <c r="FI602" s="1">
        <f t="shared" si="49"/>
        <v>0</v>
      </c>
      <c r="FJ602" s="38"/>
      <c r="FL602" s="13"/>
    </row>
    <row r="603" spans="1:168" ht="21" hidden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63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61"/>
      <c r="BE603" s="61"/>
      <c r="BF603" s="15"/>
      <c r="BG603" s="15"/>
      <c r="BH603" s="15"/>
      <c r="BI603" s="15"/>
      <c r="BJ603" s="15"/>
      <c r="BK603" s="15"/>
      <c r="BL603" s="15"/>
      <c r="BM603" s="15"/>
      <c r="BN603" s="15"/>
      <c r="BO603" s="64"/>
      <c r="BP603" s="15"/>
      <c r="BQ603" s="15"/>
      <c r="BR603" s="15"/>
      <c r="BS603" s="64"/>
      <c r="BT603" s="64"/>
      <c r="BU603" s="64"/>
      <c r="BV603" s="15"/>
      <c r="BW603" s="64"/>
      <c r="BX603" s="68"/>
      <c r="BY603" s="68"/>
      <c r="BZ603" s="68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15"/>
      <c r="CL603" s="68"/>
      <c r="CM603" s="68"/>
      <c r="CN603" s="68"/>
      <c r="CO603" s="68"/>
      <c r="CP603" s="68"/>
      <c r="CQ603" s="68"/>
      <c r="CR603" s="68"/>
      <c r="CS603" s="68"/>
      <c r="CT603" s="68"/>
      <c r="CU603" s="68"/>
      <c r="CV603" s="68"/>
      <c r="CW603" s="68"/>
      <c r="CX603" s="68"/>
      <c r="CY603" s="68"/>
      <c r="CZ603" s="68"/>
      <c r="DA603" s="68"/>
      <c r="DB603" s="68"/>
      <c r="DC603" s="68"/>
      <c r="DD603" s="68"/>
      <c r="DE603" s="68"/>
      <c r="DF603" s="68"/>
      <c r="DG603" s="68"/>
      <c r="DH603" s="68"/>
      <c r="DI603" s="68"/>
      <c r="DJ603" s="68"/>
      <c r="DK603" s="68"/>
      <c r="DL603" s="68"/>
      <c r="DM603" s="68"/>
      <c r="DN603" s="68"/>
      <c r="DO603" s="68"/>
      <c r="DP603" s="68"/>
      <c r="DQ603" s="68"/>
      <c r="DR603" s="68"/>
      <c r="DS603" s="68"/>
      <c r="DT603" s="68"/>
      <c r="DU603" s="68"/>
      <c r="DV603" s="68"/>
      <c r="DW603" s="68"/>
      <c r="DX603" s="68"/>
      <c r="DY603" s="68"/>
      <c r="DZ603" s="68"/>
      <c r="EA603" s="68"/>
      <c r="EB603" s="68"/>
      <c r="EC603" s="68"/>
      <c r="ED603" s="68"/>
      <c r="EE603" s="68"/>
      <c r="EF603" s="68"/>
      <c r="EG603" s="68"/>
      <c r="EH603" s="68"/>
      <c r="EI603" s="68"/>
      <c r="EJ603" s="68"/>
      <c r="EK603" s="68"/>
      <c r="EL603" s="68"/>
      <c r="EM603" s="68"/>
      <c r="EN603" s="68"/>
      <c r="EO603" s="68"/>
      <c r="EP603" s="68"/>
      <c r="EQ603" s="65"/>
      <c r="ER603" s="6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5"/>
      <c r="FD603" s="15"/>
      <c r="FE603" s="15"/>
      <c r="FF603" s="15"/>
      <c r="FG603" s="15"/>
      <c r="FH603" s="1" t="str">
        <f t="shared" si="48"/>
        <v/>
      </c>
      <c r="FI603" s="1">
        <f t="shared" si="49"/>
        <v>0</v>
      </c>
      <c r="FJ603" s="38"/>
      <c r="FL603" s="13"/>
    </row>
    <row r="604" spans="1:168" ht="21" hidden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63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61"/>
      <c r="BE604" s="61"/>
      <c r="BF604" s="15"/>
      <c r="BG604" s="15"/>
      <c r="BH604" s="15"/>
      <c r="BI604" s="15"/>
      <c r="BJ604" s="15"/>
      <c r="BK604" s="15"/>
      <c r="BL604" s="15"/>
      <c r="BM604" s="15"/>
      <c r="BN604" s="15"/>
      <c r="BO604" s="64"/>
      <c r="BP604" s="15"/>
      <c r="BQ604" s="15"/>
      <c r="BR604" s="15"/>
      <c r="BS604" s="64"/>
      <c r="BT604" s="64"/>
      <c r="BU604" s="64"/>
      <c r="BV604" s="15"/>
      <c r="BW604" s="64"/>
      <c r="BX604" s="68"/>
      <c r="BY604" s="68"/>
      <c r="BZ604" s="68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15"/>
      <c r="CL604" s="68"/>
      <c r="CM604" s="68"/>
      <c r="CN604" s="68"/>
      <c r="CO604" s="68"/>
      <c r="CP604" s="68"/>
      <c r="CQ604" s="68"/>
      <c r="CR604" s="68"/>
      <c r="CS604" s="68"/>
      <c r="CT604" s="68"/>
      <c r="CU604" s="68"/>
      <c r="CV604" s="68"/>
      <c r="CW604" s="68"/>
      <c r="CX604" s="68"/>
      <c r="CY604" s="68"/>
      <c r="CZ604" s="68"/>
      <c r="DA604" s="68"/>
      <c r="DB604" s="68"/>
      <c r="DC604" s="68"/>
      <c r="DD604" s="68"/>
      <c r="DE604" s="68"/>
      <c r="DF604" s="68"/>
      <c r="DG604" s="68"/>
      <c r="DH604" s="68"/>
      <c r="DI604" s="68"/>
      <c r="DJ604" s="68"/>
      <c r="DK604" s="68"/>
      <c r="DL604" s="68"/>
      <c r="DM604" s="68"/>
      <c r="DN604" s="68"/>
      <c r="DO604" s="68"/>
      <c r="DP604" s="68"/>
      <c r="DQ604" s="68"/>
      <c r="DR604" s="68"/>
      <c r="DS604" s="68"/>
      <c r="DT604" s="68"/>
      <c r="DU604" s="68"/>
      <c r="DV604" s="68"/>
      <c r="DW604" s="68"/>
      <c r="DX604" s="68"/>
      <c r="DY604" s="68"/>
      <c r="DZ604" s="68"/>
      <c r="EA604" s="68"/>
      <c r="EB604" s="68"/>
      <c r="EC604" s="68"/>
      <c r="ED604" s="68"/>
      <c r="EE604" s="68"/>
      <c r="EF604" s="68"/>
      <c r="EG604" s="68"/>
      <c r="EH604" s="68"/>
      <c r="EI604" s="68"/>
      <c r="EJ604" s="68"/>
      <c r="EK604" s="68"/>
      <c r="EL604" s="68"/>
      <c r="EM604" s="68"/>
      <c r="EN604" s="68"/>
      <c r="EO604" s="68"/>
      <c r="EP604" s="68"/>
      <c r="EQ604" s="65"/>
      <c r="ER604" s="6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" t="str">
        <f t="shared" si="48"/>
        <v/>
      </c>
      <c r="FI604" s="1">
        <f t="shared" si="49"/>
        <v>0</v>
      </c>
      <c r="FJ604" s="38"/>
      <c r="FL604" s="13"/>
    </row>
    <row r="605" spans="1:168" ht="21" hidden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63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61"/>
      <c r="BE605" s="61"/>
      <c r="BF605" s="15"/>
      <c r="BG605" s="15"/>
      <c r="BH605" s="15"/>
      <c r="BI605" s="15"/>
      <c r="BJ605" s="15"/>
      <c r="BK605" s="15"/>
      <c r="BL605" s="15"/>
      <c r="BM605" s="15"/>
      <c r="BN605" s="15"/>
      <c r="BO605" s="64"/>
      <c r="BP605" s="15"/>
      <c r="BQ605" s="15"/>
      <c r="BR605" s="15"/>
      <c r="BS605" s="64"/>
      <c r="BT605" s="64"/>
      <c r="BU605" s="64"/>
      <c r="BV605" s="15"/>
      <c r="BW605" s="64"/>
      <c r="BX605" s="68"/>
      <c r="BY605" s="68"/>
      <c r="BZ605" s="68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15"/>
      <c r="CL605" s="68"/>
      <c r="CM605" s="68"/>
      <c r="CN605" s="68"/>
      <c r="CO605" s="68"/>
      <c r="CP605" s="68"/>
      <c r="CQ605" s="68"/>
      <c r="CR605" s="68"/>
      <c r="CS605" s="68"/>
      <c r="CT605" s="68"/>
      <c r="CU605" s="68"/>
      <c r="CV605" s="68"/>
      <c r="CW605" s="68"/>
      <c r="CX605" s="68"/>
      <c r="CY605" s="68"/>
      <c r="CZ605" s="68"/>
      <c r="DA605" s="68"/>
      <c r="DB605" s="68"/>
      <c r="DC605" s="68"/>
      <c r="DD605" s="68"/>
      <c r="DE605" s="68"/>
      <c r="DF605" s="68"/>
      <c r="DG605" s="68"/>
      <c r="DH605" s="68"/>
      <c r="DI605" s="68"/>
      <c r="DJ605" s="68"/>
      <c r="DK605" s="68"/>
      <c r="DL605" s="68"/>
      <c r="DM605" s="68"/>
      <c r="DN605" s="68"/>
      <c r="DO605" s="68"/>
      <c r="DP605" s="68"/>
      <c r="DQ605" s="68"/>
      <c r="DR605" s="68"/>
      <c r="DS605" s="68"/>
      <c r="DT605" s="68"/>
      <c r="DU605" s="68"/>
      <c r="DV605" s="68"/>
      <c r="DW605" s="68"/>
      <c r="DX605" s="68"/>
      <c r="DY605" s="68"/>
      <c r="DZ605" s="68"/>
      <c r="EA605" s="68"/>
      <c r="EB605" s="68"/>
      <c r="EC605" s="68"/>
      <c r="ED605" s="68"/>
      <c r="EE605" s="68"/>
      <c r="EF605" s="68"/>
      <c r="EG605" s="68"/>
      <c r="EH605" s="68"/>
      <c r="EI605" s="68"/>
      <c r="EJ605" s="68"/>
      <c r="EK605" s="68"/>
      <c r="EL605" s="68"/>
      <c r="EM605" s="68"/>
      <c r="EN605" s="68"/>
      <c r="EO605" s="68"/>
      <c r="EP605" s="68"/>
      <c r="EQ605" s="65"/>
      <c r="ER605" s="6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5"/>
      <c r="FG605" s="15"/>
      <c r="FH605" s="1" t="str">
        <f t="shared" si="48"/>
        <v/>
      </c>
      <c r="FI605" s="1">
        <f t="shared" si="49"/>
        <v>0</v>
      </c>
      <c r="FJ605" s="38"/>
      <c r="FL605" s="13"/>
    </row>
    <row r="606" spans="1:168" ht="21" hidden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63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61"/>
      <c r="BE606" s="61"/>
      <c r="BF606" s="15"/>
      <c r="BG606" s="15"/>
      <c r="BH606" s="15"/>
      <c r="BI606" s="15"/>
      <c r="BJ606" s="15"/>
      <c r="BK606" s="15"/>
      <c r="BL606" s="15"/>
      <c r="BM606" s="15"/>
      <c r="BN606" s="15"/>
      <c r="BO606" s="64"/>
      <c r="BP606" s="15"/>
      <c r="BQ606" s="15"/>
      <c r="BR606" s="15"/>
      <c r="BS606" s="64"/>
      <c r="BT606" s="64"/>
      <c r="BU606" s="64"/>
      <c r="BV606" s="15"/>
      <c r="BW606" s="64"/>
      <c r="BX606" s="68"/>
      <c r="BY606" s="68"/>
      <c r="BZ606" s="68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15"/>
      <c r="CL606" s="68"/>
      <c r="CM606" s="68"/>
      <c r="CN606" s="68"/>
      <c r="CO606" s="68"/>
      <c r="CP606" s="68"/>
      <c r="CQ606" s="68"/>
      <c r="CR606" s="68"/>
      <c r="CS606" s="68"/>
      <c r="CT606" s="68"/>
      <c r="CU606" s="68"/>
      <c r="CV606" s="68"/>
      <c r="CW606" s="68"/>
      <c r="CX606" s="68"/>
      <c r="CY606" s="68"/>
      <c r="CZ606" s="68"/>
      <c r="DA606" s="68"/>
      <c r="DB606" s="68"/>
      <c r="DC606" s="68"/>
      <c r="DD606" s="68"/>
      <c r="DE606" s="68"/>
      <c r="DF606" s="68"/>
      <c r="DG606" s="68"/>
      <c r="DH606" s="68"/>
      <c r="DI606" s="68"/>
      <c r="DJ606" s="68"/>
      <c r="DK606" s="68"/>
      <c r="DL606" s="68"/>
      <c r="DM606" s="68"/>
      <c r="DN606" s="68"/>
      <c r="DO606" s="68"/>
      <c r="DP606" s="68"/>
      <c r="DQ606" s="68"/>
      <c r="DR606" s="68"/>
      <c r="DS606" s="68"/>
      <c r="DT606" s="68"/>
      <c r="DU606" s="68"/>
      <c r="DV606" s="68"/>
      <c r="DW606" s="68"/>
      <c r="DX606" s="68"/>
      <c r="DY606" s="68"/>
      <c r="DZ606" s="68"/>
      <c r="EA606" s="68"/>
      <c r="EB606" s="68"/>
      <c r="EC606" s="68"/>
      <c r="ED606" s="68"/>
      <c r="EE606" s="68"/>
      <c r="EF606" s="68"/>
      <c r="EG606" s="68"/>
      <c r="EH606" s="68"/>
      <c r="EI606" s="68"/>
      <c r="EJ606" s="68"/>
      <c r="EK606" s="68"/>
      <c r="EL606" s="68"/>
      <c r="EM606" s="68"/>
      <c r="EN606" s="68"/>
      <c r="EO606" s="68"/>
      <c r="EP606" s="68"/>
      <c r="EQ606" s="65"/>
      <c r="ER606" s="6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" t="str">
        <f t="shared" si="48"/>
        <v/>
      </c>
      <c r="FI606" s="1">
        <f t="shared" si="49"/>
        <v>0</v>
      </c>
      <c r="FJ606" s="38"/>
      <c r="FL606" s="13"/>
    </row>
    <row r="607" spans="1:168" ht="21" hidden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63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61"/>
      <c r="BE607" s="61"/>
      <c r="BF607" s="15"/>
      <c r="BG607" s="15"/>
      <c r="BH607" s="15"/>
      <c r="BI607" s="15"/>
      <c r="BJ607" s="15"/>
      <c r="BK607" s="15"/>
      <c r="BL607" s="15"/>
      <c r="BM607" s="15"/>
      <c r="BN607" s="15"/>
      <c r="BO607" s="64"/>
      <c r="BP607" s="15"/>
      <c r="BQ607" s="15"/>
      <c r="BR607" s="15"/>
      <c r="BS607" s="64"/>
      <c r="BT607" s="64"/>
      <c r="BU607" s="64"/>
      <c r="BV607" s="15"/>
      <c r="BW607" s="64"/>
      <c r="BX607" s="68"/>
      <c r="BY607" s="68"/>
      <c r="BZ607" s="68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15"/>
      <c r="CL607" s="68"/>
      <c r="CM607" s="68"/>
      <c r="CN607" s="68"/>
      <c r="CO607" s="68"/>
      <c r="CP607" s="68"/>
      <c r="CQ607" s="68"/>
      <c r="CR607" s="68"/>
      <c r="CS607" s="68"/>
      <c r="CT607" s="68"/>
      <c r="CU607" s="68"/>
      <c r="CV607" s="68"/>
      <c r="CW607" s="68"/>
      <c r="CX607" s="68"/>
      <c r="CY607" s="68"/>
      <c r="CZ607" s="68"/>
      <c r="DA607" s="68"/>
      <c r="DB607" s="68"/>
      <c r="DC607" s="68"/>
      <c r="DD607" s="68"/>
      <c r="DE607" s="68"/>
      <c r="DF607" s="68"/>
      <c r="DG607" s="68"/>
      <c r="DH607" s="68"/>
      <c r="DI607" s="68"/>
      <c r="DJ607" s="68"/>
      <c r="DK607" s="68"/>
      <c r="DL607" s="68"/>
      <c r="DM607" s="68"/>
      <c r="DN607" s="68"/>
      <c r="DO607" s="68"/>
      <c r="DP607" s="68"/>
      <c r="DQ607" s="68"/>
      <c r="DR607" s="68"/>
      <c r="DS607" s="68"/>
      <c r="DT607" s="68"/>
      <c r="DU607" s="68"/>
      <c r="DV607" s="68"/>
      <c r="DW607" s="68"/>
      <c r="DX607" s="68"/>
      <c r="DY607" s="68"/>
      <c r="DZ607" s="68"/>
      <c r="EA607" s="68"/>
      <c r="EB607" s="68"/>
      <c r="EC607" s="68"/>
      <c r="ED607" s="68"/>
      <c r="EE607" s="68"/>
      <c r="EF607" s="68"/>
      <c r="EG607" s="68"/>
      <c r="EH607" s="68"/>
      <c r="EI607" s="68"/>
      <c r="EJ607" s="68"/>
      <c r="EK607" s="68"/>
      <c r="EL607" s="68"/>
      <c r="EM607" s="68"/>
      <c r="EN607" s="68"/>
      <c r="EO607" s="68"/>
      <c r="EP607" s="68"/>
      <c r="EQ607" s="65"/>
      <c r="ER607" s="6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5"/>
      <c r="FG607" s="15"/>
      <c r="FH607" s="1" t="str">
        <f t="shared" si="48"/>
        <v/>
      </c>
      <c r="FI607" s="1">
        <f t="shared" si="49"/>
        <v>0</v>
      </c>
      <c r="FJ607" s="38"/>
      <c r="FL607" s="13"/>
    </row>
    <row r="608" spans="1:168" ht="21" hidden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63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61"/>
      <c r="BE608" s="61"/>
      <c r="BF608" s="15"/>
      <c r="BG608" s="15"/>
      <c r="BH608" s="15"/>
      <c r="BI608" s="15"/>
      <c r="BJ608" s="15"/>
      <c r="BK608" s="15"/>
      <c r="BL608" s="15"/>
      <c r="BM608" s="15"/>
      <c r="BN608" s="15"/>
      <c r="BO608" s="64"/>
      <c r="BP608" s="15"/>
      <c r="BQ608" s="15"/>
      <c r="BR608" s="15"/>
      <c r="BS608" s="64"/>
      <c r="BT608" s="64"/>
      <c r="BU608" s="64"/>
      <c r="BV608" s="15"/>
      <c r="BW608" s="64"/>
      <c r="BX608" s="68"/>
      <c r="BY608" s="68"/>
      <c r="BZ608" s="68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15"/>
      <c r="CL608" s="68"/>
      <c r="CM608" s="68"/>
      <c r="CN608" s="68"/>
      <c r="CO608" s="68"/>
      <c r="CP608" s="68"/>
      <c r="CQ608" s="68"/>
      <c r="CR608" s="68"/>
      <c r="CS608" s="68"/>
      <c r="CT608" s="68"/>
      <c r="CU608" s="68"/>
      <c r="CV608" s="68"/>
      <c r="CW608" s="68"/>
      <c r="CX608" s="68"/>
      <c r="CY608" s="68"/>
      <c r="CZ608" s="68"/>
      <c r="DA608" s="68"/>
      <c r="DB608" s="68"/>
      <c r="DC608" s="68"/>
      <c r="DD608" s="68"/>
      <c r="DE608" s="68"/>
      <c r="DF608" s="68"/>
      <c r="DG608" s="68"/>
      <c r="DH608" s="68"/>
      <c r="DI608" s="68"/>
      <c r="DJ608" s="68"/>
      <c r="DK608" s="68"/>
      <c r="DL608" s="68"/>
      <c r="DM608" s="68"/>
      <c r="DN608" s="68"/>
      <c r="DO608" s="68"/>
      <c r="DP608" s="68"/>
      <c r="DQ608" s="68"/>
      <c r="DR608" s="68"/>
      <c r="DS608" s="68"/>
      <c r="DT608" s="68"/>
      <c r="DU608" s="68"/>
      <c r="DV608" s="68"/>
      <c r="DW608" s="68"/>
      <c r="DX608" s="68"/>
      <c r="DY608" s="68"/>
      <c r="DZ608" s="68"/>
      <c r="EA608" s="68"/>
      <c r="EB608" s="68"/>
      <c r="EC608" s="68"/>
      <c r="ED608" s="68"/>
      <c r="EE608" s="68"/>
      <c r="EF608" s="68"/>
      <c r="EG608" s="68"/>
      <c r="EH608" s="68"/>
      <c r="EI608" s="68"/>
      <c r="EJ608" s="68"/>
      <c r="EK608" s="68"/>
      <c r="EL608" s="68"/>
      <c r="EM608" s="68"/>
      <c r="EN608" s="68"/>
      <c r="EO608" s="68"/>
      <c r="EP608" s="68"/>
      <c r="EQ608" s="65"/>
      <c r="ER608" s="6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" t="str">
        <f t="shared" si="48"/>
        <v/>
      </c>
      <c r="FI608" s="1">
        <f t="shared" si="49"/>
        <v>0</v>
      </c>
      <c r="FJ608" s="38"/>
      <c r="FL608" s="13"/>
    </row>
    <row r="609" spans="1:168" ht="21" hidden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63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61"/>
      <c r="BE609" s="61"/>
      <c r="BF609" s="15"/>
      <c r="BG609" s="15"/>
      <c r="BH609" s="15"/>
      <c r="BI609" s="15"/>
      <c r="BJ609" s="15"/>
      <c r="BK609" s="15"/>
      <c r="BL609" s="15"/>
      <c r="BM609" s="15"/>
      <c r="BN609" s="15"/>
      <c r="BO609" s="64"/>
      <c r="BP609" s="15"/>
      <c r="BQ609" s="15"/>
      <c r="BR609" s="15"/>
      <c r="BS609" s="64"/>
      <c r="BT609" s="64"/>
      <c r="BU609" s="64"/>
      <c r="BV609" s="15"/>
      <c r="BW609" s="64"/>
      <c r="BX609" s="68"/>
      <c r="BY609" s="68"/>
      <c r="BZ609" s="68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15"/>
      <c r="CL609" s="68"/>
      <c r="CM609" s="68"/>
      <c r="CN609" s="68"/>
      <c r="CO609" s="68"/>
      <c r="CP609" s="68"/>
      <c r="CQ609" s="68"/>
      <c r="CR609" s="68"/>
      <c r="CS609" s="68"/>
      <c r="CT609" s="68"/>
      <c r="CU609" s="68"/>
      <c r="CV609" s="68"/>
      <c r="CW609" s="68"/>
      <c r="CX609" s="68"/>
      <c r="CY609" s="68"/>
      <c r="CZ609" s="68"/>
      <c r="DA609" s="68"/>
      <c r="DB609" s="68"/>
      <c r="DC609" s="68"/>
      <c r="DD609" s="68"/>
      <c r="DE609" s="68"/>
      <c r="DF609" s="68"/>
      <c r="DG609" s="68"/>
      <c r="DH609" s="68"/>
      <c r="DI609" s="68"/>
      <c r="DJ609" s="68"/>
      <c r="DK609" s="68"/>
      <c r="DL609" s="68"/>
      <c r="DM609" s="68"/>
      <c r="DN609" s="68"/>
      <c r="DO609" s="68"/>
      <c r="DP609" s="68"/>
      <c r="DQ609" s="68"/>
      <c r="DR609" s="68"/>
      <c r="DS609" s="68"/>
      <c r="DT609" s="68"/>
      <c r="DU609" s="68"/>
      <c r="DV609" s="68"/>
      <c r="DW609" s="68"/>
      <c r="DX609" s="68"/>
      <c r="DY609" s="68"/>
      <c r="DZ609" s="68"/>
      <c r="EA609" s="68"/>
      <c r="EB609" s="68"/>
      <c r="EC609" s="68"/>
      <c r="ED609" s="68"/>
      <c r="EE609" s="68"/>
      <c r="EF609" s="68"/>
      <c r="EG609" s="68"/>
      <c r="EH609" s="68"/>
      <c r="EI609" s="68"/>
      <c r="EJ609" s="68"/>
      <c r="EK609" s="68"/>
      <c r="EL609" s="68"/>
      <c r="EM609" s="68"/>
      <c r="EN609" s="68"/>
      <c r="EO609" s="68"/>
      <c r="EP609" s="68"/>
      <c r="EQ609" s="65"/>
      <c r="ER609" s="6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" t="str">
        <f t="shared" si="48"/>
        <v/>
      </c>
      <c r="FI609" s="1">
        <f t="shared" si="49"/>
        <v>0</v>
      </c>
      <c r="FJ609" s="38"/>
      <c r="FL609" s="13"/>
    </row>
    <row r="610" spans="1:168" ht="21" hidden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63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61"/>
      <c r="BE610" s="61"/>
      <c r="BF610" s="15"/>
      <c r="BG610" s="15"/>
      <c r="BH610" s="15"/>
      <c r="BI610" s="15"/>
      <c r="BJ610" s="15"/>
      <c r="BK610" s="15"/>
      <c r="BL610" s="15"/>
      <c r="BM610" s="15"/>
      <c r="BN610" s="15"/>
      <c r="BO610" s="64"/>
      <c r="BP610" s="15"/>
      <c r="BQ610" s="15"/>
      <c r="BR610" s="15"/>
      <c r="BS610" s="64"/>
      <c r="BT610" s="64"/>
      <c r="BU610" s="64"/>
      <c r="BV610" s="15"/>
      <c r="BW610" s="64"/>
      <c r="BX610" s="68"/>
      <c r="BY610" s="68"/>
      <c r="BZ610" s="68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15"/>
      <c r="CL610" s="68"/>
      <c r="CM610" s="68"/>
      <c r="CN610" s="68"/>
      <c r="CO610" s="68"/>
      <c r="CP610" s="68"/>
      <c r="CQ610" s="68"/>
      <c r="CR610" s="68"/>
      <c r="CS610" s="68"/>
      <c r="CT610" s="68"/>
      <c r="CU610" s="68"/>
      <c r="CV610" s="68"/>
      <c r="CW610" s="68"/>
      <c r="CX610" s="68"/>
      <c r="CY610" s="68"/>
      <c r="CZ610" s="68"/>
      <c r="DA610" s="68"/>
      <c r="DB610" s="68"/>
      <c r="DC610" s="68"/>
      <c r="DD610" s="68"/>
      <c r="DE610" s="68"/>
      <c r="DF610" s="68"/>
      <c r="DG610" s="68"/>
      <c r="DH610" s="68"/>
      <c r="DI610" s="68"/>
      <c r="DJ610" s="68"/>
      <c r="DK610" s="68"/>
      <c r="DL610" s="68"/>
      <c r="DM610" s="68"/>
      <c r="DN610" s="68"/>
      <c r="DO610" s="68"/>
      <c r="DP610" s="68"/>
      <c r="DQ610" s="68"/>
      <c r="DR610" s="68"/>
      <c r="DS610" s="68"/>
      <c r="DT610" s="68"/>
      <c r="DU610" s="68"/>
      <c r="DV610" s="68"/>
      <c r="DW610" s="68"/>
      <c r="DX610" s="68"/>
      <c r="DY610" s="68"/>
      <c r="DZ610" s="68"/>
      <c r="EA610" s="68"/>
      <c r="EB610" s="68"/>
      <c r="EC610" s="68"/>
      <c r="ED610" s="68"/>
      <c r="EE610" s="68"/>
      <c r="EF610" s="68"/>
      <c r="EG610" s="68"/>
      <c r="EH610" s="68"/>
      <c r="EI610" s="68"/>
      <c r="EJ610" s="68"/>
      <c r="EK610" s="68"/>
      <c r="EL610" s="68"/>
      <c r="EM610" s="68"/>
      <c r="EN610" s="68"/>
      <c r="EO610" s="68"/>
      <c r="EP610" s="68"/>
      <c r="EQ610" s="65"/>
      <c r="ER610" s="6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5"/>
      <c r="FG610" s="15"/>
      <c r="FH610" s="1" t="str">
        <f t="shared" si="48"/>
        <v/>
      </c>
      <c r="FI610" s="1">
        <f t="shared" si="49"/>
        <v>0</v>
      </c>
      <c r="FJ610" s="38"/>
      <c r="FL610" s="13"/>
    </row>
    <row r="611" spans="1:168" ht="21" hidden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63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61"/>
      <c r="BE611" s="61"/>
      <c r="BF611" s="15"/>
      <c r="BG611" s="15"/>
      <c r="BH611" s="15"/>
      <c r="BI611" s="15"/>
      <c r="BJ611" s="15"/>
      <c r="BK611" s="15"/>
      <c r="BL611" s="15"/>
      <c r="BM611" s="15"/>
      <c r="BN611" s="15"/>
      <c r="BO611" s="64"/>
      <c r="BP611" s="15"/>
      <c r="BQ611" s="15"/>
      <c r="BR611" s="15"/>
      <c r="BS611" s="64"/>
      <c r="BT611" s="64"/>
      <c r="BU611" s="64"/>
      <c r="BV611" s="15"/>
      <c r="BW611" s="64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15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  <c r="EE611" s="68"/>
      <c r="EF611" s="68"/>
      <c r="EG611" s="68"/>
      <c r="EH611" s="68"/>
      <c r="EI611" s="68"/>
      <c r="EJ611" s="68"/>
      <c r="EK611" s="68"/>
      <c r="EL611" s="68"/>
      <c r="EM611" s="68"/>
      <c r="EN611" s="68"/>
      <c r="EO611" s="68"/>
      <c r="EP611" s="68"/>
      <c r="EQ611" s="65"/>
      <c r="ER611" s="6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" t="str">
        <f t="shared" si="48"/>
        <v/>
      </c>
      <c r="FI611" s="1">
        <f t="shared" si="49"/>
        <v>0</v>
      </c>
      <c r="FJ611" s="38"/>
      <c r="FL611" s="13"/>
    </row>
    <row r="612" spans="1:168" ht="21" hidden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63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61"/>
      <c r="BE612" s="61"/>
      <c r="BF612" s="15"/>
      <c r="BG612" s="15"/>
      <c r="BH612" s="15"/>
      <c r="BI612" s="15"/>
      <c r="BJ612" s="15"/>
      <c r="BK612" s="15"/>
      <c r="BL612" s="15"/>
      <c r="BM612" s="15"/>
      <c r="BN612" s="15"/>
      <c r="BO612" s="64"/>
      <c r="BP612" s="15"/>
      <c r="BQ612" s="15"/>
      <c r="BR612" s="15"/>
      <c r="BS612" s="64"/>
      <c r="BT612" s="64"/>
      <c r="BU612" s="64"/>
      <c r="BV612" s="15"/>
      <c r="BW612" s="64"/>
      <c r="BX612" s="68"/>
      <c r="BY612" s="68"/>
      <c r="BZ612" s="68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15"/>
      <c r="CL612" s="68"/>
      <c r="CM612" s="68"/>
      <c r="CN612" s="68"/>
      <c r="CO612" s="68"/>
      <c r="CP612" s="68"/>
      <c r="CQ612" s="68"/>
      <c r="CR612" s="68"/>
      <c r="CS612" s="68"/>
      <c r="CT612" s="68"/>
      <c r="CU612" s="68"/>
      <c r="CV612" s="68"/>
      <c r="CW612" s="68"/>
      <c r="CX612" s="68"/>
      <c r="CY612" s="68"/>
      <c r="CZ612" s="68"/>
      <c r="DA612" s="68"/>
      <c r="DB612" s="68"/>
      <c r="DC612" s="68"/>
      <c r="DD612" s="68"/>
      <c r="DE612" s="68"/>
      <c r="DF612" s="68"/>
      <c r="DG612" s="68"/>
      <c r="DH612" s="68"/>
      <c r="DI612" s="68"/>
      <c r="DJ612" s="68"/>
      <c r="DK612" s="68"/>
      <c r="DL612" s="68"/>
      <c r="DM612" s="68"/>
      <c r="DN612" s="68"/>
      <c r="DO612" s="68"/>
      <c r="DP612" s="68"/>
      <c r="DQ612" s="68"/>
      <c r="DR612" s="68"/>
      <c r="DS612" s="68"/>
      <c r="DT612" s="68"/>
      <c r="DU612" s="68"/>
      <c r="DV612" s="68"/>
      <c r="DW612" s="68"/>
      <c r="DX612" s="68"/>
      <c r="DY612" s="68"/>
      <c r="DZ612" s="68"/>
      <c r="EA612" s="68"/>
      <c r="EB612" s="68"/>
      <c r="EC612" s="68"/>
      <c r="ED612" s="68"/>
      <c r="EE612" s="68"/>
      <c r="EF612" s="68"/>
      <c r="EG612" s="68"/>
      <c r="EH612" s="68"/>
      <c r="EI612" s="68"/>
      <c r="EJ612" s="68"/>
      <c r="EK612" s="68"/>
      <c r="EL612" s="68"/>
      <c r="EM612" s="68"/>
      <c r="EN612" s="68"/>
      <c r="EO612" s="68"/>
      <c r="EP612" s="68"/>
      <c r="EQ612" s="65"/>
      <c r="ER612" s="6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" t="str">
        <f t="shared" si="48"/>
        <v/>
      </c>
      <c r="FI612" s="1">
        <f t="shared" si="49"/>
        <v>0</v>
      </c>
      <c r="FJ612" s="38"/>
      <c r="FL612" s="13"/>
    </row>
    <row r="613" spans="1:168" ht="21" hidden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63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61"/>
      <c r="BE613" s="61"/>
      <c r="BF613" s="15"/>
      <c r="BG613" s="15"/>
      <c r="BH613" s="15"/>
      <c r="BI613" s="15"/>
      <c r="BJ613" s="15"/>
      <c r="BK613" s="15"/>
      <c r="BL613" s="15"/>
      <c r="BM613" s="15"/>
      <c r="BN613" s="15"/>
      <c r="BO613" s="64"/>
      <c r="BP613" s="15"/>
      <c r="BQ613" s="15"/>
      <c r="BR613" s="15"/>
      <c r="BS613" s="64"/>
      <c r="BT613" s="64"/>
      <c r="BU613" s="64"/>
      <c r="BV613" s="15"/>
      <c r="BW613" s="64"/>
      <c r="BX613" s="68"/>
      <c r="BY613" s="68"/>
      <c r="BZ613" s="68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15"/>
      <c r="CL613" s="68"/>
      <c r="CM613" s="68"/>
      <c r="CN613" s="68"/>
      <c r="CO613" s="68"/>
      <c r="CP613" s="68"/>
      <c r="CQ613" s="68"/>
      <c r="CR613" s="68"/>
      <c r="CS613" s="68"/>
      <c r="CT613" s="68"/>
      <c r="CU613" s="68"/>
      <c r="CV613" s="68"/>
      <c r="CW613" s="68"/>
      <c r="CX613" s="68"/>
      <c r="CY613" s="68"/>
      <c r="CZ613" s="68"/>
      <c r="DA613" s="68"/>
      <c r="DB613" s="68"/>
      <c r="DC613" s="68"/>
      <c r="DD613" s="68"/>
      <c r="DE613" s="68"/>
      <c r="DF613" s="68"/>
      <c r="DG613" s="68"/>
      <c r="DH613" s="68"/>
      <c r="DI613" s="68"/>
      <c r="DJ613" s="68"/>
      <c r="DK613" s="68"/>
      <c r="DL613" s="68"/>
      <c r="DM613" s="68"/>
      <c r="DN613" s="68"/>
      <c r="DO613" s="68"/>
      <c r="DP613" s="68"/>
      <c r="DQ613" s="68"/>
      <c r="DR613" s="68"/>
      <c r="DS613" s="68"/>
      <c r="DT613" s="68"/>
      <c r="DU613" s="68"/>
      <c r="DV613" s="68"/>
      <c r="DW613" s="68"/>
      <c r="DX613" s="68"/>
      <c r="DY613" s="68"/>
      <c r="DZ613" s="68"/>
      <c r="EA613" s="68"/>
      <c r="EB613" s="68"/>
      <c r="EC613" s="68"/>
      <c r="ED613" s="68"/>
      <c r="EE613" s="68"/>
      <c r="EF613" s="68"/>
      <c r="EG613" s="68"/>
      <c r="EH613" s="68"/>
      <c r="EI613" s="68"/>
      <c r="EJ613" s="68"/>
      <c r="EK613" s="68"/>
      <c r="EL613" s="68"/>
      <c r="EM613" s="68"/>
      <c r="EN613" s="68"/>
      <c r="EO613" s="68"/>
      <c r="EP613" s="68"/>
      <c r="EQ613" s="65"/>
      <c r="ER613" s="6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" t="str">
        <f t="shared" si="48"/>
        <v/>
      </c>
      <c r="FI613" s="1">
        <f t="shared" si="49"/>
        <v>0</v>
      </c>
      <c r="FJ613" s="38"/>
      <c r="FL613" s="13"/>
    </row>
    <row r="614" spans="1:168" ht="21" hidden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63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61"/>
      <c r="BE614" s="61"/>
      <c r="BF614" s="15"/>
      <c r="BG614" s="15"/>
      <c r="BH614" s="15"/>
      <c r="BI614" s="15"/>
      <c r="BJ614" s="15"/>
      <c r="BK614" s="15"/>
      <c r="BL614" s="15"/>
      <c r="BM614" s="15"/>
      <c r="BN614" s="15"/>
      <c r="BO614" s="64"/>
      <c r="BP614" s="15"/>
      <c r="BQ614" s="15"/>
      <c r="BR614" s="15"/>
      <c r="BS614" s="64"/>
      <c r="BT614" s="64"/>
      <c r="BU614" s="64"/>
      <c r="BV614" s="15"/>
      <c r="BW614" s="64"/>
      <c r="BX614" s="68"/>
      <c r="BY614" s="68"/>
      <c r="BZ614" s="68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15"/>
      <c r="CL614" s="68"/>
      <c r="CM614" s="68"/>
      <c r="CN614" s="68"/>
      <c r="CO614" s="68"/>
      <c r="CP614" s="68"/>
      <c r="CQ614" s="68"/>
      <c r="CR614" s="68"/>
      <c r="CS614" s="68"/>
      <c r="CT614" s="68"/>
      <c r="CU614" s="68"/>
      <c r="CV614" s="68"/>
      <c r="CW614" s="68"/>
      <c r="CX614" s="68"/>
      <c r="CY614" s="68"/>
      <c r="CZ614" s="68"/>
      <c r="DA614" s="68"/>
      <c r="DB614" s="68"/>
      <c r="DC614" s="68"/>
      <c r="DD614" s="68"/>
      <c r="DE614" s="68"/>
      <c r="DF614" s="68"/>
      <c r="DG614" s="68"/>
      <c r="DH614" s="68"/>
      <c r="DI614" s="68"/>
      <c r="DJ614" s="68"/>
      <c r="DK614" s="68"/>
      <c r="DL614" s="68"/>
      <c r="DM614" s="68"/>
      <c r="DN614" s="68"/>
      <c r="DO614" s="68"/>
      <c r="DP614" s="68"/>
      <c r="DQ614" s="68"/>
      <c r="DR614" s="68"/>
      <c r="DS614" s="68"/>
      <c r="DT614" s="68"/>
      <c r="DU614" s="68"/>
      <c r="DV614" s="68"/>
      <c r="DW614" s="68"/>
      <c r="DX614" s="68"/>
      <c r="DY614" s="68"/>
      <c r="DZ614" s="68"/>
      <c r="EA614" s="68"/>
      <c r="EB614" s="68"/>
      <c r="EC614" s="68"/>
      <c r="ED614" s="68"/>
      <c r="EE614" s="68"/>
      <c r="EF614" s="68"/>
      <c r="EG614" s="68"/>
      <c r="EH614" s="68"/>
      <c r="EI614" s="68"/>
      <c r="EJ614" s="68"/>
      <c r="EK614" s="68"/>
      <c r="EL614" s="68"/>
      <c r="EM614" s="68"/>
      <c r="EN614" s="68"/>
      <c r="EO614" s="68"/>
      <c r="EP614" s="68"/>
      <c r="EQ614" s="65"/>
      <c r="ER614" s="6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" t="str">
        <f t="shared" si="48"/>
        <v/>
      </c>
      <c r="FI614" s="1">
        <f t="shared" si="49"/>
        <v>0</v>
      </c>
      <c r="FJ614" s="38"/>
      <c r="FL614" s="13"/>
    </row>
    <row r="615" spans="1:168" ht="21" hidden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63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61"/>
      <c r="BE615" s="61"/>
      <c r="BF615" s="15"/>
      <c r="BG615" s="15"/>
      <c r="BH615" s="15"/>
      <c r="BI615" s="15"/>
      <c r="BJ615" s="15"/>
      <c r="BK615" s="15"/>
      <c r="BL615" s="15"/>
      <c r="BM615" s="15"/>
      <c r="BN615" s="15"/>
      <c r="BO615" s="64"/>
      <c r="BP615" s="15"/>
      <c r="BQ615" s="15"/>
      <c r="BR615" s="15"/>
      <c r="BS615" s="64"/>
      <c r="BT615" s="64"/>
      <c r="BU615" s="64"/>
      <c r="BV615" s="15"/>
      <c r="BW615" s="64"/>
      <c r="BX615" s="68"/>
      <c r="BY615" s="68"/>
      <c r="BZ615" s="68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15"/>
      <c r="CL615" s="68"/>
      <c r="CM615" s="68"/>
      <c r="CN615" s="68"/>
      <c r="CO615" s="68"/>
      <c r="CP615" s="68"/>
      <c r="CQ615" s="68"/>
      <c r="CR615" s="68"/>
      <c r="CS615" s="68"/>
      <c r="CT615" s="68"/>
      <c r="CU615" s="68"/>
      <c r="CV615" s="68"/>
      <c r="CW615" s="68"/>
      <c r="CX615" s="68"/>
      <c r="CY615" s="68"/>
      <c r="CZ615" s="68"/>
      <c r="DA615" s="68"/>
      <c r="DB615" s="68"/>
      <c r="DC615" s="68"/>
      <c r="DD615" s="68"/>
      <c r="DE615" s="68"/>
      <c r="DF615" s="68"/>
      <c r="DG615" s="68"/>
      <c r="DH615" s="68"/>
      <c r="DI615" s="68"/>
      <c r="DJ615" s="68"/>
      <c r="DK615" s="68"/>
      <c r="DL615" s="68"/>
      <c r="DM615" s="68"/>
      <c r="DN615" s="68"/>
      <c r="DO615" s="68"/>
      <c r="DP615" s="68"/>
      <c r="DQ615" s="68"/>
      <c r="DR615" s="68"/>
      <c r="DS615" s="68"/>
      <c r="DT615" s="68"/>
      <c r="DU615" s="68"/>
      <c r="DV615" s="68"/>
      <c r="DW615" s="68"/>
      <c r="DX615" s="68"/>
      <c r="DY615" s="68"/>
      <c r="DZ615" s="68"/>
      <c r="EA615" s="68"/>
      <c r="EB615" s="68"/>
      <c r="EC615" s="68"/>
      <c r="ED615" s="68"/>
      <c r="EE615" s="68"/>
      <c r="EF615" s="68"/>
      <c r="EG615" s="68"/>
      <c r="EH615" s="68"/>
      <c r="EI615" s="68"/>
      <c r="EJ615" s="68"/>
      <c r="EK615" s="68"/>
      <c r="EL615" s="68"/>
      <c r="EM615" s="68"/>
      <c r="EN615" s="68"/>
      <c r="EO615" s="68"/>
      <c r="EP615" s="68"/>
      <c r="EQ615" s="65"/>
      <c r="ER615" s="6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" t="str">
        <f t="shared" si="48"/>
        <v/>
      </c>
      <c r="FI615" s="1">
        <f t="shared" si="49"/>
        <v>0</v>
      </c>
      <c r="FJ615" s="38"/>
      <c r="FL615" s="13"/>
    </row>
    <row r="616" spans="1:168" ht="21" hidden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63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61"/>
      <c r="BE616" s="61"/>
      <c r="BF616" s="15"/>
      <c r="BG616" s="15"/>
      <c r="BH616" s="15"/>
      <c r="BI616" s="15"/>
      <c r="BJ616" s="15"/>
      <c r="BK616" s="15"/>
      <c r="BL616" s="15"/>
      <c r="BM616" s="15"/>
      <c r="BN616" s="15"/>
      <c r="BO616" s="64"/>
      <c r="BP616" s="15"/>
      <c r="BQ616" s="15"/>
      <c r="BR616" s="15"/>
      <c r="BS616" s="64"/>
      <c r="BT616" s="64"/>
      <c r="BU616" s="64"/>
      <c r="BV616" s="15"/>
      <c r="BW616" s="64"/>
      <c r="BX616" s="68"/>
      <c r="BY616" s="68"/>
      <c r="BZ616" s="68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15"/>
      <c r="CL616" s="68"/>
      <c r="CM616" s="68"/>
      <c r="CN616" s="68"/>
      <c r="CO616" s="68"/>
      <c r="CP616" s="68"/>
      <c r="CQ616" s="68"/>
      <c r="CR616" s="68"/>
      <c r="CS616" s="68"/>
      <c r="CT616" s="68"/>
      <c r="CU616" s="68"/>
      <c r="CV616" s="68"/>
      <c r="CW616" s="68"/>
      <c r="CX616" s="68"/>
      <c r="CY616" s="68"/>
      <c r="CZ616" s="68"/>
      <c r="DA616" s="68"/>
      <c r="DB616" s="68"/>
      <c r="DC616" s="68"/>
      <c r="DD616" s="68"/>
      <c r="DE616" s="68"/>
      <c r="DF616" s="68"/>
      <c r="DG616" s="68"/>
      <c r="DH616" s="68"/>
      <c r="DI616" s="68"/>
      <c r="DJ616" s="68"/>
      <c r="DK616" s="68"/>
      <c r="DL616" s="68"/>
      <c r="DM616" s="68"/>
      <c r="DN616" s="68"/>
      <c r="DO616" s="68"/>
      <c r="DP616" s="68"/>
      <c r="DQ616" s="68"/>
      <c r="DR616" s="68"/>
      <c r="DS616" s="68"/>
      <c r="DT616" s="68"/>
      <c r="DU616" s="68"/>
      <c r="DV616" s="68"/>
      <c r="DW616" s="68"/>
      <c r="DX616" s="68"/>
      <c r="DY616" s="68"/>
      <c r="DZ616" s="68"/>
      <c r="EA616" s="68"/>
      <c r="EB616" s="68"/>
      <c r="EC616" s="68"/>
      <c r="ED616" s="68"/>
      <c r="EE616" s="68"/>
      <c r="EF616" s="68"/>
      <c r="EG616" s="68"/>
      <c r="EH616" s="68"/>
      <c r="EI616" s="68"/>
      <c r="EJ616" s="68"/>
      <c r="EK616" s="68"/>
      <c r="EL616" s="68"/>
      <c r="EM616" s="68"/>
      <c r="EN616" s="68"/>
      <c r="EO616" s="68"/>
      <c r="EP616" s="68"/>
      <c r="EQ616" s="65"/>
      <c r="ER616" s="6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5"/>
      <c r="FG616" s="15"/>
      <c r="FH616" s="1" t="str">
        <f t="shared" si="48"/>
        <v/>
      </c>
      <c r="FI616" s="1">
        <f t="shared" si="49"/>
        <v>0</v>
      </c>
      <c r="FJ616" s="38"/>
      <c r="FL616" s="13"/>
    </row>
    <row r="617" spans="1:168" ht="21" hidden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63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61"/>
      <c r="BE617" s="61"/>
      <c r="BF617" s="15"/>
      <c r="BG617" s="15"/>
      <c r="BH617" s="15"/>
      <c r="BI617" s="15"/>
      <c r="BJ617" s="15"/>
      <c r="BK617" s="15"/>
      <c r="BL617" s="15"/>
      <c r="BM617" s="15"/>
      <c r="BN617" s="15"/>
      <c r="BO617" s="64"/>
      <c r="BP617" s="15"/>
      <c r="BQ617" s="15"/>
      <c r="BR617" s="15"/>
      <c r="BS617" s="64"/>
      <c r="BT617" s="64"/>
      <c r="BU617" s="64"/>
      <c r="BV617" s="15"/>
      <c r="BW617" s="64"/>
      <c r="BX617" s="68"/>
      <c r="BY617" s="68"/>
      <c r="BZ617" s="68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15"/>
      <c r="CL617" s="68"/>
      <c r="CM617" s="68"/>
      <c r="CN617" s="68"/>
      <c r="CO617" s="68"/>
      <c r="CP617" s="68"/>
      <c r="CQ617" s="68"/>
      <c r="CR617" s="68"/>
      <c r="CS617" s="68"/>
      <c r="CT617" s="68"/>
      <c r="CU617" s="68"/>
      <c r="CV617" s="68"/>
      <c r="CW617" s="68"/>
      <c r="CX617" s="68"/>
      <c r="CY617" s="68"/>
      <c r="CZ617" s="68"/>
      <c r="DA617" s="68"/>
      <c r="DB617" s="68"/>
      <c r="DC617" s="68"/>
      <c r="DD617" s="68"/>
      <c r="DE617" s="68"/>
      <c r="DF617" s="68"/>
      <c r="DG617" s="68"/>
      <c r="DH617" s="68"/>
      <c r="DI617" s="68"/>
      <c r="DJ617" s="68"/>
      <c r="DK617" s="68"/>
      <c r="DL617" s="68"/>
      <c r="DM617" s="68"/>
      <c r="DN617" s="68"/>
      <c r="DO617" s="68"/>
      <c r="DP617" s="68"/>
      <c r="DQ617" s="68"/>
      <c r="DR617" s="68"/>
      <c r="DS617" s="68"/>
      <c r="DT617" s="68"/>
      <c r="DU617" s="68"/>
      <c r="DV617" s="68"/>
      <c r="DW617" s="68"/>
      <c r="DX617" s="68"/>
      <c r="DY617" s="68"/>
      <c r="DZ617" s="68"/>
      <c r="EA617" s="68"/>
      <c r="EB617" s="68"/>
      <c r="EC617" s="68"/>
      <c r="ED617" s="68"/>
      <c r="EE617" s="68"/>
      <c r="EF617" s="68"/>
      <c r="EG617" s="68"/>
      <c r="EH617" s="68"/>
      <c r="EI617" s="68"/>
      <c r="EJ617" s="68"/>
      <c r="EK617" s="68"/>
      <c r="EL617" s="68"/>
      <c r="EM617" s="68"/>
      <c r="EN617" s="68"/>
      <c r="EO617" s="68"/>
      <c r="EP617" s="68"/>
      <c r="EQ617" s="65"/>
      <c r="ER617" s="6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" t="str">
        <f t="shared" si="48"/>
        <v/>
      </c>
      <c r="FI617" s="1">
        <f t="shared" si="49"/>
        <v>0</v>
      </c>
      <c r="FJ617" s="38"/>
      <c r="FL617" s="13"/>
    </row>
    <row r="618" spans="1:168" ht="21" hidden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63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61"/>
      <c r="BE618" s="61"/>
      <c r="BF618" s="15"/>
      <c r="BG618" s="15"/>
      <c r="BH618" s="15"/>
      <c r="BI618" s="15"/>
      <c r="BJ618" s="15"/>
      <c r="BK618" s="15"/>
      <c r="BL618" s="15"/>
      <c r="BM618" s="15"/>
      <c r="BN618" s="15"/>
      <c r="BO618" s="64"/>
      <c r="BP618" s="15"/>
      <c r="BQ618" s="15"/>
      <c r="BR618" s="15"/>
      <c r="BS618" s="64"/>
      <c r="BT618" s="64"/>
      <c r="BU618" s="64"/>
      <c r="BV618" s="15"/>
      <c r="BW618" s="64"/>
      <c r="BX618" s="68"/>
      <c r="BY618" s="68"/>
      <c r="BZ618" s="68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15"/>
      <c r="CL618" s="68"/>
      <c r="CM618" s="68"/>
      <c r="CN618" s="68"/>
      <c r="CO618" s="68"/>
      <c r="CP618" s="68"/>
      <c r="CQ618" s="68"/>
      <c r="CR618" s="68"/>
      <c r="CS618" s="68"/>
      <c r="CT618" s="68"/>
      <c r="CU618" s="68"/>
      <c r="CV618" s="68"/>
      <c r="CW618" s="68"/>
      <c r="CX618" s="68"/>
      <c r="CY618" s="68"/>
      <c r="CZ618" s="68"/>
      <c r="DA618" s="68"/>
      <c r="DB618" s="68"/>
      <c r="DC618" s="68"/>
      <c r="DD618" s="68"/>
      <c r="DE618" s="68"/>
      <c r="DF618" s="68"/>
      <c r="DG618" s="68"/>
      <c r="DH618" s="68"/>
      <c r="DI618" s="68"/>
      <c r="DJ618" s="68"/>
      <c r="DK618" s="68"/>
      <c r="DL618" s="68"/>
      <c r="DM618" s="68"/>
      <c r="DN618" s="68"/>
      <c r="DO618" s="68"/>
      <c r="DP618" s="68"/>
      <c r="DQ618" s="68"/>
      <c r="DR618" s="68"/>
      <c r="DS618" s="68"/>
      <c r="DT618" s="68"/>
      <c r="DU618" s="68"/>
      <c r="DV618" s="68"/>
      <c r="DW618" s="68"/>
      <c r="DX618" s="68"/>
      <c r="DY618" s="68"/>
      <c r="DZ618" s="68"/>
      <c r="EA618" s="68"/>
      <c r="EB618" s="68"/>
      <c r="EC618" s="68"/>
      <c r="ED618" s="68"/>
      <c r="EE618" s="68"/>
      <c r="EF618" s="68"/>
      <c r="EG618" s="68"/>
      <c r="EH618" s="68"/>
      <c r="EI618" s="68"/>
      <c r="EJ618" s="68"/>
      <c r="EK618" s="68"/>
      <c r="EL618" s="68"/>
      <c r="EM618" s="68"/>
      <c r="EN618" s="68"/>
      <c r="EO618" s="68"/>
      <c r="EP618" s="68"/>
      <c r="EQ618" s="65"/>
      <c r="ER618" s="6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" t="str">
        <f t="shared" si="48"/>
        <v/>
      </c>
      <c r="FI618" s="1">
        <f t="shared" si="49"/>
        <v>0</v>
      </c>
      <c r="FJ618" s="38"/>
      <c r="FL618" s="13"/>
    </row>
    <row r="619" spans="1:168" ht="21" hidden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63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61"/>
      <c r="BE619" s="61"/>
      <c r="BF619" s="15"/>
      <c r="BG619" s="15"/>
      <c r="BH619" s="15"/>
      <c r="BI619" s="15"/>
      <c r="BJ619" s="15"/>
      <c r="BK619" s="15"/>
      <c r="BL619" s="15"/>
      <c r="BM619" s="15"/>
      <c r="BN619" s="15"/>
      <c r="BO619" s="64"/>
      <c r="BP619" s="15"/>
      <c r="BQ619" s="15"/>
      <c r="BR619" s="15"/>
      <c r="BS619" s="64"/>
      <c r="BT619" s="64"/>
      <c r="BU619" s="64"/>
      <c r="BV619" s="15"/>
      <c r="BW619" s="64"/>
      <c r="BX619" s="68"/>
      <c r="BY619" s="68"/>
      <c r="BZ619" s="68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15"/>
      <c r="CL619" s="68"/>
      <c r="CM619" s="68"/>
      <c r="CN619" s="68"/>
      <c r="CO619" s="68"/>
      <c r="CP619" s="68"/>
      <c r="CQ619" s="68"/>
      <c r="CR619" s="68"/>
      <c r="CS619" s="68"/>
      <c r="CT619" s="68"/>
      <c r="CU619" s="68"/>
      <c r="CV619" s="68"/>
      <c r="CW619" s="68"/>
      <c r="CX619" s="68"/>
      <c r="CY619" s="68"/>
      <c r="CZ619" s="68"/>
      <c r="DA619" s="68"/>
      <c r="DB619" s="68"/>
      <c r="DC619" s="68"/>
      <c r="DD619" s="68"/>
      <c r="DE619" s="68"/>
      <c r="DF619" s="68"/>
      <c r="DG619" s="68"/>
      <c r="DH619" s="68"/>
      <c r="DI619" s="68"/>
      <c r="DJ619" s="68"/>
      <c r="DK619" s="68"/>
      <c r="DL619" s="68"/>
      <c r="DM619" s="68"/>
      <c r="DN619" s="68"/>
      <c r="DO619" s="68"/>
      <c r="DP619" s="68"/>
      <c r="DQ619" s="68"/>
      <c r="DR619" s="68"/>
      <c r="DS619" s="68"/>
      <c r="DT619" s="68"/>
      <c r="DU619" s="68"/>
      <c r="DV619" s="68"/>
      <c r="DW619" s="68"/>
      <c r="DX619" s="68"/>
      <c r="DY619" s="68"/>
      <c r="DZ619" s="68"/>
      <c r="EA619" s="68"/>
      <c r="EB619" s="68"/>
      <c r="EC619" s="68"/>
      <c r="ED619" s="68"/>
      <c r="EE619" s="68"/>
      <c r="EF619" s="68"/>
      <c r="EG619" s="68"/>
      <c r="EH619" s="68"/>
      <c r="EI619" s="68"/>
      <c r="EJ619" s="68"/>
      <c r="EK619" s="68"/>
      <c r="EL619" s="68"/>
      <c r="EM619" s="68"/>
      <c r="EN619" s="68"/>
      <c r="EO619" s="68"/>
      <c r="EP619" s="68"/>
      <c r="EQ619" s="65"/>
      <c r="ER619" s="6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" t="str">
        <f t="shared" si="48"/>
        <v/>
      </c>
      <c r="FI619" s="1">
        <f t="shared" si="49"/>
        <v>0</v>
      </c>
      <c r="FJ619" s="38"/>
      <c r="FL619" s="13"/>
    </row>
    <row r="620" spans="1:168" ht="21" hidden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63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61"/>
      <c r="BE620" s="61"/>
      <c r="BF620" s="15"/>
      <c r="BG620" s="15"/>
      <c r="BH620" s="15"/>
      <c r="BI620" s="15"/>
      <c r="BJ620" s="15"/>
      <c r="BK620" s="15"/>
      <c r="BL620" s="15"/>
      <c r="BM620" s="15"/>
      <c r="BN620" s="15"/>
      <c r="BO620" s="64"/>
      <c r="BP620" s="15"/>
      <c r="BQ620" s="15"/>
      <c r="BR620" s="15"/>
      <c r="BS620" s="64"/>
      <c r="BT620" s="64"/>
      <c r="BU620" s="64"/>
      <c r="BV620" s="15"/>
      <c r="BW620" s="64"/>
      <c r="BX620" s="68"/>
      <c r="BY620" s="68"/>
      <c r="BZ620" s="68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15"/>
      <c r="CL620" s="68"/>
      <c r="CM620" s="68"/>
      <c r="CN620" s="68"/>
      <c r="CO620" s="68"/>
      <c r="CP620" s="68"/>
      <c r="CQ620" s="68"/>
      <c r="CR620" s="68"/>
      <c r="CS620" s="68"/>
      <c r="CT620" s="68"/>
      <c r="CU620" s="68"/>
      <c r="CV620" s="68"/>
      <c r="CW620" s="68"/>
      <c r="CX620" s="68"/>
      <c r="CY620" s="68"/>
      <c r="CZ620" s="68"/>
      <c r="DA620" s="68"/>
      <c r="DB620" s="68"/>
      <c r="DC620" s="68"/>
      <c r="DD620" s="68"/>
      <c r="DE620" s="68"/>
      <c r="DF620" s="68"/>
      <c r="DG620" s="68"/>
      <c r="DH620" s="68"/>
      <c r="DI620" s="68"/>
      <c r="DJ620" s="68"/>
      <c r="DK620" s="68"/>
      <c r="DL620" s="68"/>
      <c r="DM620" s="68"/>
      <c r="DN620" s="68"/>
      <c r="DO620" s="68"/>
      <c r="DP620" s="68"/>
      <c r="DQ620" s="68"/>
      <c r="DR620" s="68"/>
      <c r="DS620" s="68"/>
      <c r="DT620" s="68"/>
      <c r="DU620" s="68"/>
      <c r="DV620" s="68"/>
      <c r="DW620" s="68"/>
      <c r="DX620" s="68"/>
      <c r="DY620" s="68"/>
      <c r="DZ620" s="68"/>
      <c r="EA620" s="68"/>
      <c r="EB620" s="68"/>
      <c r="EC620" s="68"/>
      <c r="ED620" s="68"/>
      <c r="EE620" s="68"/>
      <c r="EF620" s="68"/>
      <c r="EG620" s="68"/>
      <c r="EH620" s="68"/>
      <c r="EI620" s="68"/>
      <c r="EJ620" s="68"/>
      <c r="EK620" s="68"/>
      <c r="EL620" s="68"/>
      <c r="EM620" s="68"/>
      <c r="EN620" s="68"/>
      <c r="EO620" s="68"/>
      <c r="EP620" s="68"/>
      <c r="EQ620" s="65"/>
      <c r="ER620" s="6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" t="str">
        <f t="shared" si="48"/>
        <v/>
      </c>
      <c r="FI620" s="1">
        <f t="shared" si="49"/>
        <v>0</v>
      </c>
      <c r="FJ620" s="38"/>
      <c r="FL620" s="13"/>
    </row>
    <row r="621" spans="1:168" ht="21" hidden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63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61"/>
      <c r="BE621" s="61"/>
      <c r="BF621" s="15"/>
      <c r="BG621" s="15"/>
      <c r="BH621" s="15"/>
      <c r="BI621" s="15"/>
      <c r="BJ621" s="15"/>
      <c r="BK621" s="15"/>
      <c r="BL621" s="15"/>
      <c r="BM621" s="15"/>
      <c r="BN621" s="15"/>
      <c r="BO621" s="64"/>
      <c r="BP621" s="15"/>
      <c r="BQ621" s="15"/>
      <c r="BR621" s="15"/>
      <c r="BS621" s="64"/>
      <c r="BT621" s="64"/>
      <c r="BU621" s="64"/>
      <c r="BV621" s="15"/>
      <c r="BW621" s="64"/>
      <c r="BX621" s="68"/>
      <c r="BY621" s="68"/>
      <c r="BZ621" s="68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15"/>
      <c r="CL621" s="68"/>
      <c r="CM621" s="68"/>
      <c r="CN621" s="68"/>
      <c r="CO621" s="68"/>
      <c r="CP621" s="68"/>
      <c r="CQ621" s="68"/>
      <c r="CR621" s="68"/>
      <c r="CS621" s="68"/>
      <c r="CT621" s="68"/>
      <c r="CU621" s="68"/>
      <c r="CV621" s="68"/>
      <c r="CW621" s="68"/>
      <c r="CX621" s="68"/>
      <c r="CY621" s="68"/>
      <c r="CZ621" s="68"/>
      <c r="DA621" s="68"/>
      <c r="DB621" s="68"/>
      <c r="DC621" s="68"/>
      <c r="DD621" s="68"/>
      <c r="DE621" s="68"/>
      <c r="DF621" s="68"/>
      <c r="DG621" s="68"/>
      <c r="DH621" s="68"/>
      <c r="DI621" s="68"/>
      <c r="DJ621" s="68"/>
      <c r="DK621" s="68"/>
      <c r="DL621" s="68"/>
      <c r="DM621" s="68"/>
      <c r="DN621" s="68"/>
      <c r="DO621" s="68"/>
      <c r="DP621" s="68"/>
      <c r="DQ621" s="68"/>
      <c r="DR621" s="68"/>
      <c r="DS621" s="68"/>
      <c r="DT621" s="68"/>
      <c r="DU621" s="68"/>
      <c r="DV621" s="68"/>
      <c r="DW621" s="68"/>
      <c r="DX621" s="68"/>
      <c r="DY621" s="68"/>
      <c r="DZ621" s="68"/>
      <c r="EA621" s="68"/>
      <c r="EB621" s="68"/>
      <c r="EC621" s="68"/>
      <c r="ED621" s="68"/>
      <c r="EE621" s="68"/>
      <c r="EF621" s="68"/>
      <c r="EG621" s="68"/>
      <c r="EH621" s="68"/>
      <c r="EI621" s="68"/>
      <c r="EJ621" s="68"/>
      <c r="EK621" s="68"/>
      <c r="EL621" s="68"/>
      <c r="EM621" s="68"/>
      <c r="EN621" s="68"/>
      <c r="EO621" s="68"/>
      <c r="EP621" s="68"/>
      <c r="EQ621" s="65"/>
      <c r="ER621" s="6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" t="str">
        <f t="shared" si="48"/>
        <v/>
      </c>
      <c r="FI621" s="1">
        <f t="shared" si="49"/>
        <v>0</v>
      </c>
      <c r="FJ621" s="38"/>
      <c r="FL621" s="13"/>
    </row>
    <row r="622" spans="1:168" ht="21" hidden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63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61"/>
      <c r="BE622" s="61"/>
      <c r="BF622" s="15"/>
      <c r="BG622" s="15"/>
      <c r="BH622" s="15"/>
      <c r="BI622" s="15"/>
      <c r="BJ622" s="15"/>
      <c r="BK622" s="15"/>
      <c r="BL622" s="15"/>
      <c r="BM622" s="15"/>
      <c r="BN622" s="15"/>
      <c r="BO622" s="64"/>
      <c r="BP622" s="15"/>
      <c r="BQ622" s="15"/>
      <c r="BR622" s="15"/>
      <c r="BS622" s="64"/>
      <c r="BT622" s="64"/>
      <c r="BU622" s="64"/>
      <c r="BV622" s="15"/>
      <c r="BW622" s="64"/>
      <c r="BX622" s="68"/>
      <c r="BY622" s="68"/>
      <c r="BZ622" s="68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15"/>
      <c r="CL622" s="68"/>
      <c r="CM622" s="68"/>
      <c r="CN622" s="68"/>
      <c r="CO622" s="68"/>
      <c r="CP622" s="68"/>
      <c r="CQ622" s="68"/>
      <c r="CR622" s="68"/>
      <c r="CS622" s="68"/>
      <c r="CT622" s="68"/>
      <c r="CU622" s="68"/>
      <c r="CV622" s="68"/>
      <c r="CW622" s="68"/>
      <c r="CX622" s="68"/>
      <c r="CY622" s="68"/>
      <c r="CZ622" s="68"/>
      <c r="DA622" s="68"/>
      <c r="DB622" s="68"/>
      <c r="DC622" s="68"/>
      <c r="DD622" s="68"/>
      <c r="DE622" s="68"/>
      <c r="DF622" s="68"/>
      <c r="DG622" s="68"/>
      <c r="DH622" s="68"/>
      <c r="DI622" s="68"/>
      <c r="DJ622" s="68"/>
      <c r="DK622" s="68"/>
      <c r="DL622" s="68"/>
      <c r="DM622" s="68"/>
      <c r="DN622" s="68"/>
      <c r="DO622" s="68"/>
      <c r="DP622" s="68"/>
      <c r="DQ622" s="68"/>
      <c r="DR622" s="68"/>
      <c r="DS622" s="68"/>
      <c r="DT622" s="68"/>
      <c r="DU622" s="68"/>
      <c r="DV622" s="68"/>
      <c r="DW622" s="68"/>
      <c r="DX622" s="68"/>
      <c r="DY622" s="68"/>
      <c r="DZ622" s="68"/>
      <c r="EA622" s="68"/>
      <c r="EB622" s="68"/>
      <c r="EC622" s="68"/>
      <c r="ED622" s="68"/>
      <c r="EE622" s="68"/>
      <c r="EF622" s="68"/>
      <c r="EG622" s="68"/>
      <c r="EH622" s="68"/>
      <c r="EI622" s="68"/>
      <c r="EJ622" s="68"/>
      <c r="EK622" s="68"/>
      <c r="EL622" s="68"/>
      <c r="EM622" s="68"/>
      <c r="EN622" s="68"/>
      <c r="EO622" s="68"/>
      <c r="EP622" s="68"/>
      <c r="EQ622" s="65"/>
      <c r="ER622" s="6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" t="str">
        <f t="shared" si="48"/>
        <v/>
      </c>
      <c r="FI622" s="1">
        <f t="shared" si="49"/>
        <v>0</v>
      </c>
      <c r="FJ622" s="38"/>
      <c r="FL622" s="13"/>
    </row>
  </sheetData>
  <autoFilter ref="A5:FO622">
    <filterColumn colId="8">
      <filters>
        <filter val="710615870"/>
      </filters>
    </filterColumn>
    <filterColumn colId="71">
      <filters>
        <dateGroupItem year="2026" month="4" day="19" dateTimeGrouping="day"/>
        <dateGroupItem year="2026" month="4" day="26" dateTimeGrouping="day"/>
        <dateGroupItem year="2026" month="5" dateTimeGrouping="month"/>
        <dateGroupItem year="2026" month="6" dateTimeGrouping="month"/>
        <dateGroupItem year="2026" month="7" dateTimeGrouping="month"/>
        <dateGroupItem year="2026" month="8" dateTimeGrouping="month"/>
        <dateGroupItem year="2026" month="9" dateTimeGrouping="month"/>
      </filters>
    </filterColumn>
  </autoFilter>
  <dataConsolidate/>
  <conditionalFormatting sqref="AT116 AT118 AT120 AT122 AT279:AT289 AT291 AT293 AT185 AT187:AT189 AT191:AT192 AT194:AT196 AT322 AT309:AT310 AT313 AT319 AT324 AT326 AT328:AT329 AT331 AT333:AT335 AT340:AT341 AT343:AT344 AT347:AT349 AT352 AT356:AT357 AT354 AT359 AT363:AT1048576 AT361 AT198:AT276 AT124:AT183 AT91:AT114 AT72:AT81 AT1:AT70 AT316 AT295:AT306 AT337:AT338">
    <cfRule type="containsText" dxfId="260" priority="144" operator="containsText" text="pending">
      <formula>NOT(ISERROR(SEARCH("pending",AT1)))</formula>
    </cfRule>
  </conditionalFormatting>
  <conditionalFormatting sqref="AT71">
    <cfRule type="containsText" dxfId="259" priority="138" operator="containsText" text="pending">
      <formula>NOT(ISERROR(SEARCH("pending",AT71)))</formula>
    </cfRule>
  </conditionalFormatting>
  <conditionalFormatting sqref="A71">
    <cfRule type="duplicateValues" dxfId="258" priority="133"/>
  </conditionalFormatting>
  <conditionalFormatting sqref="A83">
    <cfRule type="duplicateValues" dxfId="257" priority="126"/>
  </conditionalFormatting>
  <conditionalFormatting sqref="AT83">
    <cfRule type="containsText" dxfId="256" priority="127" operator="containsText" text="pending">
      <formula>NOT(ISERROR(SEARCH("pending",AT83)))</formula>
    </cfRule>
  </conditionalFormatting>
  <conditionalFormatting sqref="A82">
    <cfRule type="duplicateValues" dxfId="255" priority="124"/>
  </conditionalFormatting>
  <conditionalFormatting sqref="AT82">
    <cfRule type="containsText" dxfId="254" priority="125" operator="containsText" text="pending">
      <formula>NOT(ISERROR(SEARCH("pending",AT82)))</formula>
    </cfRule>
  </conditionalFormatting>
  <conditionalFormatting sqref="A340:A341 A322 A279:A289 A222 A91:A114 A66:A70 A72:A81 A116 A118 A120 A122 A124:A183 A1:A64 A229:A242 A247:A276 A198:A207 A291 A293 A295:A306 A185 A187:A189 A191:A192 A194:A196 A309:A310 A313 A319 A324 A326 A328:A329 A331 A333:A335 A343:A344 A347:A348 A352 A354 A356:A357 A359 A361 A316 A337:A338 A363:A1048576">
    <cfRule type="duplicateValues" dxfId="253" priority="145"/>
  </conditionalFormatting>
  <conditionalFormatting sqref="AT90">
    <cfRule type="containsText" dxfId="252" priority="118" operator="containsText" text="pending">
      <formula>NOT(ISERROR(SEARCH("pending",AT90)))</formula>
    </cfRule>
  </conditionalFormatting>
  <conditionalFormatting sqref="A90">
    <cfRule type="duplicateValues" dxfId="251" priority="119"/>
  </conditionalFormatting>
  <conditionalFormatting sqref="AT89">
    <cfRule type="containsText" dxfId="250" priority="116" operator="containsText" text="pending">
      <formula>NOT(ISERROR(SEARCH("pending",AT89)))</formula>
    </cfRule>
  </conditionalFormatting>
  <conditionalFormatting sqref="A89">
    <cfRule type="duplicateValues" dxfId="249" priority="117"/>
  </conditionalFormatting>
  <conditionalFormatting sqref="AT88">
    <cfRule type="containsText" dxfId="248" priority="114" operator="containsText" text="pending">
      <formula>NOT(ISERROR(SEARCH("pending",AT88)))</formula>
    </cfRule>
  </conditionalFormatting>
  <conditionalFormatting sqref="A88">
    <cfRule type="duplicateValues" dxfId="247" priority="115"/>
  </conditionalFormatting>
  <conditionalFormatting sqref="AT87">
    <cfRule type="containsText" dxfId="246" priority="112" operator="containsText" text="pending">
      <formula>NOT(ISERROR(SEARCH("pending",AT87)))</formula>
    </cfRule>
  </conditionalFormatting>
  <conditionalFormatting sqref="A87">
    <cfRule type="duplicateValues" dxfId="245" priority="113"/>
  </conditionalFormatting>
  <conditionalFormatting sqref="AT86">
    <cfRule type="containsText" dxfId="244" priority="104" operator="containsText" text="pending">
      <formula>NOT(ISERROR(SEARCH("pending",AT86)))</formula>
    </cfRule>
  </conditionalFormatting>
  <conditionalFormatting sqref="A86">
    <cfRule type="duplicateValues" dxfId="243" priority="105"/>
  </conditionalFormatting>
  <conditionalFormatting sqref="AT84">
    <cfRule type="containsText" dxfId="242" priority="102" operator="containsText" text="pending">
      <formula>NOT(ISERROR(SEARCH("pending",AT84)))</formula>
    </cfRule>
  </conditionalFormatting>
  <conditionalFormatting sqref="A84">
    <cfRule type="duplicateValues" dxfId="241" priority="103"/>
  </conditionalFormatting>
  <conditionalFormatting sqref="AT85">
    <cfRule type="containsText" dxfId="240" priority="100" operator="containsText" text="pending">
      <formula>NOT(ISERROR(SEARCH("pending",AT85)))</formula>
    </cfRule>
  </conditionalFormatting>
  <conditionalFormatting sqref="A85">
    <cfRule type="duplicateValues" dxfId="239" priority="101"/>
  </conditionalFormatting>
  <conditionalFormatting sqref="AT115">
    <cfRule type="containsText" dxfId="238" priority="98" operator="containsText" text="pending">
      <formula>NOT(ISERROR(SEARCH("pending",AT115)))</formula>
    </cfRule>
  </conditionalFormatting>
  <conditionalFormatting sqref="A115">
    <cfRule type="duplicateValues" dxfId="237" priority="99"/>
  </conditionalFormatting>
  <conditionalFormatting sqref="AT117">
    <cfRule type="containsText" dxfId="236" priority="94" operator="containsText" text="pending">
      <formula>NOT(ISERROR(SEARCH("pending",AT117)))</formula>
    </cfRule>
  </conditionalFormatting>
  <conditionalFormatting sqref="A117">
    <cfRule type="duplicateValues" dxfId="235" priority="95"/>
  </conditionalFormatting>
  <conditionalFormatting sqref="AT119">
    <cfRule type="containsText" dxfId="234" priority="92" operator="containsText" text="pending">
      <formula>NOT(ISERROR(SEARCH("pending",AT119)))</formula>
    </cfRule>
  </conditionalFormatting>
  <conditionalFormatting sqref="A119">
    <cfRule type="duplicateValues" dxfId="233" priority="93"/>
  </conditionalFormatting>
  <conditionalFormatting sqref="AT121">
    <cfRule type="containsText" dxfId="232" priority="90" operator="containsText" text="pending">
      <formula>NOT(ISERROR(SEARCH("pending",AT121)))</formula>
    </cfRule>
  </conditionalFormatting>
  <conditionalFormatting sqref="A121">
    <cfRule type="duplicateValues" dxfId="231" priority="91"/>
  </conditionalFormatting>
  <conditionalFormatting sqref="AT123">
    <cfRule type="containsText" dxfId="230" priority="88" operator="containsText" text="pending">
      <formula>NOT(ISERROR(SEARCH("pending",AT123)))</formula>
    </cfRule>
  </conditionalFormatting>
  <conditionalFormatting sqref="A123">
    <cfRule type="duplicateValues" dxfId="229" priority="89"/>
  </conditionalFormatting>
  <conditionalFormatting sqref="A223:A228">
    <cfRule type="duplicateValues" dxfId="228" priority="83"/>
  </conditionalFormatting>
  <conditionalFormatting sqref="A243:A246">
    <cfRule type="duplicateValues" dxfId="227" priority="82"/>
  </conditionalFormatting>
  <conditionalFormatting sqref="A208:A215">
    <cfRule type="duplicateValues" dxfId="226" priority="163"/>
  </conditionalFormatting>
  <conditionalFormatting sqref="A216:A221">
    <cfRule type="duplicateValues" dxfId="225" priority="164"/>
  </conditionalFormatting>
  <conditionalFormatting sqref="AT197">
    <cfRule type="containsText" dxfId="224" priority="80" operator="containsText" text="pending">
      <formula>NOT(ISERROR(SEARCH("pending",AT197)))</formula>
    </cfRule>
  </conditionalFormatting>
  <conditionalFormatting sqref="A197">
    <cfRule type="duplicateValues" dxfId="223" priority="81"/>
  </conditionalFormatting>
  <conditionalFormatting sqref="AT278">
    <cfRule type="containsText" dxfId="222" priority="78" operator="containsText" text="pending">
      <formula>NOT(ISERROR(SEARCH("pending",AT278)))</formula>
    </cfRule>
  </conditionalFormatting>
  <conditionalFormatting sqref="A278">
    <cfRule type="duplicateValues" dxfId="221" priority="79"/>
  </conditionalFormatting>
  <conditionalFormatting sqref="AT277">
    <cfRule type="containsText" dxfId="220" priority="76" operator="containsText" text="pending">
      <formula>NOT(ISERROR(SEARCH("pending",AT277)))</formula>
    </cfRule>
  </conditionalFormatting>
  <conditionalFormatting sqref="A277">
    <cfRule type="duplicateValues" dxfId="219" priority="77"/>
  </conditionalFormatting>
  <conditionalFormatting sqref="AT290">
    <cfRule type="containsText" dxfId="218" priority="74" operator="containsText" text="pending">
      <formula>NOT(ISERROR(SEARCH("pending",AT290)))</formula>
    </cfRule>
  </conditionalFormatting>
  <conditionalFormatting sqref="A290">
    <cfRule type="duplicateValues" dxfId="217" priority="75"/>
  </conditionalFormatting>
  <conditionalFormatting sqref="AT292">
    <cfRule type="containsText" dxfId="216" priority="72" operator="containsText" text="pending">
      <formula>NOT(ISERROR(SEARCH("pending",AT292)))</formula>
    </cfRule>
  </conditionalFormatting>
  <conditionalFormatting sqref="A292">
    <cfRule type="duplicateValues" dxfId="215" priority="73"/>
  </conditionalFormatting>
  <conditionalFormatting sqref="AT294">
    <cfRule type="containsText" dxfId="214" priority="70" operator="containsText" text="pending">
      <formula>NOT(ISERROR(SEARCH("pending",AT294)))</formula>
    </cfRule>
  </conditionalFormatting>
  <conditionalFormatting sqref="A294">
    <cfRule type="duplicateValues" dxfId="213" priority="71"/>
  </conditionalFormatting>
  <conditionalFormatting sqref="AT184">
    <cfRule type="containsText" dxfId="212" priority="68" operator="containsText" text="pending">
      <formula>NOT(ISERROR(SEARCH("pending",AT184)))</formula>
    </cfRule>
  </conditionalFormatting>
  <conditionalFormatting sqref="A184">
    <cfRule type="duplicateValues" dxfId="211" priority="69"/>
  </conditionalFormatting>
  <conditionalFormatting sqref="AT186">
    <cfRule type="containsText" dxfId="210" priority="66" operator="containsText" text="pending">
      <formula>NOT(ISERROR(SEARCH("pending",AT186)))</formula>
    </cfRule>
  </conditionalFormatting>
  <conditionalFormatting sqref="A186">
    <cfRule type="duplicateValues" dxfId="209" priority="67"/>
  </conditionalFormatting>
  <conditionalFormatting sqref="AT190">
    <cfRule type="containsText" dxfId="208" priority="64" operator="containsText" text="pending">
      <formula>NOT(ISERROR(SEARCH("pending",AT190)))</formula>
    </cfRule>
  </conditionalFormatting>
  <conditionalFormatting sqref="A190">
    <cfRule type="duplicateValues" dxfId="207" priority="65"/>
  </conditionalFormatting>
  <conditionalFormatting sqref="AT193">
    <cfRule type="containsText" dxfId="206" priority="62" operator="containsText" text="pending">
      <formula>NOT(ISERROR(SEARCH("pending",AT193)))</formula>
    </cfRule>
  </conditionalFormatting>
  <conditionalFormatting sqref="A193">
    <cfRule type="duplicateValues" dxfId="205" priority="63"/>
  </conditionalFormatting>
  <conditionalFormatting sqref="AT308">
    <cfRule type="containsText" dxfId="204" priority="58" operator="containsText" text="pending">
      <formula>NOT(ISERROR(SEARCH("pending",AT308)))</formula>
    </cfRule>
  </conditionalFormatting>
  <conditionalFormatting sqref="A308">
    <cfRule type="duplicateValues" dxfId="203" priority="59"/>
  </conditionalFormatting>
  <conditionalFormatting sqref="AT312">
    <cfRule type="containsText" dxfId="202" priority="56" operator="containsText" text="pending">
      <formula>NOT(ISERROR(SEARCH("pending",AT312)))</formula>
    </cfRule>
  </conditionalFormatting>
  <conditionalFormatting sqref="A312">
    <cfRule type="duplicateValues" dxfId="201" priority="57"/>
  </conditionalFormatting>
  <conditionalFormatting sqref="AT317">
    <cfRule type="containsText" dxfId="200" priority="54" operator="containsText" text="pending">
      <formula>NOT(ISERROR(SEARCH("pending",AT317)))</formula>
    </cfRule>
  </conditionalFormatting>
  <conditionalFormatting sqref="A317">
    <cfRule type="duplicateValues" dxfId="199" priority="55"/>
  </conditionalFormatting>
  <conditionalFormatting sqref="AT323">
    <cfRule type="containsText" dxfId="198" priority="50" operator="containsText" text="pending">
      <formula>NOT(ISERROR(SEARCH("pending",AT323)))</formula>
    </cfRule>
  </conditionalFormatting>
  <conditionalFormatting sqref="A323">
    <cfRule type="duplicateValues" dxfId="197" priority="51"/>
  </conditionalFormatting>
  <conditionalFormatting sqref="AT325">
    <cfRule type="containsText" dxfId="196" priority="48" operator="containsText" text="pending">
      <formula>NOT(ISERROR(SEARCH("pending",AT325)))</formula>
    </cfRule>
  </conditionalFormatting>
  <conditionalFormatting sqref="A325">
    <cfRule type="duplicateValues" dxfId="195" priority="49"/>
  </conditionalFormatting>
  <conditionalFormatting sqref="AT327">
    <cfRule type="containsText" dxfId="194" priority="46" operator="containsText" text="pending">
      <formula>NOT(ISERROR(SEARCH("pending",AT327)))</formula>
    </cfRule>
  </conditionalFormatting>
  <conditionalFormatting sqref="A327">
    <cfRule type="duplicateValues" dxfId="193" priority="47"/>
  </conditionalFormatting>
  <conditionalFormatting sqref="AT330">
    <cfRule type="containsText" dxfId="192" priority="44" operator="containsText" text="pending">
      <formula>NOT(ISERROR(SEARCH("pending",AT330)))</formula>
    </cfRule>
  </conditionalFormatting>
  <conditionalFormatting sqref="A330">
    <cfRule type="duplicateValues" dxfId="191" priority="45"/>
  </conditionalFormatting>
  <conditionalFormatting sqref="AT332">
    <cfRule type="containsText" dxfId="190" priority="42" operator="containsText" text="pending">
      <formula>NOT(ISERROR(SEARCH("pending",AT332)))</formula>
    </cfRule>
  </conditionalFormatting>
  <conditionalFormatting sqref="A332">
    <cfRule type="duplicateValues" dxfId="189" priority="43"/>
  </conditionalFormatting>
  <conditionalFormatting sqref="AT339">
    <cfRule type="containsText" dxfId="188" priority="40" operator="containsText" text="pending">
      <formula>NOT(ISERROR(SEARCH("pending",AT339)))</formula>
    </cfRule>
  </conditionalFormatting>
  <conditionalFormatting sqref="A339">
    <cfRule type="duplicateValues" dxfId="187" priority="41"/>
  </conditionalFormatting>
  <conditionalFormatting sqref="AT342">
    <cfRule type="containsText" dxfId="186" priority="38" operator="containsText" text="pending">
      <formula>NOT(ISERROR(SEARCH("pending",AT342)))</formula>
    </cfRule>
  </conditionalFormatting>
  <conditionalFormatting sqref="A342">
    <cfRule type="duplicateValues" dxfId="185" priority="39"/>
  </conditionalFormatting>
  <conditionalFormatting sqref="AT346">
    <cfRule type="containsText" dxfId="184" priority="36" operator="containsText" text="pending">
      <formula>NOT(ISERROR(SEARCH("pending",AT346)))</formula>
    </cfRule>
  </conditionalFormatting>
  <conditionalFormatting sqref="A346">
    <cfRule type="duplicateValues" dxfId="183" priority="37"/>
  </conditionalFormatting>
  <conditionalFormatting sqref="AT345">
    <cfRule type="containsText" dxfId="182" priority="34" operator="containsText" text="pending">
      <formula>NOT(ISERROR(SEARCH("pending",AT345)))</formula>
    </cfRule>
  </conditionalFormatting>
  <conditionalFormatting sqref="A345">
    <cfRule type="duplicateValues" dxfId="181" priority="35"/>
  </conditionalFormatting>
  <conditionalFormatting sqref="AT351">
    <cfRule type="containsText" dxfId="180" priority="32" operator="containsText" text="pending">
      <formula>NOT(ISERROR(SEARCH("pending",AT351)))</formula>
    </cfRule>
  </conditionalFormatting>
  <conditionalFormatting sqref="A351">
    <cfRule type="duplicateValues" dxfId="179" priority="33"/>
  </conditionalFormatting>
  <conditionalFormatting sqref="AT350">
    <cfRule type="containsText" dxfId="178" priority="30" operator="containsText" text="pending">
      <formula>NOT(ISERROR(SEARCH("pending",AT350)))</formula>
    </cfRule>
  </conditionalFormatting>
  <conditionalFormatting sqref="A350">
    <cfRule type="duplicateValues" dxfId="177" priority="29"/>
  </conditionalFormatting>
  <conditionalFormatting sqref="AT355">
    <cfRule type="containsText" dxfId="176" priority="27" operator="containsText" text="pending">
      <formula>NOT(ISERROR(SEARCH("pending",AT355)))</formula>
    </cfRule>
  </conditionalFormatting>
  <conditionalFormatting sqref="A355">
    <cfRule type="duplicateValues" dxfId="175" priority="28"/>
  </conditionalFormatting>
  <conditionalFormatting sqref="AT353">
    <cfRule type="containsText" dxfId="174" priority="25" operator="containsText" text="pending">
      <formula>NOT(ISERROR(SEARCH("pending",AT353)))</formula>
    </cfRule>
  </conditionalFormatting>
  <conditionalFormatting sqref="A353">
    <cfRule type="duplicateValues" dxfId="173" priority="26"/>
  </conditionalFormatting>
  <conditionalFormatting sqref="AT358">
    <cfRule type="containsText" dxfId="172" priority="23" operator="containsText" text="pending">
      <formula>NOT(ISERROR(SEARCH("pending",AT358)))</formula>
    </cfRule>
  </conditionalFormatting>
  <conditionalFormatting sqref="A358">
    <cfRule type="duplicateValues" dxfId="171" priority="24"/>
  </conditionalFormatting>
  <conditionalFormatting sqref="AT362">
    <cfRule type="containsText" dxfId="170" priority="21" operator="containsText" text="pending">
      <formula>NOT(ISERROR(SEARCH("pending",AT362)))</formula>
    </cfRule>
  </conditionalFormatting>
  <conditionalFormatting sqref="A362">
    <cfRule type="duplicateValues" dxfId="169" priority="22"/>
  </conditionalFormatting>
  <conditionalFormatting sqref="AT360">
    <cfRule type="containsText" dxfId="168" priority="19" operator="containsText" text="pending">
      <formula>NOT(ISERROR(SEARCH("pending",AT360)))</formula>
    </cfRule>
  </conditionalFormatting>
  <conditionalFormatting sqref="A360">
    <cfRule type="duplicateValues" dxfId="167" priority="20"/>
  </conditionalFormatting>
  <conditionalFormatting sqref="A65">
    <cfRule type="duplicateValues" dxfId="166" priority="167"/>
  </conditionalFormatting>
  <conditionalFormatting sqref="AT315">
    <cfRule type="containsText" dxfId="165" priority="17" operator="containsText" text="pending">
      <formula>NOT(ISERROR(SEARCH("pending",AT315)))</formula>
    </cfRule>
  </conditionalFormatting>
  <conditionalFormatting sqref="A315">
    <cfRule type="duplicateValues" dxfId="164" priority="18"/>
  </conditionalFormatting>
  <conditionalFormatting sqref="AT314">
    <cfRule type="containsText" dxfId="163" priority="15" operator="containsText" text="pending">
      <formula>NOT(ISERROR(SEARCH("pending",AT314)))</formula>
    </cfRule>
  </conditionalFormatting>
  <conditionalFormatting sqref="A314">
    <cfRule type="duplicateValues" dxfId="162" priority="16"/>
  </conditionalFormatting>
  <conditionalFormatting sqref="AT318">
    <cfRule type="containsText" dxfId="161" priority="13" operator="containsText" text="pending">
      <formula>NOT(ISERROR(SEARCH("pending",AT318)))</formula>
    </cfRule>
  </conditionalFormatting>
  <conditionalFormatting sqref="A318">
    <cfRule type="duplicateValues" dxfId="160" priority="14"/>
  </conditionalFormatting>
  <conditionalFormatting sqref="AT321">
    <cfRule type="containsText" dxfId="159" priority="11" operator="containsText" text="pending">
      <formula>NOT(ISERROR(SEARCH("pending",AT321)))</formula>
    </cfRule>
  </conditionalFormatting>
  <conditionalFormatting sqref="A321">
    <cfRule type="duplicateValues" dxfId="158" priority="12"/>
  </conditionalFormatting>
  <conditionalFormatting sqref="AT320">
    <cfRule type="containsText" dxfId="157" priority="9" operator="containsText" text="pending">
      <formula>NOT(ISERROR(SEARCH("pending",AT320)))</formula>
    </cfRule>
  </conditionalFormatting>
  <conditionalFormatting sqref="A320">
    <cfRule type="duplicateValues" dxfId="156" priority="10"/>
  </conditionalFormatting>
  <conditionalFormatting sqref="AT307">
    <cfRule type="containsText" dxfId="155" priority="7" operator="containsText" text="pending">
      <formula>NOT(ISERROR(SEARCH("pending",AT307)))</formula>
    </cfRule>
  </conditionalFormatting>
  <conditionalFormatting sqref="A307">
    <cfRule type="duplicateValues" dxfId="154" priority="8"/>
  </conditionalFormatting>
  <conditionalFormatting sqref="AT311">
    <cfRule type="containsText" dxfId="153" priority="5" operator="containsText" text="pending">
      <formula>NOT(ISERROR(SEARCH("pending",AT311)))</formula>
    </cfRule>
  </conditionalFormatting>
  <conditionalFormatting sqref="A311">
    <cfRule type="duplicateValues" dxfId="152" priority="6"/>
  </conditionalFormatting>
  <conditionalFormatting sqref="A349">
    <cfRule type="duplicateValues" dxfId="151" priority="4"/>
  </conditionalFormatting>
  <conditionalFormatting sqref="AT336">
    <cfRule type="containsText" dxfId="150" priority="2" operator="containsText" text="pending">
      <formula>NOT(ISERROR(SEARCH("pending",AT336)))</formula>
    </cfRule>
  </conditionalFormatting>
  <conditionalFormatting sqref="A336">
    <cfRule type="duplicateValues" dxfId="149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B1" zoomScale="80" zoomScaleNormal="80" workbookViewId="0">
      <selection activeCell="O40" sqref="O40"/>
    </sheetView>
  </sheetViews>
  <sheetFormatPr defaultRowHeight="15" x14ac:dyDescent="0.25"/>
  <cols>
    <col min="1" max="1" width="11.7109375" bestFit="1" customWidth="1"/>
    <col min="3" max="3" width="11.7109375" bestFit="1" customWidth="1"/>
    <col min="4" max="4" width="17.7109375" customWidth="1"/>
    <col min="5" max="5" width="18.5703125" customWidth="1"/>
    <col min="6" max="6" width="29.5703125" customWidth="1"/>
    <col min="7" max="7" width="15.28515625" customWidth="1"/>
    <col min="8" max="8" width="28.28515625" customWidth="1"/>
    <col min="9" max="9" width="19.7109375" customWidth="1"/>
    <col min="10" max="10" width="17.85546875" customWidth="1"/>
    <col min="11" max="11" width="18.85546875" customWidth="1"/>
    <col min="12" max="12" width="18.5703125" bestFit="1" customWidth="1"/>
    <col min="13" max="13" width="20.140625" customWidth="1"/>
    <col min="14" max="16" width="6.5703125" bestFit="1" customWidth="1"/>
  </cols>
  <sheetData>
    <row r="1" spans="1:14" x14ac:dyDescent="0.25">
      <c r="A1" s="76" t="s">
        <v>607</v>
      </c>
    </row>
    <row r="2" spans="1:14" x14ac:dyDescent="0.25">
      <c r="A2" s="76" t="s">
        <v>931</v>
      </c>
      <c r="B2" s="76" t="s">
        <v>932</v>
      </c>
      <c r="C2" s="93" t="s">
        <v>67</v>
      </c>
      <c r="D2" s="97" t="s">
        <v>5</v>
      </c>
      <c r="E2" s="93" t="s">
        <v>12</v>
      </c>
      <c r="F2" s="93" t="s">
        <v>17</v>
      </c>
      <c r="G2" s="93" t="s">
        <v>14</v>
      </c>
      <c r="H2" s="93" t="s">
        <v>16</v>
      </c>
      <c r="I2" s="93" t="s">
        <v>59</v>
      </c>
      <c r="J2" s="93" t="s">
        <v>62</v>
      </c>
      <c r="K2" s="93" t="s">
        <v>63</v>
      </c>
      <c r="L2" s="93" t="s">
        <v>910</v>
      </c>
      <c r="M2" s="97" t="s">
        <v>74</v>
      </c>
      <c r="N2" t="s">
        <v>613</v>
      </c>
    </row>
    <row r="3" spans="1:14" x14ac:dyDescent="0.25">
      <c r="A3" t="s">
        <v>825</v>
      </c>
      <c r="B3" t="s">
        <v>610</v>
      </c>
      <c r="C3" t="s">
        <v>913</v>
      </c>
      <c r="D3" t="s">
        <v>857</v>
      </c>
      <c r="E3" t="s">
        <v>846</v>
      </c>
      <c r="F3" t="s">
        <v>850</v>
      </c>
      <c r="G3" t="s">
        <v>849</v>
      </c>
      <c r="H3" t="s">
        <v>264</v>
      </c>
      <c r="I3" t="s">
        <v>219</v>
      </c>
      <c r="J3" t="s">
        <v>219</v>
      </c>
      <c r="K3" t="s">
        <v>219</v>
      </c>
      <c r="L3" t="s">
        <v>199</v>
      </c>
      <c r="M3" t="s">
        <v>713</v>
      </c>
      <c r="N3" s="92">
        <v>400</v>
      </c>
    </row>
    <row r="4" spans="1:14" x14ac:dyDescent="0.25">
      <c r="A4" t="s">
        <v>825</v>
      </c>
      <c r="B4" t="s">
        <v>610</v>
      </c>
      <c r="C4" t="s">
        <v>913</v>
      </c>
      <c r="D4" t="s">
        <v>897</v>
      </c>
      <c r="E4" t="s">
        <v>899</v>
      </c>
      <c r="F4" t="s">
        <v>850</v>
      </c>
      <c r="G4" t="s">
        <v>900</v>
      </c>
      <c r="H4" t="s">
        <v>264</v>
      </c>
      <c r="I4" t="s">
        <v>219</v>
      </c>
      <c r="J4" t="s">
        <v>219</v>
      </c>
      <c r="K4" t="s">
        <v>219</v>
      </c>
      <c r="L4" t="s">
        <v>199</v>
      </c>
      <c r="M4" t="s">
        <v>826</v>
      </c>
      <c r="N4" s="92">
        <v>450</v>
      </c>
    </row>
    <row r="5" spans="1:14" x14ac:dyDescent="0.25">
      <c r="A5" t="s">
        <v>825</v>
      </c>
      <c r="B5" t="s">
        <v>610</v>
      </c>
      <c r="C5" t="s">
        <v>913</v>
      </c>
      <c r="D5" t="s">
        <v>761</v>
      </c>
      <c r="E5" t="s">
        <v>305</v>
      </c>
      <c r="F5" t="s">
        <v>307</v>
      </c>
      <c r="G5" t="s">
        <v>730</v>
      </c>
      <c r="H5" t="s">
        <v>303</v>
      </c>
      <c r="I5" t="s">
        <v>219</v>
      </c>
      <c r="J5" t="s">
        <v>219</v>
      </c>
      <c r="K5" t="s">
        <v>219</v>
      </c>
      <c r="L5" t="s">
        <v>199</v>
      </c>
      <c r="M5" t="s">
        <v>712</v>
      </c>
      <c r="N5" s="92">
        <v>200</v>
      </c>
    </row>
    <row r="6" spans="1:14" x14ac:dyDescent="0.25">
      <c r="A6" t="s">
        <v>825</v>
      </c>
      <c r="B6" t="s">
        <v>610</v>
      </c>
      <c r="C6" t="s">
        <v>913</v>
      </c>
      <c r="D6" t="s">
        <v>761</v>
      </c>
      <c r="E6" t="s">
        <v>305</v>
      </c>
      <c r="F6" t="s">
        <v>307</v>
      </c>
      <c r="G6" t="s">
        <v>730</v>
      </c>
      <c r="H6" t="s">
        <v>303</v>
      </c>
      <c r="I6" t="s">
        <v>219</v>
      </c>
      <c r="J6" t="s">
        <v>219</v>
      </c>
      <c r="K6" t="s">
        <v>219</v>
      </c>
      <c r="L6" t="s">
        <v>199</v>
      </c>
      <c r="M6" t="s">
        <v>713</v>
      </c>
      <c r="N6" s="92">
        <v>150</v>
      </c>
    </row>
    <row r="7" spans="1:14" x14ac:dyDescent="0.25">
      <c r="A7" t="s">
        <v>825</v>
      </c>
      <c r="B7" t="s">
        <v>610</v>
      </c>
      <c r="C7" t="s">
        <v>913</v>
      </c>
      <c r="D7" t="s">
        <v>761</v>
      </c>
      <c r="E7" t="s">
        <v>305</v>
      </c>
      <c r="F7" t="s">
        <v>307</v>
      </c>
      <c r="G7" t="s">
        <v>730</v>
      </c>
      <c r="H7" t="s">
        <v>303</v>
      </c>
      <c r="I7" t="s">
        <v>219</v>
      </c>
      <c r="J7" t="s">
        <v>219</v>
      </c>
      <c r="K7" t="s">
        <v>219</v>
      </c>
      <c r="L7" t="s">
        <v>199</v>
      </c>
      <c r="M7" t="s">
        <v>870</v>
      </c>
      <c r="N7" s="92">
        <v>112</v>
      </c>
    </row>
    <row r="8" spans="1:14" x14ac:dyDescent="0.25">
      <c r="A8" t="s">
        <v>825</v>
      </c>
      <c r="B8" t="s">
        <v>610</v>
      </c>
      <c r="C8" t="s">
        <v>913</v>
      </c>
      <c r="D8" t="s">
        <v>762</v>
      </c>
      <c r="E8" t="s">
        <v>333</v>
      </c>
      <c r="F8" t="s">
        <v>336</v>
      </c>
      <c r="G8" t="s">
        <v>730</v>
      </c>
      <c r="H8" t="s">
        <v>335</v>
      </c>
      <c r="I8" t="s">
        <v>219</v>
      </c>
      <c r="J8" t="s">
        <v>219</v>
      </c>
      <c r="K8" t="s">
        <v>219</v>
      </c>
      <c r="L8" t="s">
        <v>199</v>
      </c>
      <c r="M8" t="s">
        <v>712</v>
      </c>
      <c r="N8" s="92">
        <v>505</v>
      </c>
    </row>
    <row r="9" spans="1:14" x14ac:dyDescent="0.25">
      <c r="A9" t="s">
        <v>825</v>
      </c>
      <c r="B9" t="s">
        <v>610</v>
      </c>
      <c r="C9" t="s">
        <v>913</v>
      </c>
      <c r="D9" t="s">
        <v>763</v>
      </c>
      <c r="E9" t="s">
        <v>723</v>
      </c>
      <c r="F9" t="s">
        <v>733</v>
      </c>
      <c r="G9" t="s">
        <v>730</v>
      </c>
      <c r="H9" t="s">
        <v>335</v>
      </c>
      <c r="I9" t="s">
        <v>219</v>
      </c>
      <c r="J9" t="s">
        <v>219</v>
      </c>
      <c r="K9" t="s">
        <v>219</v>
      </c>
      <c r="L9" t="s">
        <v>199</v>
      </c>
      <c r="M9" t="s">
        <v>712</v>
      </c>
      <c r="N9" s="92">
        <v>330</v>
      </c>
    </row>
    <row r="10" spans="1:14" x14ac:dyDescent="0.25">
      <c r="A10" t="s">
        <v>825</v>
      </c>
      <c r="B10" t="s">
        <v>610</v>
      </c>
      <c r="C10" t="s">
        <v>913</v>
      </c>
      <c r="D10" t="s">
        <v>860</v>
      </c>
      <c r="E10" t="s">
        <v>848</v>
      </c>
      <c r="F10" t="s">
        <v>850</v>
      </c>
      <c r="G10" t="s">
        <v>849</v>
      </c>
      <c r="H10" t="s">
        <v>405</v>
      </c>
      <c r="I10" t="s">
        <v>219</v>
      </c>
      <c r="J10" t="s">
        <v>219</v>
      </c>
      <c r="K10" t="s">
        <v>219</v>
      </c>
      <c r="L10" t="s">
        <v>199</v>
      </c>
      <c r="M10" t="s">
        <v>826</v>
      </c>
      <c r="N10" s="92">
        <v>1600</v>
      </c>
    </row>
    <row r="11" spans="1:14" x14ac:dyDescent="0.25">
      <c r="A11" t="s">
        <v>825</v>
      </c>
      <c r="B11" t="s">
        <v>610</v>
      </c>
      <c r="C11" t="s">
        <v>913</v>
      </c>
      <c r="D11" t="s">
        <v>764</v>
      </c>
      <c r="E11" t="s">
        <v>724</v>
      </c>
      <c r="F11" t="s">
        <v>734</v>
      </c>
      <c r="G11" t="s">
        <v>730</v>
      </c>
      <c r="H11" t="s">
        <v>731</v>
      </c>
      <c r="I11" t="s">
        <v>219</v>
      </c>
      <c r="J11" t="s">
        <v>219</v>
      </c>
      <c r="K11" t="s">
        <v>219</v>
      </c>
      <c r="L11" t="s">
        <v>199</v>
      </c>
      <c r="M11" t="s">
        <v>712</v>
      </c>
      <c r="N11" s="92">
        <v>300</v>
      </c>
    </row>
    <row r="12" spans="1:14" x14ac:dyDescent="0.25">
      <c r="A12" t="s">
        <v>825</v>
      </c>
      <c r="B12" t="s">
        <v>610</v>
      </c>
      <c r="C12" t="s">
        <v>913</v>
      </c>
      <c r="D12" t="s">
        <v>765</v>
      </c>
      <c r="E12" t="s">
        <v>725</v>
      </c>
      <c r="F12" t="s">
        <v>735</v>
      </c>
      <c r="G12" t="s">
        <v>730</v>
      </c>
      <c r="H12" t="s">
        <v>731</v>
      </c>
      <c r="I12" t="s">
        <v>219</v>
      </c>
      <c r="J12" t="s">
        <v>219</v>
      </c>
      <c r="K12" t="s">
        <v>219</v>
      </c>
      <c r="L12" t="s">
        <v>199</v>
      </c>
      <c r="M12" t="s">
        <v>712</v>
      </c>
      <c r="N12" s="92">
        <v>440</v>
      </c>
    </row>
    <row r="13" spans="1:14" x14ac:dyDescent="0.25">
      <c r="A13" t="s">
        <v>825</v>
      </c>
      <c r="B13" t="s">
        <v>610</v>
      </c>
      <c r="C13" t="s">
        <v>913</v>
      </c>
      <c r="D13" t="s">
        <v>766</v>
      </c>
      <c r="E13" t="s">
        <v>726</v>
      </c>
      <c r="F13" t="s">
        <v>736</v>
      </c>
      <c r="G13" t="s">
        <v>730</v>
      </c>
      <c r="H13" t="s">
        <v>732</v>
      </c>
      <c r="I13" t="s">
        <v>219</v>
      </c>
      <c r="J13" t="s">
        <v>219</v>
      </c>
      <c r="K13" t="s">
        <v>219</v>
      </c>
      <c r="L13" t="s">
        <v>199</v>
      </c>
      <c r="M13" t="s">
        <v>712</v>
      </c>
      <c r="N13" s="92">
        <v>300</v>
      </c>
    </row>
    <row r="14" spans="1:14" x14ac:dyDescent="0.25">
      <c r="A14" t="s">
        <v>825</v>
      </c>
      <c r="B14" t="s">
        <v>610</v>
      </c>
      <c r="C14" t="s">
        <v>913</v>
      </c>
      <c r="D14" t="s">
        <v>767</v>
      </c>
      <c r="E14" t="s">
        <v>727</v>
      </c>
      <c r="F14" t="s">
        <v>737</v>
      </c>
      <c r="G14" t="s">
        <v>730</v>
      </c>
      <c r="H14" t="s">
        <v>732</v>
      </c>
      <c r="I14" t="s">
        <v>219</v>
      </c>
      <c r="J14" t="s">
        <v>219</v>
      </c>
      <c r="K14" t="s">
        <v>219</v>
      </c>
      <c r="L14" t="s">
        <v>199</v>
      </c>
      <c r="M14" t="s">
        <v>712</v>
      </c>
      <c r="N14" s="92">
        <v>300</v>
      </c>
    </row>
    <row r="15" spans="1:14" x14ac:dyDescent="0.25">
      <c r="A15" t="s">
        <v>825</v>
      </c>
      <c r="B15" t="s">
        <v>610</v>
      </c>
      <c r="C15" s="89" t="s">
        <v>914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5">
        <v>5087</v>
      </c>
    </row>
    <row r="16" spans="1:14" x14ac:dyDescent="0.25">
      <c r="A16" t="s">
        <v>825</v>
      </c>
      <c r="B16" t="s">
        <v>610</v>
      </c>
      <c r="C16" t="s">
        <v>915</v>
      </c>
      <c r="D16" t="s">
        <v>861</v>
      </c>
      <c r="E16" t="s">
        <v>340</v>
      </c>
      <c r="F16" t="s">
        <v>187</v>
      </c>
      <c r="G16" t="s">
        <v>771</v>
      </c>
      <c r="H16" t="s">
        <v>342</v>
      </c>
      <c r="I16" t="s">
        <v>864</v>
      </c>
      <c r="J16" t="s">
        <v>219</v>
      </c>
      <c r="K16" t="s">
        <v>864</v>
      </c>
      <c r="L16" t="s">
        <v>199</v>
      </c>
      <c r="M16" t="s">
        <v>906</v>
      </c>
      <c r="N16" s="92">
        <v>300</v>
      </c>
    </row>
    <row r="17" spans="1:14" x14ac:dyDescent="0.25">
      <c r="A17" t="s">
        <v>825</v>
      </c>
      <c r="B17" t="s">
        <v>610</v>
      </c>
      <c r="C17" t="s">
        <v>915</v>
      </c>
      <c r="D17" t="s">
        <v>822</v>
      </c>
      <c r="E17" t="s">
        <v>790</v>
      </c>
      <c r="F17" t="s">
        <v>797</v>
      </c>
      <c r="G17" t="s">
        <v>796</v>
      </c>
      <c r="H17" t="s">
        <v>247</v>
      </c>
      <c r="I17" t="s">
        <v>219</v>
      </c>
      <c r="J17" t="s">
        <v>219</v>
      </c>
      <c r="K17" t="s">
        <v>864</v>
      </c>
      <c r="L17" t="s">
        <v>199</v>
      </c>
      <c r="M17" t="s">
        <v>826</v>
      </c>
      <c r="N17" s="92">
        <v>1165</v>
      </c>
    </row>
    <row r="18" spans="1:14" x14ac:dyDescent="0.25">
      <c r="A18" t="s">
        <v>825</v>
      </c>
      <c r="B18" t="s">
        <v>610</v>
      </c>
      <c r="C18" t="s">
        <v>915</v>
      </c>
      <c r="D18" t="s">
        <v>822</v>
      </c>
      <c r="E18" t="s">
        <v>790</v>
      </c>
      <c r="F18" t="s">
        <v>797</v>
      </c>
      <c r="G18" t="s">
        <v>796</v>
      </c>
      <c r="H18" t="s">
        <v>247</v>
      </c>
      <c r="I18" t="s">
        <v>219</v>
      </c>
      <c r="J18" t="s">
        <v>219</v>
      </c>
      <c r="K18" t="s">
        <v>864</v>
      </c>
      <c r="L18" t="s">
        <v>199</v>
      </c>
      <c r="M18" t="s">
        <v>870</v>
      </c>
      <c r="N18" s="92">
        <v>64</v>
      </c>
    </row>
    <row r="19" spans="1:14" x14ac:dyDescent="0.25">
      <c r="A19" t="s">
        <v>825</v>
      </c>
      <c r="B19" t="s">
        <v>610</v>
      </c>
      <c r="C19" t="s">
        <v>915</v>
      </c>
      <c r="D19" t="s">
        <v>818</v>
      </c>
      <c r="E19" t="s">
        <v>791</v>
      </c>
      <c r="F19" t="s">
        <v>798</v>
      </c>
      <c r="G19" t="s">
        <v>796</v>
      </c>
      <c r="H19" t="s">
        <v>247</v>
      </c>
      <c r="I19" t="s">
        <v>219</v>
      </c>
      <c r="J19" t="s">
        <v>219</v>
      </c>
      <c r="K19" t="s">
        <v>864</v>
      </c>
      <c r="L19" t="s">
        <v>199</v>
      </c>
      <c r="M19" t="s">
        <v>826</v>
      </c>
      <c r="N19" s="92">
        <v>1316</v>
      </c>
    </row>
    <row r="20" spans="1:14" x14ac:dyDescent="0.25">
      <c r="A20" t="s">
        <v>825</v>
      </c>
      <c r="B20" t="s">
        <v>610</v>
      </c>
      <c r="C20" t="s">
        <v>915</v>
      </c>
      <c r="D20" t="s">
        <v>818</v>
      </c>
      <c r="E20" t="s">
        <v>791</v>
      </c>
      <c r="F20" t="s">
        <v>798</v>
      </c>
      <c r="G20" t="s">
        <v>796</v>
      </c>
      <c r="H20" t="s">
        <v>247</v>
      </c>
      <c r="I20" t="s">
        <v>219</v>
      </c>
      <c r="J20" t="s">
        <v>219</v>
      </c>
      <c r="K20" t="s">
        <v>864</v>
      </c>
      <c r="L20" t="s">
        <v>199</v>
      </c>
      <c r="M20" t="s">
        <v>870</v>
      </c>
      <c r="N20" s="92">
        <v>76</v>
      </c>
    </row>
    <row r="21" spans="1:14" x14ac:dyDescent="0.25">
      <c r="A21" t="s">
        <v>825</v>
      </c>
      <c r="B21" t="s">
        <v>610</v>
      </c>
      <c r="C21" t="s">
        <v>915</v>
      </c>
      <c r="D21" t="s">
        <v>819</v>
      </c>
      <c r="E21" t="s">
        <v>792</v>
      </c>
      <c r="F21" t="s">
        <v>799</v>
      </c>
      <c r="G21" t="s">
        <v>796</v>
      </c>
      <c r="H21" t="s">
        <v>247</v>
      </c>
      <c r="I21" t="s">
        <v>219</v>
      </c>
      <c r="J21" t="s">
        <v>219</v>
      </c>
      <c r="K21" t="s">
        <v>864</v>
      </c>
      <c r="L21" t="s">
        <v>199</v>
      </c>
      <c r="M21" t="s">
        <v>826</v>
      </c>
      <c r="N21" s="92">
        <v>1083</v>
      </c>
    </row>
    <row r="22" spans="1:14" x14ac:dyDescent="0.25">
      <c r="A22" t="s">
        <v>825</v>
      </c>
      <c r="B22" t="s">
        <v>610</v>
      </c>
      <c r="C22" t="s">
        <v>915</v>
      </c>
      <c r="D22" t="s">
        <v>820</v>
      </c>
      <c r="E22" t="s">
        <v>793</v>
      </c>
      <c r="F22" t="s">
        <v>798</v>
      </c>
      <c r="G22" t="s">
        <v>796</v>
      </c>
      <c r="H22" t="s">
        <v>247</v>
      </c>
      <c r="I22" t="s">
        <v>219</v>
      </c>
      <c r="J22" t="s">
        <v>219</v>
      </c>
      <c r="K22" t="s">
        <v>864</v>
      </c>
      <c r="L22" t="s">
        <v>199</v>
      </c>
      <c r="M22" t="s">
        <v>826</v>
      </c>
      <c r="N22" s="92">
        <v>1916</v>
      </c>
    </row>
    <row r="23" spans="1:14" x14ac:dyDescent="0.25">
      <c r="A23" t="s">
        <v>825</v>
      </c>
      <c r="B23" t="s">
        <v>610</v>
      </c>
      <c r="C23" t="s">
        <v>915</v>
      </c>
      <c r="D23" t="s">
        <v>820</v>
      </c>
      <c r="E23" t="s">
        <v>793</v>
      </c>
      <c r="F23" t="s">
        <v>798</v>
      </c>
      <c r="G23" t="s">
        <v>796</v>
      </c>
      <c r="H23" t="s">
        <v>247</v>
      </c>
      <c r="I23" t="s">
        <v>219</v>
      </c>
      <c r="J23" t="s">
        <v>219</v>
      </c>
      <c r="K23" t="s">
        <v>864</v>
      </c>
      <c r="L23" t="s">
        <v>199</v>
      </c>
      <c r="M23" t="s">
        <v>870</v>
      </c>
      <c r="N23" s="92">
        <v>112</v>
      </c>
    </row>
    <row r="24" spans="1:14" x14ac:dyDescent="0.25">
      <c r="A24" t="s">
        <v>825</v>
      </c>
      <c r="B24" t="s">
        <v>610</v>
      </c>
      <c r="C24" t="s">
        <v>915</v>
      </c>
      <c r="D24" t="s">
        <v>821</v>
      </c>
      <c r="E24" t="s">
        <v>794</v>
      </c>
      <c r="F24" t="s">
        <v>799</v>
      </c>
      <c r="G24" t="s">
        <v>796</v>
      </c>
      <c r="H24" t="s">
        <v>247</v>
      </c>
      <c r="I24" t="s">
        <v>219</v>
      </c>
      <c r="J24" t="s">
        <v>219</v>
      </c>
      <c r="K24" t="s">
        <v>864</v>
      </c>
      <c r="L24" t="s">
        <v>199</v>
      </c>
      <c r="M24" t="s">
        <v>826</v>
      </c>
      <c r="N24" s="92">
        <v>918</v>
      </c>
    </row>
    <row r="25" spans="1:14" x14ac:dyDescent="0.25">
      <c r="A25" t="s">
        <v>825</v>
      </c>
      <c r="B25" t="s">
        <v>610</v>
      </c>
      <c r="C25" t="s">
        <v>915</v>
      </c>
      <c r="D25" t="s">
        <v>817</v>
      </c>
      <c r="E25" t="s">
        <v>795</v>
      </c>
      <c r="F25" t="s">
        <v>797</v>
      </c>
      <c r="G25" t="s">
        <v>796</v>
      </c>
      <c r="H25" t="s">
        <v>247</v>
      </c>
      <c r="I25" t="s">
        <v>219</v>
      </c>
      <c r="J25" t="s">
        <v>219</v>
      </c>
      <c r="K25" t="s">
        <v>864</v>
      </c>
      <c r="L25" t="s">
        <v>199</v>
      </c>
      <c r="M25" t="s">
        <v>826</v>
      </c>
      <c r="N25" s="92">
        <v>1930</v>
      </c>
    </row>
    <row r="26" spans="1:14" x14ac:dyDescent="0.25">
      <c r="A26" t="s">
        <v>825</v>
      </c>
      <c r="B26" t="s">
        <v>610</v>
      </c>
      <c r="C26" t="s">
        <v>915</v>
      </c>
      <c r="D26" t="s">
        <v>817</v>
      </c>
      <c r="E26" t="s">
        <v>795</v>
      </c>
      <c r="F26" t="s">
        <v>797</v>
      </c>
      <c r="G26" t="s">
        <v>796</v>
      </c>
      <c r="H26" t="s">
        <v>247</v>
      </c>
      <c r="I26" t="s">
        <v>219</v>
      </c>
      <c r="J26" t="s">
        <v>219</v>
      </c>
      <c r="K26" t="s">
        <v>864</v>
      </c>
      <c r="L26" t="s">
        <v>199</v>
      </c>
      <c r="M26" t="s">
        <v>870</v>
      </c>
      <c r="N26" s="92">
        <v>133</v>
      </c>
    </row>
    <row r="27" spans="1:14" x14ac:dyDescent="0.25">
      <c r="A27" t="s">
        <v>825</v>
      </c>
      <c r="B27" t="s">
        <v>610</v>
      </c>
      <c r="C27" s="89" t="s">
        <v>916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5">
        <v>9013</v>
      </c>
    </row>
    <row r="28" spans="1:14" x14ac:dyDescent="0.25">
      <c r="A28" t="s">
        <v>825</v>
      </c>
      <c r="B28" t="s">
        <v>610</v>
      </c>
      <c r="C28" t="s">
        <v>917</v>
      </c>
      <c r="D28" t="s">
        <v>774</v>
      </c>
      <c r="E28" t="s">
        <v>770</v>
      </c>
      <c r="F28" t="s">
        <v>233</v>
      </c>
      <c r="G28" t="s">
        <v>771</v>
      </c>
      <c r="H28" t="s">
        <v>772</v>
      </c>
      <c r="I28" t="s">
        <v>219</v>
      </c>
      <c r="J28" t="s">
        <v>864</v>
      </c>
      <c r="K28" t="s">
        <v>864</v>
      </c>
      <c r="L28" t="s">
        <v>864</v>
      </c>
      <c r="M28" t="s">
        <v>872</v>
      </c>
      <c r="N28" s="92">
        <v>300</v>
      </c>
    </row>
    <row r="29" spans="1:14" x14ac:dyDescent="0.25">
      <c r="A29" t="s">
        <v>825</v>
      </c>
      <c r="B29" t="s">
        <v>610</v>
      </c>
      <c r="C29" t="s">
        <v>917</v>
      </c>
      <c r="D29" t="s">
        <v>748</v>
      </c>
      <c r="E29" t="s">
        <v>556</v>
      </c>
      <c r="F29" t="s">
        <v>559</v>
      </c>
      <c r="G29" t="s">
        <v>558</v>
      </c>
      <c r="H29" t="s">
        <v>614</v>
      </c>
      <c r="I29" t="s">
        <v>219</v>
      </c>
      <c r="J29" t="s">
        <v>219</v>
      </c>
      <c r="K29" t="s">
        <v>219</v>
      </c>
      <c r="L29" t="s">
        <v>199</v>
      </c>
      <c r="M29" t="s">
        <v>908</v>
      </c>
      <c r="N29" s="92">
        <v>200</v>
      </c>
    </row>
    <row r="30" spans="1:14" x14ac:dyDescent="0.25">
      <c r="A30" t="s">
        <v>825</v>
      </c>
      <c r="B30" t="s">
        <v>610</v>
      </c>
      <c r="C30" t="s">
        <v>917</v>
      </c>
      <c r="D30" t="s">
        <v>752</v>
      </c>
      <c r="E30" t="s">
        <v>593</v>
      </c>
      <c r="F30" t="s">
        <v>595</v>
      </c>
      <c r="G30" t="s">
        <v>594</v>
      </c>
      <c r="H30" t="s">
        <v>614</v>
      </c>
      <c r="I30" t="s">
        <v>219</v>
      </c>
      <c r="J30" t="s">
        <v>219</v>
      </c>
      <c r="K30" t="s">
        <v>219</v>
      </c>
      <c r="L30" t="s">
        <v>199</v>
      </c>
      <c r="M30" t="s">
        <v>908</v>
      </c>
      <c r="N30" s="92">
        <v>200</v>
      </c>
    </row>
    <row r="31" spans="1:14" x14ac:dyDescent="0.25">
      <c r="A31" t="s">
        <v>825</v>
      </c>
      <c r="B31" t="s">
        <v>610</v>
      </c>
      <c r="C31" t="s">
        <v>917</v>
      </c>
      <c r="D31" t="s">
        <v>753</v>
      </c>
      <c r="E31" t="s">
        <v>600</v>
      </c>
      <c r="F31" t="s">
        <v>602</v>
      </c>
      <c r="G31" t="s">
        <v>601</v>
      </c>
      <c r="H31" t="s">
        <v>614</v>
      </c>
      <c r="I31" t="s">
        <v>219</v>
      </c>
      <c r="J31" t="s">
        <v>219</v>
      </c>
      <c r="K31" t="s">
        <v>219</v>
      </c>
      <c r="L31" t="s">
        <v>199</v>
      </c>
      <c r="M31" t="s">
        <v>908</v>
      </c>
      <c r="N31" s="92">
        <v>274</v>
      </c>
    </row>
    <row r="32" spans="1:14" x14ac:dyDescent="0.25">
      <c r="A32" t="s">
        <v>825</v>
      </c>
      <c r="B32" t="s">
        <v>610</v>
      </c>
      <c r="C32" t="s">
        <v>917</v>
      </c>
      <c r="D32" t="s">
        <v>750</v>
      </c>
      <c r="E32" t="s">
        <v>576</v>
      </c>
      <c r="F32" t="s">
        <v>578</v>
      </c>
      <c r="G32" t="s">
        <v>577</v>
      </c>
      <c r="H32" t="s">
        <v>614</v>
      </c>
      <c r="I32" t="s">
        <v>219</v>
      </c>
      <c r="J32" t="s">
        <v>219</v>
      </c>
      <c r="K32" t="s">
        <v>219</v>
      </c>
      <c r="L32" t="s">
        <v>199</v>
      </c>
      <c r="M32" t="s">
        <v>908</v>
      </c>
      <c r="N32" s="92">
        <v>246</v>
      </c>
    </row>
    <row r="33" spans="1:14" x14ac:dyDescent="0.25">
      <c r="A33" t="s">
        <v>825</v>
      </c>
      <c r="B33" t="s">
        <v>610</v>
      </c>
      <c r="C33" t="s">
        <v>917</v>
      </c>
      <c r="D33" t="s">
        <v>749</v>
      </c>
      <c r="E33" t="s">
        <v>566</v>
      </c>
      <c r="F33" t="s">
        <v>569</v>
      </c>
      <c r="G33" t="s">
        <v>568</v>
      </c>
      <c r="H33" t="s">
        <v>614</v>
      </c>
      <c r="I33" t="s">
        <v>219</v>
      </c>
      <c r="J33" t="s">
        <v>219</v>
      </c>
      <c r="K33" t="s">
        <v>219</v>
      </c>
      <c r="L33" t="s">
        <v>199</v>
      </c>
      <c r="M33" t="s">
        <v>908</v>
      </c>
      <c r="N33" s="92">
        <v>252</v>
      </c>
    </row>
    <row r="34" spans="1:14" x14ac:dyDescent="0.25">
      <c r="A34" t="s">
        <v>825</v>
      </c>
      <c r="B34" t="s">
        <v>610</v>
      </c>
      <c r="C34" t="s">
        <v>917</v>
      </c>
      <c r="D34" t="s">
        <v>751</v>
      </c>
      <c r="E34" t="s">
        <v>584</v>
      </c>
      <c r="F34" t="s">
        <v>586</v>
      </c>
      <c r="G34" t="s">
        <v>585</v>
      </c>
      <c r="H34" t="s">
        <v>614</v>
      </c>
      <c r="I34" t="s">
        <v>219</v>
      </c>
      <c r="J34" t="s">
        <v>219</v>
      </c>
      <c r="K34" t="s">
        <v>219</v>
      </c>
      <c r="L34" t="s">
        <v>199</v>
      </c>
      <c r="M34" t="s">
        <v>908</v>
      </c>
      <c r="N34" s="92">
        <v>215</v>
      </c>
    </row>
    <row r="35" spans="1:14" x14ac:dyDescent="0.25">
      <c r="A35" t="s">
        <v>825</v>
      </c>
      <c r="B35" t="s">
        <v>610</v>
      </c>
      <c r="C35" s="89" t="s">
        <v>918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5">
        <v>1687</v>
      </c>
    </row>
    <row r="36" spans="1:14" x14ac:dyDescent="0.25">
      <c r="A36" t="s">
        <v>825</v>
      </c>
      <c r="B36" t="s">
        <v>610</v>
      </c>
      <c r="C36" t="s">
        <v>999</v>
      </c>
      <c r="D36" t="s">
        <v>894</v>
      </c>
      <c r="E36" t="s">
        <v>884</v>
      </c>
      <c r="F36" t="s">
        <v>880</v>
      </c>
      <c r="G36" t="s">
        <v>630</v>
      </c>
      <c r="H36" t="s">
        <v>247</v>
      </c>
      <c r="I36" t="s">
        <v>219</v>
      </c>
      <c r="J36" t="s">
        <v>864</v>
      </c>
      <c r="K36" t="s">
        <v>864</v>
      </c>
      <c r="L36" t="s">
        <v>864</v>
      </c>
      <c r="M36" t="s">
        <v>713</v>
      </c>
      <c r="N36" s="92">
        <v>3680</v>
      </c>
    </row>
    <row r="37" spans="1:14" x14ac:dyDescent="0.25">
      <c r="A37" t="s">
        <v>825</v>
      </c>
      <c r="B37" t="s">
        <v>610</v>
      </c>
      <c r="C37" t="s">
        <v>999</v>
      </c>
      <c r="D37" t="s">
        <v>894</v>
      </c>
      <c r="E37" t="s">
        <v>884</v>
      </c>
      <c r="F37" t="s">
        <v>880</v>
      </c>
      <c r="G37" t="s">
        <v>630</v>
      </c>
      <c r="H37" t="s">
        <v>247</v>
      </c>
      <c r="I37" t="s">
        <v>219</v>
      </c>
      <c r="J37" t="s">
        <v>864</v>
      </c>
      <c r="K37" t="s">
        <v>864</v>
      </c>
      <c r="L37" t="s">
        <v>864</v>
      </c>
      <c r="M37" t="s">
        <v>906</v>
      </c>
      <c r="N37" s="92">
        <v>320</v>
      </c>
    </row>
    <row r="38" spans="1:14" x14ac:dyDescent="0.25">
      <c r="A38" t="s">
        <v>825</v>
      </c>
      <c r="B38" t="s">
        <v>610</v>
      </c>
      <c r="C38" t="s">
        <v>999</v>
      </c>
      <c r="D38" t="s">
        <v>895</v>
      </c>
      <c r="E38" t="s">
        <v>885</v>
      </c>
      <c r="F38" t="s">
        <v>881</v>
      </c>
      <c r="G38" t="s">
        <v>630</v>
      </c>
      <c r="H38" t="s">
        <v>375</v>
      </c>
      <c r="I38" t="s">
        <v>864</v>
      </c>
      <c r="J38" t="s">
        <v>864</v>
      </c>
      <c r="K38" t="s">
        <v>864</v>
      </c>
      <c r="L38" t="s">
        <v>864</v>
      </c>
      <c r="M38" t="s">
        <v>713</v>
      </c>
      <c r="N38" s="92">
        <v>3220</v>
      </c>
    </row>
    <row r="39" spans="1:14" x14ac:dyDescent="0.25">
      <c r="A39" t="s">
        <v>825</v>
      </c>
      <c r="B39" t="s">
        <v>610</v>
      </c>
      <c r="C39" t="s">
        <v>999</v>
      </c>
      <c r="D39" t="s">
        <v>895</v>
      </c>
      <c r="E39" t="s">
        <v>885</v>
      </c>
      <c r="F39" t="s">
        <v>881</v>
      </c>
      <c r="G39" t="s">
        <v>630</v>
      </c>
      <c r="H39" t="s">
        <v>375</v>
      </c>
      <c r="I39" t="s">
        <v>864</v>
      </c>
      <c r="J39" t="s">
        <v>864</v>
      </c>
      <c r="K39" t="s">
        <v>864</v>
      </c>
      <c r="L39" t="s">
        <v>864</v>
      </c>
      <c r="M39" t="s">
        <v>906</v>
      </c>
      <c r="N39" s="92">
        <v>280</v>
      </c>
    </row>
    <row r="40" spans="1:14" x14ac:dyDescent="0.25">
      <c r="A40" t="s">
        <v>825</v>
      </c>
      <c r="B40" t="s">
        <v>610</v>
      </c>
      <c r="C40" s="89" t="s">
        <v>1000</v>
      </c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95">
        <v>7500</v>
      </c>
    </row>
    <row r="41" spans="1:14" x14ac:dyDescent="0.25">
      <c r="A41" t="s">
        <v>825</v>
      </c>
      <c r="B41" t="s">
        <v>610</v>
      </c>
      <c r="C41" t="s">
        <v>919</v>
      </c>
      <c r="D41" t="s">
        <v>823</v>
      </c>
      <c r="E41" t="s">
        <v>786</v>
      </c>
      <c r="F41" t="s">
        <v>187</v>
      </c>
      <c r="G41" t="s">
        <v>771</v>
      </c>
      <c r="H41" t="s">
        <v>787</v>
      </c>
      <c r="I41" t="s">
        <v>864</v>
      </c>
      <c r="J41" t="s">
        <v>864</v>
      </c>
      <c r="K41" t="s">
        <v>864</v>
      </c>
      <c r="L41" t="s">
        <v>864</v>
      </c>
      <c r="M41" t="s">
        <v>872</v>
      </c>
      <c r="N41" s="92">
        <v>418</v>
      </c>
    </row>
    <row r="42" spans="1:14" x14ac:dyDescent="0.25">
      <c r="A42" t="s">
        <v>825</v>
      </c>
      <c r="B42" t="s">
        <v>610</v>
      </c>
      <c r="C42" s="89" t="s">
        <v>920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5">
        <v>418</v>
      </c>
    </row>
    <row r="43" spans="1:14" x14ac:dyDescent="0.25">
      <c r="A43" t="s">
        <v>825</v>
      </c>
      <c r="B43" t="s">
        <v>610</v>
      </c>
      <c r="C43" t="s">
        <v>921</v>
      </c>
      <c r="D43" t="s">
        <v>816</v>
      </c>
      <c r="E43" t="s">
        <v>804</v>
      </c>
      <c r="F43" t="s">
        <v>811</v>
      </c>
      <c r="G43" t="s">
        <v>806</v>
      </c>
      <c r="H43" t="s">
        <v>813</v>
      </c>
      <c r="I43" t="s">
        <v>864</v>
      </c>
      <c r="J43" t="s">
        <v>864</v>
      </c>
      <c r="K43" t="s">
        <v>911</v>
      </c>
      <c r="L43" t="s">
        <v>864</v>
      </c>
      <c r="M43" t="s">
        <v>906</v>
      </c>
      <c r="N43" s="92">
        <v>860</v>
      </c>
    </row>
    <row r="44" spans="1:14" x14ac:dyDescent="0.25">
      <c r="A44" t="s">
        <v>825</v>
      </c>
      <c r="B44" t="s">
        <v>610</v>
      </c>
      <c r="C44" t="s">
        <v>921</v>
      </c>
      <c r="D44" t="s">
        <v>859</v>
      </c>
      <c r="E44" t="s">
        <v>848</v>
      </c>
      <c r="F44" t="s">
        <v>850</v>
      </c>
      <c r="G44" t="s">
        <v>849</v>
      </c>
      <c r="H44" t="s">
        <v>405</v>
      </c>
      <c r="I44" t="s">
        <v>219</v>
      </c>
      <c r="J44" t="s">
        <v>219</v>
      </c>
      <c r="K44" t="s">
        <v>219</v>
      </c>
      <c r="L44" t="s">
        <v>864</v>
      </c>
      <c r="M44" t="s">
        <v>906</v>
      </c>
      <c r="N44" s="92">
        <v>1200</v>
      </c>
    </row>
    <row r="45" spans="1:14" x14ac:dyDescent="0.25">
      <c r="A45" t="s">
        <v>825</v>
      </c>
      <c r="B45" t="s">
        <v>610</v>
      </c>
      <c r="C45" t="s">
        <v>921</v>
      </c>
      <c r="D45" t="s">
        <v>990</v>
      </c>
      <c r="E45" t="s">
        <v>979</v>
      </c>
      <c r="F45" t="s">
        <v>798</v>
      </c>
      <c r="G45" t="s">
        <v>883</v>
      </c>
      <c r="H45" t="s">
        <v>247</v>
      </c>
      <c r="I45" t="s">
        <v>219</v>
      </c>
      <c r="J45" t="s">
        <v>864</v>
      </c>
      <c r="K45" t="s">
        <v>864</v>
      </c>
      <c r="L45" t="s">
        <v>864</v>
      </c>
      <c r="M45" t="s">
        <v>872</v>
      </c>
      <c r="N45" s="92">
        <v>4862</v>
      </c>
    </row>
    <row r="46" spans="1:14" x14ac:dyDescent="0.25">
      <c r="A46" t="s">
        <v>825</v>
      </c>
      <c r="B46" t="s">
        <v>610</v>
      </c>
      <c r="C46" s="89" t="s">
        <v>922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95">
        <v>6922</v>
      </c>
    </row>
    <row r="47" spans="1:14" x14ac:dyDescent="0.25">
      <c r="A47" t="s">
        <v>825</v>
      </c>
      <c r="B47" t="s">
        <v>610</v>
      </c>
      <c r="C47" t="s">
        <v>1026</v>
      </c>
      <c r="D47" t="s">
        <v>877</v>
      </c>
      <c r="E47" t="s">
        <v>435</v>
      </c>
      <c r="F47" t="s">
        <v>187</v>
      </c>
      <c r="G47" t="s">
        <v>433</v>
      </c>
      <c r="H47" t="s">
        <v>247</v>
      </c>
      <c r="I47" t="s">
        <v>219</v>
      </c>
      <c r="J47" t="s">
        <v>219</v>
      </c>
      <c r="K47" t="s">
        <v>219</v>
      </c>
      <c r="L47" t="s">
        <v>864</v>
      </c>
      <c r="M47" t="s">
        <v>870</v>
      </c>
      <c r="N47" s="92">
        <v>441</v>
      </c>
    </row>
    <row r="48" spans="1:14" x14ac:dyDescent="0.25">
      <c r="A48" t="s">
        <v>825</v>
      </c>
      <c r="B48" t="s">
        <v>610</v>
      </c>
      <c r="C48" t="s">
        <v>1026</v>
      </c>
      <c r="D48" t="s">
        <v>877</v>
      </c>
      <c r="E48" t="s">
        <v>435</v>
      </c>
      <c r="F48" t="s">
        <v>187</v>
      </c>
      <c r="G48" t="s">
        <v>433</v>
      </c>
      <c r="H48" t="s">
        <v>247</v>
      </c>
      <c r="I48" t="s">
        <v>219</v>
      </c>
      <c r="J48" t="s">
        <v>219</v>
      </c>
      <c r="K48" t="s">
        <v>219</v>
      </c>
      <c r="L48" t="s">
        <v>864</v>
      </c>
      <c r="M48" t="s">
        <v>906</v>
      </c>
      <c r="N48" s="92">
        <v>60</v>
      </c>
    </row>
    <row r="49" spans="1:14" x14ac:dyDescent="0.25">
      <c r="A49" t="s">
        <v>825</v>
      </c>
      <c r="B49" t="s">
        <v>610</v>
      </c>
      <c r="C49" t="s">
        <v>1026</v>
      </c>
      <c r="D49" t="s">
        <v>879</v>
      </c>
      <c r="E49" t="s">
        <v>438</v>
      </c>
      <c r="F49" t="s">
        <v>187</v>
      </c>
      <c r="G49" t="s">
        <v>433</v>
      </c>
      <c r="H49" t="s">
        <v>247</v>
      </c>
      <c r="I49" t="s">
        <v>219</v>
      </c>
      <c r="J49" t="s">
        <v>219</v>
      </c>
      <c r="K49" t="s">
        <v>219</v>
      </c>
      <c r="L49" t="s">
        <v>864</v>
      </c>
      <c r="M49" t="s">
        <v>870</v>
      </c>
      <c r="N49" s="92">
        <v>4000</v>
      </c>
    </row>
    <row r="50" spans="1:14" x14ac:dyDescent="0.25">
      <c r="A50" t="s">
        <v>825</v>
      </c>
      <c r="B50" t="s">
        <v>610</v>
      </c>
      <c r="C50" s="89" t="s">
        <v>1027</v>
      </c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95">
        <v>4501</v>
      </c>
    </row>
    <row r="51" spans="1:14" x14ac:dyDescent="0.25">
      <c r="A51" t="s">
        <v>825</v>
      </c>
      <c r="B51" t="s">
        <v>610</v>
      </c>
      <c r="C51" t="s">
        <v>1028</v>
      </c>
      <c r="D51" t="s">
        <v>896</v>
      </c>
      <c r="E51" t="s">
        <v>886</v>
      </c>
      <c r="F51" t="s">
        <v>882</v>
      </c>
      <c r="G51" t="s">
        <v>883</v>
      </c>
      <c r="H51" t="s">
        <v>247</v>
      </c>
      <c r="I51" t="s">
        <v>219</v>
      </c>
      <c r="J51" t="s">
        <v>864</v>
      </c>
      <c r="K51" t="s">
        <v>864</v>
      </c>
      <c r="L51" t="s">
        <v>864</v>
      </c>
      <c r="M51" t="s">
        <v>870</v>
      </c>
      <c r="N51" s="92">
        <v>2354</v>
      </c>
    </row>
    <row r="52" spans="1:14" x14ac:dyDescent="0.25">
      <c r="A52" t="s">
        <v>825</v>
      </c>
      <c r="B52" t="s">
        <v>610</v>
      </c>
      <c r="C52" t="s">
        <v>1028</v>
      </c>
      <c r="D52" t="s">
        <v>988</v>
      </c>
      <c r="E52" t="s">
        <v>443</v>
      </c>
      <c r="F52" t="s">
        <v>268</v>
      </c>
      <c r="G52" t="s">
        <v>883</v>
      </c>
      <c r="H52" t="s">
        <v>247</v>
      </c>
      <c r="I52" t="s">
        <v>219</v>
      </c>
      <c r="J52" t="s">
        <v>864</v>
      </c>
      <c r="K52" t="s">
        <v>864</v>
      </c>
      <c r="L52" t="s">
        <v>864</v>
      </c>
      <c r="M52" t="s">
        <v>872</v>
      </c>
      <c r="N52" s="92">
        <v>4374</v>
      </c>
    </row>
    <row r="53" spans="1:14" x14ac:dyDescent="0.25">
      <c r="A53" t="s">
        <v>825</v>
      </c>
      <c r="B53" t="s">
        <v>610</v>
      </c>
      <c r="C53" t="s">
        <v>1028</v>
      </c>
      <c r="D53" t="s">
        <v>988</v>
      </c>
      <c r="E53" t="s">
        <v>443</v>
      </c>
      <c r="F53" t="s">
        <v>268</v>
      </c>
      <c r="G53" t="s">
        <v>883</v>
      </c>
      <c r="H53" t="s">
        <v>247</v>
      </c>
      <c r="I53" t="s">
        <v>219</v>
      </c>
      <c r="J53" t="s">
        <v>864</v>
      </c>
      <c r="K53" t="s">
        <v>864</v>
      </c>
      <c r="L53" t="s">
        <v>864</v>
      </c>
      <c r="M53" t="s">
        <v>928</v>
      </c>
      <c r="N53" s="92">
        <v>140</v>
      </c>
    </row>
    <row r="54" spans="1:14" x14ac:dyDescent="0.25">
      <c r="A54" t="s">
        <v>825</v>
      </c>
      <c r="B54" t="s">
        <v>610</v>
      </c>
      <c r="C54" t="s">
        <v>1028</v>
      </c>
      <c r="D54" t="s">
        <v>989</v>
      </c>
      <c r="E54" t="s">
        <v>446</v>
      </c>
      <c r="F54" t="s">
        <v>268</v>
      </c>
      <c r="G54" t="s">
        <v>978</v>
      </c>
      <c r="H54" t="s">
        <v>247</v>
      </c>
      <c r="I54" t="s">
        <v>219</v>
      </c>
      <c r="J54" t="s">
        <v>864</v>
      </c>
      <c r="K54" t="s">
        <v>864</v>
      </c>
      <c r="L54" t="s">
        <v>864</v>
      </c>
      <c r="M54" t="s">
        <v>872</v>
      </c>
      <c r="N54" s="92">
        <v>640</v>
      </c>
    </row>
    <row r="55" spans="1:14" x14ac:dyDescent="0.25">
      <c r="A55" t="s">
        <v>825</v>
      </c>
      <c r="B55" t="s">
        <v>610</v>
      </c>
      <c r="C55" s="89" t="s">
        <v>1029</v>
      </c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95">
        <v>7508</v>
      </c>
    </row>
    <row r="56" spans="1:14" x14ac:dyDescent="0.25">
      <c r="A56" t="s">
        <v>825</v>
      </c>
      <c r="B56" t="s">
        <v>610</v>
      </c>
      <c r="C56" t="s">
        <v>1022</v>
      </c>
      <c r="D56" t="s">
        <v>862</v>
      </c>
      <c r="E56" t="s">
        <v>839</v>
      </c>
      <c r="F56" t="s">
        <v>841</v>
      </c>
      <c r="G56" t="s">
        <v>840</v>
      </c>
      <c r="H56" t="s">
        <v>247</v>
      </c>
      <c r="I56" t="s">
        <v>219</v>
      </c>
      <c r="J56" t="s">
        <v>864</v>
      </c>
      <c r="K56" t="s">
        <v>864</v>
      </c>
      <c r="L56" t="s">
        <v>864</v>
      </c>
      <c r="M56" t="s">
        <v>870</v>
      </c>
      <c r="N56" s="92">
        <v>4800</v>
      </c>
    </row>
    <row r="57" spans="1:14" x14ac:dyDescent="0.25">
      <c r="A57" t="s">
        <v>825</v>
      </c>
      <c r="B57" t="s">
        <v>610</v>
      </c>
      <c r="C57" s="89" t="s">
        <v>1023</v>
      </c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95">
        <v>4800</v>
      </c>
    </row>
    <row r="58" spans="1:14" x14ac:dyDescent="0.25">
      <c r="A58" t="s">
        <v>825</v>
      </c>
      <c r="B58" t="s">
        <v>610</v>
      </c>
      <c r="C58" t="s">
        <v>1148</v>
      </c>
      <c r="D58" t="s">
        <v>876</v>
      </c>
      <c r="E58" t="s">
        <v>434</v>
      </c>
      <c r="F58" t="s">
        <v>198</v>
      </c>
      <c r="G58" t="s">
        <v>433</v>
      </c>
      <c r="H58" t="s">
        <v>247</v>
      </c>
      <c r="I58" t="s">
        <v>219</v>
      </c>
      <c r="J58" t="s">
        <v>614</v>
      </c>
      <c r="K58" t="s">
        <v>614</v>
      </c>
      <c r="L58" t="s">
        <v>614</v>
      </c>
      <c r="M58" t="s">
        <v>906</v>
      </c>
      <c r="N58" s="92">
        <v>501</v>
      </c>
    </row>
    <row r="59" spans="1:14" x14ac:dyDescent="0.25">
      <c r="A59" t="s">
        <v>825</v>
      </c>
      <c r="B59" t="s">
        <v>610</v>
      </c>
      <c r="C59" t="s">
        <v>1148</v>
      </c>
      <c r="D59" t="s">
        <v>878</v>
      </c>
      <c r="E59" t="s">
        <v>436</v>
      </c>
      <c r="F59" t="s">
        <v>198</v>
      </c>
      <c r="G59" t="s">
        <v>433</v>
      </c>
      <c r="H59" t="s">
        <v>247</v>
      </c>
      <c r="I59" t="s">
        <v>219</v>
      </c>
      <c r="J59" t="s">
        <v>219</v>
      </c>
      <c r="K59" t="s">
        <v>219</v>
      </c>
      <c r="L59" t="s">
        <v>864</v>
      </c>
      <c r="M59" t="s">
        <v>906</v>
      </c>
      <c r="N59" s="92">
        <v>350</v>
      </c>
    </row>
    <row r="60" spans="1:14" x14ac:dyDescent="0.25">
      <c r="A60" t="s">
        <v>825</v>
      </c>
      <c r="B60" t="s">
        <v>610</v>
      </c>
      <c r="C60" t="s">
        <v>1148</v>
      </c>
      <c r="D60" t="s">
        <v>878</v>
      </c>
      <c r="E60" t="s">
        <v>436</v>
      </c>
      <c r="F60" t="s">
        <v>198</v>
      </c>
      <c r="G60" t="s">
        <v>433</v>
      </c>
      <c r="H60" t="s">
        <v>247</v>
      </c>
      <c r="I60" t="s">
        <v>219</v>
      </c>
      <c r="J60" t="s">
        <v>614</v>
      </c>
      <c r="K60" t="s">
        <v>614</v>
      </c>
      <c r="L60" t="s">
        <v>614</v>
      </c>
      <c r="M60" t="s">
        <v>906</v>
      </c>
      <c r="N60" s="92">
        <v>650</v>
      </c>
    </row>
    <row r="61" spans="1:14" x14ac:dyDescent="0.25">
      <c r="A61" t="s">
        <v>825</v>
      </c>
      <c r="B61" t="s">
        <v>610</v>
      </c>
      <c r="C61" s="89" t="s">
        <v>1149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95">
        <v>1501</v>
      </c>
    </row>
    <row r="62" spans="1:14" x14ac:dyDescent="0.25">
      <c r="A62" t="s">
        <v>825</v>
      </c>
      <c r="B62" t="s">
        <v>610</v>
      </c>
      <c r="C62" t="s">
        <v>1024</v>
      </c>
      <c r="D62" t="s">
        <v>814</v>
      </c>
      <c r="E62" t="s">
        <v>388</v>
      </c>
      <c r="F62" t="s">
        <v>389</v>
      </c>
      <c r="G62" t="s">
        <v>730</v>
      </c>
      <c r="H62" t="s">
        <v>303</v>
      </c>
      <c r="I62" t="s">
        <v>219</v>
      </c>
      <c r="J62" t="s">
        <v>864</v>
      </c>
      <c r="K62" t="s">
        <v>912</v>
      </c>
      <c r="L62" t="s">
        <v>864</v>
      </c>
      <c r="M62" t="s">
        <v>906</v>
      </c>
      <c r="N62" s="92">
        <v>440</v>
      </c>
    </row>
    <row r="63" spans="1:14" x14ac:dyDescent="0.25">
      <c r="A63" t="s">
        <v>825</v>
      </c>
      <c r="B63" t="s">
        <v>610</v>
      </c>
      <c r="C63" t="s">
        <v>1024</v>
      </c>
      <c r="D63" t="s">
        <v>815</v>
      </c>
      <c r="E63" t="s">
        <v>805</v>
      </c>
      <c r="F63" t="s">
        <v>812</v>
      </c>
      <c r="G63" t="s">
        <v>730</v>
      </c>
      <c r="H63" t="s">
        <v>303</v>
      </c>
      <c r="I63" t="s">
        <v>219</v>
      </c>
      <c r="J63" t="s">
        <v>864</v>
      </c>
      <c r="K63" t="s">
        <v>912</v>
      </c>
      <c r="L63" t="s">
        <v>864</v>
      </c>
      <c r="M63" t="s">
        <v>906</v>
      </c>
      <c r="N63" s="92">
        <v>500</v>
      </c>
    </row>
    <row r="64" spans="1:14" x14ac:dyDescent="0.25">
      <c r="A64" t="s">
        <v>825</v>
      </c>
      <c r="B64" t="s">
        <v>610</v>
      </c>
      <c r="C64" s="89" t="s">
        <v>1025</v>
      </c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95">
        <v>940</v>
      </c>
    </row>
    <row r="65" spans="1:14" x14ac:dyDescent="0.25">
      <c r="A65" s="94" t="s">
        <v>609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2">
        <v>49877</v>
      </c>
    </row>
  </sheetData>
  <conditionalFormatting sqref="A1:XFD2 A1707:XFD1048576 A3:M1706 O62:XFD1706 O61 Q3:XFD61">
    <cfRule type="containsText" dxfId="148" priority="1" operator="containsText" text="Pending">
      <formula>NOT(ISERROR(SEARCH("Pending",A1)))</formula>
    </cfRule>
    <cfRule type="containsText" dxfId="147" priority="2" operator="containsText" text="Approved">
      <formula>NOT(ISERROR(SEARCH("Approved",A1)))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F14" sqref="F14"/>
    </sheetView>
  </sheetViews>
  <sheetFormatPr defaultRowHeight="15" x14ac:dyDescent="0.25"/>
  <cols>
    <col min="4" max="4" width="26.7109375" customWidth="1"/>
    <col min="5" max="5" width="31.42578125" customWidth="1"/>
    <col min="6" max="6" width="19.140625" customWidth="1"/>
  </cols>
  <sheetData>
    <row r="1" spans="1:6" x14ac:dyDescent="0.25">
      <c r="A1" s="96" t="s">
        <v>1037</v>
      </c>
      <c r="B1" s="89"/>
      <c r="C1" s="89"/>
      <c r="D1" s="89"/>
      <c r="E1" s="89"/>
      <c r="F1" s="89"/>
    </row>
    <row r="2" spans="1:6" x14ac:dyDescent="0.25">
      <c r="C2">
        <f>SUBTOTAL(9,C4:C20)</f>
        <v>33387</v>
      </c>
    </row>
    <row r="3" spans="1:6" s="100" customFormat="1" ht="30" x14ac:dyDescent="0.25">
      <c r="A3" s="99" t="s">
        <v>1032</v>
      </c>
      <c r="B3" s="99" t="s">
        <v>1030</v>
      </c>
      <c r="C3" s="99" t="s">
        <v>18</v>
      </c>
      <c r="D3" s="99" t="s">
        <v>1033</v>
      </c>
      <c r="E3" s="99" t="s">
        <v>1031</v>
      </c>
      <c r="F3" s="99" t="s">
        <v>1034</v>
      </c>
    </row>
    <row r="4" spans="1:6" x14ac:dyDescent="0.25">
      <c r="A4" s="98">
        <v>1</v>
      </c>
      <c r="B4" s="98" t="s">
        <v>917</v>
      </c>
      <c r="C4" s="98">
        <v>1687</v>
      </c>
      <c r="D4" s="98">
        <v>7</v>
      </c>
      <c r="E4" s="98" t="s">
        <v>1035</v>
      </c>
      <c r="F4" s="98" t="s">
        <v>1036</v>
      </c>
    </row>
    <row r="5" spans="1:6" x14ac:dyDescent="0.25">
      <c r="A5" s="98">
        <v>2</v>
      </c>
      <c r="B5" s="98" t="s">
        <v>999</v>
      </c>
      <c r="C5" s="98">
        <v>7500</v>
      </c>
      <c r="D5" s="98">
        <v>2</v>
      </c>
      <c r="E5" s="98" t="s">
        <v>1040</v>
      </c>
      <c r="F5" s="98" t="s">
        <v>1041</v>
      </c>
    </row>
    <row r="6" spans="1:6" x14ac:dyDescent="0.25">
      <c r="A6" s="98">
        <v>3</v>
      </c>
      <c r="B6" s="98" t="s">
        <v>919</v>
      </c>
      <c r="C6" s="98">
        <v>418</v>
      </c>
      <c r="D6" s="98">
        <v>1</v>
      </c>
      <c r="E6" s="98" t="s">
        <v>1043</v>
      </c>
      <c r="F6" s="98" t="s">
        <v>1042</v>
      </c>
    </row>
    <row r="7" spans="1:6" x14ac:dyDescent="0.25">
      <c r="A7" s="98">
        <v>4</v>
      </c>
      <c r="B7" s="98" t="s">
        <v>921</v>
      </c>
      <c r="C7" s="98">
        <v>5342</v>
      </c>
      <c r="D7" s="98">
        <v>1</v>
      </c>
      <c r="E7" s="98" t="s">
        <v>1084</v>
      </c>
      <c r="F7" s="98" t="s">
        <v>1041</v>
      </c>
    </row>
    <row r="8" spans="1:6" x14ac:dyDescent="0.25">
      <c r="A8" s="98">
        <v>4</v>
      </c>
      <c r="B8" s="103">
        <v>46106</v>
      </c>
      <c r="C8" s="98">
        <v>5361</v>
      </c>
      <c r="D8" s="98">
        <v>3</v>
      </c>
      <c r="E8" s="98" t="s">
        <v>1101</v>
      </c>
      <c r="F8" s="98" t="s">
        <v>1041</v>
      </c>
    </row>
    <row r="9" spans="1:6" x14ac:dyDescent="0.25">
      <c r="A9" s="98">
        <v>5</v>
      </c>
      <c r="B9" s="103">
        <v>46109</v>
      </c>
      <c r="C9" s="98">
        <v>4800</v>
      </c>
      <c r="D9" s="98">
        <v>1</v>
      </c>
      <c r="E9" s="98" t="s">
        <v>1120</v>
      </c>
      <c r="F9" s="98" t="s">
        <v>1041</v>
      </c>
    </row>
    <row r="10" spans="1:6" x14ac:dyDescent="0.25">
      <c r="A10" s="98">
        <v>6</v>
      </c>
      <c r="B10" s="103">
        <v>46111</v>
      </c>
      <c r="C10" s="98">
        <v>1501</v>
      </c>
      <c r="D10" s="98">
        <v>2</v>
      </c>
      <c r="E10" s="98" t="s">
        <v>1120</v>
      </c>
      <c r="F10" s="98" t="s">
        <v>1041</v>
      </c>
    </row>
    <row r="11" spans="1:6" x14ac:dyDescent="0.25">
      <c r="A11" s="98">
        <v>7</v>
      </c>
      <c r="B11" s="103">
        <v>46112</v>
      </c>
      <c r="C11" s="98">
        <f>500+440</f>
        <v>940</v>
      </c>
      <c r="D11" s="98">
        <v>2</v>
      </c>
      <c r="E11" s="98" t="s">
        <v>1133</v>
      </c>
      <c r="F11" s="98" t="s">
        <v>1041</v>
      </c>
    </row>
    <row r="12" spans="1:6" x14ac:dyDescent="0.25">
      <c r="A12" s="98">
        <v>8</v>
      </c>
      <c r="B12" s="103">
        <v>46113</v>
      </c>
      <c r="C12" s="98">
        <f>4292+606</f>
        <v>4898</v>
      </c>
      <c r="D12" s="98">
        <v>2</v>
      </c>
      <c r="E12" s="98" t="s">
        <v>1134</v>
      </c>
      <c r="F12" s="98" t="s">
        <v>166</v>
      </c>
    </row>
    <row r="13" spans="1:6" x14ac:dyDescent="0.25">
      <c r="A13" s="98">
        <v>9</v>
      </c>
      <c r="B13" s="98" t="s">
        <v>1024</v>
      </c>
      <c r="C13" s="98">
        <v>940</v>
      </c>
      <c r="D13" s="98">
        <v>2</v>
      </c>
      <c r="E13" s="98"/>
      <c r="F13" s="98"/>
    </row>
    <row r="14" spans="1:6" x14ac:dyDescent="0.25">
      <c r="A14" s="98">
        <v>10</v>
      </c>
      <c r="B14" s="98"/>
      <c r="C14" s="98"/>
      <c r="D14" s="98"/>
      <c r="E14" s="98"/>
      <c r="F14" s="98"/>
    </row>
    <row r="15" spans="1:6" x14ac:dyDescent="0.25">
      <c r="A15" s="98">
        <v>11</v>
      </c>
      <c r="B15" s="98"/>
      <c r="C15" s="98"/>
      <c r="D15" s="98"/>
      <c r="E15" s="98"/>
      <c r="F15" s="98"/>
    </row>
    <row r="16" spans="1:6" x14ac:dyDescent="0.25">
      <c r="A16" s="98">
        <v>12</v>
      </c>
      <c r="B16" s="98"/>
      <c r="C16" s="98"/>
      <c r="D16" s="98"/>
      <c r="E16" s="98"/>
      <c r="F16" s="98"/>
    </row>
    <row r="17" spans="1:6" x14ac:dyDescent="0.25">
      <c r="A17" s="98">
        <v>13</v>
      </c>
      <c r="B17" s="98"/>
      <c r="C17" s="98"/>
      <c r="D17" s="98"/>
      <c r="E17" s="98"/>
      <c r="F17" s="98"/>
    </row>
    <row r="18" spans="1:6" x14ac:dyDescent="0.25">
      <c r="A18" s="98">
        <v>14</v>
      </c>
      <c r="B18" s="98"/>
      <c r="C18" s="98"/>
      <c r="D18" s="98"/>
      <c r="E18" s="98"/>
      <c r="F18" s="98"/>
    </row>
    <row r="19" spans="1:6" x14ac:dyDescent="0.25">
      <c r="A19" s="98">
        <v>15</v>
      </c>
      <c r="B19" s="98"/>
      <c r="C19" s="98"/>
      <c r="D19" s="98"/>
      <c r="E19" s="98"/>
      <c r="F19" s="98"/>
    </row>
    <row r="20" spans="1:6" x14ac:dyDescent="0.25">
      <c r="A20" s="98">
        <v>16</v>
      </c>
      <c r="B20" s="98"/>
      <c r="C20" s="98"/>
      <c r="D20" s="98"/>
      <c r="E20" s="98"/>
      <c r="F20" s="98"/>
    </row>
    <row r="21" spans="1:6" x14ac:dyDescent="0.25">
      <c r="A21" s="98">
        <v>17</v>
      </c>
      <c r="B21" s="98"/>
      <c r="C21" s="98"/>
      <c r="D21" s="98"/>
      <c r="E21" s="98"/>
      <c r="F21" s="98"/>
    </row>
    <row r="22" spans="1:6" x14ac:dyDescent="0.25">
      <c r="A22" s="98">
        <v>18</v>
      </c>
      <c r="B22" s="98"/>
      <c r="C22" s="98"/>
      <c r="D22" s="98"/>
      <c r="E22" s="98"/>
      <c r="F22" s="9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1"/>
  <sheetViews>
    <sheetView topLeftCell="A2" workbookViewId="0">
      <selection activeCell="L10" sqref="L10"/>
    </sheetView>
  </sheetViews>
  <sheetFormatPr defaultRowHeight="15" x14ac:dyDescent="0.25"/>
  <cols>
    <col min="3" max="3" width="15.7109375" bestFit="1" customWidth="1"/>
    <col min="4" max="4" width="14.140625" bestFit="1" customWidth="1"/>
    <col min="5" max="5" width="15.7109375" bestFit="1" customWidth="1"/>
    <col min="6" max="7" width="14.140625" bestFit="1" customWidth="1"/>
    <col min="8" max="8" width="11.28515625" customWidth="1"/>
    <col min="9" max="9" width="11.28515625" bestFit="1" customWidth="1"/>
    <col min="10" max="11" width="11.28515625" customWidth="1"/>
    <col min="12" max="13" width="11.28515625" bestFit="1" customWidth="1"/>
  </cols>
  <sheetData>
    <row r="2" spans="3:12" x14ac:dyDescent="0.25">
      <c r="C2" s="76" t="s">
        <v>6</v>
      </c>
      <c r="D2" t="s">
        <v>624</v>
      </c>
    </row>
    <row r="4" spans="3:12" x14ac:dyDescent="0.25">
      <c r="C4" s="76" t="s">
        <v>607</v>
      </c>
      <c r="F4" s="76" t="s">
        <v>145</v>
      </c>
    </row>
    <row r="5" spans="3:12" s="88" customFormat="1" ht="30" x14ac:dyDescent="0.25">
      <c r="C5" s="76" t="s">
        <v>824</v>
      </c>
      <c r="D5" s="76" t="s">
        <v>608</v>
      </c>
      <c r="E5" s="87" t="s">
        <v>74</v>
      </c>
      <c r="F5" s="8" t="s">
        <v>176</v>
      </c>
      <c r="G5" s="8" t="s">
        <v>202</v>
      </c>
      <c r="H5" s="88" t="s">
        <v>609</v>
      </c>
      <c r="I5"/>
      <c r="J5"/>
      <c r="K5" s="8"/>
      <c r="L5" s="8"/>
    </row>
    <row r="6" spans="3:12" x14ac:dyDescent="0.25">
      <c r="C6" t="s">
        <v>825</v>
      </c>
      <c r="D6" t="s">
        <v>620</v>
      </c>
      <c r="E6" t="s">
        <v>623</v>
      </c>
      <c r="F6" s="75">
        <v>25860</v>
      </c>
      <c r="G6" s="75">
        <v>6749</v>
      </c>
      <c r="H6" s="75">
        <v>32609</v>
      </c>
    </row>
    <row r="7" spans="3:12" x14ac:dyDescent="0.25">
      <c r="E7" t="s">
        <v>712</v>
      </c>
      <c r="F7" s="75">
        <v>9759</v>
      </c>
      <c r="G7" s="75">
        <v>1998</v>
      </c>
      <c r="H7" s="75">
        <v>11757</v>
      </c>
    </row>
    <row r="8" spans="3:12" x14ac:dyDescent="0.25">
      <c r="E8" t="s">
        <v>826</v>
      </c>
      <c r="F8" s="75">
        <v>2050</v>
      </c>
      <c r="G8" s="75">
        <v>8328</v>
      </c>
      <c r="H8" s="75">
        <v>10378</v>
      </c>
    </row>
    <row r="9" spans="3:12" x14ac:dyDescent="0.25">
      <c r="E9" t="s">
        <v>713</v>
      </c>
      <c r="F9" s="75">
        <v>9698</v>
      </c>
      <c r="G9" s="75">
        <v>16119</v>
      </c>
      <c r="H9" s="75">
        <v>25817</v>
      </c>
    </row>
    <row r="10" spans="3:12" x14ac:dyDescent="0.25">
      <c r="D10" s="89" t="s">
        <v>1111</v>
      </c>
      <c r="E10" s="89"/>
      <c r="F10" s="90">
        <v>47367</v>
      </c>
      <c r="G10" s="90">
        <v>33194</v>
      </c>
      <c r="H10" s="90">
        <v>80561</v>
      </c>
    </row>
    <row r="11" spans="3:12" x14ac:dyDescent="0.25">
      <c r="D11" t="s">
        <v>621</v>
      </c>
      <c r="E11" t="s">
        <v>870</v>
      </c>
      <c r="F11" s="75">
        <v>7266</v>
      </c>
      <c r="G11" s="75">
        <v>8265</v>
      </c>
      <c r="H11" s="75">
        <v>15531</v>
      </c>
      <c r="I11">
        <v>15531</v>
      </c>
      <c r="J11">
        <f>I11-GETPIVOTDATA("Qty",$C$4,"HANDOVER DATE",124,"Months",5,"Years",2026)</f>
        <v>0</v>
      </c>
    </row>
    <row r="12" spans="3:12" x14ac:dyDescent="0.25">
      <c r="E12" t="s">
        <v>906</v>
      </c>
      <c r="F12" s="75">
        <v>3900</v>
      </c>
      <c r="G12" s="75">
        <v>1561</v>
      </c>
      <c r="H12" s="75">
        <v>5461</v>
      </c>
      <c r="I12">
        <v>5461</v>
      </c>
      <c r="J12">
        <f>I12-GETPIVOTDATA("Qty",$C$4,"HANDOVER DATE",131,"Months",5,"Years",2026)</f>
        <v>0</v>
      </c>
    </row>
    <row r="13" spans="3:12" x14ac:dyDescent="0.25">
      <c r="E13" t="s">
        <v>908</v>
      </c>
      <c r="F13" s="75">
        <v>1387</v>
      </c>
      <c r="G13" s="75"/>
      <c r="H13" s="75">
        <v>1387</v>
      </c>
      <c r="I13">
        <v>1387</v>
      </c>
    </row>
    <row r="14" spans="3:12" x14ac:dyDescent="0.25">
      <c r="E14" t="s">
        <v>872</v>
      </c>
      <c r="F14" s="75">
        <v>6395</v>
      </c>
      <c r="G14" s="75">
        <v>10294</v>
      </c>
      <c r="H14" s="75">
        <v>16689</v>
      </c>
      <c r="I14">
        <v>17883</v>
      </c>
      <c r="J14">
        <f>I14-GETPIVOTDATA("Qty",$C$4,"HANDOVER DATE",145,"Months",5,"Years",2026)</f>
        <v>1194</v>
      </c>
    </row>
    <row r="15" spans="3:12" x14ac:dyDescent="0.25">
      <c r="E15" t="s">
        <v>909</v>
      </c>
      <c r="F15" s="75">
        <v>8096</v>
      </c>
      <c r="G15" s="75">
        <v>2236</v>
      </c>
      <c r="H15" s="75">
        <v>10332</v>
      </c>
      <c r="I15">
        <v>10332</v>
      </c>
      <c r="J15">
        <f>I15-GETPIVOTDATA("Qty",$C$4,"HANDOVER DATE",152,"Months",5,"Years",2026)</f>
        <v>0</v>
      </c>
    </row>
    <row r="16" spans="3:12" x14ac:dyDescent="0.25">
      <c r="D16" s="89" t="s">
        <v>1112</v>
      </c>
      <c r="E16" s="89"/>
      <c r="F16" s="90">
        <v>27044</v>
      </c>
      <c r="G16" s="90">
        <v>22356</v>
      </c>
      <c r="H16" s="90">
        <v>49400</v>
      </c>
    </row>
    <row r="17" spans="3:8" x14ac:dyDescent="0.25">
      <c r="D17" t="s">
        <v>923</v>
      </c>
      <c r="E17" t="s">
        <v>928</v>
      </c>
      <c r="F17" s="75">
        <v>11205</v>
      </c>
      <c r="G17" s="75">
        <v>9022</v>
      </c>
      <c r="H17" s="75">
        <v>20227</v>
      </c>
    </row>
    <row r="18" spans="3:8" x14ac:dyDescent="0.25">
      <c r="E18" t="s">
        <v>955</v>
      </c>
      <c r="F18" s="75">
        <v>1740</v>
      </c>
      <c r="G18" s="75">
        <v>3980</v>
      </c>
      <c r="H18" s="75">
        <v>5720</v>
      </c>
    </row>
    <row r="19" spans="3:8" x14ac:dyDescent="0.25">
      <c r="E19" t="s">
        <v>956</v>
      </c>
      <c r="F19" s="75">
        <v>40</v>
      </c>
      <c r="G19" s="75">
        <v>2748</v>
      </c>
      <c r="H19" s="75">
        <v>2788</v>
      </c>
    </row>
    <row r="20" spans="3:8" x14ac:dyDescent="0.25">
      <c r="D20" s="89" t="s">
        <v>1113</v>
      </c>
      <c r="E20" s="89"/>
      <c r="F20" s="90">
        <v>12985</v>
      </c>
      <c r="G20" s="90">
        <v>15750</v>
      </c>
      <c r="H20" s="90">
        <v>28735</v>
      </c>
    </row>
    <row r="21" spans="3:8" x14ac:dyDescent="0.25">
      <c r="D21" t="s">
        <v>924</v>
      </c>
      <c r="E21" t="s">
        <v>929</v>
      </c>
      <c r="F21" s="75">
        <v>1611</v>
      </c>
      <c r="G21" s="75">
        <v>3707</v>
      </c>
      <c r="H21" s="75">
        <v>5318</v>
      </c>
    </row>
    <row r="22" spans="3:8" x14ac:dyDescent="0.25">
      <c r="E22" t="s">
        <v>925</v>
      </c>
      <c r="F22" s="75">
        <v>374</v>
      </c>
      <c r="G22" s="75"/>
      <c r="H22" s="75">
        <v>374</v>
      </c>
    </row>
    <row r="23" spans="3:8" x14ac:dyDescent="0.25">
      <c r="E23" t="s">
        <v>957</v>
      </c>
      <c r="F23" s="75">
        <v>1039</v>
      </c>
      <c r="G23" s="75">
        <v>5386</v>
      </c>
      <c r="H23" s="75">
        <v>6425</v>
      </c>
    </row>
    <row r="24" spans="3:8" x14ac:dyDescent="0.25">
      <c r="E24" t="s">
        <v>1178</v>
      </c>
      <c r="F24" s="75">
        <v>15</v>
      </c>
      <c r="G24" s="75"/>
      <c r="H24" s="75">
        <v>15</v>
      </c>
    </row>
    <row r="25" spans="3:8" x14ac:dyDescent="0.25">
      <c r="D25" s="89" t="s">
        <v>1114</v>
      </c>
      <c r="E25" s="89"/>
      <c r="F25" s="90">
        <v>3039</v>
      </c>
      <c r="G25" s="90">
        <v>9093</v>
      </c>
      <c r="H25" s="90">
        <v>12132</v>
      </c>
    </row>
    <row r="26" spans="3:8" x14ac:dyDescent="0.25">
      <c r="D26" t="s">
        <v>926</v>
      </c>
      <c r="E26" t="s">
        <v>930</v>
      </c>
      <c r="F26" s="75">
        <v>1539</v>
      </c>
      <c r="G26" s="75"/>
      <c r="H26" s="75">
        <v>1539</v>
      </c>
    </row>
    <row r="27" spans="3:8" x14ac:dyDescent="0.25">
      <c r="E27" t="s">
        <v>927</v>
      </c>
      <c r="F27" s="75">
        <v>163</v>
      </c>
      <c r="G27" s="75"/>
      <c r="H27" s="75">
        <v>163</v>
      </c>
    </row>
    <row r="28" spans="3:8" x14ac:dyDescent="0.25">
      <c r="D28" s="89" t="s">
        <v>1115</v>
      </c>
      <c r="E28" s="89"/>
      <c r="F28" s="90">
        <v>1702</v>
      </c>
      <c r="G28" s="90"/>
      <c r="H28" s="90">
        <v>1702</v>
      </c>
    </row>
    <row r="29" spans="3:8" x14ac:dyDescent="0.25">
      <c r="D29" t="s">
        <v>1179</v>
      </c>
      <c r="E29" t="s">
        <v>1180</v>
      </c>
      <c r="F29" s="75">
        <v>1200</v>
      </c>
      <c r="G29" s="75"/>
      <c r="H29" s="75">
        <v>1200</v>
      </c>
    </row>
    <row r="30" spans="3:8" x14ac:dyDescent="0.25">
      <c r="D30" s="89" t="s">
        <v>1181</v>
      </c>
      <c r="E30" s="89"/>
      <c r="F30" s="90">
        <v>1200</v>
      </c>
      <c r="G30" s="90"/>
      <c r="H30" s="90">
        <v>1200</v>
      </c>
    </row>
    <row r="31" spans="3:8" x14ac:dyDescent="0.25">
      <c r="C31" t="s">
        <v>609</v>
      </c>
      <c r="F31" s="75">
        <v>93337</v>
      </c>
      <c r="G31" s="75">
        <v>80393</v>
      </c>
      <c r="H31" s="75">
        <v>173730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5"/>
  <sheetViews>
    <sheetView topLeftCell="A2" zoomScale="80" zoomScaleNormal="80" workbookViewId="0">
      <selection activeCell="H22" sqref="H22"/>
    </sheetView>
  </sheetViews>
  <sheetFormatPr defaultRowHeight="15" x14ac:dyDescent="0.25"/>
  <cols>
    <col min="1" max="1" width="18.5703125" bestFit="1" customWidth="1"/>
    <col min="3" max="3" width="18.5703125" bestFit="1" customWidth="1"/>
    <col min="4" max="4" width="13.7109375" bestFit="1" customWidth="1"/>
    <col min="5" max="5" width="15.42578125" customWidth="1"/>
    <col min="6" max="6" width="23.140625" customWidth="1"/>
    <col min="7" max="7" width="13.5703125" customWidth="1"/>
    <col min="8" max="8" width="33.140625" customWidth="1"/>
    <col min="9" max="9" width="5.7109375" customWidth="1"/>
  </cols>
  <sheetData>
    <row r="3" spans="1:9" x14ac:dyDescent="0.25">
      <c r="A3" s="76" t="s">
        <v>607</v>
      </c>
    </row>
    <row r="4" spans="1:9" x14ac:dyDescent="0.25">
      <c r="A4" s="76" t="s">
        <v>824</v>
      </c>
      <c r="B4" s="76" t="s">
        <v>608</v>
      </c>
      <c r="C4" s="76" t="s">
        <v>74</v>
      </c>
      <c r="D4" s="76" t="s">
        <v>59</v>
      </c>
      <c r="E4" s="76" t="s">
        <v>13</v>
      </c>
      <c r="F4" s="76" t="s">
        <v>16</v>
      </c>
      <c r="G4" s="76" t="s">
        <v>14</v>
      </c>
      <c r="H4" s="76" t="s">
        <v>17</v>
      </c>
      <c r="I4" t="s">
        <v>613</v>
      </c>
    </row>
    <row r="5" spans="1:9" x14ac:dyDescent="0.25">
      <c r="A5" t="s">
        <v>825</v>
      </c>
      <c r="B5" t="s">
        <v>620</v>
      </c>
      <c r="C5" t="s">
        <v>713</v>
      </c>
      <c r="D5" t="s">
        <v>864</v>
      </c>
      <c r="E5" t="s">
        <v>966</v>
      </c>
      <c r="F5" t="s">
        <v>375</v>
      </c>
      <c r="G5" t="s">
        <v>630</v>
      </c>
      <c r="H5" t="s">
        <v>881</v>
      </c>
      <c r="I5" s="75">
        <v>3220</v>
      </c>
    </row>
    <row r="6" spans="1:9" x14ac:dyDescent="0.25">
      <c r="D6" s="89" t="s">
        <v>1051</v>
      </c>
      <c r="E6" s="89"/>
      <c r="F6" s="89"/>
      <c r="G6" s="89"/>
      <c r="H6" s="89"/>
      <c r="I6" s="90">
        <v>3220</v>
      </c>
    </row>
    <row r="7" spans="1:9" x14ac:dyDescent="0.25">
      <c r="B7" t="s">
        <v>621</v>
      </c>
      <c r="C7" t="s">
        <v>906</v>
      </c>
      <c r="D7" t="s">
        <v>864</v>
      </c>
      <c r="E7" t="s">
        <v>961</v>
      </c>
      <c r="F7" t="s">
        <v>813</v>
      </c>
      <c r="G7" t="s">
        <v>806</v>
      </c>
      <c r="H7" t="s">
        <v>811</v>
      </c>
      <c r="I7" s="75">
        <v>860</v>
      </c>
    </row>
    <row r="8" spans="1:9" x14ac:dyDescent="0.25">
      <c r="E8" t="s">
        <v>966</v>
      </c>
      <c r="F8" t="s">
        <v>375</v>
      </c>
      <c r="G8" t="s">
        <v>630</v>
      </c>
      <c r="H8" t="s">
        <v>881</v>
      </c>
      <c r="I8" s="75">
        <v>280</v>
      </c>
    </row>
    <row r="9" spans="1:9" x14ac:dyDescent="0.25">
      <c r="E9" t="s">
        <v>341</v>
      </c>
      <c r="F9" t="s">
        <v>342</v>
      </c>
      <c r="G9" t="s">
        <v>771</v>
      </c>
      <c r="H9" t="s">
        <v>187</v>
      </c>
      <c r="I9" s="75">
        <v>300</v>
      </c>
    </row>
    <row r="10" spans="1:9" x14ac:dyDescent="0.25">
      <c r="D10" s="89" t="s">
        <v>1051</v>
      </c>
      <c r="E10" s="89"/>
      <c r="F10" s="89"/>
      <c r="G10" s="89"/>
      <c r="H10" s="89"/>
      <c r="I10" s="90">
        <v>1440</v>
      </c>
    </row>
    <row r="11" spans="1:9" x14ac:dyDescent="0.25">
      <c r="C11" t="s">
        <v>872</v>
      </c>
      <c r="D11" t="s">
        <v>864</v>
      </c>
      <c r="E11" t="s">
        <v>789</v>
      </c>
      <c r="F11" t="s">
        <v>787</v>
      </c>
      <c r="G11" t="s">
        <v>771</v>
      </c>
      <c r="H11" t="s">
        <v>187</v>
      </c>
      <c r="I11" s="75">
        <v>418</v>
      </c>
    </row>
    <row r="12" spans="1:9" x14ac:dyDescent="0.25">
      <c r="D12" s="89" t="s">
        <v>1051</v>
      </c>
      <c r="E12" s="89"/>
      <c r="F12" s="89"/>
      <c r="G12" s="89"/>
      <c r="H12" s="89"/>
      <c r="I12" s="90">
        <v>418</v>
      </c>
    </row>
    <row r="13" spans="1:9" x14ac:dyDescent="0.25">
      <c r="B13" t="s">
        <v>924</v>
      </c>
      <c r="C13" t="s">
        <v>957</v>
      </c>
      <c r="D13" t="s">
        <v>864</v>
      </c>
      <c r="E13" t="s">
        <v>968</v>
      </c>
      <c r="F13" t="s">
        <v>262</v>
      </c>
      <c r="G13" t="s">
        <v>943</v>
      </c>
      <c r="H13" t="s">
        <v>417</v>
      </c>
      <c r="I13" s="75">
        <v>780</v>
      </c>
    </row>
    <row r="14" spans="1:9" x14ac:dyDescent="0.25">
      <c r="D14" s="89" t="s">
        <v>1051</v>
      </c>
      <c r="E14" s="89"/>
      <c r="F14" s="89"/>
      <c r="G14" s="89"/>
      <c r="H14" s="89"/>
      <c r="I14" s="90">
        <v>780</v>
      </c>
    </row>
    <row r="15" spans="1:9" x14ac:dyDescent="0.25">
      <c r="A15" t="s">
        <v>609</v>
      </c>
      <c r="I15" s="75">
        <v>5858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724F77ECF1E348BE379282F60F4293" ma:contentTypeVersion="16" ma:contentTypeDescription="Create a new document." ma:contentTypeScope="" ma:versionID="0abd9a1e0985febc25ab84e635145c47">
  <xsd:schema xmlns:xsd="http://www.w3.org/2001/XMLSchema" xmlns:xs="http://www.w3.org/2001/XMLSchema" xmlns:p="http://schemas.microsoft.com/office/2006/metadata/properties" xmlns:ns3="13e955a6-ceed-4729-95a8-a3e1857e4542" xmlns:ns4="5f0056f3-a997-4431-802a-fc09672c0338" targetNamespace="http://schemas.microsoft.com/office/2006/metadata/properties" ma:root="true" ma:fieldsID="26459cc5bcd444f8edcf2ff4627cda9d" ns3:_="" ns4:_="">
    <xsd:import namespace="13e955a6-ceed-4729-95a8-a3e1857e4542"/>
    <xsd:import namespace="5f0056f3-a997-4431-802a-fc09672c03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955a6-ceed-4729-95a8-a3e1857e4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56f3-a997-4431-802a-fc09672c0338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e955a6-ceed-4729-95a8-a3e1857e4542" xsi:nil="true"/>
  </documentManagement>
</p:properties>
</file>

<file path=customXml/itemProps1.xml><?xml version="1.0" encoding="utf-8"?>
<ds:datastoreItem xmlns:ds="http://schemas.openxmlformats.org/officeDocument/2006/customXml" ds:itemID="{84C6EC99-F2A6-4615-AA54-38229AEA5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e955a6-ceed-4729-95a8-a3e1857e4542"/>
    <ds:schemaRef ds:uri="5f0056f3-a997-4431-802a-fc09672c03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324049-6576-4C78-B040-B71BD309C9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2AEFA3-6760-47EB-B9A6-1D8E899D1296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f0056f3-a997-4431-802a-fc09672c0338"/>
    <ds:schemaRef ds:uri="13e955a6-ceed-4729-95a8-a3e1857e454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Master Sheet</vt:lpstr>
      <vt:lpstr>Sampling Status</vt:lpstr>
      <vt:lpstr>Sheet4</vt:lpstr>
      <vt:lpstr>Sheet2</vt:lpstr>
      <vt:lpstr>PPS Status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MUTHUKRISHNAN</dc:creator>
  <cp:lastModifiedBy>Yashwanth KV</cp:lastModifiedBy>
  <dcterms:created xsi:type="dcterms:W3CDTF">2025-12-15T05:51:12Z</dcterms:created>
  <dcterms:modified xsi:type="dcterms:W3CDTF">2026-04-07T13:30:15Z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0x010100E7724F77ECF1E348BE379282F60F4293</vt:lpwstr>
  </property>
</Properties>
</file>