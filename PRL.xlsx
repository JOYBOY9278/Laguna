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ishingDeo4\Desktop\Yash\"/>
    </mc:Choice>
  </mc:AlternateContent>
  <bookViews>
    <workbookView xWindow="0" yWindow="0" windowWidth="28800" windowHeight="12300"/>
  </bookViews>
  <sheets>
    <sheet name="CDD -21-12-2025" sheetId="1" r:id="rId1"/>
  </sheets>
  <externalReferences>
    <externalReference r:id="rId2"/>
  </externalReferences>
  <definedNames>
    <definedName name="_152" localSheetId="0">#REF!</definedName>
    <definedName name="_152">#REF!</definedName>
    <definedName name="_35_3443">"$#REF!.$#REF!$#REF!"</definedName>
    <definedName name="_35_3443_2">"$#REF!.$#REF!$#REF!"</definedName>
    <definedName name="_35_3443_3">"$#REF!.$#REF!$#REF!"</definedName>
    <definedName name="_xlnm._FilterDatabase" localSheetId="0" hidden="1">'CDD -21-12-2025'!$B$4:$Z$50</definedName>
    <definedName name="arjunkumar">"$#REF!.$#REF!$#REF!"</definedName>
    <definedName name="arjunkumar_2">"$#REF!.$#REF!$#REF!"</definedName>
    <definedName name="arjunkumar_3">"$#REF!.$#REF!$#REF!"</definedName>
    <definedName name="Excel_BuiltIn__FilterDatabase_1">"$#REF!.$B$1:$BL$256"</definedName>
    <definedName name="Excel_BuiltIn__FilterDatabase_1_1">"$#REF!.$B$1:$BL$256"</definedName>
    <definedName name="Excel_BuiltIn__FilterDatabase_1_1_1">"$#REF!.$A$3:$AZ$211"</definedName>
    <definedName name="Excel_BuiltIn__FilterDatabase_1_1_1_1">"$#REF!.$A$3:$AZ$191"</definedName>
    <definedName name="Excel_BuiltIn__FilterDatabase_1_1_1_1_1">"$#REF!.$A$3:$AZ$210"</definedName>
    <definedName name="Excel_BuiltIn__FilterDatabase_1_1_1_1_1_1">"$#REF!.$A$3:$AZ$208"</definedName>
    <definedName name="Excel_BuiltIn__FilterDatabase_1_1_1_1_1_1_1">"$#REF!.$A$3:$AZ$208"</definedName>
    <definedName name="Excel_BuiltIn__FilterDatabase_1_1_1_1_1_1_1_1">"$#REF!.$A$3:$AZ$208"</definedName>
    <definedName name="Excel_BuiltIn__FilterDatabase_1_1_1_1_1_1_1_1_1">"$#REF!.$A$3:$AZ$211"</definedName>
    <definedName name="Excel_BuiltIn__FilterDatabase_1_1_1_1_1_1_1_1_1_1">"$#REF!.$A$3:$AZ$171"</definedName>
    <definedName name="Excel_BuiltIn__FilterDatabase_1_1_1_1_1_1_1_1_1_1_1">"$#REF!.$A$3:$AZ$206"</definedName>
    <definedName name="Excel_BuiltIn__FilterDatabase_1_1_1_1_1_1_1_1_1_1_1_1">"$#REF!.$A$3:$AZ$207"</definedName>
    <definedName name="Excel_BuiltIn__FilterDatabase_1_1_1_1_1_1_1_1_1_1_1_1_1">"$#REF!.$A$3:$AZ$192"</definedName>
    <definedName name="Excel_BuiltIn__FilterDatabase_1_1_1_1_1_1_1_1_1_1_1_1_1_1">"$#REF!.$A$3:$AZ$211"</definedName>
    <definedName name="Excel_BuiltIn__FilterDatabase_1_1_1_1_1_1_1_1_1_1_1_1_1_1_1">"$#REF!.$A$3:$AZ$187"</definedName>
    <definedName name="Excel_BuiltIn__FilterDatabase_1_1_1_1_1_1_1_1_1_1_1_1_1_1_1_1">"$#REF!.$A$3:$AZ$185"</definedName>
    <definedName name="Excel_BuiltIn__FilterDatabase_1_1_1_1_1_1_1_1_1_1_1_1_1_1_1_1_1">"$#REF!.$A$3:$AZ$156"</definedName>
    <definedName name="Excel_BuiltIn__FilterDatabase_1_1_1_1_1_1_1_1_1_1_1_1_1_1_1_1_1_1">"$#REF!.$A$3:$AZ$211"</definedName>
    <definedName name="Excel_BuiltIn__FilterDatabase_1_1_1_1_1_1_1_1_1_1_1_1_1_1_1_1_1_1_1">"$#REF!.$A$3:$AZ$157"</definedName>
    <definedName name="Excel_BuiltIn__FilterDatabase_1_1_1_1_1_1_1_1_1_1_1_1_1_1_1_1_1_1_1_1">"$#REF!.$A$3:$AZ$211"</definedName>
    <definedName name="Excel_BuiltIn__FilterDatabase_1_1_1_1_1_1_1_1_1_1_1_1_1_1_1_1_1_1_1_1_1">"$#REF!.$A$3:$AZ$212"</definedName>
    <definedName name="Excel_BuiltIn__FilterDatabase_1_1_1_1_1_1_1_1_1_1_1_1_1_1_1_1_1_1_1_1_1_1">"$#REF!.$A$3:$AZ$151"</definedName>
    <definedName name="Excel_BuiltIn__FilterDatabase_1_1_1_1_1_1_1_1_1_1_1_1_1_1_1_1_1_1_1_1_1_1_1">"$#REF!.$A$3:$AZ$157"</definedName>
    <definedName name="Excel_BuiltIn__FilterDatabase_1_1_1_1_1_1_1_1_1_1_1_1_1_1_1_1_1_1_1_1_1_1_1_1">"$#REF!.$A$3:$AZ$211"</definedName>
    <definedName name="Excel_BuiltIn__FilterDatabase_1_1_1_1_1_1_1_1_1_1_1_1_1_1_1_1_1_1_1_1_1_1_1_1_1">"$#REF!.$A$3:$AZ$212"</definedName>
    <definedName name="Excel_BuiltIn__FilterDatabase_1_1_1_1_1_1_1_1_1_1_1_1_1_1_1_1_1_1_1_1_1_1_1_1_1_1">"$#REF!.$A$3:$AZ$211"</definedName>
    <definedName name="Excel_BuiltIn__FilterDatabase_1_1_1_1_1_1_1_1_1_1_1_1_1_1_1_1_1_1_1_1_1_1_1_1_1_1_1">"$#REF!.$A$3:$AZ$157"</definedName>
    <definedName name="Excel_BuiltIn__FilterDatabase_1_1_1_1_1_1_1_1_1_1_1_1_1_1_1_1_1_1_1_1_1_1_1_1_1_1_1_1">"$#REF!.$A$3:$AZ$123"</definedName>
    <definedName name="Excel_BuiltIn__FilterDatabase_1_1_1_1_1_1_1_1_1_1_1_1_1_1_1_1_1_1_1_1_1_1_1_1_1_1_1_1_1">"$#REF!.$A$3:$AZ$212"</definedName>
    <definedName name="Excel_BuiltIn__FilterDatabase_1_1_1_1_1_1_1_1_1_1_1_1_1_1_1_1_1_1_1_1_1_1_1_1_1_1_1_1_1_1">"$#REF!.$A$3:$AZ$211"</definedName>
    <definedName name="Excel_BuiltIn__FilterDatabase_1_1_1_1_1_1_1_1_1_1_1_1_1_1_1_1_1_1_1_1_1_1_1_1_1_1_1_1_1_1_1">"$#REF!.$A$3:$AZ$211"</definedName>
    <definedName name="Excel_BuiltIn__FilterDatabase_1_1_1_1_1_1_1_1_1_1_1_1_1_1_1_1_1_1_1_1_1_1_1_1_1_1_1_1_1_1_1_1">"$#REF!.$A$3:$AZ$211"</definedName>
    <definedName name="Excel_BuiltIn__FilterDatabase_1_1_1_1_1_1_1_1_1_1_1_1_1_1_1_1_1_1_1_1_1_1_1_1_1_1_1_1_1_1_1_1_1">"$#REF!.$A$3:$AZ$117"</definedName>
    <definedName name="Excel_BuiltIn__FilterDatabase_1_1_1_1_1_1_1_1_1_1_1_1_1_1_1_1_1_1_1_1_1_1_1_1_1_1_1_1_1_1_1_1_1_1">"$#REF!.$A$3:$AZ$117"</definedName>
    <definedName name="Excel_BuiltIn__FilterDatabase_1_1_1_1_1_1_1_1_1_1_1_1_1_1_1_1_1_1_1_1_1_1_1_1_1_1_1_1_1_1_1_1_1_1_1">"$#REF!.$A$3:$AZ$117"</definedName>
    <definedName name="Excel_BuiltIn__FilterDatabase_1_1_1_1_1_1_1_1_1_1_1_1_1_1_1_1_1_1_1_1_1_1_1_1_1_1_1_1_1_1_1_1_1_1_1_1">"$#REF!.$A$3:$AZ$117"</definedName>
    <definedName name="Excel_BuiltIn__FilterDatabase_1_1_1_1_1_1_1_1_1_1_1_1_1_1_1_1_1_1_1_1_1_1_1_1_1_1_1_1_1_1_1_1_1_1_1_1_1">"$#REF!.$A$3:$AZ$212"</definedName>
    <definedName name="Excel_BuiltIn__FilterDatabase_1_1_1_1_1_1_1_1_1_1_1_1_1_1_1_1_1_1_1_1_1_1_1_1_1_1_1_1_1_1_1_1_1_1_1_1_1_1">"$#REF!.$A$3:$AZ$117"</definedName>
    <definedName name="Excel_BuiltIn__FilterDatabase_1_1_1_1_1_1_1_1_1_1_1_1_1_1_1_1_1_1_1_1_1_1_1_1_1_1_1_1_1_1_1_1_1_1_1_1_1_1_1">"$#REF!.$A$3:$AZ$117"</definedName>
    <definedName name="Excel_BuiltIn__FilterDatabase_1_1_1_1_1_1_1_1_1_1_1_1_1_1_1_1_1_1_1_1_1_1_1_1_1_1_1_1_1_1_1_1_1_1_1_1_1_1_1_1">"$#REF!.$A$3:$AZ$117"</definedName>
    <definedName name="Excel_BuiltIn__FilterDatabase_1_1_1_1_1_1_1_1_1_1_1_1_1_1_1_1_1_1_1_1_1_1_1_1_1_1_1_1_1_1_1_1_1_1_1_1_1_1_1_1_1">"$#REF!.$A$3:$AZ$117"</definedName>
    <definedName name="Excel_BuiltIn__FilterDatabase_1_1_1_1_1_1_1_1_1_1_1_1_1_1_1_1_1_1_1_1_1_1_1_1_1_1_1_1_1_1_1_1_1_1_1_1_1_1_1_1_1_1">"$#REF!.$A$3:$AZ$96"</definedName>
    <definedName name="Excel_BuiltIn__FilterDatabase_1_1_1_1_1_1_1_1_1_1_1_1_1_1_1_1_1_1_1_1_1_1_1_1_1_1_1_1_1_1_1_1_1_1_1_1_1_1_1_1_1_1_1">"$#REF!.$A$3:$AZ$117"</definedName>
    <definedName name="Excel_BuiltIn__FilterDatabase_1_1_1_1_1_1_1_1_1_1_1_1_1_1_1_1_1_1_1_1_1_1_1_1_1_1_1_1_1_1_1_1_1_1_1_1_1_1_1_1_1_1_1_1">"$#REF!.$A$3:$AZ$117"</definedName>
    <definedName name="Excel_BuiltIn__FilterDatabase_1_1_1_1_1_1_1_1_1_1_1_1_1_1_1_1_1_1_1_1_1_1_1_1_1_1_1_1_1_1_1_1_1_1_1_1_1_1_1_1_1_1_1_1_1">"$#REF!.$A$3:$AZ$117"</definedName>
    <definedName name="Excel_BuiltIn__FilterDatabase_1_1_1_1_1_1_1_1_1_1_1_1_1_1_1_1_1_1_1_1_1_1_1_1_1_1_1_1_1_1_1_1_1_1_1_1_1_1_1_1_1_1_1_1_1_1">"$#REF!.$A$3:$AZ$117"</definedName>
    <definedName name="Excel_BuiltIn__FilterDatabase_1_1_1_1_1_1_1_1_1_1_1_1_1_1_1_1_1_1_1_1_1_1_1_1_1_1_1_1_1_1_1_1_1_1_1_1_1_1_1_1_1_1_1_1_1_1_1">"$#REF!.$A$3:$AMJ$117"</definedName>
    <definedName name="Excel_BuiltIn__FilterDatabase_1_1_1_1_1_1_1_1_1_1_1_1_1_1_1_1_1_1_1_1_1_1_1_1_1_1_1_1_1_1_1_1_1_1_1_1_1_1_1_1_1_1_1_1_1_1_1_1">"$#REF!.$A$3:$AZ$96"</definedName>
    <definedName name="Excel_BuiltIn__FilterDatabase_1_1_1_1_1_1_1_1_1_1_1_1_1_1_1_1_1_1_1_1_1_1_1_1_1_1_1_1_1_1_1_1_1_1_1_1_1_1_1_1_1_1_1_1_1_1_1_1_1">"$#REF!.$A$3:$AZ$212"</definedName>
    <definedName name="Excel_BuiltIn__FilterDatabase_1_1_1_1_1_1_1_1_1_1_1_1_1_1_1_1_1_1_1_1_1_1_1_1_1_1_1_1_1_1_1_1_1_1_1_1_1_1_1_1_1_1_1_1_1_1_1_1_1_1">"$#REF!.$A$3:$AX$374"</definedName>
    <definedName name="Excel_BuiltIn__FilterDatabase_2">"$#REF!.$A$4:$IT$355"</definedName>
    <definedName name="Excel_BuiltIn__FilterDatabase_2_1">"$#REF!.$A$4:$IT$281"</definedName>
    <definedName name="Excel_BuiltIn__FilterDatabase_2_1_1">"$#REF!.$A$4:$IR$262"</definedName>
    <definedName name="Excel_BuiltIn__FilterDatabase_2_1_1_1">"$#REF!.$A$5:$IR$370"</definedName>
    <definedName name="Excel_BuiltIn__FilterDatabase_2_1_1_1_1">"$#REF!.$A$5:$IR$370"</definedName>
    <definedName name="Excel_BuiltIn__FilterDatabase_2_1_1_1_1_1">"$#REF!.$A$3:$AMJ$408"</definedName>
    <definedName name="Excel_BuiltIn__FilterDatabase_2_1_1_1_1_1_1">"$#REF!.$A$3:$AMJ$408"</definedName>
    <definedName name="Excel_BuiltIn__FilterDatabase_2_1_1_1_1_1_1_1">"$#REF!.$A$3:$AMJ$387"</definedName>
    <definedName name="Excel_BuiltIn__FilterDatabase_2_1_1_1_1_1_1_1_1">"$#REF!.$A$3:$AMJ$406"</definedName>
    <definedName name="Excel_BuiltIn__FilterDatabase_2_1_1_1_1_1_1_1_1_1">"$#REF!.$A$3:$AMJ$407"</definedName>
    <definedName name="Excel_BuiltIn__FilterDatabase_2_1_1_1_1_1_1_1_1_1_1">"$#REF!.$A$3:$AMJ$408"</definedName>
    <definedName name="Excel_BuiltIn__FilterDatabase_2_1_1_1_1_1_1_1_1_1_1_1">"$#REF!.$A$3:$AMJ$395"</definedName>
    <definedName name="Excel_BuiltIn__FilterDatabase_2_1_1_1_1_1_1_1_1_1_1_1_1">"$#REF!.$A$3:$AMJ$397"</definedName>
    <definedName name="Excel_BuiltIn__FilterDatabase_2_1_1_1_1_1_1_1_1_1_1_1_1_1">"$#REF!.$A$3:$AMJ$397"</definedName>
    <definedName name="Excel_BuiltIn__FilterDatabase_2_1_1_1_1_1_1_1_1_1_1_1_1_1_1">"$#REF!.$A$3:$AMJ$393"</definedName>
    <definedName name="Excel_BuiltIn__FilterDatabase_2_1_1_1_1_1_1_1_1_1_1_1_1_1_1_1">"$#REF!.$A$3:$AMJ$394"</definedName>
    <definedName name="Excel_BuiltIn__FilterDatabase_2_1_1_1_1_1_1_1_1_1_1_1_1_1_1_1_1">"$#REF!.$A$3:$AMJ$332"</definedName>
    <definedName name="Excel_BuiltIn__FilterDatabase_2_1_1_1_1_1_1_1_1_1_1_1_1_1_1_1_1_1">"$#REF!.$A$3:$AMJ$392"</definedName>
    <definedName name="Excel_BuiltIn__FilterDatabase_2_1_1_1_1_1_1_1_1_1_1_1_1_1_1_1_1_1_1">"$#REF!.$A$3:$AMJ$391"</definedName>
    <definedName name="Excel_BuiltIn__FilterDatabase_2_1_1_1_1_1_1_1_1_1_1_1_1_1_1_1_1_1_1_1">"$#REF!.$A$3:$AMJ$311"</definedName>
    <definedName name="Excel_BuiltIn__FilterDatabase_2_1_1_1_1_1_1_1_1_1_1_1_1_1_1_1_1_1_1_1_1">"$#REF!.$A$3:$AMJ$390"</definedName>
    <definedName name="Excel_BuiltIn__FilterDatabase_2_1_1_1_1_1_1_1_1_1_1_1_1_1_1_1_1_1_1_1_1_1">"$#REF!.$A$3:$AMJ$395"</definedName>
    <definedName name="Excel_BuiltIn__FilterDatabase_2_1_1_1_1_1_1_1_1_1_1_1_1_1_1_1_1_1_1_1_1_1_1">"$#REF!.$A$3:$AMJ$358"</definedName>
    <definedName name="Excel_BuiltIn__FilterDatabase_2_1_1_1_1_1_1_1_1_1_1_1_1_1_1_1_1_1_1_1_1_1_1_1">"$#REF!.$A$3:$AMJ$359"</definedName>
    <definedName name="Excel_BuiltIn__FilterDatabase_2_1_1_1_1_1_1_1_1_1_1_1_1_1_1_1_1_1_1_1_1_1_1_1_1">"$#REF!.$A$3:$AMJ$325"</definedName>
    <definedName name="Excel_BuiltIn__FilterDatabase_2_1_1_1_1_1_1_1_1_1_1_1_1_1_1_1_1_1_1_1_1_1_1_1_1_1">"$#REF!.$A$3:$AMJ$358"</definedName>
    <definedName name="Excel_BuiltIn__FilterDatabase_2_1_1_1_1_1_1_1_1_1_1_1_1_1_1_1_1_1_1_1_1_1_1_1_1_1_1">"$#REF!.$A$3:$AMJ$411"</definedName>
    <definedName name="Excel_BuiltIn__FilterDatabase_2_1_1_1_1_1_1_1_1_1_1_1_1_1_1_1_1_1_1_1_1_1_1_1_1_1_1_1">"$#REF!.$A$3:$AMJ$360"</definedName>
    <definedName name="Excel_BuiltIn__FilterDatabase_2_1_1_1_1_1_1_1_1_1_1_1_1_1_1_1_1_1_1_1_1_1_1_1_1_1_1_1_1">"$#REF!.$A$3:$AMJ$360"</definedName>
    <definedName name="Excel_BuiltIn__FilterDatabase_2_1_1_1_1_1_1_1_1_1_1_1_1_1_1_1_1_1_1_1_1_1_1_1_1_1_1_1_1_1">"$#REF!.$A$3:$AMJ$360"</definedName>
    <definedName name="Excel_BuiltIn__FilterDatabase_2_1_1_1_1_1_1_1_1_1_1_1_1_1_1_1_1_1_1_1_1_1_1_1_1_1_1_1_1_1_1">"$#REF!.$A$3:$AMJ$362"</definedName>
    <definedName name="Excel_BuiltIn__FilterDatabase_2_1_1_1_1_1_1_1_1_1_1_1_1_1_1_1_1_1_1_1_1_1_1_1_1_1_1_1_1_1_1_1">"$#REF!.$A$3:$AMJ$360"</definedName>
    <definedName name="Excel_BuiltIn__FilterDatabase_2_1_1_1_1_1_1_1_1_1_1_1_1_1_1_1_1_1_1_1_1_1_1_1_1_1_1_1_1_1_1_1_1">"$#REF!.$A$3:$AMJ$359"</definedName>
    <definedName name="Excel_BuiltIn__FilterDatabase_2_1_1_1_1_1_1_1_1_1_1_1_1_1_1_1_1_1_1_1_1_1_1_1_1_1_1_1_1_1_1_1_1_1">"$#REF!.$A$3:$AMJ$358"</definedName>
    <definedName name="Excel_BuiltIn__FilterDatabase_2_1_1_1_1_1_1_1_1_1_1_1_1_1_1_1_1_1_1_1_1_1_1_1_1_1_1_1_1_1_1_1_1_1_1">"$#REF!.$A$3:$AMJ$360"</definedName>
    <definedName name="Excel_BuiltIn__FilterDatabase_2_1_1_1_1_1_1_1_1_1_1_1_1_1_1_1_1_1_1_1_1_1_1_1_1_1_1_1_1_1_1_1_1_1_1_1">"$#REF!.$A$3:$AMJ$497"</definedName>
    <definedName name="Excel_BuiltIn__FilterDatabase_2_1_1_1_1_1_1_1_1_1_1_1_1_1_1_1_1_1_1_1_1_1_1_1_1_1_1_1_1_1_1_1_1_1_1_1_1">"$#REF!.$A$3:$AMJ$500"</definedName>
    <definedName name="Excel_BuiltIn__FilterDatabase_2_1_1_1_1_1_1_1_1_1_1_1_1_1_1_1_1_1_1_1_1_1_1_1_1_1_1_1_1_1_1_1_1_1_1_1_1_1">"$#REF!.$A$3:$AMJ$504"</definedName>
    <definedName name="Excel_BuiltIn__FilterDatabase_2_1_1_1_1_1_1_1_1_1_1_1_1_1_1_1_1_1_1_1_1_1_1_1_1_1_1_1_1_1_1_1_1_1_1_1_1_1_1">"$#REF!.$A$3:$AMJ$504"</definedName>
    <definedName name="Excel_BuiltIn__FilterDatabase_2_1_1_1_1_1_1_1_1_1_1_1_1_1_1_1_1_1_1_1_1_1_1_1_1_1_1_1_1_1_1_1_1_1_1_1_1_1_1_1">"$#REF!.$B$3:$BL$498"</definedName>
    <definedName name="Excel_BuiltIn__FilterDatabase_2_1_1_1_1_1_1_1_1_1_1_1_1_1_1_1_1_1_1_1_1_1_1_1_1_1_1_1_1_1_1_1_1_1_1_1_1_1_1_1_1">"$#REF!.$B$3:$BM$256"</definedName>
    <definedName name="Excel_BuiltIn__FilterDatabase_2_1_1_1_1_1_1_1_1_1_1_1_1_1_1_1_1_1_1_1_1_1_1_1_1_1_1_1_1_1_1_1_1_1_1_1_1_1_1_1_1_1">"$#REF!.$B$3:$BL$256"</definedName>
    <definedName name="Excel_BuiltIn__FilterDatabase_2_1_1_1_1_1_1_1_1_1_1_1_1_1_1_1_1_1_1_1_1_1_1_1_1_1_1_1_1_1_1_1_1_1_1_1_1_1_1_1_1_1_1">"$#REF!.$A$3:$AZ$197"</definedName>
    <definedName name="Excel_BuiltIn__FilterDatabase_2_1_1_1_1_1_1_1_1_1_1_1_1_1_1_1_1_1_1_1_1_1_1_1_1_1_1_1_1_1_1_1_1_1_1_1_1_1_1_1_1_1_1_1">"$#REF!.$A$3:$AZ$96"</definedName>
    <definedName name="Excel_BuiltIn__FilterDatabase_2_1_1_1_1_1_1_1_1_1_1_1_1_1_1_1_1_1_1_1_1_1_1_1_1_1_1_1_1_1_1_1_1_1_1_1_1_1_1_1_1_1_1_1_1">"$#REF!.$A$3:$AZ$212"</definedName>
    <definedName name="Excel_BuiltIn__FilterDatabase_2_1_1_1_1_1_1_1_1_1_1_1_1_1_1_1_1_1_1_1_1_1_1_1_1_1_1_1_1_1_1_1_1_1_1_1_1_1_1_1_1_1_1_1_1_1">"$#REF!.$A$3:$AX$371"</definedName>
    <definedName name="Excel_BuiltIn__FilterDatabase_3_1">"$#REF!.$A$3:$AZ$212"</definedName>
    <definedName name="Excel_BuiltIn__FilterDatabase_5">"$#REF!.$A$3:$AZ$117"</definedName>
    <definedName name="Excel_BuiltIn_Print_Area_1">"$#REF!.$A$1:$AZ$96"</definedName>
    <definedName name="Excel_BuiltIn_Print_Area_1_1">"$#REF!.$A$1:$BA$117"</definedName>
    <definedName name="gsf_5" localSheetId="0">#REF!</definedName>
    <definedName name="gsf_5">#REF!</definedName>
    <definedName name="j">"$#REF!.$#REF!$#REF!"</definedName>
    <definedName name="j_2">"$#REF!.$#REF!$#REF!"</definedName>
    <definedName name="j_3">"$#REF!.$#REF!$#REF!"</definedName>
    <definedName name="kl">"$#REF!.$#REF!$#REF!"</definedName>
    <definedName name="kl_2">"$#REF!.$#REF!$#REF!"</definedName>
    <definedName name="kl_3">"$#REF!.$#REF!$#REF!"</definedName>
    <definedName name="m">"$#REF!.$#REF!$#REF!"</definedName>
    <definedName name="m_2">"$#REF!.$#REF!$#REF!"</definedName>
    <definedName name="m_3">"$#REF!.$#REF!$#REF!"</definedName>
    <definedName name="mm" localSheetId="0">#REF!</definedName>
    <definedName name="mm">#REF!</definedName>
    <definedName name="nike" localSheetId="0">#REF!</definedName>
    <definedName name="nike">#REF!</definedName>
    <definedName name="oiuk" localSheetId="0">#REF!</definedName>
    <definedName name="oiuk">#REF!</definedName>
    <definedName name="po">"$#REF!.$#REF!$#REF!"</definedName>
    <definedName name="po_2">"$#REF!.$#REF!$#REF!"</definedName>
    <definedName name="po_3">"$#REF!.$#REF!$#REF!"</definedName>
    <definedName name="_xlnm.Print_Area" localSheetId="0">'CDD -21-12-2025'!$A$1:$Y$49</definedName>
    <definedName name="prl" localSheetId="0">#REF!</definedName>
    <definedName name="prl">#REF!</definedName>
    <definedName name="SC" localSheetId="0">#REF!</definedName>
    <definedName name="SC">#REF!</definedName>
    <definedName name="SD" localSheetId="0">#REF!</definedName>
    <definedName name="SD">#REF!</definedName>
    <definedName name="t" localSheetId="0">#REF!</definedName>
    <definedName name="t">#REF!</definedName>
    <definedName name="tomm2" localSheetId="0">#REF!</definedName>
    <definedName name="tomm2">#REF!</definedName>
    <definedName name="TOMMY" localSheetId="0">#REF!</definedName>
    <definedName name="TOMMY">#REF!</definedName>
    <definedName name="TOMMY_HILFIGER_TAILORED_EUROPE" localSheetId="0">#REF!</definedName>
    <definedName name="TOMMY_HILFIGER_TAILORED_EUROPE">#REF!</definedName>
    <definedName name="tommy1" localSheetId="0">#REF!</definedName>
    <definedName name="tommy1">#REF!</definedName>
    <definedName name="tommy2" localSheetId="0">#REF!</definedName>
    <definedName name="tommy2">#REF!</definedName>
    <definedName name="yy" localSheetId="0">#REF!</definedName>
    <definedName name="yy">#REF!</definedName>
    <definedName name="Z_EA7EA006_50C0_4E2C_AADD_3749625D4C95_.wvu.Cols" localSheetId="0" hidden="1">'[1]CDD - 19-10-2025-shipped'!$K:$O,'[1]CDD - 19-10-2025-shipped'!$W:$W</definedName>
    <definedName name="Z_EA7EA006_50C0_4E2C_AADD_3749625D4C95_.wvu.FilterData" localSheetId="0" hidden="1">'[1]CDD - 19-10-2025-shipped'!$B$4:$Y$35</definedName>
    <definedName name="Z_EA7EA006_50C0_4E2C_AADD_3749625D4C95_.wvu.PrintArea" localSheetId="0" hidden="1">'[1]CDD - 19-10-2025-shipped'!$B$2:$X$35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9" i="1" l="1"/>
  <c r="P49" i="1"/>
  <c r="O49" i="1"/>
  <c r="N49" i="1"/>
  <c r="M49" i="1"/>
  <c r="L49" i="1"/>
  <c r="K49" i="1"/>
  <c r="J49" i="1"/>
  <c r="Q44" i="1"/>
  <c r="P44" i="1"/>
  <c r="O44" i="1"/>
  <c r="N44" i="1"/>
  <c r="M44" i="1"/>
  <c r="L44" i="1"/>
  <c r="K44" i="1"/>
  <c r="J44" i="1"/>
  <c r="Q39" i="1"/>
  <c r="P39" i="1"/>
  <c r="O39" i="1"/>
  <c r="N39" i="1"/>
  <c r="M39" i="1"/>
  <c r="L39" i="1"/>
  <c r="K39" i="1"/>
  <c r="J39" i="1"/>
  <c r="Q35" i="1"/>
  <c r="Q46" i="1" s="1"/>
  <c r="P35" i="1"/>
  <c r="P46" i="1" s="1"/>
  <c r="O35" i="1"/>
  <c r="O46" i="1" s="1"/>
  <c r="N35" i="1"/>
  <c r="N46" i="1" s="1"/>
  <c r="M35" i="1"/>
  <c r="M46" i="1" s="1"/>
  <c r="L35" i="1"/>
  <c r="L46" i="1" s="1"/>
  <c r="K35" i="1"/>
  <c r="K46" i="1" s="1"/>
  <c r="J35" i="1"/>
  <c r="J46" i="1" s="1"/>
  <c r="Q28" i="1"/>
  <c r="P28" i="1"/>
  <c r="O28" i="1"/>
  <c r="N28" i="1"/>
  <c r="M28" i="1"/>
  <c r="L28" i="1"/>
  <c r="K28" i="1"/>
  <c r="J28" i="1"/>
  <c r="Q20" i="1"/>
  <c r="P20" i="1"/>
  <c r="O20" i="1"/>
  <c r="N20" i="1"/>
  <c r="M20" i="1"/>
  <c r="L20" i="1"/>
  <c r="K20" i="1"/>
  <c r="J20" i="1"/>
  <c r="Q16" i="1"/>
  <c r="P16" i="1"/>
  <c r="O16" i="1"/>
  <c r="N16" i="1"/>
  <c r="M16" i="1"/>
  <c r="L16" i="1"/>
  <c r="K16" i="1"/>
  <c r="J16" i="1"/>
  <c r="Q12" i="1"/>
  <c r="P12" i="1"/>
  <c r="O12" i="1"/>
  <c r="N12" i="1"/>
  <c r="M12" i="1"/>
  <c r="L12" i="1"/>
  <c r="K12" i="1"/>
  <c r="J12" i="1"/>
  <c r="Q7" i="1"/>
  <c r="Q22" i="1" s="1"/>
  <c r="P7" i="1"/>
  <c r="P22" i="1" s="1"/>
  <c r="O7" i="1"/>
  <c r="O22" i="1" s="1"/>
  <c r="N7" i="1"/>
  <c r="N22" i="1" s="1"/>
  <c r="M7" i="1"/>
  <c r="M22" i="1" s="1"/>
  <c r="L7" i="1"/>
  <c r="L22" i="1" s="1"/>
  <c r="K7" i="1"/>
  <c r="K22" i="1" s="1"/>
  <c r="J7" i="1"/>
  <c r="J22" i="1" s="1"/>
  <c r="Q2" i="1"/>
  <c r="P2" i="1"/>
  <c r="O2" i="1"/>
  <c r="N2" i="1"/>
  <c r="M2" i="1"/>
  <c r="L2" i="1"/>
  <c r="K2" i="1"/>
  <c r="J2" i="1"/>
  <c r="H2" i="1"/>
</calcChain>
</file>

<file path=xl/sharedStrings.xml><?xml version="1.0" encoding="utf-8"?>
<sst xmlns="http://schemas.openxmlformats.org/spreadsheetml/2006/main" count="250" uniqueCount="89">
  <si>
    <t>G Total</t>
  </si>
  <si>
    <t>SEA - FOB - CHENNAI</t>
  </si>
  <si>
    <t>TRUCKOUT ON - 11.12.2025</t>
  </si>
  <si>
    <t>Line</t>
  </si>
  <si>
    <t>PLANT CODE</t>
  </si>
  <si>
    <t>LINE NO</t>
  </si>
  <si>
    <t>CON</t>
  </si>
  <si>
    <t>DESTINATION</t>
  </si>
  <si>
    <t>PO NO</t>
  </si>
  <si>
    <t>COLOR</t>
  </si>
  <si>
    <t>MATERIAL NO</t>
  </si>
  <si>
    <t>O, QTY</t>
  </si>
  <si>
    <t>CUT QTY</t>
  </si>
  <si>
    <t>Send to Wash / Dye</t>
  </si>
  <si>
    <t>Balance to Send</t>
  </si>
  <si>
    <t>Wash / Dye Received</t>
  </si>
  <si>
    <t>Balance to receive</t>
  </si>
  <si>
    <t>PACK/SHIP QTY</t>
  </si>
  <si>
    <t xml:space="preserve">CTNS </t>
  </si>
  <si>
    <t>STATUS</t>
  </si>
  <si>
    <t>FI to be done by</t>
  </si>
  <si>
    <t>ASN</t>
  </si>
  <si>
    <t>WEIGHT</t>
  </si>
  <si>
    <t>WFX</t>
  </si>
  <si>
    <t xml:space="preserve">OCR </t>
  </si>
  <si>
    <t>BOOKING NO</t>
  </si>
  <si>
    <t>DO</t>
  </si>
  <si>
    <t>DRAFT</t>
  </si>
  <si>
    <t>RRL-SP'26</t>
  </si>
  <si>
    <t>LINE-4</t>
  </si>
  <si>
    <t>CA10</t>
  </si>
  <si>
    <t>PRLS/25/10827</t>
  </si>
  <si>
    <t>ITALY</t>
  </si>
  <si>
    <t>BLUE/RED MULTI</t>
  </si>
  <si>
    <t>782P05364001</t>
  </si>
  <si>
    <t>FI Going On-09-12-2025</t>
  </si>
  <si>
    <t>QIMA</t>
  </si>
  <si>
    <t>IBKG0000195962</t>
  </si>
  <si>
    <t>AS SHIPPING - CHENNAI - SMAAS088050</t>
  </si>
  <si>
    <t>LINe-4</t>
  </si>
  <si>
    <t>PRLS/25/10828</t>
  </si>
  <si>
    <t>YELLOW MULTI</t>
  </si>
  <si>
    <t>782P05366001</t>
  </si>
  <si>
    <t>Under Finshing</t>
  </si>
  <si>
    <t>VQA</t>
  </si>
  <si>
    <t>TOTAL</t>
  </si>
  <si>
    <t>LINE-6</t>
  </si>
  <si>
    <t>V994</t>
  </si>
  <si>
    <t>PRLS/25/11975</t>
  </si>
  <si>
    <t>JAPAN</t>
  </si>
  <si>
    <t>5137H GARDEN TRAIL WHITE</t>
  </si>
  <si>
    <t>710B15594001</t>
  </si>
  <si>
    <t>Ready to ship</t>
  </si>
  <si>
    <t>Done</t>
  </si>
  <si>
    <t>IBKG0000195963</t>
  </si>
  <si>
    <t>LINE-5</t>
  </si>
  <si>
    <t>PRLS/25/11974</t>
  </si>
  <si>
    <t>7169 BLUE GREEN MULTI</t>
  </si>
  <si>
    <t>710B14232001</t>
  </si>
  <si>
    <t>Sent</t>
  </si>
  <si>
    <t>PRLS/25/11746</t>
  </si>
  <si>
    <t>AUSTIN BLUE</t>
  </si>
  <si>
    <t>FQA</t>
  </si>
  <si>
    <t>HD00</t>
  </si>
  <si>
    <t>USA</t>
  </si>
  <si>
    <t>Under Scaning</t>
  </si>
  <si>
    <t>IBKG0000195964</t>
  </si>
  <si>
    <t>AS SHIPPING - CHENNAI - SMAAS088052</t>
  </si>
  <si>
    <t xml:space="preserve">FQA - VQA </t>
  </si>
  <si>
    <t>Line-04</t>
  </si>
  <si>
    <t>NW00</t>
  </si>
  <si>
    <t>IBKG0000195965</t>
  </si>
  <si>
    <t>AS SHIPPING - CHENNAI - SMAAS088053</t>
  </si>
  <si>
    <t>SUB TOTAL</t>
  </si>
  <si>
    <t>SEA - FOB - MUMBAI</t>
  </si>
  <si>
    <t>PRLS/25/11823</t>
  </si>
  <si>
    <t>7187 PURPLE BLUE MULTI</t>
  </si>
  <si>
    <t>710B14295001</t>
  </si>
  <si>
    <t>Under Finishing/Washing</t>
  </si>
  <si>
    <t>IBKG0000195966</t>
  </si>
  <si>
    <t>AIR - FCA - BANGALORE</t>
  </si>
  <si>
    <t>V992</t>
  </si>
  <si>
    <t>HONG KONG</t>
  </si>
  <si>
    <t>FI Pending</t>
  </si>
  <si>
    <t xml:space="preserve">Under finishing </t>
  </si>
  <si>
    <t>V993</t>
  </si>
  <si>
    <t>KOREA</t>
  </si>
  <si>
    <t xml:space="preserve"> 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</si>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</sst>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8"/>
      <name val="Calibri"/>
      <charset val="134"/>
    </font>
    <font>
      <b/>
      <sz val="8"/>
      <name val="Calibri"/>
      <charset val="134"/>
    </font>
    <font>
      <i/>
      <sz val="8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i/>
      <sz val="10"/>
      <name val="Calibri"/>
      <charset val="134"/>
    </font>
    <font>
      <sz val="8"/>
      <color theme="1"/>
      <name val="Calibri"/>
      <charset val="134"/>
      <scheme val="minor"/>
    </font>
    <font>
      <sz val="8"/>
      <color rgb="FF000000"/>
      <name val="Calibri"/>
      <charset val="134"/>
      <scheme val="minor"/>
    </font>
    <font>
      <sz val="8"/>
      <color indexed="8"/>
      <name val="Calibri"/>
      <charset val="134"/>
    </font>
    <font>
      <sz val="8"/>
      <color rgb="FFFF0000"/>
      <name val="Calibri"/>
      <charset val="134"/>
      <scheme val="minor"/>
    </font>
    <font>
      <sz val="12"/>
      <color rgb="FF000000"/>
      <name val="Calibri"/>
      <charset val="134"/>
    </font>
    <font>
      <sz val="10"/>
      <color rgb="FF000000"/>
      <name val="Calibri"/>
      <charset val="134"/>
    </font>
    <font>
      <i/>
      <sz val="8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i/>
      <sz val="11"/>
      <name val="Calibri"/>
      <charset val="134"/>
    </font>
    <font>
      <sz val="9"/>
      <color rgb="FF000000"/>
      <name val="Calibri"/>
      <charset val="134"/>
    </font>
    <font>
      <sz val="16"/>
      <name val="Calibri"/>
      <charset val="134"/>
    </font>
    <font>
      <sz val="8"/>
      <name val="Calibri"/>
      <charset val="134"/>
      <scheme val="minor"/>
    </font>
    <font>
      <b/>
      <sz val="8"/>
      <color rgb="FF000000"/>
      <name val="Calibri"/>
      <charset val="134"/>
      <scheme val="minor"/>
    </font>
    <font>
      <i/>
      <sz val="16"/>
      <name val="Calibri"/>
      <charset val="134"/>
    </font>
    <font>
      <b/>
      <sz val="16"/>
      <name val="Calibri"/>
      <charset val="134"/>
    </font>
    <font>
      <b/>
      <i/>
      <sz val="8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3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FFA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2" fillId="5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1" fontId="13" fillId="5" borderId="12" xfId="0" applyNumberFormat="1" applyFont="1" applyFill="1" applyBorder="1" applyAlignment="1" applyProtection="1">
      <alignment horizontal="center"/>
    </xf>
    <xf numFmtId="1" fontId="12" fillId="5" borderId="12" xfId="0" applyNumberFormat="1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1" fontId="5" fillId="0" borderId="15" xfId="0" applyNumberFormat="1" applyFont="1" applyFill="1" applyBorder="1" applyAlignment="1" applyProtection="1">
      <alignment horizontal="center"/>
    </xf>
    <xf numFmtId="1" fontId="12" fillId="0" borderId="15" xfId="0" applyNumberFormat="1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/>
    </xf>
    <xf numFmtId="0" fontId="3" fillId="6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" fontId="5" fillId="0" borderId="21" xfId="0" applyNumberFormat="1" applyFont="1" applyFill="1" applyBorder="1" applyAlignment="1" applyProtection="1">
      <alignment horizontal="center"/>
    </xf>
    <xf numFmtId="1" fontId="12" fillId="0" borderId="21" xfId="0" applyNumberFormat="1" applyFont="1" applyFill="1" applyBorder="1" applyAlignment="1">
      <alignment horizontal="center" vertical="center"/>
    </xf>
    <xf numFmtId="0" fontId="15" fillId="0" borderId="22" xfId="0" applyFont="1" applyFill="1" applyBorder="1" applyAlignment="1">
      <alignment vertical="center"/>
    </xf>
    <xf numFmtId="0" fontId="15" fillId="0" borderId="23" xfId="0" applyFont="1" applyFill="1" applyBorder="1" applyAlignment="1">
      <alignment vertical="center" wrapText="1"/>
    </xf>
    <xf numFmtId="0" fontId="12" fillId="7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5" fillId="7" borderId="12" xfId="0" applyNumberFormat="1" applyFont="1" applyFill="1" applyBorder="1" applyAlignment="1" applyProtection="1">
      <alignment horizontal="center"/>
    </xf>
    <xf numFmtId="1" fontId="12" fillId="7" borderId="12" xfId="0" applyNumberFormat="1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 wrapText="1"/>
    </xf>
    <xf numFmtId="0" fontId="12" fillId="7" borderId="24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5" fillId="7" borderId="10" xfId="0" applyNumberFormat="1" applyFont="1" applyFill="1" applyBorder="1" applyAlignment="1" applyProtection="1">
      <alignment horizont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25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1" fontId="5" fillId="7" borderId="15" xfId="0" applyNumberFormat="1" applyFont="1" applyFill="1" applyBorder="1" applyAlignment="1" applyProtection="1">
      <alignment horizontal="center"/>
    </xf>
    <xf numFmtId="1" fontId="12" fillId="7" borderId="15" xfId="0" applyNumberFormat="1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/>
    </xf>
    <xf numFmtId="1" fontId="5" fillId="0" borderId="12" xfId="0" applyNumberFormat="1" applyFont="1" applyFill="1" applyBorder="1" applyAlignment="1" applyProtection="1">
      <alignment horizontal="center"/>
    </xf>
    <xf numFmtId="1" fontId="12" fillId="0" borderId="12" xfId="0" applyNumberFormat="1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/>
    </xf>
    <xf numFmtId="0" fontId="18" fillId="0" borderId="20" xfId="0" applyFont="1" applyFill="1" applyBorder="1" applyAlignment="1">
      <alignment horizontal="center"/>
    </xf>
    <xf numFmtId="0" fontId="12" fillId="0" borderId="27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0" fontId="23" fillId="0" borderId="21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/>
    </xf>
    <xf numFmtId="0" fontId="24" fillId="2" borderId="10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25" fillId="8" borderId="2" xfId="0" applyFont="1" applyFill="1" applyBorder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  <xf numFmtId="0" fontId="25" fillId="8" borderId="30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" fontId="25" fillId="8" borderId="3" xfId="0" applyNumberFormat="1" applyFont="1" applyFill="1" applyBorder="1" applyAlignment="1">
      <alignment horizontal="center" vertical="center"/>
    </xf>
    <xf numFmtId="2" fontId="21" fillId="8" borderId="3" xfId="0" applyNumberFormat="1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22" fillId="0" borderId="30" xfId="0" applyFont="1" applyFill="1" applyBorder="1" applyAlignment="1">
      <alignment horizontal="center" vertical="center"/>
    </xf>
    <xf numFmtId="1" fontId="12" fillId="0" borderId="30" xfId="0" applyNumberFormat="1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8" fillId="0" borderId="32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/>
    </xf>
    <xf numFmtId="1" fontId="12" fillId="0" borderId="0" xfId="0" applyNumberFormat="1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top" wrapText="1"/>
    </xf>
    <xf numFmtId="0" fontId="5" fillId="3" borderId="18" xfId="0" applyFont="1" applyFill="1" applyBorder="1" applyAlignment="1">
      <alignment horizontal="center" vertical="top"/>
    </xf>
    <xf numFmtId="0" fontId="5" fillId="3" borderId="18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1" fontId="5" fillId="3" borderId="18" xfId="0" applyNumberFormat="1" applyFont="1" applyFill="1" applyBorder="1" applyAlignment="1">
      <alignment horizontal="center" vertical="center"/>
    </xf>
    <xf numFmtId="14" fontId="5" fillId="3" borderId="18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1" fontId="9" fillId="4" borderId="35" xfId="0" applyNumberFormat="1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left" vertical="center"/>
    </xf>
    <xf numFmtId="0" fontId="9" fillId="4" borderId="26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/>
    </xf>
    <xf numFmtId="0" fontId="15" fillId="0" borderId="2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8" fillId="0" borderId="36" xfId="0" applyFont="1" applyFill="1" applyBorder="1" applyAlignment="1">
      <alignment horizontal="center"/>
    </xf>
    <xf numFmtId="0" fontId="23" fillId="0" borderId="37" xfId="0" applyFont="1" applyFill="1" applyBorder="1" applyAlignment="1">
      <alignment horizontal="center" vertical="center"/>
    </xf>
    <xf numFmtId="0" fontId="12" fillId="0" borderId="37" xfId="0" applyFont="1" applyFill="1" applyBorder="1" applyAlignment="1">
      <alignment horizontal="center" vertical="center"/>
    </xf>
    <xf numFmtId="0" fontId="22" fillId="0" borderId="37" xfId="0" applyFont="1" applyFill="1" applyBorder="1" applyAlignment="1">
      <alignment horizontal="center" vertical="center"/>
    </xf>
    <xf numFmtId="1" fontId="12" fillId="0" borderId="37" xfId="0" applyNumberFormat="1" applyFont="1" applyFill="1" applyBorder="1" applyAlignment="1">
      <alignment horizontal="center" vertical="center"/>
    </xf>
    <xf numFmtId="0" fontId="12" fillId="0" borderId="38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2" fillId="9" borderId="11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1" fontId="13" fillId="9" borderId="12" xfId="0" applyNumberFormat="1" applyFont="1" applyFill="1" applyBorder="1" applyAlignment="1" applyProtection="1">
      <alignment horizontal="center"/>
    </xf>
    <xf numFmtId="1" fontId="12" fillId="9" borderId="12" xfId="0" applyNumberFormat="1" applyFont="1" applyFill="1" applyBorder="1" applyAlignment="1">
      <alignment horizontal="center" vertical="center"/>
    </xf>
    <xf numFmtId="0" fontId="15" fillId="0" borderId="39" xfId="0" applyFont="1" applyFill="1" applyBorder="1" applyAlignment="1">
      <alignment horizontal="center" vertical="center"/>
    </xf>
    <xf numFmtId="0" fontId="15" fillId="0" borderId="40" xfId="0" applyFont="1" applyFill="1" applyBorder="1" applyAlignment="1">
      <alignment horizontal="center" vertical="center" wrapText="1"/>
    </xf>
    <xf numFmtId="0" fontId="15" fillId="0" borderId="41" xfId="0" applyFont="1" applyFill="1" applyBorder="1" applyAlignment="1">
      <alignment horizontal="center" vertical="center"/>
    </xf>
    <xf numFmtId="0" fontId="15" fillId="0" borderId="42" xfId="0" applyFont="1" applyFill="1" applyBorder="1" applyAlignment="1">
      <alignment horizontal="center" vertical="center" wrapText="1"/>
    </xf>
    <xf numFmtId="1" fontId="5" fillId="5" borderId="12" xfId="0" applyNumberFormat="1" applyFont="1" applyFill="1" applyBorder="1" applyAlignment="1" applyProtection="1">
      <alignment horizontal="center"/>
    </xf>
    <xf numFmtId="0" fontId="12" fillId="0" borderId="43" xfId="0" applyFont="1" applyFill="1" applyBorder="1" applyAlignment="1">
      <alignment horizontal="center" vertical="center"/>
    </xf>
    <xf numFmtId="0" fontId="12" fillId="0" borderId="44" xfId="0" applyFont="1" applyFill="1" applyBorder="1" applyAlignment="1">
      <alignment horizontal="center" vertical="center"/>
    </xf>
    <xf numFmtId="1" fontId="5" fillId="0" borderId="44" xfId="0" applyNumberFormat="1" applyFont="1" applyFill="1" applyBorder="1" applyAlignment="1" applyProtection="1">
      <alignment horizontal="center"/>
    </xf>
    <xf numFmtId="1" fontId="12" fillId="0" borderId="44" xfId="0" applyNumberFormat="1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45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1" fontId="25" fillId="8" borderId="18" xfId="0" applyNumberFormat="1" applyFont="1" applyFill="1" applyBorder="1" applyAlignment="1">
      <alignment horizontal="center" vertical="center"/>
    </xf>
    <xf numFmtId="2" fontId="21" fillId="8" borderId="18" xfId="0" applyNumberFormat="1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ady%20to%20ship\2019%20-%20ALL%20BUYER%20PACKING%20LIST\POLO%20RALPH%20LAUREN%20PRL\2025\Working%20Data\PRL%20ASN%20&amp;%20CONS%20STATUS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N SCREEN SHOT"/>
      <sheetName val="Shipped - 23.03.2025 -CDD"/>
      <sheetName val="16.03.2025 - CDD - Shipped"/>
      <sheetName val="30.03.2025 - CDD - Shipped"/>
      <sheetName val="AIR CPT - 22.03.2025 - Shipped"/>
      <sheetName val="06.04.2025 - CDD Shipped"/>
      <sheetName val="13.04.2025 - CDD - Shipped"/>
      <sheetName val="SHIPPED CDD 22.12.2024"/>
      <sheetName val="SHIPPED CDD 29.12.2024"/>
      <sheetName val="Shipped CDD 05.01.2025"/>
      <sheetName val="Shipped AIR CPT 30.12.2024"/>
      <sheetName val="Shipped CDD - 12.01.2025"/>
      <sheetName val="Shipped CDD - 19.01.2025"/>
      <sheetName val="Shipped CDD - 26.01.2025"/>
      <sheetName val="SHIPPED CDD - 02.02.2025"/>
      <sheetName val="Shipped CDD - 09-02-2025"/>
      <sheetName val="CDD - 16-02-2025 Shipped"/>
      <sheetName val="Shipped - CDD - 23-02-2025"/>
      <sheetName val="Shipped - 02.03.2025 - CDD"/>
      <sheetName val="09.03.2025 - CDD Shipped"/>
      <sheetName val="10th Air CPT - Shipped "/>
      <sheetName val="20.04.2025 - CDD - Shipped"/>
      <sheetName val="27.04.2025 - CDD - Shipped"/>
      <sheetName val="04.05.2025 - CDD Shipped"/>
      <sheetName val="11.05.2025 - CDD Shipped"/>
      <sheetName val="18-05-2025 - CDD - Shipped"/>
      <sheetName val="25-05-2025 - CDD SHIPPED"/>
      <sheetName val="01.06.2025 - CDD -SHIPPED"/>
      <sheetName val="08.06.2025 - CDD - SHIPPED"/>
      <sheetName val="15.06.2025 - CDD - SHIPPED"/>
      <sheetName val="CDD - 22.06.2025 - Shipped"/>
      <sheetName val="CDD - 07.09.2025 (2)"/>
      <sheetName val="PRL DATA"/>
      <sheetName val="CDD Dash Board"/>
      <sheetName val="CDD - 29.06.2025 - Shipped"/>
      <sheetName val="CDD -06.07.2025 - Shipped"/>
      <sheetName val="CDD - 27.07.2025  -SHIPPED"/>
      <sheetName val="CDD - 03.08.2025- SHIPPED"/>
      <sheetName val="CDD - 10.08.2025 - SHIPPED "/>
      <sheetName val="CDD - 27.07.2025 -BKG WISE PEND"/>
      <sheetName val="19TH - BOOKING WISE DONE"/>
      <sheetName val="CDD - 10.08.2025 (2)"/>
      <sheetName val="31-7-2025 - SECOND VEHICLE"/>
      <sheetName val="CDD - 17.08.2025 - SHIPPED"/>
      <sheetName val="CDD - 24-08-2025 - shipped "/>
      <sheetName val="CDD - 24-08-2025 - 14-8-20225"/>
      <sheetName val="CDD - 07.09.2025- shipped"/>
      <sheetName val="CDD - 31.08.2025"/>
      <sheetName val="CDD - 14.09.2025-shipped"/>
      <sheetName val="CDD - 21.09.2025 - Shipped"/>
      <sheetName val="CDD - 28.09.2025-shipped"/>
      <sheetName val="CDD - 05.10.2025 - SHIPPED"/>
      <sheetName val="CDD - 12.10.2025 -SHIPPED"/>
      <sheetName val="CDD - 19-10-2025-shipped"/>
      <sheetName val="CDD - 26-10-2025 - SHIPPED"/>
      <sheetName val="Size Wise Details"/>
      <sheetName val="CDD - 02-11-2025"/>
      <sheetName val="KA51A8618"/>
      <sheetName val="KA51B2029"/>
      <sheetName val="823 cartons - 32 feet"/>
      <sheetName val="KA51A8618."/>
      <sheetName val="CDD - 09-11-2025-SHIPPED"/>
      <sheetName val="CDD - 16-11-2025"/>
      <sheetName val="CDD - 23-11-2025 - Shipped "/>
      <sheetName val="CDD - 30-11-2025-SHIPPED"/>
      <sheetName val="CDD -7-12-2025"/>
      <sheetName val="CDD -14-12-2025-Shipped"/>
      <sheetName val="ASN Details"/>
      <sheetName val="CDD -21-12-2025"/>
      <sheetName val="Sheet3"/>
      <sheetName val="Sheet1"/>
      <sheetName val="New Size Wise Details "/>
      <sheetName val="Rej Details Month of FEB - 25"/>
      <sheetName val="Rej Details Month of Mar - 25"/>
      <sheetName val="Rej Details Month of April - 25"/>
      <sheetName val="Rej Details Month of June - 25"/>
      <sheetName val="Rej Details Month of May - 25"/>
      <sheetName val="Rej Details Month of JAN - 25"/>
      <sheetName val="Shipped RRL Shipments"/>
      <sheetName val="Rej Details"/>
      <sheetName val="Rej Details - NOV"/>
      <sheetName val="Rej Details - DEC"/>
      <sheetName val="Short Shipment Data"/>
      <sheetName val="Photo DMN Details"/>
      <sheetName val="Photo Data"/>
      <sheetName val="Weight"/>
      <sheetName val="WHITHOUT TAG"/>
      <sheetName val="Shipped CDD - 6-1-2025 - A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">
          <cell r="H2">
            <v>0.42715555555332685</v>
          </cell>
          <cell r="I2" t="str">
            <v>G Total</v>
          </cell>
          <cell r="J2">
            <v>5497</v>
          </cell>
          <cell r="K2">
            <v>4834</v>
          </cell>
          <cell r="L2">
            <v>1468</v>
          </cell>
          <cell r="M2">
            <v>2</v>
          </cell>
          <cell r="N2">
            <v>2468</v>
          </cell>
          <cell r="O2">
            <v>1</v>
          </cell>
          <cell r="P2">
            <v>5521</v>
          </cell>
          <cell r="Q2">
            <v>191</v>
          </cell>
          <cell r="R2">
            <v>0</v>
          </cell>
        </row>
        <row r="3">
          <cell r="E3" t="str">
            <v>SEA - FOB - CHENNAI</v>
          </cell>
          <cell r="F3" t="str">
            <v>TRUCKOUT ON - 09.10.2025</v>
          </cell>
        </row>
        <row r="4">
          <cell r="B4" t="str">
            <v>Line</v>
          </cell>
          <cell r="C4" t="str">
            <v>PLANT CODE</v>
          </cell>
          <cell r="D4" t="str">
            <v>LINE NO</v>
          </cell>
          <cell r="E4" t="str">
            <v>CON</v>
          </cell>
          <cell r="F4" t="str">
            <v>DESTINATION</v>
          </cell>
          <cell r="G4" t="str">
            <v>PO NO</v>
          </cell>
          <cell r="H4" t="str">
            <v>COLOR</v>
          </cell>
          <cell r="I4" t="str">
            <v>MATERIAL NO</v>
          </cell>
          <cell r="J4" t="str">
            <v>QTY</v>
          </cell>
          <cell r="K4" t="str">
            <v>CUT QTY</v>
          </cell>
          <cell r="L4" t="str">
            <v>Send to Wash / Dye</v>
          </cell>
          <cell r="M4" t="str">
            <v>Balance to Send</v>
          </cell>
          <cell r="N4" t="str">
            <v>Wash / Dye Received</v>
          </cell>
          <cell r="O4" t="str">
            <v>Balance to receive</v>
          </cell>
          <cell r="P4" t="str">
            <v>PACK/SHIP QTY</v>
          </cell>
          <cell r="Q4" t="str">
            <v xml:space="preserve">CTNS </v>
          </cell>
          <cell r="R4" t="str">
            <v>STATUS</v>
          </cell>
          <cell r="S4" t="str">
            <v>FI to be done by</v>
          </cell>
          <cell r="T4" t="str">
            <v>ASN</v>
          </cell>
          <cell r="U4" t="str">
            <v>WEIGHT</v>
          </cell>
          <cell r="V4" t="str">
            <v>WFX</v>
          </cell>
          <cell r="W4" t="str">
            <v xml:space="preserve">OCR </v>
          </cell>
          <cell r="X4" t="str">
            <v>BOOKING NO</v>
          </cell>
          <cell r="Y4" t="str">
            <v>DO</v>
          </cell>
        </row>
        <row r="5">
          <cell r="C5" t="str">
            <v>TO17</v>
          </cell>
          <cell r="D5">
            <v>10</v>
          </cell>
          <cell r="E5" t="str">
            <v>PRLS/25/11716</v>
          </cell>
          <cell r="F5" t="str">
            <v>CANADA</v>
          </cell>
          <cell r="G5">
            <v>4702051753</v>
          </cell>
          <cell r="H5" t="str">
            <v>BSR BLUE</v>
          </cell>
          <cell r="I5">
            <v>711548535007</v>
          </cell>
          <cell r="J5">
            <v>10</v>
          </cell>
          <cell r="K5">
            <v>10</v>
          </cell>
          <cell r="L5">
            <v>10</v>
          </cell>
          <cell r="M5">
            <v>0</v>
          </cell>
          <cell r="N5">
            <v>10</v>
          </cell>
          <cell r="P5">
            <v>10</v>
          </cell>
          <cell r="Q5">
            <v>1</v>
          </cell>
          <cell r="R5" t="str">
            <v>Shipped</v>
          </cell>
          <cell r="S5" t="str">
            <v>VQA</v>
          </cell>
          <cell r="T5" t="str">
            <v>SENT</v>
          </cell>
          <cell r="U5" t="str">
            <v>DONE</v>
          </cell>
          <cell r="V5" t="str">
            <v>DONE</v>
          </cell>
          <cell r="W5" t="str">
            <v>DONE</v>
          </cell>
          <cell r="X5">
            <v>2501779208</v>
          </cell>
        </row>
        <row r="6">
          <cell r="F6" t="str">
            <v>TOTAL</v>
          </cell>
          <cell r="J6">
            <v>10</v>
          </cell>
          <cell r="K6">
            <v>10</v>
          </cell>
          <cell r="L6">
            <v>10</v>
          </cell>
          <cell r="M6">
            <v>0</v>
          </cell>
          <cell r="N6">
            <v>10</v>
          </cell>
          <cell r="O6">
            <v>0</v>
          </cell>
          <cell r="P6">
            <v>10</v>
          </cell>
          <cell r="Q6">
            <v>1</v>
          </cell>
        </row>
        <row r="8">
          <cell r="C8" t="str">
            <v>V992</v>
          </cell>
          <cell r="D8">
            <v>10</v>
          </cell>
          <cell r="E8" t="str">
            <v>PRLS/25/10885</v>
          </cell>
          <cell r="F8" t="str">
            <v>HONGKONG</v>
          </cell>
          <cell r="G8">
            <v>4702042155</v>
          </cell>
          <cell r="H8" t="str">
            <v>RL NAVY</v>
          </cell>
          <cell r="I8">
            <v>710716303003</v>
          </cell>
          <cell r="J8">
            <v>150</v>
          </cell>
          <cell r="P8">
            <v>150</v>
          </cell>
          <cell r="Q8">
            <v>5</v>
          </cell>
          <cell r="R8" t="str">
            <v>Shipped</v>
          </cell>
          <cell r="S8" t="str">
            <v>VQA</v>
          </cell>
          <cell r="T8" t="str">
            <v>SENT</v>
          </cell>
          <cell r="U8" t="str">
            <v>DONE</v>
          </cell>
          <cell r="V8" t="str">
            <v>DONE</v>
          </cell>
          <cell r="W8" t="str">
            <v>DONE</v>
          </cell>
          <cell r="X8">
            <v>2501779209</v>
          </cell>
          <cell r="Y8" t="str">
            <v>AS SHIPPING - CHENNAI - SMAAS086188</v>
          </cell>
        </row>
        <row r="9">
          <cell r="C9" t="str">
            <v>V992</v>
          </cell>
          <cell r="D9">
            <v>10</v>
          </cell>
          <cell r="E9" t="str">
            <v>PRLS/25/10887</v>
          </cell>
          <cell r="F9" t="str">
            <v>HONGKONG</v>
          </cell>
          <cell r="G9">
            <v>4702042159</v>
          </cell>
          <cell r="H9" t="str">
            <v>PERFECT GREY</v>
          </cell>
          <cell r="I9" t="str">
            <v>710888705001</v>
          </cell>
          <cell r="J9">
            <v>200</v>
          </cell>
          <cell r="K9">
            <v>217</v>
          </cell>
          <cell r="L9">
            <v>216</v>
          </cell>
          <cell r="M9">
            <v>1</v>
          </cell>
          <cell r="N9">
            <v>216</v>
          </cell>
          <cell r="O9">
            <v>1</v>
          </cell>
          <cell r="P9">
            <v>200</v>
          </cell>
          <cell r="Q9">
            <v>6</v>
          </cell>
          <cell r="R9" t="str">
            <v>Shipped</v>
          </cell>
          <cell r="S9" t="str">
            <v>VQA</v>
          </cell>
          <cell r="T9" t="str">
            <v>SENT</v>
          </cell>
          <cell r="U9" t="str">
            <v>DONE</v>
          </cell>
          <cell r="V9" t="str">
            <v>DONE</v>
          </cell>
          <cell r="W9" t="str">
            <v>DONE</v>
          </cell>
        </row>
        <row r="10">
          <cell r="C10" t="str">
            <v>V992</v>
          </cell>
          <cell r="D10">
            <v>10</v>
          </cell>
          <cell r="E10" t="str">
            <v>PRLS/25/10886</v>
          </cell>
          <cell r="F10" t="str">
            <v>HONGKONG</v>
          </cell>
          <cell r="G10">
            <v>4702042158</v>
          </cell>
          <cell r="H10" t="str">
            <v>WHITE</v>
          </cell>
          <cell r="I10">
            <v>710729232003</v>
          </cell>
          <cell r="J10">
            <v>300</v>
          </cell>
          <cell r="K10">
            <v>312</v>
          </cell>
          <cell r="L10">
            <v>311</v>
          </cell>
          <cell r="M10">
            <v>1</v>
          </cell>
          <cell r="N10">
            <v>311</v>
          </cell>
          <cell r="P10">
            <v>300</v>
          </cell>
          <cell r="Q10">
            <v>9</v>
          </cell>
          <cell r="R10" t="str">
            <v>Shipped</v>
          </cell>
          <cell r="S10" t="str">
            <v>VQA</v>
          </cell>
          <cell r="T10" t="str">
            <v>SENT</v>
          </cell>
          <cell r="U10" t="str">
            <v>DONE</v>
          </cell>
          <cell r="V10" t="str">
            <v>DONE</v>
          </cell>
          <cell r="W10" t="str">
            <v>DONE</v>
          </cell>
        </row>
        <row r="11">
          <cell r="F11" t="str">
            <v>TOTAL</v>
          </cell>
          <cell r="J11">
            <v>650</v>
          </cell>
          <cell r="K11">
            <v>529</v>
          </cell>
          <cell r="L11">
            <v>527</v>
          </cell>
          <cell r="M11">
            <v>2</v>
          </cell>
          <cell r="N11">
            <v>527</v>
          </cell>
          <cell r="O11">
            <v>1</v>
          </cell>
          <cell r="P11">
            <v>650</v>
          </cell>
          <cell r="Q11">
            <v>20</v>
          </cell>
        </row>
        <row r="13">
          <cell r="C13" t="str">
            <v>V994</v>
          </cell>
          <cell r="D13">
            <v>10</v>
          </cell>
          <cell r="E13" t="str">
            <v>PRLS/25/10885</v>
          </cell>
          <cell r="F13" t="str">
            <v>JAPAN</v>
          </cell>
          <cell r="G13">
            <v>4702042157</v>
          </cell>
          <cell r="H13" t="str">
            <v>RL NAVY</v>
          </cell>
          <cell r="I13">
            <v>710716303003</v>
          </cell>
          <cell r="J13">
            <v>53</v>
          </cell>
          <cell r="P13">
            <v>53</v>
          </cell>
          <cell r="Q13">
            <v>2</v>
          </cell>
          <cell r="R13" t="str">
            <v>Shipped</v>
          </cell>
          <cell r="S13" t="str">
            <v>VQA</v>
          </cell>
          <cell r="T13" t="str">
            <v>SENT</v>
          </cell>
          <cell r="U13" t="str">
            <v>DONE</v>
          </cell>
          <cell r="V13" t="str">
            <v>DONE</v>
          </cell>
          <cell r="W13" t="str">
            <v>DONE</v>
          </cell>
          <cell r="X13">
            <v>2501779211</v>
          </cell>
          <cell r="Y13" t="str">
            <v>AS SHIPPING - CHENNAI - SMAAS086183</v>
          </cell>
        </row>
        <row r="14">
          <cell r="C14" t="str">
            <v>V994</v>
          </cell>
          <cell r="D14">
            <v>10</v>
          </cell>
          <cell r="E14" t="str">
            <v>PRLS/25/10887</v>
          </cell>
          <cell r="F14" t="str">
            <v>JAPAN</v>
          </cell>
          <cell r="G14">
            <v>4702042161</v>
          </cell>
          <cell r="H14" t="str">
            <v>PERFECT GREY</v>
          </cell>
          <cell r="I14">
            <v>710888705001</v>
          </cell>
          <cell r="J14">
            <v>116</v>
          </cell>
          <cell r="K14">
            <v>116</v>
          </cell>
          <cell r="L14">
            <v>116</v>
          </cell>
          <cell r="N14">
            <v>116</v>
          </cell>
          <cell r="P14">
            <v>116</v>
          </cell>
          <cell r="Q14">
            <v>4</v>
          </cell>
          <cell r="R14" t="str">
            <v>Shipped</v>
          </cell>
          <cell r="S14" t="str">
            <v>VQA</v>
          </cell>
          <cell r="T14" t="str">
            <v>SENT</v>
          </cell>
          <cell r="U14" t="str">
            <v>DONE</v>
          </cell>
          <cell r="V14" t="str">
            <v>DONE</v>
          </cell>
          <cell r="W14" t="str">
            <v>DONE</v>
          </cell>
        </row>
        <row r="15">
          <cell r="F15" t="str">
            <v>TOTAL</v>
          </cell>
          <cell r="J15">
            <v>169</v>
          </cell>
          <cell r="K15">
            <v>116</v>
          </cell>
          <cell r="L15">
            <v>116</v>
          </cell>
          <cell r="M15">
            <v>0</v>
          </cell>
          <cell r="N15">
            <v>116</v>
          </cell>
          <cell r="O15">
            <v>0</v>
          </cell>
          <cell r="P15">
            <v>169</v>
          </cell>
          <cell r="Q15">
            <v>6</v>
          </cell>
        </row>
        <row r="17">
          <cell r="C17" t="str">
            <v>V993</v>
          </cell>
          <cell r="D17">
            <v>10</v>
          </cell>
          <cell r="E17" t="str">
            <v>PRLS/25/10885</v>
          </cell>
          <cell r="F17" t="str">
            <v>KOREA</v>
          </cell>
          <cell r="G17">
            <v>4702042156</v>
          </cell>
          <cell r="H17" t="str">
            <v>RL NAVY</v>
          </cell>
          <cell r="I17">
            <v>710716303003</v>
          </cell>
          <cell r="J17">
            <v>240</v>
          </cell>
          <cell r="P17">
            <v>240</v>
          </cell>
          <cell r="Q17">
            <v>7</v>
          </cell>
          <cell r="R17" t="str">
            <v>Shipped</v>
          </cell>
          <cell r="S17" t="str">
            <v>VQA</v>
          </cell>
          <cell r="T17" t="str">
            <v>SENT</v>
          </cell>
          <cell r="U17" t="str">
            <v>DONE</v>
          </cell>
          <cell r="V17" t="str">
            <v>DONE</v>
          </cell>
          <cell r="W17" t="str">
            <v>DONE</v>
          </cell>
          <cell r="X17">
            <v>2501779214</v>
          </cell>
          <cell r="Y17" t="str">
            <v>AS SHIPPING - CHENNAI - SMAAS086186</v>
          </cell>
        </row>
        <row r="18">
          <cell r="C18" t="str">
            <v>V993</v>
          </cell>
          <cell r="D18">
            <v>10</v>
          </cell>
          <cell r="E18" t="str">
            <v>PRLS/25/10887</v>
          </cell>
          <cell r="F18" t="str">
            <v>KOREA</v>
          </cell>
          <cell r="G18">
            <v>4702042160</v>
          </cell>
          <cell r="H18" t="str">
            <v>PERFECT GREY</v>
          </cell>
          <cell r="I18">
            <v>710888705001</v>
          </cell>
          <cell r="J18">
            <v>186</v>
          </cell>
          <cell r="K18">
            <v>189</v>
          </cell>
          <cell r="L18">
            <v>189</v>
          </cell>
          <cell r="N18">
            <v>1189</v>
          </cell>
          <cell r="P18">
            <v>186</v>
          </cell>
          <cell r="Q18">
            <v>6</v>
          </cell>
          <cell r="R18" t="str">
            <v>Shipped</v>
          </cell>
          <cell r="S18" t="str">
            <v>VQA</v>
          </cell>
          <cell r="T18" t="str">
            <v>SENT</v>
          </cell>
          <cell r="U18" t="str">
            <v>DONE</v>
          </cell>
          <cell r="V18" t="str">
            <v>DONE</v>
          </cell>
          <cell r="W18" t="str">
            <v>DONE</v>
          </cell>
        </row>
        <row r="19">
          <cell r="F19" t="str">
            <v>TOTAL</v>
          </cell>
          <cell r="J19">
            <v>426</v>
          </cell>
          <cell r="K19">
            <v>189</v>
          </cell>
          <cell r="L19">
            <v>189</v>
          </cell>
          <cell r="M19">
            <v>0</v>
          </cell>
          <cell r="N19">
            <v>1189</v>
          </cell>
          <cell r="O19">
            <v>0</v>
          </cell>
          <cell r="P19">
            <v>426</v>
          </cell>
          <cell r="Q19">
            <v>13</v>
          </cell>
        </row>
        <row r="21">
          <cell r="C21" t="str">
            <v>HD00</v>
          </cell>
          <cell r="D21">
            <v>20</v>
          </cell>
          <cell r="E21" t="str">
            <v>PRLS/25/11866</v>
          </cell>
          <cell r="F21" t="str">
            <v>USA</v>
          </cell>
          <cell r="G21">
            <v>4702051750</v>
          </cell>
          <cell r="H21" t="str">
            <v>BSR BLUE/WHITE STRIPE</v>
          </cell>
          <cell r="I21" t="str">
            <v>710548535006</v>
          </cell>
          <cell r="J21">
            <v>378</v>
          </cell>
          <cell r="K21">
            <v>395</v>
          </cell>
          <cell r="P21">
            <v>386</v>
          </cell>
          <cell r="Q21">
            <v>11</v>
          </cell>
          <cell r="R21" t="str">
            <v>Shipped</v>
          </cell>
          <cell r="S21" t="str">
            <v>QIMA</v>
          </cell>
          <cell r="T21" t="str">
            <v>SENT</v>
          </cell>
          <cell r="U21" t="str">
            <v>DONE</v>
          </cell>
          <cell r="V21" t="str">
            <v>DONE</v>
          </cell>
          <cell r="W21" t="str">
            <v>DONE</v>
          </cell>
          <cell r="X21">
            <v>2501779218</v>
          </cell>
          <cell r="Y21" t="str">
            <v>AS SHIPPING - CHENNAI - SMAAS086187</v>
          </cell>
        </row>
        <row r="22">
          <cell r="F22" t="str">
            <v>TOTAL</v>
          </cell>
          <cell r="J22">
            <v>378</v>
          </cell>
          <cell r="K22">
            <v>395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386</v>
          </cell>
          <cell r="Q22">
            <v>11</v>
          </cell>
        </row>
        <row r="24">
          <cell r="C24" t="str">
            <v>NW00</v>
          </cell>
          <cell r="D24">
            <v>20</v>
          </cell>
          <cell r="E24" t="str">
            <v>PRLS/25/11715</v>
          </cell>
          <cell r="F24" t="str">
            <v>USA</v>
          </cell>
          <cell r="G24">
            <v>4702051752</v>
          </cell>
          <cell r="H24" t="str">
            <v>BSR WHITE</v>
          </cell>
          <cell r="I24" t="str">
            <v>711548535006</v>
          </cell>
          <cell r="J24">
            <v>553</v>
          </cell>
          <cell r="K24">
            <v>571</v>
          </cell>
          <cell r="P24">
            <v>552</v>
          </cell>
          <cell r="Q24">
            <v>20</v>
          </cell>
          <cell r="R24" t="str">
            <v>Shipped</v>
          </cell>
          <cell r="S24" t="str">
            <v>VQA</v>
          </cell>
          <cell r="T24" t="str">
            <v>SENT</v>
          </cell>
          <cell r="U24" t="str">
            <v>DONE</v>
          </cell>
          <cell r="V24" t="str">
            <v>DONE</v>
          </cell>
          <cell r="W24" t="str">
            <v>DONE</v>
          </cell>
          <cell r="X24">
            <v>2501779232</v>
          </cell>
          <cell r="Y24" t="str">
            <v>AS SHIPPING - CHENNAI - SMAAS086189</v>
          </cell>
        </row>
        <row r="25">
          <cell r="C25" t="str">
            <v>NW00</v>
          </cell>
          <cell r="D25">
            <v>30</v>
          </cell>
          <cell r="E25" t="str">
            <v>PRLS/25/11716</v>
          </cell>
          <cell r="F25" t="str">
            <v>USA</v>
          </cell>
          <cell r="G25">
            <v>4702051752</v>
          </cell>
          <cell r="H25" t="str">
            <v>BSR BLUE</v>
          </cell>
          <cell r="I25" t="str">
            <v>711548535007</v>
          </cell>
          <cell r="J25">
            <v>489</v>
          </cell>
          <cell r="K25">
            <v>511</v>
          </cell>
          <cell r="L25">
            <v>511</v>
          </cell>
          <cell r="M25">
            <v>0</v>
          </cell>
          <cell r="N25">
            <v>511</v>
          </cell>
          <cell r="P25">
            <v>488</v>
          </cell>
          <cell r="Q25">
            <v>18</v>
          </cell>
          <cell r="R25" t="str">
            <v>Shipped</v>
          </cell>
          <cell r="S25" t="str">
            <v>VQA</v>
          </cell>
          <cell r="T25" t="str">
            <v>SENT</v>
          </cell>
          <cell r="U25" t="str">
            <v>DONE</v>
          </cell>
          <cell r="V25" t="str">
            <v>DONE</v>
          </cell>
          <cell r="W25" t="str">
            <v>DONE</v>
          </cell>
        </row>
        <row r="26">
          <cell r="C26" t="str">
            <v>NW00</v>
          </cell>
          <cell r="D26">
            <v>10</v>
          </cell>
          <cell r="E26" t="str">
            <v>PRLS/25/11714</v>
          </cell>
          <cell r="F26" t="str">
            <v>USA</v>
          </cell>
          <cell r="G26">
            <v>4702051752</v>
          </cell>
          <cell r="H26" t="str">
            <v>BSR BLUE/WHITE STRIPE</v>
          </cell>
          <cell r="I26" t="str">
            <v>711548535005</v>
          </cell>
          <cell r="J26">
            <v>300</v>
          </cell>
          <cell r="K26">
            <v>313</v>
          </cell>
          <cell r="P26">
            <v>299</v>
          </cell>
          <cell r="Q26">
            <v>11</v>
          </cell>
          <cell r="R26" t="str">
            <v>Shipped</v>
          </cell>
          <cell r="S26" t="str">
            <v>VQA</v>
          </cell>
          <cell r="T26" t="str">
            <v>SENT</v>
          </cell>
          <cell r="U26" t="str">
            <v>DONE</v>
          </cell>
          <cell r="V26" t="str">
            <v>DONE</v>
          </cell>
          <cell r="W26" t="str">
            <v>DONE</v>
          </cell>
        </row>
        <row r="27">
          <cell r="C27" t="str">
            <v>NW00</v>
          </cell>
          <cell r="D27">
            <v>10</v>
          </cell>
          <cell r="E27" t="str">
            <v>PRLS/25/11863</v>
          </cell>
          <cell r="F27" t="str">
            <v>USA</v>
          </cell>
          <cell r="G27">
            <v>4702051751</v>
          </cell>
          <cell r="H27" t="str">
            <v>BSR YELLOW</v>
          </cell>
          <cell r="I27" t="str">
            <v>710548535005</v>
          </cell>
          <cell r="J27">
            <v>1907</v>
          </cell>
          <cell r="K27">
            <v>1994</v>
          </cell>
          <cell r="P27">
            <v>1928</v>
          </cell>
          <cell r="Q27">
            <v>56</v>
          </cell>
          <cell r="R27" t="str">
            <v>Shipped</v>
          </cell>
          <cell r="S27" t="str">
            <v>QIMA</v>
          </cell>
          <cell r="T27" t="str">
            <v>SENT</v>
          </cell>
          <cell r="U27" t="str">
            <v>DONE</v>
          </cell>
          <cell r="V27" t="str">
            <v>DONE</v>
          </cell>
          <cell r="W27" t="str">
            <v>DONE</v>
          </cell>
        </row>
        <row r="28">
          <cell r="C28" t="str">
            <v>NW00</v>
          </cell>
          <cell r="D28">
            <v>10</v>
          </cell>
          <cell r="E28" t="str">
            <v>PRLS/25/11034</v>
          </cell>
          <cell r="F28" t="str">
            <v>USA</v>
          </cell>
          <cell r="G28">
            <v>4702024312</v>
          </cell>
          <cell r="H28" t="str">
            <v>7105A BLUE ORANGE MULTI</v>
          </cell>
          <cell r="I28" t="str">
            <v>710B14315001</v>
          </cell>
          <cell r="J28">
            <v>414</v>
          </cell>
          <cell r="P28">
            <v>414</v>
          </cell>
          <cell r="Q28">
            <v>28</v>
          </cell>
          <cell r="R28" t="str">
            <v>Shipped</v>
          </cell>
          <cell r="S28" t="str">
            <v>FQA</v>
          </cell>
          <cell r="T28" t="str">
            <v>SENT</v>
          </cell>
          <cell r="U28" t="str">
            <v>DONE</v>
          </cell>
          <cell r="V28" t="str">
            <v>DONE</v>
          </cell>
          <cell r="W28" t="str">
            <v>DONE</v>
          </cell>
        </row>
        <row r="29">
          <cell r="F29" t="str">
            <v>TOTAL</v>
          </cell>
          <cell r="J29">
            <v>3663</v>
          </cell>
          <cell r="K29">
            <v>3389</v>
          </cell>
          <cell r="L29">
            <v>511</v>
          </cell>
          <cell r="M29">
            <v>0</v>
          </cell>
          <cell r="N29">
            <v>511</v>
          </cell>
          <cell r="O29">
            <v>0</v>
          </cell>
          <cell r="P29">
            <v>3681</v>
          </cell>
          <cell r="Q29">
            <v>133</v>
          </cell>
        </row>
        <row r="30">
          <cell r="P30">
            <v>5322</v>
          </cell>
          <cell r="Q30">
            <v>184</v>
          </cell>
        </row>
        <row r="31">
          <cell r="E31" t="str">
            <v>AIR - FCA - BLR</v>
          </cell>
          <cell r="F31" t="str">
            <v>TRUCKOUT ON - 09.10.2025</v>
          </cell>
        </row>
        <row r="32">
          <cell r="B32" t="str">
            <v>Line</v>
          </cell>
          <cell r="C32" t="str">
            <v>PLANT CODE</v>
          </cell>
          <cell r="D32" t="str">
            <v>LINE NO</v>
          </cell>
          <cell r="E32" t="str">
            <v>CON</v>
          </cell>
          <cell r="F32" t="str">
            <v>DESTINATION</v>
          </cell>
          <cell r="G32" t="str">
            <v>PO NO</v>
          </cell>
          <cell r="H32" t="str">
            <v>COLOR</v>
          </cell>
          <cell r="I32" t="str">
            <v>MATERIAL NO</v>
          </cell>
          <cell r="J32" t="str">
            <v>QTY</v>
          </cell>
          <cell r="K32" t="str">
            <v>CUT QTY</v>
          </cell>
          <cell r="L32" t="str">
            <v>Send to Wash / Dye</v>
          </cell>
          <cell r="M32" t="str">
            <v>Balance to Send</v>
          </cell>
          <cell r="N32" t="str">
            <v>Wash / Dye Received</v>
          </cell>
          <cell r="O32" t="str">
            <v>Balance to receive</v>
          </cell>
          <cell r="P32" t="str">
            <v>PACK/SHIP QTY</v>
          </cell>
          <cell r="Q32" t="str">
            <v xml:space="preserve">CTNS </v>
          </cell>
          <cell r="R32" t="str">
            <v>STATUS</v>
          </cell>
          <cell r="S32" t="str">
            <v>FI to be done by</v>
          </cell>
          <cell r="T32" t="str">
            <v>ASN</v>
          </cell>
          <cell r="U32" t="str">
            <v>WEIGHT</v>
          </cell>
          <cell r="V32" t="str">
            <v>WFX</v>
          </cell>
          <cell r="W32" t="str">
            <v xml:space="preserve">OCR </v>
          </cell>
          <cell r="X32" t="str">
            <v>BOOKING NO</v>
          </cell>
          <cell r="Y32" t="str">
            <v>DO</v>
          </cell>
        </row>
        <row r="33">
          <cell r="C33" t="str">
            <v>NW00</v>
          </cell>
          <cell r="D33">
            <v>40</v>
          </cell>
          <cell r="E33" t="str">
            <v>PRLS/25/11716</v>
          </cell>
          <cell r="F33" t="str">
            <v>USA</v>
          </cell>
          <cell r="G33">
            <v>4702051752</v>
          </cell>
          <cell r="H33" t="str">
            <v>BSR BLUE</v>
          </cell>
          <cell r="I33" t="str">
            <v>711548535007</v>
          </cell>
          <cell r="J33">
            <v>110</v>
          </cell>
          <cell r="K33">
            <v>115</v>
          </cell>
          <cell r="L33">
            <v>115</v>
          </cell>
          <cell r="M33">
            <v>0</v>
          </cell>
          <cell r="N33">
            <v>115</v>
          </cell>
          <cell r="P33">
            <v>108</v>
          </cell>
          <cell r="Q33">
            <v>4</v>
          </cell>
          <cell r="R33" t="str">
            <v>SHIPPED</v>
          </cell>
          <cell r="S33" t="str">
            <v>VQA</v>
          </cell>
          <cell r="T33" t="str">
            <v>SENT</v>
          </cell>
          <cell r="U33" t="str">
            <v>DONE</v>
          </cell>
          <cell r="V33" t="str">
            <v>DONE</v>
          </cell>
          <cell r="W33" t="str">
            <v>DONE</v>
          </cell>
          <cell r="X33">
            <v>2501783830</v>
          </cell>
        </row>
        <row r="34">
          <cell r="C34" t="str">
            <v>NW00</v>
          </cell>
          <cell r="D34">
            <v>40</v>
          </cell>
          <cell r="E34" t="str">
            <v>PRLS/25/11863</v>
          </cell>
          <cell r="F34" t="str">
            <v>USA</v>
          </cell>
          <cell r="G34">
            <v>4702051751</v>
          </cell>
          <cell r="H34" t="str">
            <v>BSR YELLOW</v>
          </cell>
          <cell r="I34">
            <v>710548535005</v>
          </cell>
          <cell r="J34">
            <v>91</v>
          </cell>
          <cell r="K34">
            <v>91</v>
          </cell>
          <cell r="P34">
            <v>91</v>
          </cell>
          <cell r="Q34">
            <v>3</v>
          </cell>
          <cell r="R34" t="str">
            <v>Shipped</v>
          </cell>
          <cell r="S34" t="str">
            <v>VQA</v>
          </cell>
          <cell r="T34" t="str">
            <v>SENT</v>
          </cell>
          <cell r="U34" t="str">
            <v>DONE</v>
          </cell>
          <cell r="V34" t="str">
            <v>DONE</v>
          </cell>
          <cell r="W34" t="str">
            <v>DONE</v>
          </cell>
        </row>
        <row r="35">
          <cell r="F35" t="str">
            <v>TOTAL</v>
          </cell>
          <cell r="J35">
            <v>201</v>
          </cell>
          <cell r="K35">
            <v>206</v>
          </cell>
          <cell r="L35">
            <v>115</v>
          </cell>
          <cell r="M35">
            <v>0</v>
          </cell>
          <cell r="N35">
            <v>115</v>
          </cell>
          <cell r="O35">
            <v>0</v>
          </cell>
          <cell r="P35">
            <v>199</v>
          </cell>
          <cell r="Q35">
            <v>7</v>
          </cell>
        </row>
        <row r="37">
          <cell r="K37">
            <v>4834</v>
          </cell>
          <cell r="L37">
            <v>1468</v>
          </cell>
          <cell r="M37">
            <v>2</v>
          </cell>
          <cell r="N37">
            <v>2468</v>
          </cell>
          <cell r="O37">
            <v>1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62"/>
  <sheetViews>
    <sheetView showGridLines="0" tabSelected="1" topLeftCell="A13" zoomScale="110" zoomScaleNormal="110" workbookViewId="0">
      <selection activeCell="G42" sqref="G42"/>
    </sheetView>
  </sheetViews>
  <sheetFormatPr defaultColWidth="0" defaultRowHeight="11.25"/>
  <cols>
    <col min="1" max="1" width="8.140625" style="134" customWidth="1"/>
    <col min="2" max="2" width="6.140625" style="143" customWidth="1"/>
    <col min="3" max="3" width="13" style="143" customWidth="1"/>
    <col min="4" max="4" width="9.28515625" style="143" customWidth="1"/>
    <col min="5" max="5" width="12.5703125" style="134" customWidth="1"/>
    <col min="6" max="6" width="17.28515625" style="134" customWidth="1"/>
    <col min="7" max="7" width="10.85546875" style="134" customWidth="1"/>
    <col min="8" max="8" width="20.28515625" style="134" customWidth="1"/>
    <col min="9" max="9" width="11.42578125" style="169" customWidth="1"/>
    <col min="10" max="10" width="11.42578125" style="134" customWidth="1"/>
    <col min="11" max="11" width="12.7109375" style="143" hidden="1" customWidth="1"/>
    <col min="12" max="12" width="21.5703125" style="143" hidden="1" customWidth="1"/>
    <col min="13" max="13" width="18.5703125" style="143" hidden="1" customWidth="1"/>
    <col min="14" max="14" width="22.42578125" style="143" hidden="1" customWidth="1"/>
    <col min="15" max="15" width="20.140625" style="143" hidden="1" customWidth="1"/>
    <col min="16" max="16" width="13.7109375" style="134" customWidth="1"/>
    <col min="17" max="17" width="9.85546875" style="134" customWidth="1"/>
    <col min="18" max="18" width="18.42578125" style="134" customWidth="1"/>
    <col min="19" max="19" width="16" style="134" customWidth="1"/>
    <col min="20" max="20" width="8.85546875" style="134" hidden="1" customWidth="1"/>
    <col min="21" max="21" width="11.7109375" style="134" hidden="1" customWidth="1"/>
    <col min="22" max="22" width="9.140625" style="134" hidden="1" customWidth="1"/>
    <col min="23" max="23" width="9.28515625" style="134" hidden="1" customWidth="1"/>
    <col min="24" max="24" width="17.5703125" style="134" customWidth="1"/>
    <col min="25" max="25" width="28.5703125" style="134" customWidth="1"/>
    <col min="26" max="26" width="11.5703125" style="134" customWidth="1"/>
    <col min="27" max="27" width="8.140625" style="134" customWidth="1"/>
    <col min="28" max="28" width="13.7109375" style="134" customWidth="1"/>
    <col min="29" max="29" width="4.28515625" style="134" customWidth="1"/>
    <col min="30" max="30" width="7.28515625" style="134" customWidth="1"/>
    <col min="31" max="31" width="4.5703125" style="134" customWidth="1"/>
    <col min="32" max="32" width="4.28515625" style="134" customWidth="1"/>
    <col min="33" max="33" width="13.28515625" style="134" customWidth="1"/>
    <col min="34" max="34" width="30.5703125" style="134" customWidth="1"/>
    <col min="35" max="35" width="8.7109375" style="134" customWidth="1"/>
    <col min="36" max="36" width="8" style="134" customWidth="1"/>
    <col min="37" max="38" width="9.140625" style="134" customWidth="1"/>
    <col min="39" max="39" width="27.28515625" style="134" customWidth="1"/>
    <col min="40" max="40" width="12" style="134" customWidth="1"/>
    <col min="41" max="51" width="9.140625" style="134" customWidth="1"/>
    <col min="52" max="62" width="0" style="143" hidden="1" customWidth="1"/>
    <col min="63" max="16384" width="9.140625" style="143" hidden="1"/>
  </cols>
  <sheetData>
    <row r="1" spans="1:51" ht="12" thickBot="1"/>
    <row r="2" spans="1:51" s="2" customFormat="1" ht="15.75" thickBot="1">
      <c r="A2" s="1"/>
      <c r="E2" s="1"/>
      <c r="F2" s="1"/>
      <c r="G2" s="3"/>
      <c r="H2" s="4">
        <f ca="1">NOW()-TRUNC(NOW())</f>
        <v>0.42715555555332685</v>
      </c>
      <c r="I2" s="5" t="s">
        <v>0</v>
      </c>
      <c r="J2" s="6">
        <f>SUBTOTAL(9,J5:J6,J9:J11,J14:J15,J18:J19,J27,J33:J34,J37:J38,J41:J42)</f>
        <v>3981</v>
      </c>
      <c r="K2" s="6">
        <f t="shared" ref="K2:Q2" si="0">SUBTOTAL(9,K5:K6,K9:K11,K14:K15,K18:K19,K27,K33:K34,K37:K38,K41:K42)</f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2439</v>
      </c>
      <c r="Q2" s="6">
        <f t="shared" si="0"/>
        <v>128</v>
      </c>
      <c r="R2" s="7"/>
      <c r="S2" s="8"/>
      <c r="T2" s="8"/>
      <c r="U2" s="8"/>
      <c r="V2" s="8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s="21" customFormat="1" ht="12" thickBot="1">
      <c r="A3" s="9"/>
      <c r="B3" s="10"/>
      <c r="C3" s="11"/>
      <c r="D3" s="12"/>
      <c r="E3" s="13"/>
      <c r="F3" s="14" t="s">
        <v>1</v>
      </c>
      <c r="G3" s="15"/>
      <c r="H3" s="16" t="s">
        <v>2</v>
      </c>
      <c r="I3" s="17"/>
      <c r="J3" s="16"/>
      <c r="K3" s="11"/>
      <c r="L3" s="11"/>
      <c r="M3" s="11"/>
      <c r="N3" s="11"/>
      <c r="O3" s="11"/>
      <c r="P3" s="18">
        <v>46012</v>
      </c>
      <c r="Q3" s="16"/>
      <c r="R3" s="18"/>
      <c r="S3" s="16"/>
      <c r="T3" s="18"/>
      <c r="U3" s="18"/>
      <c r="V3" s="16"/>
      <c r="W3" s="16"/>
      <c r="X3" s="16"/>
      <c r="Y3" s="19"/>
      <c r="Z3" s="20"/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s="30" customFormat="1" ht="13.5" thickBot="1">
      <c r="A4" s="22"/>
      <c r="B4" s="23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4" t="s">
        <v>9</v>
      </c>
      <c r="I4" s="25" t="s">
        <v>10</v>
      </c>
      <c r="J4" s="24" t="s">
        <v>11</v>
      </c>
      <c r="K4" s="24" t="s">
        <v>12</v>
      </c>
      <c r="L4" s="24" t="s">
        <v>13</v>
      </c>
      <c r="M4" s="24" t="s">
        <v>14</v>
      </c>
      <c r="N4" s="24" t="s">
        <v>15</v>
      </c>
      <c r="O4" s="24" t="s">
        <v>16</v>
      </c>
      <c r="P4" s="24" t="s">
        <v>17</v>
      </c>
      <c r="Q4" s="24" t="s">
        <v>18</v>
      </c>
      <c r="R4" s="24" t="s">
        <v>19</v>
      </c>
      <c r="S4" s="26" t="s">
        <v>20</v>
      </c>
      <c r="T4" s="24" t="s">
        <v>21</v>
      </c>
      <c r="U4" s="24" t="s">
        <v>22</v>
      </c>
      <c r="V4" s="24" t="s">
        <v>23</v>
      </c>
      <c r="W4" s="24" t="s">
        <v>24</v>
      </c>
      <c r="X4" s="24" t="s">
        <v>25</v>
      </c>
      <c r="Y4" s="27" t="s">
        <v>26</v>
      </c>
      <c r="Z4" s="28" t="s">
        <v>27</v>
      </c>
      <c r="AA4" s="29" t="s">
        <v>21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</row>
    <row r="5" spans="1:51" s="2" customFormat="1" ht="13.5" customHeight="1">
      <c r="A5" s="31" t="s">
        <v>28</v>
      </c>
      <c r="B5" s="32" t="s">
        <v>29</v>
      </c>
      <c r="C5" s="33" t="s">
        <v>30</v>
      </c>
      <c r="D5" s="33">
        <v>10</v>
      </c>
      <c r="E5" s="33" t="s">
        <v>31</v>
      </c>
      <c r="F5" s="33" t="s">
        <v>32</v>
      </c>
      <c r="G5" s="33">
        <v>4701995832</v>
      </c>
      <c r="H5" s="34" t="s">
        <v>33</v>
      </c>
      <c r="I5" s="35" t="s">
        <v>34</v>
      </c>
      <c r="J5" s="33">
        <v>200</v>
      </c>
      <c r="K5" s="33"/>
      <c r="L5" s="33"/>
      <c r="M5" s="33"/>
      <c r="N5" s="33"/>
      <c r="O5" s="33"/>
      <c r="P5" s="33">
        <v>200</v>
      </c>
      <c r="Q5" s="33">
        <v>9</v>
      </c>
      <c r="R5" s="33" t="s">
        <v>35</v>
      </c>
      <c r="S5" s="36" t="s">
        <v>36</v>
      </c>
      <c r="T5" s="37"/>
      <c r="U5" s="37"/>
      <c r="V5" s="37"/>
      <c r="W5" s="37"/>
      <c r="X5" s="38" t="s">
        <v>37</v>
      </c>
      <c r="Y5" s="39" t="s">
        <v>38</v>
      </c>
      <c r="Z5" s="40"/>
      <c r="AA5" s="41"/>
      <c r="AB5" s="3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s="48" customFormat="1" ht="11.25" customHeight="1" thickBot="1">
      <c r="A6" s="31" t="s">
        <v>28</v>
      </c>
      <c r="B6" s="42" t="s">
        <v>39</v>
      </c>
      <c r="C6" s="43" t="s">
        <v>30</v>
      </c>
      <c r="D6" s="43">
        <v>10</v>
      </c>
      <c r="E6" s="43" t="s">
        <v>40</v>
      </c>
      <c r="F6" s="43" t="s">
        <v>32</v>
      </c>
      <c r="G6" s="43">
        <v>4702002179</v>
      </c>
      <c r="H6" s="44" t="s">
        <v>41</v>
      </c>
      <c r="I6" s="45" t="s">
        <v>42</v>
      </c>
      <c r="J6" s="43">
        <v>109</v>
      </c>
      <c r="K6" s="43"/>
      <c r="L6" s="43"/>
      <c r="M6" s="43"/>
      <c r="N6" s="43"/>
      <c r="O6" s="43"/>
      <c r="P6" s="43"/>
      <c r="Q6" s="43"/>
      <c r="R6" s="43" t="s">
        <v>43</v>
      </c>
      <c r="S6" s="43" t="s">
        <v>44</v>
      </c>
      <c r="T6" s="43"/>
      <c r="U6" s="43"/>
      <c r="V6" s="43"/>
      <c r="W6" s="43"/>
      <c r="X6" s="46"/>
      <c r="Y6" s="47"/>
      <c r="Z6" s="40"/>
      <c r="AA6" s="4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</row>
    <row r="7" spans="1:51" s="2" customFormat="1" ht="15.75" thickBot="1">
      <c r="A7" s="1"/>
      <c r="B7" s="49"/>
      <c r="C7" s="50"/>
      <c r="D7" s="50"/>
      <c r="E7" s="51"/>
      <c r="F7" s="51" t="s">
        <v>45</v>
      </c>
      <c r="G7" s="51"/>
      <c r="H7" s="51"/>
      <c r="I7" s="51"/>
      <c r="J7" s="51">
        <f>SUM(J5:J6)</f>
        <v>309</v>
      </c>
      <c r="K7" s="51">
        <f t="shared" ref="K7:Q7" si="1">SUM(K5:K6)</f>
        <v>0</v>
      </c>
      <c r="L7" s="51">
        <f t="shared" si="1"/>
        <v>0</v>
      </c>
      <c r="M7" s="51">
        <f t="shared" si="1"/>
        <v>0</v>
      </c>
      <c r="N7" s="51">
        <f t="shared" si="1"/>
        <v>0</v>
      </c>
      <c r="O7" s="51">
        <f t="shared" si="1"/>
        <v>0</v>
      </c>
      <c r="P7" s="51">
        <f t="shared" si="1"/>
        <v>200</v>
      </c>
      <c r="Q7" s="51">
        <f t="shared" si="1"/>
        <v>9</v>
      </c>
      <c r="R7" s="51"/>
      <c r="S7" s="51"/>
      <c r="T7" s="51"/>
      <c r="U7" s="51"/>
      <c r="V7" s="51"/>
      <c r="W7" s="51"/>
      <c r="X7" s="51"/>
      <c r="Y7" s="52"/>
      <c r="Z7" s="53"/>
      <c r="AA7" s="54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s="48" customFormat="1" ht="11.25" customHeight="1" thickBot="1">
      <c r="A8" s="31"/>
      <c r="B8" s="55"/>
      <c r="C8" s="56"/>
      <c r="D8" s="56"/>
      <c r="E8" s="56"/>
      <c r="F8" s="56"/>
      <c r="G8" s="56"/>
      <c r="H8" s="57"/>
      <c r="I8" s="58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9"/>
      <c r="Y8" s="60"/>
      <c r="Z8" s="40"/>
      <c r="AA8" s="4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</row>
    <row r="9" spans="1:51" s="48" customFormat="1" ht="11.25" customHeight="1">
      <c r="A9" s="31"/>
      <c r="B9" s="61" t="s">
        <v>46</v>
      </c>
      <c r="C9" s="62" t="s">
        <v>47</v>
      </c>
      <c r="D9" s="62">
        <v>10</v>
      </c>
      <c r="E9" s="62" t="s">
        <v>48</v>
      </c>
      <c r="F9" s="62" t="s">
        <v>49</v>
      </c>
      <c r="G9" s="62">
        <v>4702043044</v>
      </c>
      <c r="H9" s="63" t="s">
        <v>50</v>
      </c>
      <c r="I9" s="64" t="s">
        <v>51</v>
      </c>
      <c r="J9" s="62">
        <v>20</v>
      </c>
      <c r="K9" s="62"/>
      <c r="L9" s="62"/>
      <c r="M9" s="62"/>
      <c r="N9" s="62"/>
      <c r="O9" s="62"/>
      <c r="P9" s="62">
        <v>20</v>
      </c>
      <c r="Q9" s="62">
        <v>1</v>
      </c>
      <c r="R9" s="62" t="s">
        <v>52</v>
      </c>
      <c r="S9" s="62" t="s">
        <v>44</v>
      </c>
      <c r="T9" s="62" t="s">
        <v>53</v>
      </c>
      <c r="U9" s="37"/>
      <c r="V9" s="62" t="s">
        <v>53</v>
      </c>
      <c r="W9" s="37"/>
      <c r="X9" s="38" t="s">
        <v>54</v>
      </c>
      <c r="Y9" s="65"/>
      <c r="Z9" s="40"/>
      <c r="AA9" s="4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</row>
    <row r="10" spans="1:51" s="48" customFormat="1" ht="11.25" customHeight="1">
      <c r="A10" s="31"/>
      <c r="B10" s="66" t="s">
        <v>55</v>
      </c>
      <c r="C10" s="67" t="s">
        <v>47</v>
      </c>
      <c r="D10" s="67">
        <v>10</v>
      </c>
      <c r="E10" s="67" t="s">
        <v>56</v>
      </c>
      <c r="F10" s="67" t="s">
        <v>49</v>
      </c>
      <c r="G10" s="67">
        <v>4702043039</v>
      </c>
      <c r="H10" s="68" t="s">
        <v>57</v>
      </c>
      <c r="I10" s="69" t="s">
        <v>58</v>
      </c>
      <c r="J10" s="67">
        <v>80</v>
      </c>
      <c r="K10" s="67"/>
      <c r="L10" s="67"/>
      <c r="M10" s="67"/>
      <c r="N10" s="67"/>
      <c r="O10" s="67"/>
      <c r="P10" s="67">
        <v>80</v>
      </c>
      <c r="Q10" s="67">
        <v>2</v>
      </c>
      <c r="R10" s="67" t="s">
        <v>52</v>
      </c>
      <c r="S10" s="67" t="s">
        <v>44</v>
      </c>
      <c r="T10" s="67" t="s">
        <v>53</v>
      </c>
      <c r="U10" s="70"/>
      <c r="V10" s="67" t="s">
        <v>53</v>
      </c>
      <c r="W10" s="70"/>
      <c r="X10" s="71"/>
      <c r="Y10" s="72"/>
      <c r="Z10" s="40" t="s">
        <v>59</v>
      </c>
      <c r="AA10" s="4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</row>
    <row r="11" spans="1:51" s="48" customFormat="1" ht="11.25" customHeight="1" thickBot="1">
      <c r="A11" s="31"/>
      <c r="B11" s="73" t="s">
        <v>55</v>
      </c>
      <c r="C11" s="74" t="s">
        <v>47</v>
      </c>
      <c r="D11" s="74">
        <v>10</v>
      </c>
      <c r="E11" s="74" t="s">
        <v>60</v>
      </c>
      <c r="F11" s="74" t="s">
        <v>49</v>
      </c>
      <c r="G11" s="74">
        <v>4702048422</v>
      </c>
      <c r="H11" s="75" t="s">
        <v>61</v>
      </c>
      <c r="I11" s="76">
        <v>710966292032</v>
      </c>
      <c r="J11" s="74">
        <v>1700</v>
      </c>
      <c r="K11" s="74"/>
      <c r="L11" s="74"/>
      <c r="M11" s="74"/>
      <c r="N11" s="74"/>
      <c r="O11" s="74"/>
      <c r="P11" s="74">
        <v>1749</v>
      </c>
      <c r="Q11" s="74">
        <v>99</v>
      </c>
      <c r="R11" s="74" t="s">
        <v>52</v>
      </c>
      <c r="S11" s="74" t="s">
        <v>62</v>
      </c>
      <c r="T11" s="74" t="s">
        <v>53</v>
      </c>
      <c r="U11" s="43"/>
      <c r="V11" s="74" t="s">
        <v>53</v>
      </c>
      <c r="W11" s="43"/>
      <c r="X11" s="46"/>
      <c r="Y11" s="77"/>
      <c r="Z11" s="40" t="s">
        <v>59</v>
      </c>
      <c r="AA11" s="4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</row>
    <row r="12" spans="1:51" s="2" customFormat="1" ht="15.75" thickBot="1">
      <c r="A12" s="1"/>
      <c r="B12" s="49"/>
      <c r="C12" s="50"/>
      <c r="D12" s="50"/>
      <c r="E12" s="51"/>
      <c r="F12" s="51" t="s">
        <v>45</v>
      </c>
      <c r="G12" s="51"/>
      <c r="H12" s="51"/>
      <c r="I12" s="51"/>
      <c r="J12" s="51">
        <f>SUM(J9:J11)</f>
        <v>1800</v>
      </c>
      <c r="K12" s="51">
        <f t="shared" ref="K12:Q12" si="2">SUM(K9:K11)</f>
        <v>0</v>
      </c>
      <c r="L12" s="51">
        <f t="shared" si="2"/>
        <v>0</v>
      </c>
      <c r="M12" s="51">
        <f t="shared" si="2"/>
        <v>0</v>
      </c>
      <c r="N12" s="51">
        <f t="shared" si="2"/>
        <v>0</v>
      </c>
      <c r="O12" s="51">
        <f t="shared" si="2"/>
        <v>0</v>
      </c>
      <c r="P12" s="51">
        <f t="shared" si="2"/>
        <v>1849</v>
      </c>
      <c r="Q12" s="51">
        <f t="shared" si="2"/>
        <v>102</v>
      </c>
      <c r="R12" s="51"/>
      <c r="S12" s="51"/>
      <c r="T12" s="51"/>
      <c r="U12" s="51"/>
      <c r="V12" s="51"/>
      <c r="W12" s="51"/>
      <c r="X12" s="51"/>
      <c r="Y12" s="52"/>
      <c r="Z12" s="53"/>
      <c r="AA12" s="54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s="48" customFormat="1" ht="11.25" customHeight="1" thickBot="1">
      <c r="A13" s="31"/>
      <c r="B13" s="55"/>
      <c r="C13" s="56"/>
      <c r="D13" s="56"/>
      <c r="E13" s="56"/>
      <c r="F13" s="56"/>
      <c r="G13" s="56"/>
      <c r="H13" s="57"/>
      <c r="I13" s="58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60"/>
      <c r="Z13" s="40"/>
      <c r="AA13" s="4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</row>
    <row r="14" spans="1:51" s="48" customFormat="1" ht="11.25" customHeight="1">
      <c r="A14" s="31" t="s">
        <v>28</v>
      </c>
      <c r="B14" s="78" t="s">
        <v>29</v>
      </c>
      <c r="C14" s="37" t="s">
        <v>63</v>
      </c>
      <c r="D14" s="37">
        <v>10</v>
      </c>
      <c r="E14" s="37" t="s">
        <v>31</v>
      </c>
      <c r="F14" s="37" t="s">
        <v>64</v>
      </c>
      <c r="G14" s="62">
        <v>4701995833</v>
      </c>
      <c r="H14" s="79" t="s">
        <v>33</v>
      </c>
      <c r="I14" s="80" t="s">
        <v>34</v>
      </c>
      <c r="J14" s="37">
        <v>202</v>
      </c>
      <c r="K14" s="37"/>
      <c r="L14" s="37"/>
      <c r="M14" s="37"/>
      <c r="N14" s="37"/>
      <c r="O14" s="37"/>
      <c r="P14" s="37">
        <v>75</v>
      </c>
      <c r="Q14" s="37">
        <v>3</v>
      </c>
      <c r="R14" s="37" t="s">
        <v>65</v>
      </c>
      <c r="S14" s="81" t="s">
        <v>36</v>
      </c>
      <c r="T14" s="37"/>
      <c r="U14" s="37"/>
      <c r="V14" s="37"/>
      <c r="W14" s="37"/>
      <c r="X14" s="38" t="s">
        <v>66</v>
      </c>
      <c r="Y14" s="82" t="s">
        <v>67</v>
      </c>
      <c r="Z14" s="40"/>
      <c r="AA14" s="4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</row>
    <row r="15" spans="1:51" s="48" customFormat="1" ht="11.25" customHeight="1" thickBot="1">
      <c r="A15" s="31" t="s">
        <v>28</v>
      </c>
      <c r="B15" s="42" t="s">
        <v>29</v>
      </c>
      <c r="C15" s="43" t="s">
        <v>63</v>
      </c>
      <c r="D15" s="43">
        <v>10</v>
      </c>
      <c r="E15" s="43" t="s">
        <v>40</v>
      </c>
      <c r="F15" s="43" t="s">
        <v>64</v>
      </c>
      <c r="G15" s="43">
        <v>4702002180</v>
      </c>
      <c r="H15" s="44" t="s">
        <v>41</v>
      </c>
      <c r="I15" s="45" t="s">
        <v>42</v>
      </c>
      <c r="J15" s="43">
        <v>230</v>
      </c>
      <c r="K15" s="43"/>
      <c r="L15" s="43"/>
      <c r="M15" s="43"/>
      <c r="N15" s="43"/>
      <c r="O15" s="43"/>
      <c r="P15" s="43"/>
      <c r="Q15" s="43"/>
      <c r="R15" s="43" t="s">
        <v>43</v>
      </c>
      <c r="S15" s="43" t="s">
        <v>68</v>
      </c>
      <c r="T15" s="43"/>
      <c r="U15" s="43"/>
      <c r="V15" s="43"/>
      <c r="W15" s="43"/>
      <c r="X15" s="46"/>
      <c r="Y15" s="83"/>
      <c r="Z15" s="40"/>
      <c r="AA15" s="4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</row>
    <row r="16" spans="1:51" s="2" customFormat="1" ht="15.75" thickBot="1">
      <c r="A16" s="1"/>
      <c r="B16" s="49"/>
      <c r="C16" s="50"/>
      <c r="D16" s="50"/>
      <c r="E16" s="51"/>
      <c r="F16" s="51" t="s">
        <v>45</v>
      </c>
      <c r="G16" s="51"/>
      <c r="H16" s="51"/>
      <c r="I16" s="51"/>
      <c r="J16" s="51">
        <f>SUM(J14:J15)</f>
        <v>432</v>
      </c>
      <c r="K16" s="51">
        <f t="shared" ref="K16:Q16" si="3">SUM(K14:K15)</f>
        <v>0</v>
      </c>
      <c r="L16" s="51">
        <f t="shared" si="3"/>
        <v>0</v>
      </c>
      <c r="M16" s="51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75</v>
      </c>
      <c r="Q16" s="51">
        <f t="shared" si="3"/>
        <v>3</v>
      </c>
      <c r="R16" s="51"/>
      <c r="S16" s="51"/>
      <c r="T16" s="51"/>
      <c r="U16" s="51"/>
      <c r="V16" s="51"/>
      <c r="W16" s="51"/>
      <c r="X16" s="51"/>
      <c r="Y16" s="52"/>
      <c r="Z16" s="53"/>
      <c r="AA16" s="54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9" s="48" customFormat="1" ht="11.25" customHeight="1" thickBot="1">
      <c r="A17" s="31"/>
      <c r="B17" s="55"/>
      <c r="C17" s="56"/>
      <c r="D17" s="56"/>
      <c r="E17" s="56"/>
      <c r="F17" s="56"/>
      <c r="G17" s="56"/>
      <c r="H17" s="57"/>
      <c r="I17" s="58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60"/>
      <c r="Z17" s="40"/>
      <c r="AA17" s="4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</row>
    <row r="18" spans="1:59" s="48" customFormat="1" ht="11.25" customHeight="1">
      <c r="A18" s="31" t="s">
        <v>28</v>
      </c>
      <c r="B18" s="78" t="s">
        <v>69</v>
      </c>
      <c r="C18" s="37" t="s">
        <v>70</v>
      </c>
      <c r="D18" s="37">
        <v>10</v>
      </c>
      <c r="E18" s="37" t="s">
        <v>31</v>
      </c>
      <c r="F18" s="37" t="s">
        <v>64</v>
      </c>
      <c r="G18" s="37">
        <v>4701995834</v>
      </c>
      <c r="H18" s="79" t="s">
        <v>33</v>
      </c>
      <c r="I18" s="80" t="s">
        <v>34</v>
      </c>
      <c r="J18" s="37">
        <v>145</v>
      </c>
      <c r="K18" s="37"/>
      <c r="L18" s="37"/>
      <c r="M18" s="37"/>
      <c r="N18" s="37"/>
      <c r="O18" s="37"/>
      <c r="P18" s="37">
        <v>25</v>
      </c>
      <c r="Q18" s="37">
        <v>1</v>
      </c>
      <c r="R18" s="37" t="s">
        <v>65</v>
      </c>
      <c r="S18" s="37" t="s">
        <v>44</v>
      </c>
      <c r="T18" s="37"/>
      <c r="U18" s="37"/>
      <c r="V18" s="37"/>
      <c r="W18" s="37"/>
      <c r="X18" s="38" t="s">
        <v>71</v>
      </c>
      <c r="Y18" s="84" t="s">
        <v>72</v>
      </c>
      <c r="Z18" s="40"/>
      <c r="AA18" s="4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</row>
    <row r="19" spans="1:59" s="48" customFormat="1" ht="11.25" customHeight="1" thickBot="1">
      <c r="A19" s="31" t="s">
        <v>28</v>
      </c>
      <c r="B19" s="42" t="s">
        <v>69</v>
      </c>
      <c r="C19" s="43" t="s">
        <v>70</v>
      </c>
      <c r="D19" s="43">
        <v>10</v>
      </c>
      <c r="E19" s="43" t="s">
        <v>40</v>
      </c>
      <c r="F19" s="43" t="s">
        <v>64</v>
      </c>
      <c r="G19" s="43">
        <v>4702002181</v>
      </c>
      <c r="H19" s="44" t="s">
        <v>41</v>
      </c>
      <c r="I19" s="45" t="s">
        <v>42</v>
      </c>
      <c r="J19" s="43">
        <v>200</v>
      </c>
      <c r="K19" s="43"/>
      <c r="L19" s="43"/>
      <c r="M19" s="43"/>
      <c r="N19" s="43"/>
      <c r="O19" s="43"/>
      <c r="P19" s="43"/>
      <c r="Q19" s="43"/>
      <c r="R19" s="43" t="s">
        <v>43</v>
      </c>
      <c r="S19" s="43" t="s">
        <v>68</v>
      </c>
      <c r="T19" s="43"/>
      <c r="U19" s="43"/>
      <c r="V19" s="43"/>
      <c r="W19" s="43"/>
      <c r="X19" s="46"/>
      <c r="Y19" s="85"/>
      <c r="Z19" s="40"/>
      <c r="AA19" s="4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</row>
    <row r="20" spans="1:59" s="2" customFormat="1" ht="15.75" thickBot="1">
      <c r="A20" s="1"/>
      <c r="B20" s="49"/>
      <c r="C20" s="50"/>
      <c r="D20" s="50"/>
      <c r="E20" s="51"/>
      <c r="F20" s="51" t="s">
        <v>45</v>
      </c>
      <c r="G20" s="51"/>
      <c r="H20" s="51"/>
      <c r="I20" s="51"/>
      <c r="J20" s="51">
        <f>SUM(J18:J19)</f>
        <v>345</v>
      </c>
      <c r="K20" s="51">
        <f t="shared" ref="K20:Q20" si="4">SUM(K18:K19)</f>
        <v>0</v>
      </c>
      <c r="L20" s="51">
        <f t="shared" si="4"/>
        <v>0</v>
      </c>
      <c r="M20" s="51">
        <f t="shared" si="4"/>
        <v>0</v>
      </c>
      <c r="N20" s="51">
        <f t="shared" si="4"/>
        <v>0</v>
      </c>
      <c r="O20" s="51">
        <f t="shared" si="4"/>
        <v>0</v>
      </c>
      <c r="P20" s="51">
        <f t="shared" si="4"/>
        <v>25</v>
      </c>
      <c r="Q20" s="51">
        <f t="shared" si="4"/>
        <v>1</v>
      </c>
      <c r="R20" s="51"/>
      <c r="S20" s="51"/>
      <c r="T20" s="51"/>
      <c r="U20" s="51"/>
      <c r="V20" s="51"/>
      <c r="W20" s="51"/>
      <c r="X20" s="51"/>
      <c r="Y20" s="52"/>
      <c r="Z20" s="53"/>
      <c r="AA20" s="54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9" s="96" customFormat="1" ht="18" customHeight="1" thickBot="1">
      <c r="A21" s="86"/>
      <c r="B21" s="87"/>
      <c r="C21" s="88"/>
      <c r="D21" s="89"/>
      <c r="E21" s="89"/>
      <c r="F21" s="89"/>
      <c r="G21" s="90"/>
      <c r="H21" s="91"/>
      <c r="I21" s="58"/>
      <c r="J21" s="56"/>
      <c r="K21" s="92"/>
      <c r="L21" s="92"/>
      <c r="M21" s="92"/>
      <c r="N21" s="92"/>
      <c r="O21" s="92"/>
      <c r="P21" s="56"/>
      <c r="Q21" s="56"/>
      <c r="R21" s="56"/>
      <c r="S21" s="56"/>
      <c r="T21" s="56"/>
      <c r="U21" s="56"/>
      <c r="V21" s="56"/>
      <c r="W21" s="56"/>
      <c r="X21" s="56"/>
      <c r="Y21" s="93"/>
      <c r="Z21" s="94"/>
      <c r="AA21" s="95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</row>
    <row r="22" spans="1:59" s="96" customFormat="1" ht="21.75" thickBot="1">
      <c r="A22" s="86"/>
      <c r="B22" s="97"/>
      <c r="C22" s="98" t="s">
        <v>73</v>
      </c>
      <c r="D22" s="99"/>
      <c r="E22" s="99"/>
      <c r="F22" s="99"/>
      <c r="G22" s="99"/>
      <c r="H22" s="100"/>
      <c r="I22" s="101"/>
      <c r="J22" s="102">
        <f>SUBTOTAL(9,J7,J12,J16,J20)</f>
        <v>2886</v>
      </c>
      <c r="K22" s="102">
        <f t="shared" ref="K22:Q22" si="5">SUBTOTAL(9,K7,K12,K16,K20)</f>
        <v>0</v>
      </c>
      <c r="L22" s="102">
        <f t="shared" si="5"/>
        <v>0</v>
      </c>
      <c r="M22" s="102">
        <f t="shared" si="5"/>
        <v>0</v>
      </c>
      <c r="N22" s="102">
        <f t="shared" si="5"/>
        <v>0</v>
      </c>
      <c r="O22" s="102">
        <f t="shared" si="5"/>
        <v>0</v>
      </c>
      <c r="P22" s="102">
        <f t="shared" si="5"/>
        <v>2149</v>
      </c>
      <c r="Q22" s="102">
        <f t="shared" si="5"/>
        <v>115</v>
      </c>
      <c r="R22" s="103"/>
      <c r="S22" s="101"/>
      <c r="T22" s="101"/>
      <c r="U22" s="101"/>
      <c r="V22" s="101"/>
      <c r="W22" s="101"/>
      <c r="X22" s="104"/>
      <c r="Y22" s="105"/>
      <c r="Z22" s="94"/>
      <c r="AA22" s="95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</row>
    <row r="23" spans="1:59" s="21" customFormat="1">
      <c r="A23" s="9"/>
      <c r="B23" s="106"/>
      <c r="C23" s="107"/>
      <c r="D23" s="107"/>
      <c r="E23" s="108"/>
      <c r="F23" s="108"/>
      <c r="G23" s="109"/>
      <c r="H23" s="108"/>
      <c r="I23" s="110"/>
      <c r="J23" s="108"/>
      <c r="K23" s="107"/>
      <c r="L23" s="107"/>
      <c r="M23" s="107"/>
      <c r="N23" s="107"/>
      <c r="O23" s="107"/>
      <c r="P23" s="108"/>
      <c r="Q23" s="108"/>
      <c r="R23" s="108"/>
      <c r="S23" s="108"/>
      <c r="T23" s="108"/>
      <c r="U23" s="108"/>
      <c r="V23" s="108"/>
      <c r="W23" s="108"/>
      <c r="X23" s="108"/>
      <c r="Y23" s="111"/>
      <c r="Z23" s="112"/>
      <c r="AA23" s="113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9" s="30" customFormat="1" ht="9" customHeight="1" thickBot="1">
      <c r="A24" s="22"/>
      <c r="B24" s="114"/>
      <c r="C24" s="115"/>
      <c r="D24" s="115"/>
      <c r="E24" s="89"/>
      <c r="F24" s="89"/>
      <c r="G24" s="90"/>
      <c r="H24" s="89"/>
      <c r="I24" s="116"/>
      <c r="J24" s="89"/>
      <c r="K24" s="115"/>
      <c r="L24" s="115"/>
      <c r="M24" s="115"/>
      <c r="N24" s="115"/>
      <c r="O24" s="115"/>
      <c r="P24" s="89"/>
      <c r="Q24" s="89"/>
      <c r="R24" s="89"/>
      <c r="S24" s="89"/>
      <c r="T24" s="89"/>
      <c r="U24" s="89"/>
      <c r="V24" s="89"/>
      <c r="W24" s="89"/>
      <c r="X24" s="89"/>
      <c r="Y24" s="117"/>
      <c r="Z24" s="28"/>
      <c r="AA24" s="29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</row>
    <row r="25" spans="1:59" s="21" customFormat="1" ht="12" thickBot="1">
      <c r="A25" s="9"/>
      <c r="B25" s="118"/>
      <c r="C25" s="119"/>
      <c r="D25" s="120"/>
      <c r="E25" s="121"/>
      <c r="F25" s="122" t="s">
        <v>74</v>
      </c>
      <c r="G25" s="122"/>
      <c r="H25" s="123" t="s">
        <v>2</v>
      </c>
      <c r="I25" s="124"/>
      <c r="J25" s="123"/>
      <c r="K25" s="123"/>
      <c r="L25" s="123"/>
      <c r="M25" s="123"/>
      <c r="N25" s="123"/>
      <c r="O25" s="123"/>
      <c r="P25" s="125">
        <v>46012</v>
      </c>
      <c r="Q25" s="123"/>
      <c r="R25" s="123"/>
      <c r="S25" s="123"/>
      <c r="T25" s="125"/>
      <c r="U25" s="125"/>
      <c r="V25" s="123"/>
      <c r="W25" s="123"/>
      <c r="X25" s="123"/>
      <c r="Y25" s="126"/>
      <c r="Z25" s="112"/>
      <c r="AA25" s="113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9" s="30" customFormat="1" ht="13.5" thickBot="1">
      <c r="A26" s="22"/>
      <c r="B26" s="127" t="s">
        <v>3</v>
      </c>
      <c r="C26" s="128" t="s">
        <v>4</v>
      </c>
      <c r="D26" s="128" t="s">
        <v>5</v>
      </c>
      <c r="E26" s="128" t="s">
        <v>6</v>
      </c>
      <c r="F26" s="128" t="s">
        <v>7</v>
      </c>
      <c r="G26" s="128" t="s">
        <v>8</v>
      </c>
      <c r="H26" s="128" t="s">
        <v>9</v>
      </c>
      <c r="I26" s="129" t="s">
        <v>10</v>
      </c>
      <c r="J26" s="128" t="s">
        <v>11</v>
      </c>
      <c r="K26" s="128" t="s">
        <v>12</v>
      </c>
      <c r="L26" s="128" t="s">
        <v>13</v>
      </c>
      <c r="M26" s="128" t="s">
        <v>14</v>
      </c>
      <c r="N26" s="128" t="s">
        <v>15</v>
      </c>
      <c r="O26" s="128" t="s">
        <v>16</v>
      </c>
      <c r="P26" s="128" t="s">
        <v>17</v>
      </c>
      <c r="Q26" s="128" t="s">
        <v>18</v>
      </c>
      <c r="R26" s="128" t="s">
        <v>19</v>
      </c>
      <c r="S26" s="130" t="s">
        <v>20</v>
      </c>
      <c r="T26" s="128" t="s">
        <v>21</v>
      </c>
      <c r="U26" s="128" t="s">
        <v>22</v>
      </c>
      <c r="V26" s="128" t="s">
        <v>23</v>
      </c>
      <c r="W26" s="128" t="s">
        <v>24</v>
      </c>
      <c r="X26" s="128" t="s">
        <v>25</v>
      </c>
      <c r="Y26" s="131" t="s">
        <v>26</v>
      </c>
      <c r="Z26" s="28"/>
      <c r="AA26" s="29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</row>
    <row r="27" spans="1:59" s="31" customFormat="1" ht="16.5" thickBot="1">
      <c r="B27" s="55" t="s">
        <v>29</v>
      </c>
      <c r="C27" s="56" t="s">
        <v>47</v>
      </c>
      <c r="D27" s="56">
        <v>10</v>
      </c>
      <c r="E27" s="132" t="s">
        <v>75</v>
      </c>
      <c r="F27" s="56" t="s">
        <v>49</v>
      </c>
      <c r="G27" s="56">
        <v>4702032004</v>
      </c>
      <c r="H27" s="132" t="s">
        <v>76</v>
      </c>
      <c r="I27" s="56" t="s">
        <v>77</v>
      </c>
      <c r="J27" s="56">
        <v>150</v>
      </c>
      <c r="K27" s="56"/>
      <c r="L27" s="56"/>
      <c r="M27" s="56"/>
      <c r="N27" s="56"/>
      <c r="O27" s="56"/>
      <c r="P27" s="56"/>
      <c r="Q27" s="56"/>
      <c r="R27" s="56" t="s">
        <v>78</v>
      </c>
      <c r="S27" s="56" t="s">
        <v>44</v>
      </c>
      <c r="T27" s="56"/>
      <c r="U27" s="56"/>
      <c r="V27" s="56"/>
      <c r="W27" s="56"/>
      <c r="X27" s="133" t="s">
        <v>79</v>
      </c>
      <c r="Y27" s="93"/>
      <c r="Z27" s="40"/>
      <c r="AA27" s="41"/>
      <c r="AZ27" s="48"/>
      <c r="BA27" s="48"/>
      <c r="BB27" s="48"/>
      <c r="BC27" s="48"/>
      <c r="BD27" s="48"/>
      <c r="BE27" s="48"/>
      <c r="BF27" s="48"/>
      <c r="BG27" s="48"/>
    </row>
    <row r="28" spans="1:59" s="2" customFormat="1" ht="15.75" thickBot="1">
      <c r="A28" s="1"/>
      <c r="B28" s="49"/>
      <c r="C28" s="50"/>
      <c r="D28" s="50"/>
      <c r="E28" s="51"/>
      <c r="F28" s="51" t="s">
        <v>45</v>
      </c>
      <c r="G28" s="51"/>
      <c r="H28" s="51"/>
      <c r="I28" s="51"/>
      <c r="J28" s="51">
        <f>SUM(J27)</f>
        <v>150</v>
      </c>
      <c r="K28" s="51">
        <f t="shared" ref="K28:Q28" si="6">SUM(K27)</f>
        <v>0</v>
      </c>
      <c r="L28" s="51">
        <f t="shared" si="6"/>
        <v>0</v>
      </c>
      <c r="M28" s="51">
        <f t="shared" si="6"/>
        <v>0</v>
      </c>
      <c r="N28" s="51">
        <f t="shared" si="6"/>
        <v>0</v>
      </c>
      <c r="O28" s="51">
        <f t="shared" si="6"/>
        <v>0</v>
      </c>
      <c r="P28" s="51">
        <f t="shared" si="6"/>
        <v>0</v>
      </c>
      <c r="Q28" s="51">
        <f t="shared" si="6"/>
        <v>0</v>
      </c>
      <c r="R28" s="51"/>
      <c r="S28" s="51"/>
      <c r="T28" s="51"/>
      <c r="U28" s="51"/>
      <c r="V28" s="51"/>
      <c r="W28" s="51"/>
      <c r="X28" s="51"/>
      <c r="Y28" s="52"/>
      <c r="Z28" s="53"/>
      <c r="AA28" s="54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9" s="134" customFormat="1" ht="12" thickBot="1">
      <c r="B29" s="135"/>
      <c r="C29" s="136"/>
      <c r="D29" s="136"/>
      <c r="E29" s="137"/>
      <c r="F29" s="137"/>
      <c r="G29" s="138"/>
      <c r="H29" s="137"/>
      <c r="I29" s="139"/>
      <c r="J29" s="137"/>
      <c r="K29" s="136"/>
      <c r="L29" s="136"/>
      <c r="M29" s="136"/>
      <c r="N29" s="136"/>
      <c r="O29" s="136"/>
      <c r="P29" s="137"/>
      <c r="Q29" s="137"/>
      <c r="R29" s="137"/>
      <c r="S29" s="137"/>
      <c r="T29" s="137"/>
      <c r="U29" s="137"/>
      <c r="V29" s="137"/>
      <c r="W29" s="137"/>
      <c r="X29" s="137"/>
      <c r="Y29" s="140"/>
      <c r="Z29" s="141"/>
      <c r="AA29" s="142"/>
      <c r="AZ29" s="143"/>
      <c r="BA29" s="143"/>
      <c r="BB29" s="143"/>
      <c r="BC29" s="143"/>
      <c r="BD29" s="143"/>
      <c r="BE29" s="143"/>
      <c r="BF29" s="143"/>
      <c r="BG29" s="143"/>
    </row>
    <row r="30" spans="1:59" s="134" customFormat="1" ht="12" thickBot="1">
      <c r="B30" s="114"/>
      <c r="C30" s="115"/>
      <c r="D30" s="115"/>
      <c r="E30" s="89"/>
      <c r="F30" s="89"/>
      <c r="G30" s="90"/>
      <c r="H30" s="89"/>
      <c r="I30" s="116"/>
      <c r="J30" s="89"/>
      <c r="K30" s="115"/>
      <c r="L30" s="115"/>
      <c r="M30" s="115"/>
      <c r="N30" s="115"/>
      <c r="O30" s="115"/>
      <c r="P30" s="89"/>
      <c r="Q30" s="89"/>
      <c r="R30" s="89"/>
      <c r="S30" s="89"/>
      <c r="T30" s="89"/>
      <c r="U30" s="89"/>
      <c r="V30" s="89"/>
      <c r="W30" s="89"/>
      <c r="X30" s="89"/>
      <c r="Y30" s="117"/>
      <c r="Z30" s="141"/>
      <c r="AA30" s="142"/>
      <c r="AZ30" s="143"/>
      <c r="BA30" s="143"/>
      <c r="BB30" s="143"/>
      <c r="BC30" s="143"/>
      <c r="BD30" s="143"/>
      <c r="BE30" s="143"/>
      <c r="BF30" s="143"/>
      <c r="BG30" s="143"/>
    </row>
    <row r="31" spans="1:59" s="21" customFormat="1" ht="12" thickBot="1">
      <c r="A31" s="9"/>
      <c r="B31" s="10"/>
      <c r="C31" s="11"/>
      <c r="D31" s="12"/>
      <c r="E31" s="13"/>
      <c r="F31" s="14" t="s">
        <v>80</v>
      </c>
      <c r="G31" s="15"/>
      <c r="H31" s="16" t="s">
        <v>2</v>
      </c>
      <c r="I31" s="17"/>
      <c r="J31" s="16"/>
      <c r="K31" s="11"/>
      <c r="L31" s="11"/>
      <c r="M31" s="11"/>
      <c r="N31" s="11"/>
      <c r="O31" s="11"/>
      <c r="P31" s="18">
        <v>46012</v>
      </c>
      <c r="Q31" s="16"/>
      <c r="R31" s="18"/>
      <c r="S31" s="16"/>
      <c r="T31" s="18"/>
      <c r="U31" s="18"/>
      <c r="V31" s="16"/>
      <c r="W31" s="16"/>
      <c r="X31" s="16"/>
      <c r="Y31" s="19"/>
      <c r="Z31" s="20"/>
      <c r="AA31" s="20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59" s="30" customFormat="1" ht="13.5" thickBot="1">
      <c r="A32" s="22"/>
      <c r="B32" s="23" t="s">
        <v>3</v>
      </c>
      <c r="C32" s="24" t="s">
        <v>4</v>
      </c>
      <c r="D32" s="24" t="s">
        <v>5</v>
      </c>
      <c r="E32" s="24" t="s">
        <v>6</v>
      </c>
      <c r="F32" s="24" t="s">
        <v>7</v>
      </c>
      <c r="G32" s="24" t="s">
        <v>8</v>
      </c>
      <c r="H32" s="24" t="s">
        <v>9</v>
      </c>
      <c r="I32" s="25" t="s">
        <v>10</v>
      </c>
      <c r="J32" s="24" t="s">
        <v>11</v>
      </c>
      <c r="K32" s="24" t="s">
        <v>12</v>
      </c>
      <c r="L32" s="24" t="s">
        <v>13</v>
      </c>
      <c r="M32" s="24" t="s">
        <v>14</v>
      </c>
      <c r="N32" s="24" t="s">
        <v>15</v>
      </c>
      <c r="O32" s="24" t="s">
        <v>16</v>
      </c>
      <c r="P32" s="24" t="s">
        <v>17</v>
      </c>
      <c r="Q32" s="24" t="s">
        <v>18</v>
      </c>
      <c r="R32" s="24" t="s">
        <v>19</v>
      </c>
      <c r="S32" s="26" t="s">
        <v>20</v>
      </c>
      <c r="T32" s="24" t="s">
        <v>21</v>
      </c>
      <c r="U32" s="24" t="s">
        <v>22</v>
      </c>
      <c r="V32" s="24" t="s">
        <v>23</v>
      </c>
      <c r="W32" s="24" t="s">
        <v>24</v>
      </c>
      <c r="X32" s="24" t="s">
        <v>25</v>
      </c>
      <c r="Y32" s="27" t="s">
        <v>26</v>
      </c>
      <c r="Z32" s="28" t="s">
        <v>27</v>
      </c>
      <c r="AA32" s="29" t="s">
        <v>21</v>
      </c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</row>
    <row r="33" spans="1:59" s="2" customFormat="1" ht="15" customHeight="1">
      <c r="A33" s="31" t="s">
        <v>28</v>
      </c>
      <c r="B33" s="144" t="s">
        <v>29</v>
      </c>
      <c r="C33" s="145" t="s">
        <v>81</v>
      </c>
      <c r="D33" s="145">
        <v>10</v>
      </c>
      <c r="E33" s="145" t="s">
        <v>31</v>
      </c>
      <c r="F33" s="145" t="s">
        <v>82</v>
      </c>
      <c r="G33" s="145">
        <v>4701995835</v>
      </c>
      <c r="H33" s="146" t="s">
        <v>33</v>
      </c>
      <c r="I33" s="147" t="s">
        <v>34</v>
      </c>
      <c r="J33" s="145">
        <v>155</v>
      </c>
      <c r="K33" s="145"/>
      <c r="L33" s="145"/>
      <c r="M33" s="145"/>
      <c r="N33" s="145"/>
      <c r="O33" s="145"/>
      <c r="P33" s="145">
        <v>155</v>
      </c>
      <c r="Q33" s="145">
        <v>7</v>
      </c>
      <c r="R33" s="145" t="s">
        <v>83</v>
      </c>
      <c r="S33" s="145" t="s">
        <v>44</v>
      </c>
      <c r="T33" s="37"/>
      <c r="U33" s="37"/>
      <c r="V33" s="37"/>
      <c r="W33" s="37"/>
      <c r="X33" s="148"/>
      <c r="Y33" s="149"/>
      <c r="Z33" s="40"/>
      <c r="AA33" s="41"/>
      <c r="AB33" s="3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9" s="48" customFormat="1" ht="11.25" customHeight="1" thickBot="1">
      <c r="A34" s="31" t="s">
        <v>28</v>
      </c>
      <c r="B34" s="42" t="s">
        <v>29</v>
      </c>
      <c r="C34" s="43" t="s">
        <v>81</v>
      </c>
      <c r="D34" s="43">
        <v>10</v>
      </c>
      <c r="E34" s="43" t="s">
        <v>40</v>
      </c>
      <c r="F34" s="43" t="s">
        <v>82</v>
      </c>
      <c r="G34" s="43">
        <v>4702002182</v>
      </c>
      <c r="H34" s="44" t="s">
        <v>41</v>
      </c>
      <c r="I34" s="45" t="s">
        <v>42</v>
      </c>
      <c r="J34" s="43">
        <v>145</v>
      </c>
      <c r="K34" s="43"/>
      <c r="L34" s="43"/>
      <c r="M34" s="43"/>
      <c r="N34" s="43"/>
      <c r="O34" s="43"/>
      <c r="P34" s="43"/>
      <c r="Q34" s="43"/>
      <c r="R34" s="43" t="s">
        <v>43</v>
      </c>
      <c r="S34" s="43" t="s">
        <v>44</v>
      </c>
      <c r="T34" s="43"/>
      <c r="U34" s="43"/>
      <c r="V34" s="43"/>
      <c r="W34" s="43"/>
      <c r="X34" s="150"/>
      <c r="Y34" s="151"/>
      <c r="Z34" s="40"/>
      <c r="AA34" s="4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</row>
    <row r="35" spans="1:59" s="2" customFormat="1" ht="15.75" thickBot="1">
      <c r="A35" s="1"/>
      <c r="B35" s="49"/>
      <c r="C35" s="50"/>
      <c r="D35" s="50"/>
      <c r="E35" s="51"/>
      <c r="F35" s="51" t="s">
        <v>45</v>
      </c>
      <c r="G35" s="51"/>
      <c r="H35" s="51"/>
      <c r="I35" s="51"/>
      <c r="J35" s="51">
        <f>SUM(J33:J34)</f>
        <v>300</v>
      </c>
      <c r="K35" s="51">
        <f t="shared" ref="K35:Q35" si="7">SUM(K33:K34)</f>
        <v>0</v>
      </c>
      <c r="L35" s="51">
        <f t="shared" si="7"/>
        <v>0</v>
      </c>
      <c r="M35" s="51">
        <f t="shared" si="7"/>
        <v>0</v>
      </c>
      <c r="N35" s="51">
        <f t="shared" si="7"/>
        <v>0</v>
      </c>
      <c r="O35" s="51">
        <f t="shared" si="7"/>
        <v>0</v>
      </c>
      <c r="P35" s="51">
        <f t="shared" si="7"/>
        <v>155</v>
      </c>
      <c r="Q35" s="51">
        <f t="shared" si="7"/>
        <v>7</v>
      </c>
      <c r="R35" s="51"/>
      <c r="S35" s="51"/>
      <c r="T35" s="51"/>
      <c r="U35" s="51"/>
      <c r="V35" s="51"/>
      <c r="W35" s="51"/>
      <c r="X35" s="51"/>
      <c r="Y35" s="52"/>
      <c r="Z35" s="53"/>
      <c r="AA35" s="54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9" s="48" customFormat="1" ht="11.25" customHeight="1" thickBot="1">
      <c r="A36" s="31"/>
      <c r="B36" s="55"/>
      <c r="C36" s="56"/>
      <c r="D36" s="56"/>
      <c r="E36" s="56"/>
      <c r="F36" s="56"/>
      <c r="G36" s="56"/>
      <c r="H36" s="57"/>
      <c r="I36" s="58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9"/>
      <c r="Y36" s="60"/>
      <c r="Z36" s="40"/>
      <c r="AA36" s="4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</row>
    <row r="37" spans="1:59" s="48" customFormat="1" ht="11.25" customHeight="1">
      <c r="A37" s="31" t="s">
        <v>28</v>
      </c>
      <c r="B37" s="78" t="s">
        <v>29</v>
      </c>
      <c r="C37" s="37" t="s">
        <v>47</v>
      </c>
      <c r="D37" s="37">
        <v>10</v>
      </c>
      <c r="E37" s="37" t="s">
        <v>31</v>
      </c>
      <c r="F37" s="37" t="s">
        <v>49</v>
      </c>
      <c r="G37" s="37">
        <v>4701995837</v>
      </c>
      <c r="H37" s="79" t="s">
        <v>33</v>
      </c>
      <c r="I37" s="80" t="s">
        <v>34</v>
      </c>
      <c r="J37" s="37">
        <v>198</v>
      </c>
      <c r="K37" s="37"/>
      <c r="L37" s="37"/>
      <c r="M37" s="37"/>
      <c r="N37" s="37"/>
      <c r="O37" s="37"/>
      <c r="P37" s="37"/>
      <c r="Q37" s="37"/>
      <c r="R37" s="37" t="s">
        <v>84</v>
      </c>
      <c r="S37" s="37" t="s">
        <v>44</v>
      </c>
      <c r="T37" s="37"/>
      <c r="U37" s="37"/>
      <c r="V37" s="37"/>
      <c r="W37" s="37"/>
      <c r="X37" s="148"/>
      <c r="Y37" s="149"/>
      <c r="Z37" s="40"/>
      <c r="AA37" s="4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</row>
    <row r="38" spans="1:59" s="48" customFormat="1" ht="11.25" customHeight="1" thickBot="1">
      <c r="A38" s="31" t="s">
        <v>28</v>
      </c>
      <c r="B38" s="42" t="s">
        <v>29</v>
      </c>
      <c r="C38" s="43" t="s">
        <v>47</v>
      </c>
      <c r="D38" s="43">
        <v>10</v>
      </c>
      <c r="E38" s="43" t="s">
        <v>40</v>
      </c>
      <c r="F38" s="43" t="s">
        <v>49</v>
      </c>
      <c r="G38" s="43">
        <v>4702002184</v>
      </c>
      <c r="H38" s="44" t="s">
        <v>41</v>
      </c>
      <c r="I38" s="45" t="s">
        <v>42</v>
      </c>
      <c r="J38" s="43">
        <v>177</v>
      </c>
      <c r="K38" s="43"/>
      <c r="L38" s="43"/>
      <c r="M38" s="43"/>
      <c r="N38" s="43"/>
      <c r="O38" s="43"/>
      <c r="P38" s="43"/>
      <c r="Q38" s="43"/>
      <c r="R38" s="43" t="s">
        <v>43</v>
      </c>
      <c r="S38" s="43" t="s">
        <v>44</v>
      </c>
      <c r="T38" s="43"/>
      <c r="U38" s="43"/>
      <c r="V38" s="43"/>
      <c r="W38" s="43"/>
      <c r="X38" s="150"/>
      <c r="Y38" s="151"/>
      <c r="Z38" s="40"/>
      <c r="AA38" s="4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</row>
    <row r="39" spans="1:59" s="2" customFormat="1" ht="15.75" thickBot="1">
      <c r="A39" s="1"/>
      <c r="B39" s="49"/>
      <c r="C39" s="50"/>
      <c r="D39" s="50"/>
      <c r="E39" s="51"/>
      <c r="F39" s="51" t="s">
        <v>45</v>
      </c>
      <c r="G39" s="51"/>
      <c r="H39" s="51"/>
      <c r="I39" s="51"/>
      <c r="J39" s="51">
        <f>SUM(J37:J38)</f>
        <v>375</v>
      </c>
      <c r="K39" s="51">
        <f t="shared" ref="K39:Q39" si="8">SUM(K37:K38)</f>
        <v>0</v>
      </c>
      <c r="L39" s="51">
        <f t="shared" si="8"/>
        <v>0</v>
      </c>
      <c r="M39" s="51">
        <f t="shared" si="8"/>
        <v>0</v>
      </c>
      <c r="N39" s="51">
        <f t="shared" si="8"/>
        <v>0</v>
      </c>
      <c r="O39" s="51">
        <f t="shared" si="8"/>
        <v>0</v>
      </c>
      <c r="P39" s="51">
        <f t="shared" si="8"/>
        <v>0</v>
      </c>
      <c r="Q39" s="51">
        <f t="shared" si="8"/>
        <v>0</v>
      </c>
      <c r="R39" s="51"/>
      <c r="S39" s="51"/>
      <c r="T39" s="51"/>
      <c r="U39" s="51"/>
      <c r="V39" s="51"/>
      <c r="W39" s="51"/>
      <c r="X39" s="51"/>
      <c r="Y39" s="52"/>
      <c r="Z39" s="53"/>
      <c r="AA39" s="54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9" s="48" customFormat="1" ht="11.25" customHeight="1" thickBot="1">
      <c r="A40" s="31"/>
      <c r="B40" s="55"/>
      <c r="C40" s="56"/>
      <c r="D40" s="56"/>
      <c r="E40" s="56"/>
      <c r="F40" s="56"/>
      <c r="G40" s="56"/>
      <c r="H40" s="57"/>
      <c r="I40" s="58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9"/>
      <c r="Y40" s="60"/>
      <c r="Z40" s="40"/>
      <c r="AA40" s="4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</row>
    <row r="41" spans="1:59" s="48" customFormat="1" ht="11.25" customHeight="1">
      <c r="A41" s="31" t="s">
        <v>28</v>
      </c>
      <c r="B41" s="32" t="s">
        <v>29</v>
      </c>
      <c r="C41" s="33" t="s">
        <v>85</v>
      </c>
      <c r="D41" s="33">
        <v>10</v>
      </c>
      <c r="E41" s="33" t="s">
        <v>31</v>
      </c>
      <c r="F41" s="33" t="s">
        <v>86</v>
      </c>
      <c r="G41" s="33">
        <v>4701995836</v>
      </c>
      <c r="H41" s="152" t="s">
        <v>33</v>
      </c>
      <c r="I41" s="35" t="s">
        <v>34</v>
      </c>
      <c r="J41" s="33">
        <v>135</v>
      </c>
      <c r="K41" s="33"/>
      <c r="L41" s="33"/>
      <c r="M41" s="33"/>
      <c r="N41" s="33"/>
      <c r="O41" s="33"/>
      <c r="P41" s="33">
        <v>135</v>
      </c>
      <c r="Q41" s="33">
        <v>6</v>
      </c>
      <c r="R41" s="33" t="s">
        <v>35</v>
      </c>
      <c r="S41" s="33" t="s">
        <v>44</v>
      </c>
      <c r="T41" s="37"/>
      <c r="U41" s="37"/>
      <c r="V41" s="37"/>
      <c r="W41" s="37"/>
      <c r="X41" s="148"/>
      <c r="Y41" s="149"/>
      <c r="Z41" s="40"/>
      <c r="AA41" s="4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</row>
    <row r="42" spans="1:59" s="48" customFormat="1" ht="11.25" customHeight="1" thickBot="1">
      <c r="A42" s="31" t="s">
        <v>28</v>
      </c>
      <c r="B42" s="42" t="s">
        <v>29</v>
      </c>
      <c r="C42" s="43" t="s">
        <v>85</v>
      </c>
      <c r="D42" s="43">
        <v>10</v>
      </c>
      <c r="E42" s="43" t="s">
        <v>40</v>
      </c>
      <c r="F42" s="43" t="s">
        <v>86</v>
      </c>
      <c r="G42" s="43">
        <v>4702002183</v>
      </c>
      <c r="H42" s="44" t="s">
        <v>41</v>
      </c>
      <c r="I42" s="45" t="s">
        <v>42</v>
      </c>
      <c r="J42" s="43">
        <v>135</v>
      </c>
      <c r="K42" s="43"/>
      <c r="L42" s="43"/>
      <c r="M42" s="43"/>
      <c r="N42" s="43"/>
      <c r="O42" s="43"/>
      <c r="P42" s="43"/>
      <c r="Q42" s="43"/>
      <c r="R42" s="43" t="s">
        <v>43</v>
      </c>
      <c r="S42" s="43" t="s">
        <v>44</v>
      </c>
      <c r="T42" s="43"/>
      <c r="U42" s="43"/>
      <c r="V42" s="43"/>
      <c r="W42" s="43"/>
      <c r="X42" s="150"/>
      <c r="Y42" s="151"/>
      <c r="Z42" s="40"/>
      <c r="AA42" s="4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</row>
    <row r="43" spans="1:59" s="48" customFormat="1" ht="11.25" customHeight="1" thickBot="1">
      <c r="A43" s="31"/>
      <c r="B43" s="153"/>
      <c r="C43" s="154"/>
      <c r="D43" s="154"/>
      <c r="E43" s="154"/>
      <c r="F43" s="154"/>
      <c r="G43" s="154"/>
      <c r="H43" s="155"/>
      <c r="I43" s="156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59"/>
      <c r="Y43" s="60"/>
      <c r="Z43" s="40"/>
      <c r="AA43" s="4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</row>
    <row r="44" spans="1:59" s="2" customFormat="1" ht="15.75" thickBot="1">
      <c r="A44" s="1"/>
      <c r="B44" s="49"/>
      <c r="C44" s="50"/>
      <c r="D44" s="50"/>
      <c r="E44" s="51"/>
      <c r="F44" s="51" t="s">
        <v>45</v>
      </c>
      <c r="G44" s="51"/>
      <c r="H44" s="51"/>
      <c r="I44" s="51"/>
      <c r="J44" s="51">
        <f>SUM(J41:J42)</f>
        <v>270</v>
      </c>
      <c r="K44" s="51">
        <f t="shared" ref="K44:Q44" si="9">SUM(K41:K42)</f>
        <v>0</v>
      </c>
      <c r="L44" s="51">
        <f t="shared" si="9"/>
        <v>0</v>
      </c>
      <c r="M44" s="51">
        <f t="shared" si="9"/>
        <v>0</v>
      </c>
      <c r="N44" s="51">
        <f t="shared" si="9"/>
        <v>0</v>
      </c>
      <c r="O44" s="51">
        <f t="shared" si="9"/>
        <v>0</v>
      </c>
      <c r="P44" s="51">
        <f t="shared" si="9"/>
        <v>135</v>
      </c>
      <c r="Q44" s="51">
        <f t="shared" si="9"/>
        <v>6</v>
      </c>
      <c r="R44" s="51"/>
      <c r="S44" s="51"/>
      <c r="T44" s="51"/>
      <c r="U44" s="51"/>
      <c r="V44" s="51"/>
      <c r="W44" s="51"/>
      <c r="X44" s="51"/>
      <c r="Y44" s="52"/>
      <c r="Z44" s="53"/>
      <c r="AA44" s="54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9" s="134" customFormat="1" ht="12" thickBot="1">
      <c r="B45" s="114"/>
      <c r="C45" s="115"/>
      <c r="D45" s="115"/>
      <c r="E45" s="89"/>
      <c r="F45" s="89"/>
      <c r="G45" s="90"/>
      <c r="H45" s="89"/>
      <c r="I45" s="116"/>
      <c r="J45" s="89"/>
      <c r="K45" s="115"/>
      <c r="L45" s="115"/>
      <c r="M45" s="115"/>
      <c r="N45" s="115"/>
      <c r="O45" s="115"/>
      <c r="P45" s="89"/>
      <c r="Q45" s="89"/>
      <c r="R45" s="89"/>
      <c r="S45" s="89"/>
      <c r="T45" s="89"/>
      <c r="U45" s="89"/>
      <c r="V45" s="89"/>
      <c r="W45" s="89"/>
      <c r="X45" s="89"/>
      <c r="Y45" s="117"/>
      <c r="Z45" s="141"/>
      <c r="AA45" s="142"/>
      <c r="AZ45" s="143"/>
      <c r="BA45" s="143"/>
      <c r="BB45" s="143"/>
      <c r="BC45" s="143"/>
      <c r="BD45" s="143"/>
      <c r="BE45" s="143"/>
      <c r="BF45" s="143"/>
      <c r="BG45" s="143"/>
    </row>
    <row r="46" spans="1:59" s="96" customFormat="1" ht="21.75" thickBot="1">
      <c r="A46" s="86"/>
      <c r="B46" s="157"/>
      <c r="C46" s="158" t="s">
        <v>73</v>
      </c>
      <c r="D46" s="159"/>
      <c r="E46" s="159"/>
      <c r="F46" s="159"/>
      <c r="G46" s="159"/>
      <c r="H46" s="160"/>
      <c r="I46" s="161"/>
      <c r="J46" s="162">
        <f>SUBTOTAL(9,J35,J39,J44)</f>
        <v>945</v>
      </c>
      <c r="K46" s="162">
        <f t="shared" ref="K46:Q46" si="10">SUBTOTAL(9,K35,K39,K44)</f>
        <v>0</v>
      </c>
      <c r="L46" s="162">
        <f t="shared" si="10"/>
        <v>0</v>
      </c>
      <c r="M46" s="162">
        <f t="shared" si="10"/>
        <v>0</v>
      </c>
      <c r="N46" s="162">
        <f t="shared" si="10"/>
        <v>0</v>
      </c>
      <c r="O46" s="162">
        <f t="shared" si="10"/>
        <v>0</v>
      </c>
      <c r="P46" s="162">
        <f t="shared" si="10"/>
        <v>290</v>
      </c>
      <c r="Q46" s="162">
        <f t="shared" si="10"/>
        <v>13</v>
      </c>
      <c r="R46" s="163"/>
      <c r="S46" s="161"/>
      <c r="T46" s="161"/>
      <c r="U46" s="161"/>
      <c r="V46" s="161"/>
      <c r="W46" s="161"/>
      <c r="X46" s="164"/>
      <c r="Y46" s="165"/>
      <c r="Z46" s="94"/>
      <c r="AA46" s="95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</row>
    <row r="47" spans="1:59" s="134" customFormat="1">
      <c r="B47" s="114"/>
      <c r="C47" s="115"/>
      <c r="D47" s="115"/>
      <c r="E47" s="89"/>
      <c r="F47" s="89"/>
      <c r="G47" s="90"/>
      <c r="H47" s="89"/>
      <c r="I47" s="116"/>
      <c r="J47" s="89"/>
      <c r="K47" s="115"/>
      <c r="L47" s="115"/>
      <c r="M47" s="115"/>
      <c r="N47" s="115"/>
      <c r="O47" s="115"/>
      <c r="P47" s="89"/>
      <c r="Q47" s="89"/>
      <c r="R47" s="89"/>
      <c r="S47" s="89"/>
      <c r="T47" s="89"/>
      <c r="U47" s="89"/>
      <c r="V47" s="89"/>
      <c r="W47" s="89"/>
      <c r="X47" s="89"/>
      <c r="Y47" s="117"/>
      <c r="Z47" s="141"/>
      <c r="AA47" s="142"/>
      <c r="AZ47" s="143"/>
      <c r="BA47" s="143"/>
      <c r="BB47" s="143"/>
      <c r="BC47" s="143"/>
      <c r="BD47" s="143"/>
      <c r="BE47" s="143"/>
      <c r="BF47" s="143"/>
      <c r="BG47" s="143"/>
    </row>
    <row r="48" spans="1:59" s="134" customFormat="1" ht="12" thickBot="1">
      <c r="B48" s="114"/>
      <c r="C48" s="115"/>
      <c r="D48" s="115"/>
      <c r="E48" s="89"/>
      <c r="F48" s="89"/>
      <c r="G48" s="90"/>
      <c r="H48" s="89"/>
      <c r="I48" s="116"/>
      <c r="J48" s="89"/>
      <c r="K48" s="115"/>
      <c r="L48" s="115"/>
      <c r="M48" s="115"/>
      <c r="N48" s="115"/>
      <c r="O48" s="115"/>
      <c r="P48" s="89"/>
      <c r="Q48" s="89"/>
      <c r="R48" s="89"/>
      <c r="S48" s="89"/>
      <c r="T48" s="89"/>
      <c r="U48" s="89"/>
      <c r="V48" s="89"/>
      <c r="W48" s="89"/>
      <c r="X48" s="89"/>
      <c r="Y48" s="117"/>
      <c r="Z48" s="141"/>
      <c r="AA48" s="142"/>
      <c r="AZ48" s="143"/>
      <c r="BA48" s="143"/>
      <c r="BB48" s="143"/>
      <c r="BC48" s="143"/>
      <c r="BD48" s="143"/>
      <c r="BE48" s="143"/>
      <c r="BF48" s="143"/>
      <c r="BG48" s="143"/>
    </row>
    <row r="49" spans="1:62" s="96" customFormat="1" ht="21.75" thickBot="1">
      <c r="A49" s="86"/>
      <c r="B49" s="157"/>
      <c r="C49" s="158" t="s">
        <v>87</v>
      </c>
      <c r="D49" s="159"/>
      <c r="E49" s="159"/>
      <c r="F49" s="159"/>
      <c r="G49" s="159"/>
      <c r="H49" s="160"/>
      <c r="I49" s="161"/>
      <c r="J49" s="162">
        <f>SUBTOTAL(9,J5:J6,J9:J11,J14:J15,J18:J19,J27,J33:J34,J37:J38,J41:J42)</f>
        <v>3981</v>
      </c>
      <c r="K49" s="162">
        <f t="shared" ref="K49:Q49" si="11">SUBTOTAL(9,K5:K6,K9:K11,K14:K15,K18:K19,K27,K33:K34,K37:K38,K41:K42)</f>
        <v>0</v>
      </c>
      <c r="L49" s="162">
        <f t="shared" si="11"/>
        <v>0</v>
      </c>
      <c r="M49" s="162">
        <f t="shared" si="11"/>
        <v>0</v>
      </c>
      <c r="N49" s="162">
        <f t="shared" si="11"/>
        <v>0</v>
      </c>
      <c r="O49" s="162">
        <f t="shared" si="11"/>
        <v>0</v>
      </c>
      <c r="P49" s="162">
        <f t="shared" si="11"/>
        <v>2439</v>
      </c>
      <c r="Q49" s="162">
        <f t="shared" si="11"/>
        <v>128</v>
      </c>
      <c r="R49" s="163"/>
      <c r="S49" s="161"/>
      <c r="T49" s="161"/>
      <c r="U49" s="161"/>
      <c r="V49" s="161"/>
      <c r="W49" s="161"/>
      <c r="X49" s="164"/>
      <c r="Y49" s="165"/>
      <c r="Z49" s="94"/>
      <c r="AA49" s="9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</row>
    <row r="50" spans="1:62">
      <c r="B50" s="166"/>
      <c r="C50" s="166"/>
      <c r="D50" s="166"/>
      <c r="E50" s="167"/>
      <c r="F50" s="167"/>
      <c r="G50" s="167"/>
      <c r="H50" s="167"/>
      <c r="I50" s="168" t="s">
        <v>88</v>
      </c>
      <c r="J50" s="167"/>
      <c r="K50" s="166"/>
      <c r="L50" s="166"/>
      <c r="M50" s="166"/>
      <c r="N50" s="166"/>
      <c r="O50" s="166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</row>
    <row r="52" spans="1:62">
      <c r="J52" s="169"/>
    </row>
    <row r="53" spans="1:62">
      <c r="P53" s="169"/>
    </row>
    <row r="62" spans="1:62" s="134" customFormat="1" ht="15">
      <c r="B62" s="143"/>
      <c r="C62" s="143"/>
      <c r="D62" s="143"/>
      <c r="F62" s="170"/>
      <c r="G62" s="171"/>
      <c r="I62" s="169"/>
      <c r="K62" s="143"/>
      <c r="L62" s="143"/>
      <c r="M62" s="143"/>
      <c r="N62" s="143"/>
      <c r="O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</row>
  </sheetData>
  <sheetProtection formatCells="0" formatColumns="0" formatRows="0" insertColumns="0" insertRows="0" insertHyperlinks="0" deleteColumns="0" deleteRows="0" sort="0" pivotTables="0"/>
  <autoFilter ref="B4:Z50"/>
  <mergeCells count="23">
    <mergeCell ref="X41:X42"/>
    <mergeCell ref="Y41:Y42"/>
    <mergeCell ref="C46:H46"/>
    <mergeCell ref="C49:H49"/>
    <mergeCell ref="D31:E31"/>
    <mergeCell ref="F31:G31"/>
    <mergeCell ref="X33:X34"/>
    <mergeCell ref="Y33:Y34"/>
    <mergeCell ref="X37:X38"/>
    <mergeCell ref="Y37:Y38"/>
    <mergeCell ref="X14:X15"/>
    <mergeCell ref="Y14:Y15"/>
    <mergeCell ref="X18:X19"/>
    <mergeCell ref="Y18:Y19"/>
    <mergeCell ref="C22:H22"/>
    <mergeCell ref="D25:E25"/>
    <mergeCell ref="F25:G25"/>
    <mergeCell ref="D3:E3"/>
    <mergeCell ref="F3:G3"/>
    <mergeCell ref="X5:X6"/>
    <mergeCell ref="Y5:Y6"/>
    <mergeCell ref="X9:X11"/>
    <mergeCell ref="Y9:Y11"/>
  </mergeCells>
  <printOptions horizontalCentered="1" verticalCentered="1"/>
  <pageMargins left="0.15748031496063" right="0" top="0" bottom="0.55118110236220497" header="0.31496062992126" footer="1.2204724409448799"/>
  <pageSetup paperSize="9" scale="64" orientation="landscape" r:id="rId1"/>
  <colBreaks count="1" manualBreakCount="1">
    <brk id="26" max="4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CDD -21-12-2025</vt:lpstr>
      <vt:lpstr>'CDD -21-12-2025'!Print_Area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dcterms:created xsi:type="dcterms:W3CDTF">2025-12-11T04:45:05Z</dcterms:created>
  <dcterms:modified xsi:type="dcterms:W3CDTF">2025-12-11T04:45:19Z</dcterms:modified>
</cp:coreProperties>
</file>