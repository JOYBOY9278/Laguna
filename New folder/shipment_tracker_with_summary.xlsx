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definedNames>
    <definedName function="false" hidden="true" localSheetId="0" name="_xlnm._FilterDatabase" vbProcedure="false">Sheet3!$B$7:$S$100</definedName>
    <definedName function="false" hidden="false" name="arjunkumar" vbProcedure="false">"$#REF!.$#REF!$#REF!"</definedName>
    <definedName function="false" hidden="false" name="arjunkumar_2" vbProcedure="false">"$#REF!.$#REF!$#REF!"</definedName>
    <definedName function="false" hidden="false" name="arjunkumar_3" vbProcedure="false">"$#REF!.$#REF!$#REF!"</definedName>
    <definedName function="false" hidden="false" name="ckjs" vbProcedure="false">#REF!</definedName>
    <definedName function="false" hidden="false" name="ckjs." vbProcedure="false">#REF!</definedName>
    <definedName function="false" hidden="false" name="dishu" vbProcedure="false">#REF!</definedName>
    <definedName function="false" hidden="false" name="drt" vbProcedure="false">#REF!</definedName>
    <definedName function="false" hidden="false" name="er" vbProcedure="false">#REF!</definedName>
    <definedName function="false" hidden="false" name="Excel_BuiltIn_Print_Area_1" vbProcedure="false">"$#REF!.$A$1:$AZ$96"</definedName>
    <definedName function="false" hidden="false" name="Excel_BuiltIn_Print_Area_1_1" vbProcedure="false">"$#REF!.$A$1:$BA$117"</definedName>
    <definedName function="false" hidden="false" name="Excel_BuiltIn__FilterDatabase_1" vbProcedure="false">"$#REF!.$B$1:$BL$256"</definedName>
    <definedName function="false" hidden="false" name="Excel_BuiltIn__FilterDatabase_1_1" vbProcedure="false">"$#REF!.$B$1:$BL$256"</definedName>
    <definedName function="false" hidden="false" name="Excel_BuiltIn__FilterDatabase_1_1_1" vbProcedure="false">"$#REF!.$A$3:$AZ$211"</definedName>
    <definedName function="false" hidden="false" name="Excel_BuiltIn__FilterDatabase_1_1_1_1" vbProcedure="false">"$#REF!.$A$3:$AZ$191"</definedName>
    <definedName function="false" hidden="false" name="Excel_BuiltIn__FilterDatabase_1_1_1_1_1" vbProcedure="false">"$#REF!.$A$3:$AZ$210"</definedName>
    <definedName function="false" hidden="false" name="Excel_BuiltIn__FilterDatabase_1_1_1_1_1_1" vbProcedure="false">"$#REF!.$A$3:$AZ$208"</definedName>
    <definedName function="false" hidden="false" name="Excel_BuiltIn__FilterDatabase_1_1_1_1_1_1_1" vbProcedure="false">"$#REF!.$A$3:$AZ$208"</definedName>
    <definedName function="false" hidden="false" name="Excel_BuiltIn__FilterDatabase_1_1_1_1_1_1_1_1" vbProcedure="false">"$#REF!.$A$3:$AZ$208"</definedName>
    <definedName function="false" hidden="false" name="Excel_BuiltIn__FilterDatabase_1_1_1_1_1_1_1_1_1" vbProcedure="false">"$#REF!.$A$3:$AZ$211"</definedName>
    <definedName function="false" hidden="false" name="Excel_BuiltIn__FilterDatabase_1_1_1_1_1_1_1_1_1_1" vbProcedure="false">"$#REF!.$A$3:$AZ$171"</definedName>
    <definedName function="false" hidden="false" name="Excel_BuiltIn__FilterDatabase_1_1_1_1_1_1_1_1_1_1_1" vbProcedure="false">"$#REF!.$A$3:$AZ$206"</definedName>
    <definedName function="false" hidden="false" name="Excel_BuiltIn__FilterDatabase_1_1_1_1_1_1_1_1_1_1_1_1" vbProcedure="false">"$#REF!.$A$3:$AZ$207"</definedName>
    <definedName function="false" hidden="false" name="Excel_BuiltIn__FilterDatabase_1_1_1_1_1_1_1_1_1_1_1_1_1" vbProcedure="false">"$#REF!.$A$3:$AZ$192"</definedName>
    <definedName function="false" hidden="false" name="Excel_BuiltIn__FilterDatabase_1_1_1_1_1_1_1_1_1_1_1_1_1_1" vbProcedure="false">"$#REF!.$A$3:$AZ$211"</definedName>
    <definedName function="false" hidden="false" name="Excel_BuiltIn__FilterDatabase_1_1_1_1_1_1_1_1_1_1_1_1_1_1_1" vbProcedure="false">"$#REF!.$A$3:$AZ$187"</definedName>
    <definedName function="false" hidden="false" name="Excel_BuiltIn__FilterDatabase_1_1_1_1_1_1_1_1_1_1_1_1_1_1_1_1" vbProcedure="false">"$#REF!.$A$3:$AZ$185"</definedName>
    <definedName function="false" hidden="false" name="Excel_BuiltIn__FilterDatabase_1_1_1_1_1_1_1_1_1_1_1_1_1_1_1_1_1" vbProcedure="false">"$#REF!.$A$3:$AZ$156"</definedName>
    <definedName function="false" hidden="false" name="Excel_BuiltIn__FilterDatabase_1_1_1_1_1_1_1_1_1_1_1_1_1_1_1_1_1_1" vbProcedure="false">"$#REF!.$A$3:$AZ$211"</definedName>
    <definedName function="false" hidden="false" name="Excel_BuiltIn__FilterDatabase_1_1_1_1_1_1_1_1_1_1_1_1_1_1_1_1_1_1_1" vbProcedure="false">"$#REF!.$A$3:$AZ$157"</definedName>
    <definedName function="false" hidden="false" name="Excel_BuiltIn__FilterDatabase_1_1_1_1_1_1_1_1_1_1_1_1_1_1_1_1_1_1_1_1" vbProcedure="false">"$#REF!.$A$3:$AZ$211"</definedName>
    <definedName function="false" hidden="false" name="Excel_BuiltIn__FilterDatabase_1_1_1_1_1_1_1_1_1_1_1_1_1_1_1_1_1_1_1_1_1" vbProcedure="false">"$#REF!.$A$3:$AZ$212"</definedName>
    <definedName function="false" hidden="false" name="Excel_BuiltIn__FilterDatabase_1_1_1_1_1_1_1_1_1_1_1_1_1_1_1_1_1_1_1_1_1_1" vbProcedure="false">"$#REF!.$A$3:$AZ$151"</definedName>
    <definedName function="false" hidden="false" name="Excel_BuiltIn__FilterDatabase_1_1_1_1_1_1_1_1_1_1_1_1_1_1_1_1_1_1_1_1_1_1_1" vbProcedure="false">"$#REF!.$A$3:$AZ$157"</definedName>
    <definedName function="false" hidden="false" name="Excel_BuiltIn__FilterDatabase_1_1_1_1_1_1_1_1_1_1_1_1_1_1_1_1_1_1_1_1_1_1_1_1" vbProcedure="false">"$#REF!.$A$3:$AZ$211"</definedName>
    <definedName function="false" hidden="false" name="Excel_BuiltIn__FilterDatabase_1_1_1_1_1_1_1_1_1_1_1_1_1_1_1_1_1_1_1_1_1_1_1_1_1" vbProcedure="false">"$#REF!.$A$3:$AZ$212"</definedName>
    <definedName function="false" hidden="false" name="Excel_BuiltIn__FilterDatabase_1_1_1_1_1_1_1_1_1_1_1_1_1_1_1_1_1_1_1_1_1_1_1_1_1_1" vbProcedure="false">"$#REF!.$A$3:$AZ$211"</definedName>
    <definedName function="false" hidden="false" name="Excel_BuiltIn__FilterDatabase_1_1_1_1_1_1_1_1_1_1_1_1_1_1_1_1_1_1_1_1_1_1_1_1_1_1_1" vbProcedure="false">"$#REF!.$A$3:$AZ$157"</definedName>
    <definedName function="false" hidden="false" name="Excel_BuiltIn__FilterDatabase_1_1_1_1_1_1_1_1_1_1_1_1_1_1_1_1_1_1_1_1_1_1_1_1_1_1_1_1" vbProcedure="false">"$#REF!.$A$3:$AZ$123"</definedName>
    <definedName function="false" hidden="false" name="Excel_BuiltIn__FilterDatabase_1_1_1_1_1_1_1_1_1_1_1_1_1_1_1_1_1_1_1_1_1_1_1_1_1_1_1_1_1" vbProcedure="false">"$#REF!.$A$3:$AZ$212"</definedName>
    <definedName function="false" hidden="false" name="Excel_BuiltIn__FilterDatabase_1_1_1_1_1_1_1_1_1_1_1_1_1_1_1_1_1_1_1_1_1_1_1_1_1_1_1_1_1_1" vbProcedure="false">"$#REF!.$A$3:$AZ$211"</definedName>
    <definedName function="false" hidden="false" name="Excel_BuiltIn__FilterDatabase_1_1_1_1_1_1_1_1_1_1_1_1_1_1_1_1_1_1_1_1_1_1_1_1_1_1_1_1_1_1_1" vbProcedure="false">"$#REF!.$A$3:$AZ$211"</definedName>
    <definedName function="false" hidden="false" name="Excel_BuiltIn__FilterDatabase_1_1_1_1_1_1_1_1_1_1_1_1_1_1_1_1_1_1_1_1_1_1_1_1_1_1_1_1_1_1_1_1" vbProcedure="false">"$#REF!.$A$3:$AZ$211"</definedName>
    <definedName function="false" hidden="false" name="Excel_BuiltIn__FilterDatabase_1_1_1_1_1_1_1_1_1_1_1_1_1_1_1_1_1_1_1_1_1_1_1_1_1_1_1_1_1_1_1_1_1" vbProcedure="false">"$#REF!.$A$3:$AZ$117"</definedName>
    <definedName function="false" hidden="false" name="Excel_BuiltIn__FilterDatabase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" vbProcedure="false">"$#REF!.$A$3:$AZ$212"</definedName>
    <definedName function="false" hidden="false" name="Excel_BuiltIn__FilterDatabase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_1_1" vbProcedure="false">"$#REF!.$A$3:$AZ$96"</definedName>
    <definedName function="false" hidden="false" name="Excel_BuiltIn__FilterDatabase_1_1_1_1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_1_1_1_1_1_1" vbProcedure="false">"$#REF!.$A$3:$AZ$117"</definedName>
    <definedName function="false" hidden="false" name="Excel_BuiltIn__FilterDatabase_1_1_1_1_1_1_1_1_1_1_1_1_1_1_1_1_1_1_1_1_1_1_1_1_1_1_1_1_1_1_1_1_1_1_1_1_1_1_1_1_1_1_1_1_1_1_1" vbProcedure="false">"$#REF!.$A$3:$AMJ$117"</definedName>
    <definedName function="false" hidden="false" name="Excel_BuiltIn__FilterDatabase_1_1_1_1_1_1_1_1_1_1_1_1_1_1_1_1_1_1_1_1_1_1_1_1_1_1_1_1_1_1_1_1_1_1_1_1_1_1_1_1_1_1_1_1_1_1_1_1" vbProcedure="false">"$#REF!.$A$3:$AZ$96"</definedName>
    <definedName function="false" hidden="false" name="Excel_BuiltIn__FilterDatabase_1_1_1_1_1_1_1_1_1_1_1_1_1_1_1_1_1_1_1_1_1_1_1_1_1_1_1_1_1_1_1_1_1_1_1_1_1_1_1_1_1_1_1_1_1_1_1_1_1" vbProcedure="false">"$#REF!.$A$3:$AZ$212"</definedName>
    <definedName function="false" hidden="false" name="Excel_BuiltIn__FilterDatabase_1_1_1_1_1_1_1_1_1_1_1_1_1_1_1_1_1_1_1_1_1_1_1_1_1_1_1_1_1_1_1_1_1_1_1_1_1_1_1_1_1_1_1_1_1_1_1_1_1_1" vbProcedure="false">"$#REF!.$A$3:$AX$374"</definedName>
    <definedName function="false" hidden="false" name="Excel_BuiltIn__FilterDatabase_2" vbProcedure="false">"$#REF!.$A$4:$IT$355"</definedName>
    <definedName function="false" hidden="false" name="Excel_BuiltIn__FilterDatabase_2_1" vbProcedure="false">"$#REF!.$A$4:$IT$281"</definedName>
    <definedName function="false" hidden="false" name="Excel_BuiltIn__FilterDatabase_2_1_1" vbProcedure="false">"$#REF!.$A$4:$IR$262"</definedName>
    <definedName function="false" hidden="false" name="Excel_BuiltIn__FilterDatabase_2_1_1_1" vbProcedure="false">"$#REF!.$A$5:$IR$370"</definedName>
    <definedName function="false" hidden="false" name="Excel_BuiltIn__FilterDatabase_2_1_1_1_1" vbProcedure="false">"$#REF!.$A$5:$IR$370"</definedName>
    <definedName function="false" hidden="false" name="Excel_BuiltIn__FilterDatabase_2_1_1_1_1_1" vbProcedure="false">"$#REF!.$A$3:$AMJ$408"</definedName>
    <definedName function="false" hidden="false" name="Excel_BuiltIn__FilterDatabase_2_1_1_1_1_1_1" vbProcedure="false">"$#REF!.$A$3:$AMJ$408"</definedName>
    <definedName function="false" hidden="false" name="Excel_BuiltIn__FilterDatabase_2_1_1_1_1_1_1_1" vbProcedure="false">"$#REF!.$A$3:$AMJ$387"</definedName>
    <definedName function="false" hidden="false" name="Excel_BuiltIn__FilterDatabase_2_1_1_1_1_1_1_1_1" vbProcedure="false">"$#REF!.$A$3:$AMJ$406"</definedName>
    <definedName function="false" hidden="false" name="Excel_BuiltIn__FilterDatabase_2_1_1_1_1_1_1_1_1_1" vbProcedure="false">"$#REF!.$A$3:$AMJ$407"</definedName>
    <definedName function="false" hidden="false" name="Excel_BuiltIn__FilterDatabase_2_1_1_1_1_1_1_1_1_1_1" vbProcedure="false">"$#REF!.$A$3:$AMJ$408"</definedName>
    <definedName function="false" hidden="false" name="Excel_BuiltIn__FilterDatabase_2_1_1_1_1_1_1_1_1_1_1_1" vbProcedure="false">"$#REF!.$A$3:$AMJ$395"</definedName>
    <definedName function="false" hidden="false" name="Excel_BuiltIn__FilterDatabase_2_1_1_1_1_1_1_1_1_1_1_1_1" vbProcedure="false">"$#REF!.$A$3:$AMJ$397"</definedName>
    <definedName function="false" hidden="false" name="Excel_BuiltIn__FilterDatabase_2_1_1_1_1_1_1_1_1_1_1_1_1_1" vbProcedure="false">"$#REF!.$A$3:$AMJ$397"</definedName>
    <definedName function="false" hidden="false" name="Excel_BuiltIn__FilterDatabase_2_1_1_1_1_1_1_1_1_1_1_1_1_1_1" vbProcedure="false">"$#REF!.$A$3:$AMJ$393"</definedName>
    <definedName function="false" hidden="false" name="Excel_BuiltIn__FilterDatabase_2_1_1_1_1_1_1_1_1_1_1_1_1_1_1_1" vbProcedure="false">"$#REF!.$A$3:$AMJ$394"</definedName>
    <definedName function="false" hidden="false" name="Excel_BuiltIn__FilterDatabase_2_1_1_1_1_1_1_1_1_1_1_1_1_1_1_1_1" vbProcedure="false">"$#REF!.$A$3:$AMJ$332"</definedName>
    <definedName function="false" hidden="false" name="Excel_BuiltIn__FilterDatabase_2_1_1_1_1_1_1_1_1_1_1_1_1_1_1_1_1_1" vbProcedure="false">"$#REF!.$A$3:$AMJ$392"</definedName>
    <definedName function="false" hidden="false" name="Excel_BuiltIn__FilterDatabase_2_1_1_1_1_1_1_1_1_1_1_1_1_1_1_1_1_1_1" vbProcedure="false">"$#REF!.$A$3:$AMJ$391"</definedName>
    <definedName function="false" hidden="false" name="Excel_BuiltIn__FilterDatabase_2_1_1_1_1_1_1_1_1_1_1_1_1_1_1_1_1_1_1_1" vbProcedure="false">"$#REF!.$A$3:$AMJ$311"</definedName>
    <definedName function="false" hidden="false" name="Excel_BuiltIn__FilterDatabase_2_1_1_1_1_1_1_1_1_1_1_1_1_1_1_1_1_1_1_1_1" vbProcedure="false">"$#REF!.$A$3:$AMJ$390"</definedName>
    <definedName function="false" hidden="false" name="Excel_BuiltIn__FilterDatabase_2_1_1_1_1_1_1_1_1_1_1_1_1_1_1_1_1_1_1_1_1_1" vbProcedure="false">"$#REF!.$A$3:$AMJ$395"</definedName>
    <definedName function="false" hidden="false" name="Excel_BuiltIn__FilterDatabase_2_1_1_1_1_1_1_1_1_1_1_1_1_1_1_1_1_1_1_1_1_1_1" vbProcedure="false">"$#REF!.$A$3:$AMJ$358"</definedName>
    <definedName function="false" hidden="false" name="Excel_BuiltIn__FilterDatabase_2_1_1_1_1_1_1_1_1_1_1_1_1_1_1_1_1_1_1_1_1_1_1_1" vbProcedure="false">"$#REF!.$A$3:$AMJ$359"</definedName>
    <definedName function="false" hidden="false" name="Excel_BuiltIn__FilterDatabase_2_1_1_1_1_1_1_1_1_1_1_1_1_1_1_1_1_1_1_1_1_1_1_1_1" vbProcedure="false">"$#REF!.$A$3:$AMJ$325"</definedName>
    <definedName function="false" hidden="false" name="Excel_BuiltIn__FilterDatabase_2_1_1_1_1_1_1_1_1_1_1_1_1_1_1_1_1_1_1_1_1_1_1_1_1_1" vbProcedure="false">"$#REF!.$A$3:$AMJ$358"</definedName>
    <definedName function="false" hidden="false" name="Excel_BuiltIn__FilterDatabase_2_1_1_1_1_1_1_1_1_1_1_1_1_1_1_1_1_1_1_1_1_1_1_1_1_1_1" vbProcedure="false">"$#REF!.$A$3:$AMJ$411"</definedName>
    <definedName function="false" hidden="false" name="Excel_BuiltIn__FilterDatabase_2_1_1_1_1_1_1_1_1_1_1_1_1_1_1_1_1_1_1_1_1_1_1_1_1_1_1_1" vbProcedure="false">"$#REF!.$A$3:$AMJ$360"</definedName>
    <definedName function="false" hidden="false" name="Excel_BuiltIn__FilterDatabase_2_1_1_1_1_1_1_1_1_1_1_1_1_1_1_1_1_1_1_1_1_1_1_1_1_1_1_1_1" vbProcedure="false">"$#REF!.$A$3:$AMJ$360"</definedName>
    <definedName function="false" hidden="false" name="Excel_BuiltIn__FilterDatabase_2_1_1_1_1_1_1_1_1_1_1_1_1_1_1_1_1_1_1_1_1_1_1_1_1_1_1_1_1_1" vbProcedure="false">"$#REF!.$A$3:$AMJ$360"</definedName>
    <definedName function="false" hidden="false" name="Excel_BuiltIn__FilterDatabase_2_1_1_1_1_1_1_1_1_1_1_1_1_1_1_1_1_1_1_1_1_1_1_1_1_1_1_1_1_1_1" vbProcedure="false">"$#REF!.$A$3:$AMJ$362"</definedName>
    <definedName function="false" hidden="false" name="Excel_BuiltIn__FilterDatabase_2_1_1_1_1_1_1_1_1_1_1_1_1_1_1_1_1_1_1_1_1_1_1_1_1_1_1_1_1_1_1_1" vbProcedure="false">"$#REF!.$A$3:$AMJ$360"</definedName>
    <definedName function="false" hidden="false" name="Excel_BuiltIn__FilterDatabase_2_1_1_1_1_1_1_1_1_1_1_1_1_1_1_1_1_1_1_1_1_1_1_1_1_1_1_1_1_1_1_1_1" vbProcedure="false">"$#REF!.$A$3:$AMJ$359"</definedName>
    <definedName function="false" hidden="false" name="Excel_BuiltIn__FilterDatabase_2_1_1_1_1_1_1_1_1_1_1_1_1_1_1_1_1_1_1_1_1_1_1_1_1_1_1_1_1_1_1_1_1_1" vbProcedure="false">"$#REF!.$A$3:$AMJ$358"</definedName>
    <definedName function="false" hidden="false" name="Excel_BuiltIn__FilterDatabase_2_1_1_1_1_1_1_1_1_1_1_1_1_1_1_1_1_1_1_1_1_1_1_1_1_1_1_1_1_1_1_1_1_1_1" vbProcedure="false">"$#REF!.$A$3:$AMJ$360"</definedName>
    <definedName function="false" hidden="false" name="Excel_BuiltIn__FilterDatabase_2_1_1_1_1_1_1_1_1_1_1_1_1_1_1_1_1_1_1_1_1_1_1_1_1_1_1_1_1_1_1_1_1_1_1_1" vbProcedure="false">"$#REF!.$A$3:$AMJ$497"</definedName>
    <definedName function="false" hidden="false" name="Excel_BuiltIn__FilterDatabase_2_1_1_1_1_1_1_1_1_1_1_1_1_1_1_1_1_1_1_1_1_1_1_1_1_1_1_1_1_1_1_1_1_1_1_1_1" vbProcedure="false">"$#REF!.$A$3:$AMJ$500"</definedName>
    <definedName function="false" hidden="false" name="Excel_BuiltIn__FilterDatabase_2_1_1_1_1_1_1_1_1_1_1_1_1_1_1_1_1_1_1_1_1_1_1_1_1_1_1_1_1_1_1_1_1_1_1_1_1_1" vbProcedure="false">"$#REF!.$A$3:$AMJ$504"</definedName>
    <definedName function="false" hidden="false" name="Excel_BuiltIn__FilterDatabase_2_1_1_1_1_1_1_1_1_1_1_1_1_1_1_1_1_1_1_1_1_1_1_1_1_1_1_1_1_1_1_1_1_1_1_1_1_1_1" vbProcedure="false">"$#REF!.$A$3:$AMJ$504"</definedName>
    <definedName function="false" hidden="false" name="Excel_BuiltIn__FilterDatabase_2_1_1_1_1_1_1_1_1_1_1_1_1_1_1_1_1_1_1_1_1_1_1_1_1_1_1_1_1_1_1_1_1_1_1_1_1_1_1_1" vbProcedure="false">"$#REF!.$B$3:$BL$498"</definedName>
    <definedName function="false" hidden="false" name="Excel_BuiltIn__FilterDatabase_2_1_1_1_1_1_1_1_1_1_1_1_1_1_1_1_1_1_1_1_1_1_1_1_1_1_1_1_1_1_1_1_1_1_1_1_1_1_1_1_1" vbProcedure="false">"$#REF!.$B$3:$BM$256"</definedName>
    <definedName function="false" hidden="false" name="Excel_BuiltIn__FilterDatabase_2_1_1_1_1_1_1_1_1_1_1_1_1_1_1_1_1_1_1_1_1_1_1_1_1_1_1_1_1_1_1_1_1_1_1_1_1_1_1_1_1_1" vbProcedure="false">"$#REF!.$B$3:$BL$256"</definedName>
    <definedName function="false" hidden="false" name="Excel_BuiltIn__FilterDatabase_2_1_1_1_1_1_1_1_1_1_1_1_1_1_1_1_1_1_1_1_1_1_1_1_1_1_1_1_1_1_1_1_1_1_1_1_1_1_1_1_1_1_1" vbProcedure="false">"$#REF!.$A$3:$AZ$197"</definedName>
    <definedName function="false" hidden="false" name="Excel_BuiltIn__FilterDatabase_2_1_1_1_1_1_1_1_1_1_1_1_1_1_1_1_1_1_1_1_1_1_1_1_1_1_1_1_1_1_1_1_1_1_1_1_1_1_1_1_1_1_1_1" vbProcedure="false">"$#REF!.$A$3:$AZ$96"</definedName>
    <definedName function="false" hidden="false" name="Excel_BuiltIn__FilterDatabase_2_1_1_1_1_1_1_1_1_1_1_1_1_1_1_1_1_1_1_1_1_1_1_1_1_1_1_1_1_1_1_1_1_1_1_1_1_1_1_1_1_1_1_1_1" vbProcedure="false">"$#REF!.$A$3:$AZ$212"</definedName>
    <definedName function="false" hidden="false" name="Excel_BuiltIn__FilterDatabase_2_1_1_1_1_1_1_1_1_1_1_1_1_1_1_1_1_1_1_1_1_1_1_1_1_1_1_1_1_1_1_1_1_1_1_1_1_1_1_1_1_1_1_1_1_1" vbProcedure="false">"$#REF!.$A$3:$AX$371"</definedName>
    <definedName function="false" hidden="false" name="Excel_BuiltIn__FilterDatabase_3_1" vbProcedure="false">"$#REF!.$A$3:$AZ$212"</definedName>
    <definedName function="false" hidden="false" name="Excel_BuiltIn__FilterDatabase_5" vbProcedure="false">"$#REF!.$A$3:$AZ$117"</definedName>
    <definedName function="false" hidden="false" name="fred" vbProcedure="false">#REF!</definedName>
    <definedName function="false" hidden="false" name="gsf_5" vbProcedure="false">#REF!</definedName>
    <definedName function="false" hidden="false" name="hh" vbProcedure="false">#REF!</definedName>
    <definedName function="false" hidden="false" name="j" vbProcedure="false">"$#REF!.$#REF!$#REF!"</definedName>
    <definedName function="false" hidden="false" name="j_2" vbProcedure="false">"$#REF!.$#REF!$#REF!"</definedName>
    <definedName function="false" hidden="false" name="j_3" vbProcedure="false">"$#REF!.$#REF!$#REF!"</definedName>
    <definedName function="false" hidden="false" name="kl" vbProcedure="false">"$#REF!.$#REF!$#REF!"</definedName>
    <definedName function="false" hidden="false" name="kl_2" vbProcedure="false">"$#REF!.$#REF!$#REF!"</definedName>
    <definedName function="false" hidden="false" name="kl_3" vbProcedure="false">"$#REF!.$#REF!$#REF!"</definedName>
    <definedName function="false" hidden="false" name="lk" vbProcedure="false">#REF!</definedName>
    <definedName function="false" hidden="false" name="m" vbProcedure="false">"$#REF!.$#REF!$#REF!"</definedName>
    <definedName function="false" hidden="false" name="mm" vbProcedure="false">#REF!</definedName>
    <definedName function="false" hidden="false" name="mmm" vbProcedure="false">#REF!</definedName>
    <definedName function="false" hidden="false" name="m_2" vbProcedure="false">"$#REF!.$#REF!$#REF!"</definedName>
    <definedName function="false" hidden="false" name="m_3" vbProcedure="false">"$#REF!.$#REF!$#REF!"</definedName>
    <definedName function="false" hidden="false" name="ni" vbProcedure="false">#REF!</definedName>
    <definedName function="false" hidden="false" name="nike" vbProcedure="false">#REF!</definedName>
    <definedName function="false" hidden="false" name="nike2555" vbProcedure="false">#REF!</definedName>
    <definedName function="false" hidden="false" name="nike32" vbProcedure="false">#REF!</definedName>
    <definedName function="false" hidden="false" name="oiuk" vbProcedure="false">#REF!</definedName>
    <definedName function="false" hidden="false" name="po" vbProcedure="false">"$#REF!.$#REF!$#REF!"</definedName>
    <definedName function="false" hidden="false" name="po_2" vbProcedure="false">"$#REF!.$#REF!$#REF!"</definedName>
    <definedName function="false" hidden="false" name="po_3" vbProcedure="false">"$#REF!.$#REF!$#REF!"</definedName>
    <definedName function="false" hidden="false" name="prl" vbProcedure="false">#REF!</definedName>
    <definedName function="false" hidden="false" name="re" vbProcedure="false">#REF!</definedName>
    <definedName function="false" hidden="false" name="rews" vbProcedure="false">#REF!</definedName>
    <definedName function="false" hidden="false" name="road" vbProcedure="false">#REF!</definedName>
    <definedName function="false" hidden="false" name="road1" vbProcedure="false">#REF!</definedName>
    <definedName function="false" hidden="false" name="rrr" vbProcedure="false">#REF!</definedName>
    <definedName function="false" hidden="false" name="rt" vbProcedure="false">#REF!</definedName>
    <definedName function="false" hidden="false" name="rte" vbProcedure="false">#REF!</definedName>
    <definedName function="false" hidden="false" name="SC" vbProcedure="false">#REF!</definedName>
    <definedName function="false" hidden="false" name="SD" vbProcedure="false">#REF!</definedName>
    <definedName function="false" hidden="false" name="t" vbProcedure="false">#REF!</definedName>
    <definedName function="false" hidden="false" name="tomm2" vbProcedure="false">#REF!</definedName>
    <definedName function="false" hidden="false" name="TOMMY" vbProcedure="false">#REF!</definedName>
    <definedName function="false" hidden="false" name="tommy1" vbProcedure="false">#REF!</definedName>
    <definedName function="false" hidden="false" name="tommy11" vbProcedure="false">#REF!</definedName>
    <definedName function="false" hidden="false" name="tommy111" vbProcedure="false">#REF!</definedName>
    <definedName function="false" hidden="false" name="tommy2" vbProcedure="false">#REF!</definedName>
    <definedName function="false" hidden="false" name="tommy321" vbProcedure="false">#REF!</definedName>
    <definedName function="false" hidden="false" name="tommy99" vbProcedure="false">#REF!</definedName>
    <definedName function="false" hidden="false" name="tommye" vbProcedure="false">#REF!</definedName>
    <definedName function="false" hidden="false" name="tommyuu" vbProcedure="false">#REF!</definedName>
    <definedName function="false" hidden="false" name="TOMMY_HILFIGER_TAILORED_EUROPE" vbProcedure="false">#REF!</definedName>
    <definedName function="false" hidden="false" name="tur" vbProcedure="false">#REF!</definedName>
    <definedName function="false" hidden="false" name="utt" vbProcedure="false">#REF!</definedName>
    <definedName function="false" hidden="false" name="uyt" vbProcedure="false">#REF!</definedName>
    <definedName function="false" hidden="false" name="we" vbProcedure="false">#REF!</definedName>
    <definedName function="false" hidden="false" name="www" vbProcedure="false">#REF!</definedName>
    <definedName function="false" hidden="false" name="yy" vbProcedure="false">#REF!</definedName>
    <definedName function="false" hidden="false" name="yyou" vbProcedure="false">#REF!</definedName>
    <definedName function="false" hidden="false" name="_001" vbProcedure="false">#REF!</definedName>
    <definedName function="false" hidden="false" name="_152" vbProcedure="false">#REF!</definedName>
    <definedName function="false" hidden="false" name="_153" vbProcedure="false">#REF!</definedName>
    <definedName function="false" hidden="false" name="_154" vbProcedure="false">#REF!</definedName>
    <definedName function="false" hidden="false" name="_1593" vbProcedure="false">#REF!</definedName>
    <definedName function="false" hidden="false" name="_17" vbProcedure="false">#REF!</definedName>
    <definedName function="false" hidden="false" name="_18" vbProcedure="false">#REF!</definedName>
    <definedName function="false" hidden="false" name="_35_3443" vbProcedure="false">"$#REF!.$#REF!$#REF!"</definedName>
    <definedName function="false" hidden="false" name="_35_3443_2" vbProcedure="false">"$#REF!.$#REF!$#REF!"</definedName>
    <definedName function="false" hidden="false" name="_35_3443_3" vbProcedure="false">"$#REF!.$#REF!$#REF!"</definedName>
    <definedName function="false" hidden="false" name="_555" vbProcedure="false">#REF!</definedName>
    <definedName function="false" hidden="false" name="_885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<sst xmlns="http://schemas.openxmlformats.org/spreadsheetml/2006/main" count="547" uniqueCount="102">
  <si>
    <t xml:space="preserve">UPCOMING SHIPMENTS TRACKER</t>
  </si>
  <si>
    <t xml:space="preserve">Report Date: </t>
  </si>
  <si>
    <t xml:space="preserve">FILTERED SUMMARY</t>
  </si>
  <si>
    <t xml:space="preserve">Total O. Qty:</t>
  </si>
  <si>
    <t xml:space="preserve">Total Scan Qty:</t>
  </si>
  <si>
    <t xml:space="preserve">Total CTNS:</t>
  </si>
  <si>
    <t xml:space="preserve">Filtered CON Count</t>
  </si>
  <si>
    <t xml:space="preserve">Filtered Total Order Qty</t>
  </si>
  <si>
    <t xml:space="preserve">Filtered Total Scan Qty</t>
  </si>
  <si>
    <t xml:space="preserve">Filtered Total CTNS</t>
  </si>
  <si>
    <t xml:space="preserve">CDD</t>
  </si>
  <si>
    <t xml:space="preserve">CON Count</t>
  </si>
  <si>
    <t xml:space="preserve">NOTE</t>
  </si>
  <si>
    <t xml:space="preserve">CON</t>
  </si>
  <si>
    <t xml:space="preserve">PO</t>
  </si>
  <si>
    <t xml:space="preserve">Country</t>
  </si>
  <si>
    <t xml:space="preserve">Material ID</t>
  </si>
  <si>
    <t xml:space="preserve">Scan Qty</t>
  </si>
  <si>
    <t xml:space="preserve">CTNS</t>
  </si>
  <si>
    <t xml:space="preserve">Handover Date</t>
  </si>
  <si>
    <t xml:space="preserve">Ship %</t>
  </si>
  <si>
    <t xml:space="preserve">Status</t>
  </si>
  <si>
    <t xml:space="preserve">Dumping</t>
  </si>
  <si>
    <t xml:space="preserve">FI To Be Done By</t>
  </si>
  <si>
    <t xml:space="preserve">Gross Weight</t>
  </si>
  <si>
    <t xml:space="preserve">OCR</t>
  </si>
  <si>
    <t xml:space="preserve">Draft Mail</t>
  </si>
  <si>
    <t xml:space="preserve">PRLS/25/12722</t>
  </si>
  <si>
    <t xml:space="preserve">JAPAN</t>
  </si>
  <si>
    <t xml:space="preserve">710B18131001</t>
  </si>
  <si>
    <t xml:space="preserve">Ready </t>
  </si>
  <si>
    <t xml:space="preserve">Not Received</t>
  </si>
  <si>
    <t xml:space="preserve">SENT</t>
  </si>
  <si>
    <t xml:space="preserve">PRLS/25/12723</t>
  </si>
  <si>
    <t xml:space="preserve">710B18274001</t>
  </si>
  <si>
    <t xml:space="preserve">Under Scanning</t>
  </si>
  <si>
    <t xml:space="preserve">KOREA</t>
  </si>
  <si>
    <t xml:space="preserve">FI Pending</t>
  </si>
  <si>
    <t xml:space="preserve">PRLS/25/13156</t>
  </si>
  <si>
    <t xml:space="preserve">US</t>
  </si>
  <si>
    <t xml:space="preserve">710B29639001</t>
  </si>
  <si>
    <t xml:space="preserve">6937B WHITE GREEN MULTI</t>
  </si>
  <si>
    <t xml:space="preserve">Cutting</t>
  </si>
  <si>
    <t xml:space="preserve">Air </t>
  </si>
  <si>
    <t xml:space="preserve">PRLS/25/13159</t>
  </si>
  <si>
    <t xml:space="preserve">NEW FOREST</t>
  </si>
  <si>
    <t xml:space="preserve">Under Washing</t>
  </si>
  <si>
    <t xml:space="preserve">PRLS/25/12734</t>
  </si>
  <si>
    <t xml:space="preserve">710B22588002</t>
  </si>
  <si>
    <t xml:space="preserve">6671A CABANA BLUE/WHITE</t>
  </si>
  <si>
    <t xml:space="preserve">PRLS/25/12890</t>
  </si>
  <si>
    <t xml:space="preserve">CANADA</t>
  </si>
  <si>
    <t xml:space="preserve">710P03855503</t>
  </si>
  <si>
    <t xml:space="preserve">7289C PWDR PURPLE WHITE MULTI</t>
  </si>
  <si>
    <t xml:space="preserve">Received</t>
  </si>
  <si>
    <t xml:space="preserve">PRLS/25/12891</t>
  </si>
  <si>
    <t xml:space="preserve">710P03855504</t>
  </si>
  <si>
    <t xml:space="preserve">7289B FADED MINT WHITE MULTI</t>
  </si>
  <si>
    <t xml:space="preserve">7258 NAVY WHITE</t>
  </si>
  <si>
    <t xml:space="preserve">Rescaning</t>
  </si>
  <si>
    <t xml:space="preserve">PRLS/25/13160</t>
  </si>
  <si>
    <t xml:space="preserve">WHITE</t>
  </si>
  <si>
    <t xml:space="preserve">7312 NAVY MULTI</t>
  </si>
  <si>
    <t xml:space="preserve">PRLS/25/13164</t>
  </si>
  <si>
    <t xml:space="preserve">120 pcs blc to pk</t>
  </si>
  <si>
    <t xml:space="preserve">RATIO PACK</t>
  </si>
  <si>
    <t xml:space="preserve">PRLS/25/12932</t>
  </si>
  <si>
    <t xml:space="preserve">PRLS/25/12930</t>
  </si>
  <si>
    <t xml:space="preserve">710P03855501</t>
  </si>
  <si>
    <t xml:space="preserve">7289A HRBR ISLND BLUE WHT MLTI</t>
  </si>
  <si>
    <t xml:space="preserve">PRLS/25/12931</t>
  </si>
  <si>
    <t xml:space="preserve">710P03855502</t>
  </si>
  <si>
    <t xml:space="preserve">7289D COASTAL BEIGE WHT MULTI</t>
  </si>
  <si>
    <t xml:space="preserve">PRLS/25/12933</t>
  </si>
  <si>
    <t xml:space="preserve">HK</t>
  </si>
  <si>
    <t xml:space="preserve">Washing&amp;Finishing</t>
  </si>
  <si>
    <t xml:space="preserve">PRLS/25/12732</t>
  </si>
  <si>
    <t xml:space="preserve">710B22588001</t>
  </si>
  <si>
    <t xml:space="preserve">6671H COASTAL BEIGE/WHITE</t>
  </si>
  <si>
    <t xml:space="preserve">PRLS/25/12736</t>
  </si>
  <si>
    <t xml:space="preserve">710B22588003</t>
  </si>
  <si>
    <t xml:space="preserve">6671I POWDER PURPLE/WHITE</t>
  </si>
  <si>
    <t xml:space="preserve">PRLS/25/12740</t>
  </si>
  <si>
    <t xml:space="preserve">710B22589002</t>
  </si>
  <si>
    <t xml:space="preserve">6555B CABANA BLUE/WHITE</t>
  </si>
  <si>
    <t xml:space="preserve">PRLS/25/13161</t>
  </si>
  <si>
    <t xml:space="preserve">NEWPORT NAVY</t>
  </si>
  <si>
    <t xml:space="preserve">Cutting&amp;Sewing</t>
  </si>
  <si>
    <t xml:space="preserve">PRLS/25/13162</t>
  </si>
  <si>
    <t xml:space="preserve">SUPPLY OLIVE</t>
  </si>
  <si>
    <t xml:space="preserve">PRLS/25/13163</t>
  </si>
  <si>
    <t xml:space="preserve">POLO BLACK</t>
  </si>
  <si>
    <t xml:space="preserve">Sewing&amp;Washing</t>
  </si>
  <si>
    <t xml:space="preserve">PRLS/25/12782</t>
  </si>
  <si>
    <t xml:space="preserve">PRLS/25/12780</t>
  </si>
  <si>
    <t xml:space="preserve">ITALY</t>
  </si>
  <si>
    <t xml:space="preserve">PRLS/25/13167</t>
  </si>
  <si>
    <t xml:space="preserve">Canada</t>
  </si>
  <si>
    <t xml:space="preserve">PRLS/25/13165</t>
  </si>
  <si>
    <t xml:space="preserve">710B29367001</t>
  </si>
  <si>
    <t xml:space="preserve">6937C WHITE WINE MULTI</t>
  </si>
  <si>
    <t xml:space="preserve">PRLS/25/13166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</si>
</sst>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F800]dddd&quot;, &quot;mmmm\ dd&quot;, &quot;yyyy"/>
    <numFmt numFmtId="166" formatCode="General"/>
    <numFmt numFmtId="167" formatCode="#,##0"/>
    <numFmt numFmtId="168" formatCode="yyyy\-mm\-dd"/>
    <numFmt numFmtId="169" formatCode="0"/>
    <numFmt numFmtId="170" formatCode="m/d/yyyy"/>
    <numFmt numFmtId="171" formatCode="0.0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1"/>
      <charset val="1"/>
    </font>
    <font>
      <sz val="10"/>
      <color rgb="FF666666"/>
      <name val="Cambria"/>
      <family val="1"/>
      <charset val="1"/>
    </font>
    <font>
      <b val="true"/>
      <sz val="12"/>
      <color rgb="FF333333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0"/>
      <color rgb="FF333333"/>
      <name val="Cambria"/>
      <family val="1"/>
      <charset val="1"/>
    </font>
    <font>
      <b val="true"/>
      <sz val="11"/>
      <color rgb="FF0066CC"/>
      <name val="Cambria"/>
      <family val="1"/>
      <charset val="1"/>
    </font>
    <font>
      <b val="true"/>
      <sz val="10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1"/>
      <charset val="1"/>
    </font>
    <font>
      <sz val="10"/>
      <color rgb="FF000000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E6F0FA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8" xfId="20"/>
  </cellStyles>
  <dxfs count="5">
    <dxf>
      <fill>
        <patternFill patternType="solid">
          <fgColor rgb="FF333333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B2:S145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N98" activeCellId="0" sqref="N9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1" width="13.4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9" min="8" style="1" width="18"/>
    <col collapsed="false" customWidth="true" hidden="false" outlineLevel="0" max="10" min="10" style="1" width="16"/>
    <col collapsed="false" customWidth="true" hidden="true" outlineLevel="0" max="11" min="11" style="1" width="14"/>
    <col collapsed="false" customWidth="true" hidden="false" outlineLevel="0" max="12" min="12" style="1" width="14"/>
    <col collapsed="false" customWidth="true" hidden="false" outlineLevel="0" max="13" min="13" style="1" width="10"/>
    <col collapsed="false" customWidth="true" hidden="false" outlineLevel="0" max="14" min="14" style="1" width="20.14"/>
    <col collapsed="false" customWidth="true" hidden="false" outlineLevel="0" max="15" min="15" style="1" width="17.42"/>
    <col collapsed="false" customWidth="true" hidden="false" outlineLevel="0" max="16" min="16" style="1" width="12.86"/>
    <col collapsed="false" customWidth="true" hidden="false" outlineLevel="0" max="17" min="17" style="1" width="8.86"/>
    <col collapsed="false" customWidth="true" hidden="false" outlineLevel="0" max="18" min="18" style="1" width="12.57"/>
    <col collapsed="false" customWidth="true" hidden="false" outlineLevel="0" max="19" min="19" style="1" width="7.57"/>
    <col collapsed="false" customWidth="false" hidden="false" outlineLevel="0" max="16384" min="20" style="1" width="8.71"/>
  </cols>
  <sheetData>
    <row r="2" customFormat="false" ht="34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1</v>
      </c>
      <c r="C3" s="4" t="n">
        <f aca="true">TODAY()</f>
        <v>46086</v>
      </c>
      <c r="G3" s="5" t="s">
        <v>2</v>
      </c>
    </row>
    <row r="4" customFormat="false" ht="21.75" hidden="false" customHeight="true" outlineLevel="0" collapsed="false">
      <c r="G4" s="6" t="n">
        <f aca="false">SUBTOTAL(103,C8:C100)</f>
        <v>3</v>
      </c>
      <c r="H4" s="7" t="n">
        <f aca="false">SUBTOTAL(9,H8:H100)</f>
        <v>3800</v>
      </c>
      <c r="I4" s="7" t="n">
        <f aca="false">SUBTOTAL(9,I8:I100)</f>
        <v>0</v>
      </c>
      <c r="J4" s="7" t="n">
        <f aca="false">SUBTOTAL(9,J8:J100)</f>
        <v>0</v>
      </c>
    </row>
    <row r="5" customFormat="false" ht="18" hidden="false" customHeight="true" outlineLevel="0" collapsed="false">
      <c r="B5" s="8" t="s">
        <v>3</v>
      </c>
      <c r="C5" s="9" t="n">
        <f aca="false">SUBTOTAL(9,H8:H95)</f>
        <v>3800</v>
      </c>
      <c r="D5" s="8" t="s">
        <v>4</v>
      </c>
      <c r="E5" s="9" t="n">
        <f aca="false">SUBTOTAL(9,I8:I95)</f>
        <v>0</v>
      </c>
      <c r="F5" s="8" t="s">
        <v>5</v>
      </c>
      <c r="G5" s="10" t="s">
        <v>6</v>
      </c>
      <c r="H5" s="11" t="s">
        <v>7</v>
      </c>
      <c r="I5" s="11" t="s">
        <v>8</v>
      </c>
      <c r="J5" s="11" t="s">
        <v>9</v>
      </c>
    </row>
    <row r="6" customFormat="false" ht="19.5" hidden="false" customHeight="true" outlineLevel="0" collapsed="false">
      <c r="G6" s="12" t="s">
        <v>10</v>
      </c>
      <c r="H6" s="12" t="s">
        <v>11</v>
      </c>
    </row>
    <row r="7" customFormat="false" ht="28.5" hidden="false" customHeight="true" outlineLevel="0" collapsed="false">
      <c r="B7" s="13" t="s">
        <v>12</v>
      </c>
      <c r="C7" s="13" t="s">
        <v>13</v>
      </c>
      <c r="D7" s="13" t="s">
        <v>14</v>
      </c>
      <c r="E7" s="13" t="s">
        <v>15</v>
      </c>
      <c r="F7" s="13" t="s">
        <v>16</v>
      </c>
      <c r="G7" s="14" t="n">
        <v>46089</v>
      </c>
      <c r="H7" s="15" t="n">
        <f aca="false">COUNTIFS($K$8:$K$100,G7,$C$8:$C$100,"&lt;&gt;")</f>
        <v>38</v>
      </c>
      <c r="I7" s="13" t="s">
        <v>17</v>
      </c>
      <c r="J7" s="13" t="s">
        <v>18</v>
      </c>
      <c r="K7" s="13" t="s">
        <v>10</v>
      </c>
      <c r="L7" s="13" t="s">
        <v>19</v>
      </c>
      <c r="M7" s="13" t="s">
        <v>20</v>
      </c>
      <c r="N7" s="13" t="s">
        <v>21</v>
      </c>
      <c r="O7" s="13" t="s">
        <v>22</v>
      </c>
      <c r="P7" s="13" t="s">
        <v>23</v>
      </c>
      <c r="Q7" s="13" t="s">
        <v>24</v>
      </c>
      <c r="R7" s="13" t="s">
        <v>25</v>
      </c>
      <c r="S7" s="13" t="s">
        <v>26</v>
      </c>
    </row>
    <row r="8" customFormat="false" ht="15" hidden="true" customHeight="false" outlineLevel="0" collapsed="false">
      <c r="B8" s="16"/>
      <c r="C8" s="16" t="s">
        <v>27</v>
      </c>
      <c r="D8" s="16" t="n">
        <v>4702067322</v>
      </c>
      <c r="E8" s="16" t="s">
        <v>28</v>
      </c>
      <c r="F8" s="16" t="s">
        <v>29</v>
      </c>
      <c r="G8" s="17" t="n">
        <v>46103</v>
      </c>
      <c r="H8" s="18" t="n">
        <f aca="false">COUNTIFS($K$8:$K$100,G8,$C$8:$C$100,"&lt;&gt;")</f>
        <v>2</v>
      </c>
      <c r="I8" s="16" t="n">
        <v>60</v>
      </c>
      <c r="J8" s="16" t="n">
        <v>2</v>
      </c>
      <c r="K8" s="19" t="n">
        <v>46103</v>
      </c>
      <c r="L8" s="19" t="n">
        <v>46103</v>
      </c>
      <c r="M8" s="20" t="n">
        <f aca="false">+I8/H8</f>
        <v>30</v>
      </c>
      <c r="N8" s="21" t="s">
        <v>30</v>
      </c>
      <c r="O8" s="21"/>
      <c r="P8" s="16"/>
      <c r="Q8" s="16"/>
      <c r="R8" s="16" t="s">
        <v>31</v>
      </c>
      <c r="S8" s="16" t="s">
        <v>32</v>
      </c>
    </row>
    <row r="9" customFormat="false" ht="15" hidden="true" customHeight="false" outlineLevel="0" collapsed="false">
      <c r="B9" s="21"/>
      <c r="C9" s="21" t="s">
        <v>33</v>
      </c>
      <c r="D9" s="21" t="n">
        <v>4702067329</v>
      </c>
      <c r="E9" s="21" t="s">
        <v>28</v>
      </c>
      <c r="F9" s="21" t="s">
        <v>34</v>
      </c>
      <c r="G9" s="22" t="n">
        <v>46110</v>
      </c>
      <c r="H9" s="23" t="n">
        <f aca="false">COUNTIFS($K$8:$K$100,G9,$C$8:$C$100,"&lt;&gt;")</f>
        <v>8</v>
      </c>
      <c r="I9" s="21" t="n">
        <v>876</v>
      </c>
      <c r="J9" s="21" t="n">
        <v>20</v>
      </c>
      <c r="K9" s="24" t="n">
        <v>46103</v>
      </c>
      <c r="L9" s="24" t="n">
        <v>46103</v>
      </c>
      <c r="M9" s="20" t="n">
        <f aca="false">+I9/H9</f>
        <v>109.5</v>
      </c>
      <c r="N9" s="16" t="s">
        <v>35</v>
      </c>
      <c r="O9" s="21"/>
      <c r="P9" s="21"/>
      <c r="Q9" s="21"/>
      <c r="R9" s="21"/>
      <c r="S9" s="21"/>
    </row>
    <row r="10" customFormat="false" ht="15" hidden="true" customHeight="false" outlineLevel="0" collapsed="false">
      <c r="B10" s="21"/>
      <c r="C10" s="21" t="s">
        <v>33</v>
      </c>
      <c r="D10" s="21" t="n">
        <v>4702067327</v>
      </c>
      <c r="E10" s="21" t="s">
        <v>36</v>
      </c>
      <c r="F10" s="21" t="s">
        <v>34</v>
      </c>
      <c r="G10" s="22" t="n">
        <v>46117</v>
      </c>
      <c r="H10" s="23" t="n">
        <f aca="false">COUNTIFS($K$8:$K$100,G10,$C$8:$C$100,"&lt;&gt;")</f>
        <v>16</v>
      </c>
      <c r="I10" s="21" t="n">
        <v>65</v>
      </c>
      <c r="J10" s="21" t="n">
        <v>2</v>
      </c>
      <c r="K10" s="24" t="n">
        <v>46110</v>
      </c>
      <c r="L10" s="24" t="n">
        <v>46110</v>
      </c>
      <c r="M10" s="20" t="n">
        <f aca="false">+I10/H10</f>
        <v>4.0625</v>
      </c>
      <c r="N10" s="16" t="s">
        <v>37</v>
      </c>
      <c r="O10" s="21"/>
      <c r="P10" s="21"/>
      <c r="Q10" s="21"/>
      <c r="R10" s="21"/>
      <c r="S10" s="21"/>
    </row>
    <row r="11" customFormat="false" ht="15" hidden="false" customHeight="false" outlineLevel="0" collapsed="false">
      <c r="B11" s="16"/>
      <c r="C11" s="16" t="s">
        <v>38</v>
      </c>
      <c r="D11" s="16" t="n">
        <v>4702095663</v>
      </c>
      <c r="E11" s="16" t="s">
        <v>39</v>
      </c>
      <c r="F11" s="16" t="s">
        <v>40</v>
      </c>
      <c r="G11" s="16" t="s">
        <v>41</v>
      </c>
      <c r="H11" s="16" t="n">
        <v>100</v>
      </c>
      <c r="I11" s="16"/>
      <c r="J11" s="16"/>
      <c r="K11" s="19"/>
      <c r="L11" s="19" t="n">
        <v>46110</v>
      </c>
      <c r="M11" s="20" t="n">
        <f aca="false">+I11/H11</f>
        <v>0</v>
      </c>
      <c r="N11" s="16" t="s">
        <v>42</v>
      </c>
      <c r="O11" s="16"/>
      <c r="P11" s="16"/>
      <c r="Q11" s="16"/>
      <c r="R11" s="16"/>
      <c r="S11" s="16"/>
    </row>
    <row r="12" customFormat="false" ht="15" hidden="true" customHeight="false" outlineLevel="0" collapsed="false">
      <c r="B12" s="16" t="s">
        <v>43</v>
      </c>
      <c r="C12" s="16" t="s">
        <v>44</v>
      </c>
      <c r="D12" s="16" t="n">
        <v>4702096673</v>
      </c>
      <c r="E12" s="16" t="s">
        <v>39</v>
      </c>
      <c r="F12" s="18" t="n">
        <v>710804257063</v>
      </c>
      <c r="G12" s="16" t="s">
        <v>45</v>
      </c>
      <c r="H12" s="16" t="n">
        <v>100</v>
      </c>
      <c r="I12" s="16"/>
      <c r="J12" s="16"/>
      <c r="K12" s="25"/>
      <c r="L12" s="19" t="n">
        <v>46110</v>
      </c>
      <c r="M12" s="20" t="n">
        <f aca="false">+I12/H12</f>
        <v>0</v>
      </c>
      <c r="N12" s="16" t="s">
        <v>46</v>
      </c>
      <c r="O12" s="16"/>
      <c r="P12" s="16"/>
      <c r="Q12" s="16"/>
      <c r="R12" s="16"/>
      <c r="S12" s="16"/>
    </row>
    <row r="13" customFormat="false" ht="15" hidden="true" customHeight="false" outlineLevel="0" collapsed="false">
      <c r="B13" s="21"/>
      <c r="C13" s="21" t="s">
        <v>47</v>
      </c>
      <c r="D13" s="21" t="n">
        <v>4702067334</v>
      </c>
      <c r="E13" s="21" t="s">
        <v>36</v>
      </c>
      <c r="F13" s="21" t="s">
        <v>48</v>
      </c>
      <c r="G13" s="21" t="s">
        <v>49</v>
      </c>
      <c r="H13" s="21" t="n">
        <v>121</v>
      </c>
      <c r="I13" s="21" t="n">
        <v>121</v>
      </c>
      <c r="J13" s="21" t="n">
        <v>8</v>
      </c>
      <c r="K13" s="24" t="n">
        <v>46110</v>
      </c>
      <c r="L13" s="24" t="n">
        <v>46110</v>
      </c>
      <c r="M13" s="20" t="n">
        <f aca="false">+I13/H13</f>
        <v>1</v>
      </c>
      <c r="N13" s="21" t="s">
        <v>30</v>
      </c>
      <c r="O13" s="21"/>
      <c r="P13" s="21"/>
      <c r="Q13" s="21"/>
      <c r="R13" s="21"/>
      <c r="S13" s="21"/>
    </row>
    <row r="14" customFormat="false" ht="15" hidden="true" customHeight="false" outlineLevel="0" collapsed="false">
      <c r="B14" s="16"/>
      <c r="C14" s="16" t="s">
        <v>50</v>
      </c>
      <c r="D14" s="16" t="n">
        <v>4702079687</v>
      </c>
      <c r="E14" s="16" t="s">
        <v>51</v>
      </c>
      <c r="F14" s="16" t="s">
        <v>52</v>
      </c>
      <c r="G14" s="16" t="s">
        <v>53</v>
      </c>
      <c r="H14" s="16" t="n">
        <v>200</v>
      </c>
      <c r="I14" s="16" t="n">
        <v>200</v>
      </c>
      <c r="J14" s="16" t="n">
        <v>13</v>
      </c>
      <c r="K14" s="19" t="n">
        <v>46110</v>
      </c>
      <c r="L14" s="19" t="n">
        <v>46110</v>
      </c>
      <c r="M14" s="20" t="n">
        <f aca="false">+I14/H14</f>
        <v>1</v>
      </c>
      <c r="N14" s="16" t="s">
        <v>30</v>
      </c>
      <c r="O14" s="16"/>
      <c r="P14" s="16"/>
      <c r="Q14" s="16"/>
      <c r="R14" s="16" t="s">
        <v>54</v>
      </c>
      <c r="S14" s="16" t="s">
        <v>32</v>
      </c>
    </row>
    <row r="15" customFormat="false" ht="15" hidden="true" customHeight="false" outlineLevel="0" collapsed="false">
      <c r="B15" s="21"/>
      <c r="C15" s="21" t="s">
        <v>55</v>
      </c>
      <c r="D15" s="21" t="n">
        <v>4702079687</v>
      </c>
      <c r="E15" s="21" t="s">
        <v>51</v>
      </c>
      <c r="F15" s="21" t="s">
        <v>56</v>
      </c>
      <c r="G15" s="21" t="s">
        <v>57</v>
      </c>
      <c r="H15" s="21" t="n">
        <v>220</v>
      </c>
      <c r="I15" s="21" t="n">
        <v>220</v>
      </c>
      <c r="J15" s="21" t="n">
        <v>14</v>
      </c>
      <c r="K15" s="24" t="n">
        <v>46110</v>
      </c>
      <c r="L15" s="24" t="n">
        <v>46110</v>
      </c>
      <c r="M15" s="20" t="n">
        <f aca="false">+I15/H15</f>
        <v>1</v>
      </c>
      <c r="N15" s="21" t="s">
        <v>30</v>
      </c>
      <c r="O15" s="21"/>
      <c r="P15" s="21"/>
      <c r="Q15" s="21"/>
      <c r="R15" s="21" t="s">
        <v>54</v>
      </c>
      <c r="S15" s="21" t="s">
        <v>32</v>
      </c>
    </row>
    <row r="16" customFormat="false" ht="15" hidden="true" customHeight="false" outlineLevel="0" collapsed="false">
      <c r="B16" s="16"/>
      <c r="C16" s="21" t="s">
        <v>27</v>
      </c>
      <c r="D16" s="16" t="n">
        <v>4702067321</v>
      </c>
      <c r="E16" s="16" t="s">
        <v>36</v>
      </c>
      <c r="F16" s="16" t="s">
        <v>29</v>
      </c>
      <c r="G16" s="16" t="s">
        <v>58</v>
      </c>
      <c r="H16" s="16" t="n">
        <v>250</v>
      </c>
      <c r="I16" s="16" t="n">
        <v>243</v>
      </c>
      <c r="J16" s="16" t="n">
        <v>6</v>
      </c>
      <c r="K16" s="19" t="n">
        <v>46110</v>
      </c>
      <c r="L16" s="19" t="n">
        <v>46110</v>
      </c>
      <c r="M16" s="20" t="n">
        <f aca="false">+I16/H16</f>
        <v>0.972</v>
      </c>
      <c r="N16" s="16" t="s">
        <v>59</v>
      </c>
      <c r="O16" s="16"/>
      <c r="P16" s="16"/>
      <c r="Q16" s="16"/>
      <c r="R16" s="16" t="s">
        <v>31</v>
      </c>
      <c r="S16" s="16" t="s">
        <v>32</v>
      </c>
    </row>
    <row r="17" customFormat="false" ht="15" hidden="true" customHeight="false" outlineLevel="0" collapsed="false">
      <c r="B17" s="21"/>
      <c r="C17" s="21" t="s">
        <v>60</v>
      </c>
      <c r="D17" s="21" t="n">
        <v>4702095845</v>
      </c>
      <c r="E17" s="21" t="s">
        <v>51</v>
      </c>
      <c r="F17" s="23" t="n">
        <v>710967632001</v>
      </c>
      <c r="G17" s="21" t="s">
        <v>61</v>
      </c>
      <c r="H17" s="21" t="n">
        <v>330</v>
      </c>
      <c r="I17" s="21" t="n">
        <v>337</v>
      </c>
      <c r="J17" s="21" t="n">
        <v>20</v>
      </c>
      <c r="K17" s="24" t="n">
        <v>46110</v>
      </c>
      <c r="L17" s="24" t="n">
        <v>46110</v>
      </c>
      <c r="M17" s="20" t="n">
        <f aca="false">+I17/H17</f>
        <v>1.02121212121212</v>
      </c>
      <c r="N17" s="21" t="s">
        <v>30</v>
      </c>
      <c r="O17" s="21"/>
      <c r="P17" s="21"/>
      <c r="Q17" s="21"/>
      <c r="R17" s="21"/>
      <c r="S17" s="21"/>
    </row>
    <row r="18" customFormat="false" ht="15" hidden="true" customHeight="false" outlineLevel="0" collapsed="false">
      <c r="B18" s="16"/>
      <c r="C18" s="21" t="s">
        <v>33</v>
      </c>
      <c r="D18" s="16" t="n">
        <v>4702067328</v>
      </c>
      <c r="E18" s="16" t="s">
        <v>36</v>
      </c>
      <c r="F18" s="16" t="s">
        <v>34</v>
      </c>
      <c r="G18" s="16" t="s">
        <v>62</v>
      </c>
      <c r="H18" s="16" t="n">
        <v>500</v>
      </c>
      <c r="I18" s="16" t="n">
        <v>392</v>
      </c>
      <c r="J18" s="16" t="n">
        <v>9</v>
      </c>
      <c r="K18" s="19" t="n">
        <v>46110</v>
      </c>
      <c r="L18" s="19" t="n">
        <v>46110</v>
      </c>
      <c r="M18" s="20" t="n">
        <f aca="false">+I18/H18</f>
        <v>0.784</v>
      </c>
      <c r="N18" s="16" t="s">
        <v>35</v>
      </c>
      <c r="O18" s="16"/>
      <c r="P18" s="16"/>
      <c r="Q18" s="16"/>
      <c r="R18" s="16"/>
      <c r="S18" s="16"/>
    </row>
    <row r="19" customFormat="false" ht="15" hidden="true" customHeight="false" outlineLevel="0" collapsed="false">
      <c r="B19" s="16"/>
      <c r="C19" s="21" t="s">
        <v>44</v>
      </c>
      <c r="D19" s="16" t="n">
        <v>4702096672</v>
      </c>
      <c r="E19" s="16" t="s">
        <v>39</v>
      </c>
      <c r="F19" s="18" t="n">
        <v>710804257063</v>
      </c>
      <c r="G19" s="16" t="s">
        <v>45</v>
      </c>
      <c r="H19" s="16" t="n">
        <v>1557</v>
      </c>
      <c r="I19" s="16"/>
      <c r="J19" s="16"/>
      <c r="K19" s="25"/>
      <c r="L19" s="19" t="n">
        <v>46110</v>
      </c>
      <c r="M19" s="20" t="n">
        <f aca="false">+I19/H19</f>
        <v>0</v>
      </c>
      <c r="N19" s="16" t="s">
        <v>46</v>
      </c>
      <c r="O19" s="16"/>
      <c r="P19" s="16"/>
      <c r="Q19" s="16"/>
      <c r="R19" s="16"/>
      <c r="S19" s="16"/>
    </row>
    <row r="20" customFormat="false" ht="15" hidden="false" customHeight="false" outlineLevel="0" collapsed="false">
      <c r="B20" s="21"/>
      <c r="C20" s="21" t="s">
        <v>38</v>
      </c>
      <c r="D20" s="21" t="n">
        <v>4702095662</v>
      </c>
      <c r="E20" s="21" t="s">
        <v>39</v>
      </c>
      <c r="F20" s="21" t="s">
        <v>40</v>
      </c>
      <c r="G20" s="21" t="s">
        <v>41</v>
      </c>
      <c r="H20" s="21" t="n">
        <v>3396</v>
      </c>
      <c r="I20" s="21"/>
      <c r="J20" s="21"/>
      <c r="K20" s="24"/>
      <c r="L20" s="24" t="n">
        <v>46110</v>
      </c>
      <c r="M20" s="20" t="n">
        <f aca="false">+I20/H20</f>
        <v>0</v>
      </c>
      <c r="N20" s="16" t="s">
        <v>42</v>
      </c>
      <c r="O20" s="21"/>
      <c r="P20" s="21"/>
      <c r="Q20" s="21"/>
      <c r="R20" s="21"/>
      <c r="S20" s="21"/>
    </row>
    <row r="21" customFormat="false" ht="15" hidden="true" customHeight="false" outlineLevel="0" collapsed="false">
      <c r="B21" s="16"/>
      <c r="C21" s="21" t="s">
        <v>63</v>
      </c>
      <c r="D21" s="16" t="n">
        <v>4702095655</v>
      </c>
      <c r="E21" s="16" t="s">
        <v>39</v>
      </c>
      <c r="F21" s="18" t="n">
        <v>710967894001</v>
      </c>
      <c r="G21" s="16" t="s">
        <v>61</v>
      </c>
      <c r="H21" s="16" t="n">
        <v>3760</v>
      </c>
      <c r="I21" s="16" t="n">
        <v>1716</v>
      </c>
      <c r="J21" s="16" t="n">
        <v>81</v>
      </c>
      <c r="K21" s="19"/>
      <c r="L21" s="19" t="n">
        <v>46110</v>
      </c>
      <c r="M21" s="20" t="n">
        <f aca="false">+I21/H21</f>
        <v>0.456382978723404</v>
      </c>
      <c r="N21" s="16" t="s">
        <v>35</v>
      </c>
      <c r="O21" s="16"/>
      <c r="P21" s="16"/>
      <c r="Q21" s="16"/>
      <c r="R21" s="16"/>
      <c r="S21" s="16"/>
    </row>
    <row r="22" customFormat="false" ht="15" hidden="true" customHeight="false" outlineLevel="0" collapsed="false">
      <c r="B22" s="16"/>
      <c r="C22" s="21" t="s">
        <v>60</v>
      </c>
      <c r="D22" s="16" t="n">
        <v>4702095844</v>
      </c>
      <c r="E22" s="16" t="s">
        <v>39</v>
      </c>
      <c r="F22" s="18" t="n">
        <v>710967632001</v>
      </c>
      <c r="G22" s="16" t="s">
        <v>61</v>
      </c>
      <c r="H22" s="16" t="n">
        <v>5170</v>
      </c>
      <c r="I22" s="16" t="n">
        <v>5230</v>
      </c>
      <c r="J22" s="16" t="n">
        <v>300</v>
      </c>
      <c r="K22" s="19" t="n">
        <v>46110</v>
      </c>
      <c r="L22" s="19" t="n">
        <v>46110</v>
      </c>
      <c r="M22" s="20" t="n">
        <f aca="false">+I22/H22</f>
        <v>1.01160541586074</v>
      </c>
      <c r="N22" s="21" t="s">
        <v>35</v>
      </c>
      <c r="O22" s="16" t="s">
        <v>64</v>
      </c>
      <c r="P22" s="16"/>
      <c r="Q22" s="16"/>
      <c r="R22" s="16"/>
      <c r="S22" s="16"/>
    </row>
    <row r="23" customFormat="false" ht="15" hidden="true" customHeight="false" outlineLevel="0" collapsed="false">
      <c r="B23" s="21" t="s">
        <v>65</v>
      </c>
      <c r="C23" s="21" t="s">
        <v>66</v>
      </c>
      <c r="D23" s="21" t="n">
        <v>4702080081</v>
      </c>
      <c r="E23" s="21" t="s">
        <v>39</v>
      </c>
      <c r="F23" s="21" t="s">
        <v>52</v>
      </c>
      <c r="G23" s="21" t="s">
        <v>53</v>
      </c>
      <c r="H23" s="21" t="n">
        <v>40</v>
      </c>
      <c r="I23" s="21" t="n">
        <v>40</v>
      </c>
      <c r="J23" s="21" t="n">
        <v>5</v>
      </c>
      <c r="K23" s="24" t="n">
        <v>46089</v>
      </c>
      <c r="L23" s="24" t="n">
        <v>46117</v>
      </c>
      <c r="M23" s="20" t="n">
        <f aca="false">+I23/H23</f>
        <v>1</v>
      </c>
      <c r="N23" s="21" t="s">
        <v>37</v>
      </c>
      <c r="O23" s="21"/>
      <c r="P23" s="21"/>
      <c r="Q23" s="21"/>
      <c r="R23" s="21" t="s">
        <v>54</v>
      </c>
      <c r="S23" s="21" t="s">
        <v>32</v>
      </c>
    </row>
    <row r="24" customFormat="false" ht="15" hidden="true" customHeight="false" outlineLevel="0" collapsed="false">
      <c r="B24" s="16" t="s">
        <v>65</v>
      </c>
      <c r="C24" s="21" t="s">
        <v>67</v>
      </c>
      <c r="D24" s="16" t="n">
        <v>4702080081</v>
      </c>
      <c r="E24" s="16" t="s">
        <v>39</v>
      </c>
      <c r="F24" s="16" t="s">
        <v>68</v>
      </c>
      <c r="G24" s="16" t="s">
        <v>69</v>
      </c>
      <c r="H24" s="16" t="n">
        <v>40</v>
      </c>
      <c r="I24" s="16" t="n">
        <v>40</v>
      </c>
      <c r="J24" s="16" t="n">
        <v>5</v>
      </c>
      <c r="K24" s="19" t="n">
        <v>46089</v>
      </c>
      <c r="L24" s="19" t="n">
        <v>46117</v>
      </c>
      <c r="M24" s="20" t="n">
        <f aca="false">+I24/H24</f>
        <v>1</v>
      </c>
      <c r="N24" s="16" t="s">
        <v>37</v>
      </c>
      <c r="O24" s="16"/>
      <c r="P24" s="16"/>
      <c r="Q24" s="16"/>
      <c r="R24" s="16"/>
      <c r="S24" s="16"/>
    </row>
    <row r="25" customFormat="false" ht="15" hidden="true" customHeight="false" outlineLevel="0" collapsed="false">
      <c r="B25" s="21" t="s">
        <v>65</v>
      </c>
      <c r="C25" s="21" t="s">
        <v>70</v>
      </c>
      <c r="D25" s="21" t="n">
        <v>4702080081</v>
      </c>
      <c r="E25" s="21" t="s">
        <v>39</v>
      </c>
      <c r="F25" s="21" t="s">
        <v>71</v>
      </c>
      <c r="G25" s="21" t="s">
        <v>72</v>
      </c>
      <c r="H25" s="21" t="n">
        <v>40</v>
      </c>
      <c r="I25" s="21" t="n">
        <v>40</v>
      </c>
      <c r="J25" s="21" t="n">
        <v>5</v>
      </c>
      <c r="K25" s="24" t="n">
        <v>46089</v>
      </c>
      <c r="L25" s="24" t="n">
        <v>46117</v>
      </c>
      <c r="M25" s="20" t="n">
        <f aca="false">+I25/H25</f>
        <v>1</v>
      </c>
      <c r="N25" s="21" t="s">
        <v>37</v>
      </c>
      <c r="O25" s="21"/>
      <c r="P25" s="21"/>
      <c r="Q25" s="21"/>
      <c r="R25" s="21" t="s">
        <v>54</v>
      </c>
      <c r="S25" s="21" t="s">
        <v>32</v>
      </c>
    </row>
    <row r="26" customFormat="false" ht="15" hidden="true" customHeight="false" outlineLevel="0" collapsed="false">
      <c r="B26" s="16" t="s">
        <v>65</v>
      </c>
      <c r="C26" s="21" t="s">
        <v>73</v>
      </c>
      <c r="D26" s="21" t="n">
        <v>4702080081</v>
      </c>
      <c r="E26" s="16" t="s">
        <v>39</v>
      </c>
      <c r="F26" s="16" t="s">
        <v>56</v>
      </c>
      <c r="G26" s="16" t="s">
        <v>57</v>
      </c>
      <c r="H26" s="16" t="n">
        <v>40</v>
      </c>
      <c r="I26" s="16" t="n">
        <v>40</v>
      </c>
      <c r="J26" s="16" t="n">
        <v>5</v>
      </c>
      <c r="K26" s="19" t="n">
        <v>46089</v>
      </c>
      <c r="L26" s="19" t="n">
        <v>46117</v>
      </c>
      <c r="M26" s="20" t="n">
        <f aca="false">+I26/H26</f>
        <v>1</v>
      </c>
      <c r="N26" s="16" t="s">
        <v>37</v>
      </c>
      <c r="O26" s="16"/>
      <c r="P26" s="16"/>
      <c r="Q26" s="16"/>
      <c r="R26" s="16" t="s">
        <v>54</v>
      </c>
      <c r="S26" s="16" t="s">
        <v>32</v>
      </c>
    </row>
    <row r="27" customFormat="false" ht="15" hidden="true" customHeight="false" outlineLevel="0" collapsed="false">
      <c r="B27" s="21" t="s">
        <v>65</v>
      </c>
      <c r="C27" s="21" t="s">
        <v>66</v>
      </c>
      <c r="D27" s="21" t="n">
        <v>4702080082</v>
      </c>
      <c r="E27" s="21" t="s">
        <v>39</v>
      </c>
      <c r="F27" s="21" t="s">
        <v>52</v>
      </c>
      <c r="G27" s="21" t="s">
        <v>53</v>
      </c>
      <c r="H27" s="21" t="n">
        <v>294</v>
      </c>
      <c r="I27" s="21" t="n">
        <v>294</v>
      </c>
      <c r="J27" s="21" t="n">
        <v>49</v>
      </c>
      <c r="K27" s="24" t="n">
        <v>46089</v>
      </c>
      <c r="L27" s="24" t="n">
        <v>46117</v>
      </c>
      <c r="M27" s="20" t="n">
        <f aca="false">+I27/H27</f>
        <v>1</v>
      </c>
      <c r="N27" s="16" t="s">
        <v>37</v>
      </c>
      <c r="O27" s="21"/>
      <c r="P27" s="21"/>
      <c r="Q27" s="21"/>
      <c r="R27" s="21" t="s">
        <v>54</v>
      </c>
      <c r="S27" s="21" t="s">
        <v>32</v>
      </c>
    </row>
    <row r="28" customFormat="false" ht="15" hidden="true" customHeight="false" outlineLevel="0" collapsed="false">
      <c r="B28" s="16" t="s">
        <v>65</v>
      </c>
      <c r="C28" s="21" t="s">
        <v>67</v>
      </c>
      <c r="D28" s="21" t="n">
        <v>4702080082</v>
      </c>
      <c r="E28" s="16" t="s">
        <v>39</v>
      </c>
      <c r="F28" s="16" t="s">
        <v>68</v>
      </c>
      <c r="G28" s="16" t="s">
        <v>69</v>
      </c>
      <c r="H28" s="16" t="n">
        <v>330</v>
      </c>
      <c r="I28" s="16" t="n">
        <v>330</v>
      </c>
      <c r="J28" s="16" t="n">
        <v>55</v>
      </c>
      <c r="K28" s="19" t="n">
        <v>46089</v>
      </c>
      <c r="L28" s="19" t="n">
        <v>46117</v>
      </c>
      <c r="M28" s="20" t="n">
        <f aca="false">+I28/H28</f>
        <v>1</v>
      </c>
      <c r="N28" s="16" t="s">
        <v>37</v>
      </c>
      <c r="O28" s="16"/>
      <c r="P28" s="16"/>
      <c r="Q28" s="16"/>
      <c r="R28" s="16"/>
      <c r="S28" s="16"/>
    </row>
    <row r="29" customFormat="false" ht="15" hidden="true" customHeight="false" outlineLevel="0" collapsed="false">
      <c r="B29" s="21" t="s">
        <v>65</v>
      </c>
      <c r="C29" s="21" t="s">
        <v>70</v>
      </c>
      <c r="D29" s="21" t="n">
        <v>4702080082</v>
      </c>
      <c r="E29" s="21" t="s">
        <v>39</v>
      </c>
      <c r="F29" s="21" t="s">
        <v>71</v>
      </c>
      <c r="G29" s="21" t="s">
        <v>72</v>
      </c>
      <c r="H29" s="21" t="n">
        <v>294</v>
      </c>
      <c r="I29" s="21" t="n">
        <v>294</v>
      </c>
      <c r="J29" s="21" t="n">
        <v>49</v>
      </c>
      <c r="K29" s="24" t="n">
        <v>46089</v>
      </c>
      <c r="L29" s="24" t="n">
        <v>46117</v>
      </c>
      <c r="M29" s="20" t="n">
        <f aca="false">+I29/H29</f>
        <v>1</v>
      </c>
      <c r="N29" s="16" t="s">
        <v>37</v>
      </c>
      <c r="O29" s="21"/>
      <c r="P29" s="21"/>
      <c r="Q29" s="21"/>
      <c r="R29" s="21" t="s">
        <v>54</v>
      </c>
      <c r="S29" s="21" t="s">
        <v>32</v>
      </c>
    </row>
    <row r="30" customFormat="false" ht="15" hidden="true" customHeight="false" outlineLevel="0" collapsed="false">
      <c r="B30" s="16" t="s">
        <v>65</v>
      </c>
      <c r="C30" s="16" t="s">
        <v>73</v>
      </c>
      <c r="D30" s="21" t="n">
        <v>4702080082</v>
      </c>
      <c r="E30" s="16" t="s">
        <v>39</v>
      </c>
      <c r="F30" s="16" t="s">
        <v>56</v>
      </c>
      <c r="G30" s="16" t="s">
        <v>57</v>
      </c>
      <c r="H30" s="16" t="n">
        <v>294</v>
      </c>
      <c r="I30" s="16" t="n">
        <v>294</v>
      </c>
      <c r="J30" s="16" t="n">
        <v>49</v>
      </c>
      <c r="K30" s="19" t="n">
        <v>46089</v>
      </c>
      <c r="L30" s="19" t="n">
        <v>46117</v>
      </c>
      <c r="M30" s="20" t="n">
        <f aca="false">+I30/H30</f>
        <v>1</v>
      </c>
      <c r="N30" s="16" t="s">
        <v>37</v>
      </c>
      <c r="O30" s="16"/>
      <c r="P30" s="16"/>
      <c r="Q30" s="16"/>
      <c r="R30" s="16" t="s">
        <v>54</v>
      </c>
      <c r="S30" s="16" t="s">
        <v>32</v>
      </c>
    </row>
    <row r="31" customFormat="false" ht="15" hidden="true" customHeight="false" outlineLevel="0" collapsed="false">
      <c r="B31" s="21" t="s">
        <v>65</v>
      </c>
      <c r="C31" s="21" t="s">
        <v>66</v>
      </c>
      <c r="D31" s="21" t="n">
        <v>4702080083</v>
      </c>
      <c r="E31" s="21" t="s">
        <v>39</v>
      </c>
      <c r="F31" s="21" t="s">
        <v>52</v>
      </c>
      <c r="G31" s="21" t="s">
        <v>53</v>
      </c>
      <c r="H31" s="21" t="n">
        <v>200</v>
      </c>
      <c r="I31" s="21" t="n">
        <v>200</v>
      </c>
      <c r="J31" s="21" t="n">
        <v>25</v>
      </c>
      <c r="K31" s="24" t="n">
        <v>46089</v>
      </c>
      <c r="L31" s="24" t="n">
        <v>46117</v>
      </c>
      <c r="M31" s="20" t="n">
        <f aca="false">+I31/H31</f>
        <v>1</v>
      </c>
      <c r="N31" s="16" t="s">
        <v>37</v>
      </c>
      <c r="O31" s="21"/>
      <c r="P31" s="21"/>
      <c r="Q31" s="21"/>
      <c r="R31" s="21" t="s">
        <v>54</v>
      </c>
      <c r="S31" s="21" t="s">
        <v>32</v>
      </c>
    </row>
    <row r="32" customFormat="false" ht="15" hidden="true" customHeight="false" outlineLevel="0" collapsed="false">
      <c r="B32" s="16" t="s">
        <v>65</v>
      </c>
      <c r="C32" s="16" t="s">
        <v>67</v>
      </c>
      <c r="D32" s="21" t="n">
        <v>4702080083</v>
      </c>
      <c r="E32" s="16" t="s">
        <v>39</v>
      </c>
      <c r="F32" s="16" t="s">
        <v>68</v>
      </c>
      <c r="G32" s="16" t="s">
        <v>69</v>
      </c>
      <c r="H32" s="16" t="n">
        <v>264</v>
      </c>
      <c r="I32" s="16" t="n">
        <v>264</v>
      </c>
      <c r="J32" s="16" t="n">
        <v>33</v>
      </c>
      <c r="K32" s="19" t="n">
        <v>46089</v>
      </c>
      <c r="L32" s="19" t="n">
        <v>46117</v>
      </c>
      <c r="M32" s="20" t="n">
        <f aca="false">+I32/H32</f>
        <v>1</v>
      </c>
      <c r="N32" s="16" t="s">
        <v>37</v>
      </c>
      <c r="O32" s="16"/>
      <c r="P32" s="16"/>
      <c r="Q32" s="16"/>
      <c r="R32" s="16"/>
      <c r="S32" s="16"/>
    </row>
    <row r="33" customFormat="false" ht="15" hidden="true" customHeight="false" outlineLevel="0" collapsed="false">
      <c r="B33" s="21" t="s">
        <v>65</v>
      </c>
      <c r="C33" s="21" t="s">
        <v>70</v>
      </c>
      <c r="D33" s="21" t="n">
        <v>4702080083</v>
      </c>
      <c r="E33" s="21" t="s">
        <v>39</v>
      </c>
      <c r="F33" s="21" t="s">
        <v>71</v>
      </c>
      <c r="G33" s="21" t="s">
        <v>72</v>
      </c>
      <c r="H33" s="21" t="n">
        <v>200</v>
      </c>
      <c r="I33" s="21" t="n">
        <v>200</v>
      </c>
      <c r="J33" s="21" t="n">
        <v>25</v>
      </c>
      <c r="K33" s="24" t="n">
        <v>46089</v>
      </c>
      <c r="L33" s="24" t="n">
        <v>46117</v>
      </c>
      <c r="M33" s="20" t="n">
        <f aca="false">+I33/H33</f>
        <v>1</v>
      </c>
      <c r="N33" s="16" t="s">
        <v>37</v>
      </c>
      <c r="O33" s="21"/>
      <c r="P33" s="21"/>
      <c r="Q33" s="21"/>
      <c r="R33" s="21" t="s">
        <v>54</v>
      </c>
      <c r="S33" s="21" t="s">
        <v>32</v>
      </c>
    </row>
    <row r="34" customFormat="false" ht="15" hidden="true" customHeight="false" outlineLevel="0" collapsed="false">
      <c r="B34" s="16" t="s">
        <v>65</v>
      </c>
      <c r="C34" s="16" t="s">
        <v>73</v>
      </c>
      <c r="D34" s="21" t="n">
        <v>4702080083</v>
      </c>
      <c r="E34" s="16" t="s">
        <v>39</v>
      </c>
      <c r="F34" s="16" t="s">
        <v>56</v>
      </c>
      <c r="G34" s="16" t="s">
        <v>57</v>
      </c>
      <c r="H34" s="16" t="n">
        <v>200</v>
      </c>
      <c r="I34" s="16" t="n">
        <v>200</v>
      </c>
      <c r="J34" s="16" t="n">
        <v>25</v>
      </c>
      <c r="K34" s="19" t="n">
        <v>46089</v>
      </c>
      <c r="L34" s="19" t="n">
        <v>46117</v>
      </c>
      <c r="M34" s="20" t="n">
        <f aca="false">+I34/H34</f>
        <v>1</v>
      </c>
      <c r="N34" s="16" t="s">
        <v>37</v>
      </c>
      <c r="O34" s="16"/>
      <c r="P34" s="16"/>
      <c r="Q34" s="16"/>
      <c r="R34" s="16" t="s">
        <v>54</v>
      </c>
      <c r="S34" s="16" t="s">
        <v>32</v>
      </c>
    </row>
    <row r="35" customFormat="false" ht="15" hidden="true" customHeight="false" outlineLevel="0" collapsed="false">
      <c r="B35" s="21" t="s">
        <v>65</v>
      </c>
      <c r="C35" s="21" t="s">
        <v>66</v>
      </c>
      <c r="D35" s="21" t="n">
        <v>4702080084</v>
      </c>
      <c r="E35" s="21" t="s">
        <v>39</v>
      </c>
      <c r="F35" s="21" t="s">
        <v>52</v>
      </c>
      <c r="G35" s="21" t="s">
        <v>53</v>
      </c>
      <c r="H35" s="21" t="n">
        <v>168</v>
      </c>
      <c r="I35" s="21" t="n">
        <v>168</v>
      </c>
      <c r="J35" s="21" t="n">
        <v>28</v>
      </c>
      <c r="K35" s="24" t="n">
        <v>46089</v>
      </c>
      <c r="L35" s="24" t="n">
        <v>46117</v>
      </c>
      <c r="M35" s="20" t="n">
        <f aca="false">+I35/H35</f>
        <v>1</v>
      </c>
      <c r="N35" s="16" t="s">
        <v>37</v>
      </c>
      <c r="O35" s="21"/>
      <c r="P35" s="21"/>
      <c r="Q35" s="21"/>
      <c r="R35" s="21" t="s">
        <v>54</v>
      </c>
      <c r="S35" s="21" t="s">
        <v>32</v>
      </c>
    </row>
    <row r="36" customFormat="false" ht="15" hidden="true" customHeight="false" outlineLevel="0" collapsed="false">
      <c r="B36" s="16" t="s">
        <v>65</v>
      </c>
      <c r="C36" s="16" t="s">
        <v>67</v>
      </c>
      <c r="D36" s="21" t="n">
        <v>4702080084</v>
      </c>
      <c r="E36" s="16" t="s">
        <v>39</v>
      </c>
      <c r="F36" s="16" t="s">
        <v>68</v>
      </c>
      <c r="G36" s="16" t="s">
        <v>69</v>
      </c>
      <c r="H36" s="16" t="n">
        <v>204</v>
      </c>
      <c r="I36" s="16" t="n">
        <v>204</v>
      </c>
      <c r="J36" s="16" t="n">
        <v>34</v>
      </c>
      <c r="K36" s="19" t="n">
        <v>46089</v>
      </c>
      <c r="L36" s="19" t="n">
        <v>46117</v>
      </c>
      <c r="M36" s="20" t="n">
        <f aca="false">+I36/H36</f>
        <v>1</v>
      </c>
      <c r="N36" s="16" t="s">
        <v>37</v>
      </c>
      <c r="O36" s="16"/>
      <c r="P36" s="16"/>
      <c r="Q36" s="16"/>
      <c r="R36" s="16"/>
      <c r="S36" s="16"/>
    </row>
    <row r="37" customFormat="false" ht="15" hidden="true" customHeight="false" outlineLevel="0" collapsed="false">
      <c r="B37" s="21" t="s">
        <v>65</v>
      </c>
      <c r="C37" s="21" t="s">
        <v>70</v>
      </c>
      <c r="D37" s="21" t="n">
        <v>4702080084</v>
      </c>
      <c r="E37" s="21" t="s">
        <v>39</v>
      </c>
      <c r="F37" s="21" t="s">
        <v>71</v>
      </c>
      <c r="G37" s="21" t="s">
        <v>72</v>
      </c>
      <c r="H37" s="21" t="n">
        <v>168</v>
      </c>
      <c r="I37" s="21" t="n">
        <v>168</v>
      </c>
      <c r="J37" s="21" t="n">
        <v>28</v>
      </c>
      <c r="K37" s="24" t="n">
        <v>46089</v>
      </c>
      <c r="L37" s="24" t="n">
        <v>46117</v>
      </c>
      <c r="M37" s="20" t="n">
        <f aca="false">+I37/H37</f>
        <v>1</v>
      </c>
      <c r="N37" s="16" t="s">
        <v>37</v>
      </c>
      <c r="O37" s="21"/>
      <c r="P37" s="21"/>
      <c r="Q37" s="21"/>
      <c r="R37" s="21" t="s">
        <v>54</v>
      </c>
      <c r="S37" s="21" t="s">
        <v>32</v>
      </c>
    </row>
    <row r="38" customFormat="false" ht="15" hidden="true" customHeight="false" outlineLevel="0" collapsed="false">
      <c r="B38" s="16" t="s">
        <v>65</v>
      </c>
      <c r="C38" s="16" t="s">
        <v>73</v>
      </c>
      <c r="D38" s="21" t="n">
        <v>4702080084</v>
      </c>
      <c r="E38" s="16" t="s">
        <v>39</v>
      </c>
      <c r="F38" s="16" t="s">
        <v>56</v>
      </c>
      <c r="G38" s="16" t="s">
        <v>57</v>
      </c>
      <c r="H38" s="16" t="n">
        <v>168</v>
      </c>
      <c r="I38" s="16" t="n">
        <v>168</v>
      </c>
      <c r="J38" s="16" t="n">
        <v>28</v>
      </c>
      <c r="K38" s="19" t="n">
        <v>46089</v>
      </c>
      <c r="L38" s="19" t="n">
        <v>46117</v>
      </c>
      <c r="M38" s="20" t="n">
        <f aca="false">+I38/H38</f>
        <v>1</v>
      </c>
      <c r="N38" s="16" t="s">
        <v>37</v>
      </c>
      <c r="O38" s="16"/>
      <c r="P38" s="16"/>
      <c r="Q38" s="16"/>
      <c r="R38" s="16" t="s">
        <v>54</v>
      </c>
      <c r="S38" s="16" t="s">
        <v>32</v>
      </c>
    </row>
    <row r="39" customFormat="false" ht="15" hidden="true" customHeight="false" outlineLevel="0" collapsed="false">
      <c r="B39" s="21" t="s">
        <v>65</v>
      </c>
      <c r="C39" s="21" t="s">
        <v>67</v>
      </c>
      <c r="D39" s="21" t="n">
        <v>4702080085</v>
      </c>
      <c r="E39" s="21" t="s">
        <v>39</v>
      </c>
      <c r="F39" s="21" t="s">
        <v>68</v>
      </c>
      <c r="G39" s="21" t="s">
        <v>69</v>
      </c>
      <c r="H39" s="21" t="n">
        <v>24</v>
      </c>
      <c r="I39" s="21" t="n">
        <v>24</v>
      </c>
      <c r="J39" s="21" t="n">
        <v>2</v>
      </c>
      <c r="K39" s="24" t="n">
        <v>46089</v>
      </c>
      <c r="L39" s="24" t="n">
        <v>46117</v>
      </c>
      <c r="M39" s="20" t="n">
        <f aca="false">+I39/H39</f>
        <v>1</v>
      </c>
      <c r="N39" s="21" t="s">
        <v>37</v>
      </c>
      <c r="O39" s="21"/>
      <c r="P39" s="21"/>
      <c r="Q39" s="21"/>
      <c r="R39" s="21"/>
      <c r="S39" s="21"/>
    </row>
    <row r="40" customFormat="false" ht="15" hidden="true" customHeight="false" outlineLevel="0" collapsed="false">
      <c r="B40" s="16" t="s">
        <v>65</v>
      </c>
      <c r="C40" s="16" t="s">
        <v>66</v>
      </c>
      <c r="D40" s="21" t="n">
        <v>4702080086</v>
      </c>
      <c r="E40" s="16" t="s">
        <v>39</v>
      </c>
      <c r="F40" s="16" t="s">
        <v>52</v>
      </c>
      <c r="G40" s="16" t="s">
        <v>53</v>
      </c>
      <c r="H40" s="16" t="n">
        <v>72</v>
      </c>
      <c r="I40" s="16" t="n">
        <v>72</v>
      </c>
      <c r="J40" s="16" t="n">
        <v>12</v>
      </c>
      <c r="K40" s="19" t="n">
        <v>46089</v>
      </c>
      <c r="L40" s="19" t="n">
        <v>46117</v>
      </c>
      <c r="M40" s="20" t="n">
        <f aca="false">+I40/H40</f>
        <v>1</v>
      </c>
      <c r="N40" s="16" t="s">
        <v>37</v>
      </c>
      <c r="O40" s="16"/>
      <c r="P40" s="16"/>
      <c r="Q40" s="16"/>
      <c r="R40" s="16" t="s">
        <v>54</v>
      </c>
      <c r="S40" s="16" t="s">
        <v>32</v>
      </c>
    </row>
    <row r="41" customFormat="false" ht="15" hidden="true" customHeight="false" outlineLevel="0" collapsed="false">
      <c r="B41" s="21" t="s">
        <v>65</v>
      </c>
      <c r="C41" s="21" t="s">
        <v>67</v>
      </c>
      <c r="D41" s="21" t="n">
        <v>4702080086</v>
      </c>
      <c r="E41" s="21" t="s">
        <v>39</v>
      </c>
      <c r="F41" s="21" t="s">
        <v>68</v>
      </c>
      <c r="G41" s="21" t="s">
        <v>69</v>
      </c>
      <c r="H41" s="21" t="n">
        <v>90</v>
      </c>
      <c r="I41" s="21" t="n">
        <v>90</v>
      </c>
      <c r="J41" s="21" t="n">
        <v>15</v>
      </c>
      <c r="K41" s="24" t="n">
        <v>46089</v>
      </c>
      <c r="L41" s="24" t="n">
        <v>46117</v>
      </c>
      <c r="M41" s="20" t="n">
        <f aca="false">+I41/H41</f>
        <v>1</v>
      </c>
      <c r="N41" s="21" t="s">
        <v>37</v>
      </c>
      <c r="O41" s="21"/>
      <c r="P41" s="21"/>
      <c r="Q41" s="21"/>
      <c r="R41" s="21"/>
      <c r="S41" s="21"/>
    </row>
    <row r="42" customFormat="false" ht="15" hidden="true" customHeight="false" outlineLevel="0" collapsed="false">
      <c r="B42" s="21" t="s">
        <v>65</v>
      </c>
      <c r="C42" s="16" t="s">
        <v>70</v>
      </c>
      <c r="D42" s="21" t="n">
        <v>4702080086</v>
      </c>
      <c r="E42" s="16" t="s">
        <v>39</v>
      </c>
      <c r="F42" s="16" t="s">
        <v>71</v>
      </c>
      <c r="G42" s="16" t="s">
        <v>72</v>
      </c>
      <c r="H42" s="16" t="n">
        <v>72</v>
      </c>
      <c r="I42" s="16" t="n">
        <v>72</v>
      </c>
      <c r="J42" s="16" t="n">
        <v>12</v>
      </c>
      <c r="K42" s="19" t="n">
        <v>46089</v>
      </c>
      <c r="L42" s="19" t="n">
        <v>46117</v>
      </c>
      <c r="M42" s="20" t="n">
        <f aca="false">+I42/H42</f>
        <v>1</v>
      </c>
      <c r="N42" s="16" t="s">
        <v>37</v>
      </c>
      <c r="O42" s="16"/>
      <c r="P42" s="16"/>
      <c r="Q42" s="16"/>
      <c r="R42" s="16" t="s">
        <v>54</v>
      </c>
      <c r="S42" s="16" t="s">
        <v>32</v>
      </c>
    </row>
    <row r="43" customFormat="false" ht="15" hidden="true" customHeight="false" outlineLevel="0" collapsed="false">
      <c r="B43" s="21" t="s">
        <v>65</v>
      </c>
      <c r="C43" s="21" t="s">
        <v>73</v>
      </c>
      <c r="D43" s="21" t="n">
        <v>4702080086</v>
      </c>
      <c r="E43" s="21" t="s">
        <v>39</v>
      </c>
      <c r="F43" s="21" t="s">
        <v>56</v>
      </c>
      <c r="G43" s="21" t="s">
        <v>57</v>
      </c>
      <c r="H43" s="21" t="n">
        <v>72</v>
      </c>
      <c r="I43" s="21" t="n">
        <v>72</v>
      </c>
      <c r="J43" s="21" t="n">
        <v>12</v>
      </c>
      <c r="K43" s="24" t="n">
        <v>46089</v>
      </c>
      <c r="L43" s="24" t="n">
        <v>46117</v>
      </c>
      <c r="M43" s="20" t="n">
        <f aca="false">+I43/H43</f>
        <v>1</v>
      </c>
      <c r="N43" s="21" t="s">
        <v>37</v>
      </c>
      <c r="O43" s="21"/>
      <c r="P43" s="21"/>
      <c r="Q43" s="21"/>
      <c r="R43" s="21" t="s">
        <v>54</v>
      </c>
      <c r="S43" s="21" t="s">
        <v>32</v>
      </c>
    </row>
    <row r="44" customFormat="false" ht="15" hidden="true" customHeight="false" outlineLevel="0" collapsed="false">
      <c r="B44" s="16" t="s">
        <v>65</v>
      </c>
      <c r="C44" s="16" t="s">
        <v>67</v>
      </c>
      <c r="D44" s="21" t="n">
        <v>4702080087</v>
      </c>
      <c r="E44" s="16" t="s">
        <v>39</v>
      </c>
      <c r="F44" s="16" t="s">
        <v>68</v>
      </c>
      <c r="G44" s="16" t="s">
        <v>69</v>
      </c>
      <c r="H44" s="16" t="n">
        <v>12</v>
      </c>
      <c r="I44" s="16" t="n">
        <v>12</v>
      </c>
      <c r="J44" s="16" t="n">
        <v>1</v>
      </c>
      <c r="K44" s="19" t="n">
        <v>46089</v>
      </c>
      <c r="L44" s="19" t="n">
        <v>46117</v>
      </c>
      <c r="M44" s="20" t="n">
        <f aca="false">+I44/H44</f>
        <v>1</v>
      </c>
      <c r="N44" s="16" t="s">
        <v>37</v>
      </c>
      <c r="O44" s="16"/>
      <c r="P44" s="16"/>
      <c r="Q44" s="16"/>
      <c r="R44" s="16" t="s">
        <v>54</v>
      </c>
      <c r="S44" s="16" t="s">
        <v>32</v>
      </c>
    </row>
    <row r="45" customFormat="false" ht="15" hidden="true" customHeight="false" outlineLevel="0" collapsed="false">
      <c r="B45" s="21" t="s">
        <v>65</v>
      </c>
      <c r="C45" s="21" t="s">
        <v>70</v>
      </c>
      <c r="D45" s="21" t="n">
        <v>4702080087</v>
      </c>
      <c r="E45" s="21" t="s">
        <v>39</v>
      </c>
      <c r="F45" s="21" t="s">
        <v>71</v>
      </c>
      <c r="G45" s="21" t="s">
        <v>72</v>
      </c>
      <c r="H45" s="21" t="n">
        <v>12</v>
      </c>
      <c r="I45" s="21" t="n">
        <v>12</v>
      </c>
      <c r="J45" s="21" t="n">
        <v>1</v>
      </c>
      <c r="K45" s="24" t="n">
        <v>46089</v>
      </c>
      <c r="L45" s="24" t="n">
        <v>46117</v>
      </c>
      <c r="M45" s="20" t="n">
        <f aca="false">+I45/H45</f>
        <v>1</v>
      </c>
      <c r="N45" s="21" t="s">
        <v>37</v>
      </c>
      <c r="O45" s="21"/>
      <c r="P45" s="21"/>
      <c r="Q45" s="21"/>
      <c r="R45" s="21" t="s">
        <v>54</v>
      </c>
      <c r="S45" s="21" t="s">
        <v>32</v>
      </c>
    </row>
    <row r="46" customFormat="false" ht="15" hidden="true" customHeight="false" outlineLevel="0" collapsed="false">
      <c r="B46" s="16" t="s">
        <v>65</v>
      </c>
      <c r="C46" s="16" t="s">
        <v>66</v>
      </c>
      <c r="D46" s="21" t="n">
        <v>4702080087</v>
      </c>
      <c r="E46" s="16" t="s">
        <v>39</v>
      </c>
      <c r="F46" s="16" t="s">
        <v>52</v>
      </c>
      <c r="G46" s="16" t="s">
        <v>53</v>
      </c>
      <c r="H46" s="16" t="n">
        <v>12</v>
      </c>
      <c r="I46" s="16" t="n">
        <v>12</v>
      </c>
      <c r="J46" s="16" t="n">
        <v>1</v>
      </c>
      <c r="K46" s="19" t="n">
        <v>46089</v>
      </c>
      <c r="L46" s="19" t="n">
        <v>46117</v>
      </c>
      <c r="M46" s="20" t="n">
        <f aca="false">+I46/H46</f>
        <v>1</v>
      </c>
      <c r="N46" s="16" t="s">
        <v>37</v>
      </c>
      <c r="O46" s="16"/>
      <c r="P46" s="16"/>
      <c r="Q46" s="16"/>
      <c r="R46" s="16"/>
      <c r="S46" s="16"/>
    </row>
    <row r="47" customFormat="false" ht="15" hidden="true" customHeight="false" outlineLevel="0" collapsed="false">
      <c r="B47" s="21" t="s">
        <v>65</v>
      </c>
      <c r="C47" s="21" t="s">
        <v>73</v>
      </c>
      <c r="D47" s="21" t="n">
        <v>4702080087</v>
      </c>
      <c r="E47" s="21" t="s">
        <v>39</v>
      </c>
      <c r="F47" s="21" t="s">
        <v>56</v>
      </c>
      <c r="G47" s="21" t="s">
        <v>57</v>
      </c>
      <c r="H47" s="21" t="n">
        <v>12</v>
      </c>
      <c r="I47" s="21" t="n">
        <v>12</v>
      </c>
      <c r="J47" s="21" t="n">
        <v>1</v>
      </c>
      <c r="K47" s="24" t="n">
        <v>46089</v>
      </c>
      <c r="L47" s="24" t="n">
        <v>46117</v>
      </c>
      <c r="M47" s="20" t="n">
        <f aca="false">+I47/H47</f>
        <v>1</v>
      </c>
      <c r="N47" s="21" t="s">
        <v>37</v>
      </c>
      <c r="O47" s="21"/>
      <c r="P47" s="21"/>
      <c r="Q47" s="21"/>
      <c r="R47" s="21" t="s">
        <v>54</v>
      </c>
      <c r="S47" s="21" t="s">
        <v>32</v>
      </c>
    </row>
    <row r="48" customFormat="false" ht="15" hidden="true" customHeight="false" outlineLevel="0" collapsed="false">
      <c r="B48" s="16" t="s">
        <v>65</v>
      </c>
      <c r="C48" s="16" t="s">
        <v>66</v>
      </c>
      <c r="D48" s="21" t="n">
        <v>4702080088</v>
      </c>
      <c r="E48" s="16" t="s">
        <v>39</v>
      </c>
      <c r="F48" s="16" t="s">
        <v>52</v>
      </c>
      <c r="G48" s="16" t="s">
        <v>53</v>
      </c>
      <c r="H48" s="16" t="n">
        <v>24</v>
      </c>
      <c r="I48" s="16" t="n">
        <v>24</v>
      </c>
      <c r="J48" s="16" t="n">
        <v>2</v>
      </c>
      <c r="K48" s="19" t="n">
        <v>46089</v>
      </c>
      <c r="L48" s="19" t="n">
        <v>46117</v>
      </c>
      <c r="M48" s="20" t="n">
        <f aca="false">+I48/H48</f>
        <v>1</v>
      </c>
      <c r="N48" s="16" t="s">
        <v>37</v>
      </c>
      <c r="O48" s="16"/>
      <c r="P48" s="16"/>
      <c r="Q48" s="16"/>
      <c r="R48" s="16" t="s">
        <v>54</v>
      </c>
      <c r="S48" s="16" t="s">
        <v>32</v>
      </c>
    </row>
    <row r="49" customFormat="false" ht="15" hidden="true" customHeight="false" outlineLevel="0" collapsed="false">
      <c r="B49" s="21" t="s">
        <v>65</v>
      </c>
      <c r="C49" s="21" t="s">
        <v>67</v>
      </c>
      <c r="D49" s="21" t="n">
        <v>4702080088</v>
      </c>
      <c r="E49" s="21" t="s">
        <v>39</v>
      </c>
      <c r="F49" s="21" t="s">
        <v>68</v>
      </c>
      <c r="G49" s="21" t="s">
        <v>69</v>
      </c>
      <c r="H49" s="21" t="n">
        <v>24</v>
      </c>
      <c r="I49" s="21" t="n">
        <v>24</v>
      </c>
      <c r="J49" s="21" t="n">
        <v>2</v>
      </c>
      <c r="K49" s="24" t="n">
        <v>46089</v>
      </c>
      <c r="L49" s="24" t="n">
        <v>46117</v>
      </c>
      <c r="M49" s="20" t="n">
        <f aca="false">+I49/H49</f>
        <v>1</v>
      </c>
      <c r="N49" s="21" t="s">
        <v>37</v>
      </c>
      <c r="O49" s="21"/>
      <c r="P49" s="21"/>
      <c r="Q49" s="21"/>
      <c r="R49" s="21"/>
      <c r="S49" s="21"/>
    </row>
    <row r="50" customFormat="false" ht="15" hidden="true" customHeight="false" outlineLevel="0" collapsed="false">
      <c r="B50" s="16" t="s">
        <v>65</v>
      </c>
      <c r="C50" s="16" t="s">
        <v>70</v>
      </c>
      <c r="D50" s="21" t="n">
        <v>4702080088</v>
      </c>
      <c r="E50" s="16" t="s">
        <v>39</v>
      </c>
      <c r="F50" s="16" t="s">
        <v>71</v>
      </c>
      <c r="G50" s="16" t="s">
        <v>72</v>
      </c>
      <c r="H50" s="16" t="n">
        <v>24</v>
      </c>
      <c r="I50" s="16" t="n">
        <v>24</v>
      </c>
      <c r="J50" s="16" t="n">
        <v>2</v>
      </c>
      <c r="K50" s="19" t="n">
        <v>46089</v>
      </c>
      <c r="L50" s="19" t="n">
        <v>46117</v>
      </c>
      <c r="M50" s="20" t="n">
        <f aca="false">+I50/H50</f>
        <v>1</v>
      </c>
      <c r="N50" s="16" t="s">
        <v>37</v>
      </c>
      <c r="O50" s="16"/>
      <c r="P50" s="16"/>
      <c r="Q50" s="16"/>
      <c r="R50" s="16" t="s">
        <v>54</v>
      </c>
      <c r="S50" s="16" t="s">
        <v>32</v>
      </c>
    </row>
    <row r="51" customFormat="false" ht="15" hidden="true" customHeight="false" outlineLevel="0" collapsed="false">
      <c r="B51" s="21" t="s">
        <v>65</v>
      </c>
      <c r="C51" s="21" t="s">
        <v>73</v>
      </c>
      <c r="D51" s="21" t="n">
        <v>4702080088</v>
      </c>
      <c r="E51" s="21" t="s">
        <v>39</v>
      </c>
      <c r="F51" s="21" t="s">
        <v>56</v>
      </c>
      <c r="G51" s="21" t="s">
        <v>57</v>
      </c>
      <c r="H51" s="21" t="n">
        <v>24</v>
      </c>
      <c r="I51" s="21" t="n">
        <v>24</v>
      </c>
      <c r="J51" s="21" t="n">
        <v>2</v>
      </c>
      <c r="K51" s="24" t="n">
        <v>46089</v>
      </c>
      <c r="L51" s="24" t="n">
        <v>46117</v>
      </c>
      <c r="M51" s="20" t="n">
        <f aca="false">+I51/H51</f>
        <v>1</v>
      </c>
      <c r="N51" s="21" t="s">
        <v>37</v>
      </c>
      <c r="O51" s="21"/>
      <c r="P51" s="21"/>
      <c r="Q51" s="21"/>
      <c r="R51" s="21" t="s">
        <v>54</v>
      </c>
      <c r="S51" s="21" t="s">
        <v>32</v>
      </c>
    </row>
    <row r="52" customFormat="false" ht="15" hidden="true" customHeight="false" outlineLevel="0" collapsed="false">
      <c r="B52" s="16" t="s">
        <v>65</v>
      </c>
      <c r="C52" s="16" t="s">
        <v>66</v>
      </c>
      <c r="D52" s="21" t="n">
        <v>4702080089</v>
      </c>
      <c r="E52" s="16" t="s">
        <v>39</v>
      </c>
      <c r="F52" s="16" t="s">
        <v>52</v>
      </c>
      <c r="G52" s="16" t="s">
        <v>53</v>
      </c>
      <c r="H52" s="16" t="n">
        <v>24</v>
      </c>
      <c r="I52" s="16" t="n">
        <v>24</v>
      </c>
      <c r="J52" s="16" t="n">
        <v>2</v>
      </c>
      <c r="K52" s="19" t="n">
        <v>46089</v>
      </c>
      <c r="L52" s="19" t="n">
        <v>46117</v>
      </c>
      <c r="M52" s="20" t="n">
        <f aca="false">+I52/H52</f>
        <v>1</v>
      </c>
      <c r="N52" s="16" t="s">
        <v>37</v>
      </c>
      <c r="O52" s="16"/>
      <c r="P52" s="16"/>
      <c r="Q52" s="16"/>
      <c r="R52" s="16" t="s">
        <v>54</v>
      </c>
      <c r="S52" s="16" t="s">
        <v>32</v>
      </c>
    </row>
    <row r="53" customFormat="false" ht="15" hidden="true" customHeight="false" outlineLevel="0" collapsed="false">
      <c r="B53" s="21" t="s">
        <v>65</v>
      </c>
      <c r="C53" s="21" t="s">
        <v>67</v>
      </c>
      <c r="D53" s="21" t="n">
        <v>4702080089</v>
      </c>
      <c r="E53" s="21" t="s">
        <v>39</v>
      </c>
      <c r="F53" s="21" t="s">
        <v>68</v>
      </c>
      <c r="G53" s="21" t="s">
        <v>69</v>
      </c>
      <c r="H53" s="21" t="n">
        <v>36</v>
      </c>
      <c r="I53" s="21" t="n">
        <v>36</v>
      </c>
      <c r="J53" s="21" t="n">
        <v>3</v>
      </c>
      <c r="K53" s="24" t="n">
        <v>46089</v>
      </c>
      <c r="L53" s="24" t="n">
        <v>46117</v>
      </c>
      <c r="M53" s="20" t="n">
        <f aca="false">+I53/H53</f>
        <v>1</v>
      </c>
      <c r="N53" s="21" t="s">
        <v>37</v>
      </c>
      <c r="O53" s="21"/>
      <c r="P53" s="21"/>
      <c r="Q53" s="21"/>
      <c r="R53" s="21"/>
      <c r="S53" s="21"/>
    </row>
    <row r="54" customFormat="false" ht="15" hidden="true" customHeight="false" outlineLevel="0" collapsed="false">
      <c r="B54" s="16" t="s">
        <v>65</v>
      </c>
      <c r="C54" s="16" t="s">
        <v>70</v>
      </c>
      <c r="D54" s="21" t="n">
        <v>4702080089</v>
      </c>
      <c r="E54" s="16" t="s">
        <v>39</v>
      </c>
      <c r="F54" s="16" t="s">
        <v>71</v>
      </c>
      <c r="G54" s="16" t="s">
        <v>72</v>
      </c>
      <c r="H54" s="16" t="n">
        <v>24</v>
      </c>
      <c r="I54" s="16" t="n">
        <v>24</v>
      </c>
      <c r="J54" s="16" t="n">
        <v>2</v>
      </c>
      <c r="K54" s="19" t="n">
        <v>46089</v>
      </c>
      <c r="L54" s="19" t="n">
        <v>46117</v>
      </c>
      <c r="M54" s="20" t="n">
        <f aca="false">+I54/H54</f>
        <v>1</v>
      </c>
      <c r="N54" s="16" t="s">
        <v>37</v>
      </c>
      <c r="O54" s="16"/>
      <c r="P54" s="16"/>
      <c r="Q54" s="16"/>
      <c r="R54" s="16" t="s">
        <v>54</v>
      </c>
      <c r="S54" s="16" t="s">
        <v>32</v>
      </c>
    </row>
    <row r="55" customFormat="false" ht="15" hidden="true" customHeight="false" outlineLevel="0" collapsed="false">
      <c r="B55" s="21" t="s">
        <v>65</v>
      </c>
      <c r="C55" s="21" t="s">
        <v>73</v>
      </c>
      <c r="D55" s="21" t="n">
        <v>4702080089</v>
      </c>
      <c r="E55" s="21" t="s">
        <v>39</v>
      </c>
      <c r="F55" s="21" t="s">
        <v>56</v>
      </c>
      <c r="G55" s="21" t="s">
        <v>57</v>
      </c>
      <c r="H55" s="21" t="n">
        <v>24</v>
      </c>
      <c r="I55" s="21" t="n">
        <v>24</v>
      </c>
      <c r="J55" s="21" t="n">
        <v>2</v>
      </c>
      <c r="K55" s="24" t="n">
        <v>46089</v>
      </c>
      <c r="L55" s="24" t="n">
        <v>46117</v>
      </c>
      <c r="M55" s="20" t="n">
        <f aca="false">+I55/H55</f>
        <v>1</v>
      </c>
      <c r="N55" s="21" t="s">
        <v>37</v>
      </c>
      <c r="O55" s="21"/>
      <c r="P55" s="21"/>
      <c r="Q55" s="21"/>
      <c r="R55" s="21" t="s">
        <v>54</v>
      </c>
      <c r="S55" s="21" t="s">
        <v>32</v>
      </c>
    </row>
    <row r="56" customFormat="false" ht="15" hidden="true" customHeight="false" outlineLevel="0" collapsed="false">
      <c r="B56" s="16" t="s">
        <v>65</v>
      </c>
      <c r="C56" s="16" t="s">
        <v>66</v>
      </c>
      <c r="D56" s="21" t="n">
        <v>4702080090</v>
      </c>
      <c r="E56" s="16" t="s">
        <v>39</v>
      </c>
      <c r="F56" s="16" t="s">
        <v>52</v>
      </c>
      <c r="G56" s="16" t="s">
        <v>53</v>
      </c>
      <c r="H56" s="16" t="n">
        <v>12</v>
      </c>
      <c r="I56" s="16" t="n">
        <v>12</v>
      </c>
      <c r="J56" s="16" t="n">
        <v>1</v>
      </c>
      <c r="K56" s="19" t="n">
        <v>46089</v>
      </c>
      <c r="L56" s="19" t="n">
        <v>46117</v>
      </c>
      <c r="M56" s="20" t="n">
        <f aca="false">+I56/H56</f>
        <v>1</v>
      </c>
      <c r="N56" s="16" t="s">
        <v>37</v>
      </c>
      <c r="O56" s="16"/>
      <c r="P56" s="16"/>
      <c r="Q56" s="16"/>
      <c r="R56" s="16" t="s">
        <v>54</v>
      </c>
      <c r="S56" s="16" t="s">
        <v>32</v>
      </c>
    </row>
    <row r="57" customFormat="false" ht="15" hidden="true" customHeight="false" outlineLevel="0" collapsed="false">
      <c r="B57" s="21" t="s">
        <v>65</v>
      </c>
      <c r="C57" s="21" t="s">
        <v>67</v>
      </c>
      <c r="D57" s="21" t="n">
        <v>4702080090</v>
      </c>
      <c r="E57" s="21" t="s">
        <v>39</v>
      </c>
      <c r="F57" s="21" t="s">
        <v>68</v>
      </c>
      <c r="G57" s="21" t="s">
        <v>69</v>
      </c>
      <c r="H57" s="21" t="n">
        <v>24</v>
      </c>
      <c r="I57" s="21" t="n">
        <v>24</v>
      </c>
      <c r="J57" s="21" t="n">
        <v>2</v>
      </c>
      <c r="K57" s="24" t="n">
        <v>46089</v>
      </c>
      <c r="L57" s="24" t="n">
        <v>46117</v>
      </c>
      <c r="M57" s="20" t="n">
        <f aca="false">+I57/H57</f>
        <v>1</v>
      </c>
      <c r="N57" s="21" t="s">
        <v>37</v>
      </c>
      <c r="O57" s="21"/>
      <c r="P57" s="21"/>
      <c r="Q57" s="21"/>
      <c r="R57" s="21"/>
      <c r="S57" s="21"/>
    </row>
    <row r="58" customFormat="false" ht="15" hidden="true" customHeight="false" outlineLevel="0" collapsed="false">
      <c r="B58" s="16" t="s">
        <v>65</v>
      </c>
      <c r="C58" s="16" t="s">
        <v>70</v>
      </c>
      <c r="D58" s="21" t="n">
        <v>4702080090</v>
      </c>
      <c r="E58" s="16" t="s">
        <v>39</v>
      </c>
      <c r="F58" s="16" t="s">
        <v>71</v>
      </c>
      <c r="G58" s="16" t="s">
        <v>72</v>
      </c>
      <c r="H58" s="16" t="n">
        <v>12</v>
      </c>
      <c r="I58" s="16" t="n">
        <v>12</v>
      </c>
      <c r="J58" s="16" t="n">
        <v>1</v>
      </c>
      <c r="K58" s="19" t="n">
        <v>46089</v>
      </c>
      <c r="L58" s="19" t="n">
        <v>46117</v>
      </c>
      <c r="M58" s="20" t="n">
        <f aca="false">+I58/H58</f>
        <v>1</v>
      </c>
      <c r="N58" s="16" t="s">
        <v>37</v>
      </c>
      <c r="O58" s="16"/>
      <c r="P58" s="16"/>
      <c r="Q58" s="16"/>
      <c r="R58" s="16" t="s">
        <v>54</v>
      </c>
      <c r="S58" s="16" t="s">
        <v>32</v>
      </c>
    </row>
    <row r="59" customFormat="false" ht="15" hidden="true" customHeight="false" outlineLevel="0" collapsed="false">
      <c r="B59" s="21" t="s">
        <v>65</v>
      </c>
      <c r="C59" s="21" t="s">
        <v>73</v>
      </c>
      <c r="D59" s="21" t="n">
        <v>4702080090</v>
      </c>
      <c r="E59" s="21" t="s">
        <v>39</v>
      </c>
      <c r="F59" s="21" t="s">
        <v>56</v>
      </c>
      <c r="G59" s="21" t="s">
        <v>57</v>
      </c>
      <c r="H59" s="21" t="n">
        <v>12</v>
      </c>
      <c r="I59" s="21" t="n">
        <v>12</v>
      </c>
      <c r="J59" s="21" t="n">
        <v>1</v>
      </c>
      <c r="K59" s="24" t="n">
        <v>46089</v>
      </c>
      <c r="L59" s="24" t="n">
        <v>46117</v>
      </c>
      <c r="M59" s="20" t="n">
        <f aca="false">+I59/H59</f>
        <v>1</v>
      </c>
      <c r="N59" s="21" t="s">
        <v>37</v>
      </c>
      <c r="O59" s="21"/>
      <c r="P59" s="21"/>
      <c r="Q59" s="21"/>
      <c r="R59" s="21" t="s">
        <v>54</v>
      </c>
      <c r="S59" s="21" t="s">
        <v>32</v>
      </c>
    </row>
    <row r="60" customFormat="false" ht="15" hidden="true" customHeight="false" outlineLevel="0" collapsed="false">
      <c r="B60" s="16" t="s">
        <v>65</v>
      </c>
      <c r="C60" s="16" t="s">
        <v>67</v>
      </c>
      <c r="D60" s="21" t="n">
        <v>4702080091</v>
      </c>
      <c r="E60" s="16" t="s">
        <v>39</v>
      </c>
      <c r="F60" s="16" t="s">
        <v>68</v>
      </c>
      <c r="G60" s="16" t="s">
        <v>69</v>
      </c>
      <c r="H60" s="16" t="n">
        <v>12</v>
      </c>
      <c r="I60" s="16" t="n">
        <v>12</v>
      </c>
      <c r="J60" s="16" t="n">
        <v>1</v>
      </c>
      <c r="K60" s="19" t="n">
        <v>46089</v>
      </c>
      <c r="L60" s="19" t="n">
        <v>46117</v>
      </c>
      <c r="M60" s="20" t="n">
        <f aca="false">+I60/H60</f>
        <v>1</v>
      </c>
      <c r="N60" s="16" t="s">
        <v>37</v>
      </c>
      <c r="O60" s="16"/>
      <c r="P60" s="16"/>
      <c r="Q60" s="16"/>
      <c r="R60" s="21"/>
      <c r="S60" s="16"/>
    </row>
    <row r="61" customFormat="false" ht="15" hidden="true" customHeight="false" outlineLevel="0" collapsed="false">
      <c r="B61" s="21"/>
      <c r="C61" s="21" t="s">
        <v>27</v>
      </c>
      <c r="D61" s="21" t="n">
        <v>4702067318</v>
      </c>
      <c r="E61" s="21" t="s">
        <v>74</v>
      </c>
      <c r="F61" s="21" t="s">
        <v>29</v>
      </c>
      <c r="G61" s="21" t="s">
        <v>58</v>
      </c>
      <c r="H61" s="21" t="n">
        <v>35</v>
      </c>
      <c r="I61" s="21" t="n">
        <v>35</v>
      </c>
      <c r="J61" s="21" t="n">
        <v>2</v>
      </c>
      <c r="K61" s="24" t="n">
        <v>46117</v>
      </c>
      <c r="L61" s="24" t="n">
        <v>46117</v>
      </c>
      <c r="M61" s="20" t="n">
        <f aca="false">+I61/H61</f>
        <v>1</v>
      </c>
      <c r="N61" s="16" t="s">
        <v>37</v>
      </c>
      <c r="O61" s="21"/>
      <c r="P61" s="21"/>
      <c r="Q61" s="21"/>
      <c r="R61" s="16" t="s">
        <v>31</v>
      </c>
      <c r="S61" s="16" t="s">
        <v>32</v>
      </c>
    </row>
    <row r="62" customFormat="false" ht="15" hidden="true" customHeight="false" outlineLevel="0" collapsed="false">
      <c r="B62" s="16"/>
      <c r="C62" s="16" t="s">
        <v>27</v>
      </c>
      <c r="D62" s="16" t="n">
        <v>4702067319</v>
      </c>
      <c r="E62" s="16" t="s">
        <v>74</v>
      </c>
      <c r="F62" s="16" t="s">
        <v>29</v>
      </c>
      <c r="G62" s="16" t="s">
        <v>58</v>
      </c>
      <c r="H62" s="16" t="n">
        <v>101</v>
      </c>
      <c r="I62" s="16" t="n">
        <v>101</v>
      </c>
      <c r="J62" s="16" t="n">
        <v>3</v>
      </c>
      <c r="K62" s="19" t="n">
        <v>46117</v>
      </c>
      <c r="L62" s="19" t="n">
        <v>46117</v>
      </c>
      <c r="M62" s="20" t="n">
        <f aca="false">+I62/H62</f>
        <v>1</v>
      </c>
      <c r="N62" s="16" t="s">
        <v>37</v>
      </c>
      <c r="O62" s="16"/>
      <c r="P62" s="16"/>
      <c r="Q62" s="16"/>
      <c r="R62" s="16" t="s">
        <v>31</v>
      </c>
      <c r="S62" s="16" t="s">
        <v>32</v>
      </c>
    </row>
    <row r="63" customFormat="false" ht="15" hidden="true" customHeight="false" outlineLevel="0" collapsed="false">
      <c r="B63" s="21"/>
      <c r="C63" s="21" t="s">
        <v>27</v>
      </c>
      <c r="D63" s="21" t="n">
        <v>4702067320</v>
      </c>
      <c r="E63" s="21" t="s">
        <v>74</v>
      </c>
      <c r="F63" s="21" t="s">
        <v>29</v>
      </c>
      <c r="G63" s="21" t="s">
        <v>58</v>
      </c>
      <c r="H63" s="21" t="n">
        <v>105</v>
      </c>
      <c r="I63" s="21" t="n">
        <v>105</v>
      </c>
      <c r="J63" s="21" t="n">
        <v>3</v>
      </c>
      <c r="K63" s="24" t="n">
        <v>46117</v>
      </c>
      <c r="L63" s="24" t="n">
        <v>46117</v>
      </c>
      <c r="M63" s="20" t="n">
        <f aca="false">+I63/H63</f>
        <v>1</v>
      </c>
      <c r="N63" s="16" t="s">
        <v>37</v>
      </c>
      <c r="O63" s="21"/>
      <c r="P63" s="21"/>
      <c r="Q63" s="21"/>
      <c r="R63" s="16" t="s">
        <v>31</v>
      </c>
      <c r="S63" s="16" t="s">
        <v>32</v>
      </c>
    </row>
    <row r="64" customFormat="false" ht="15" hidden="true" customHeight="false" outlineLevel="0" collapsed="false">
      <c r="B64" s="16"/>
      <c r="C64" s="16" t="s">
        <v>33</v>
      </c>
      <c r="D64" s="16" t="n">
        <v>4702067324</v>
      </c>
      <c r="E64" s="16" t="s">
        <v>74</v>
      </c>
      <c r="F64" s="16" t="s">
        <v>34</v>
      </c>
      <c r="G64" s="16" t="s">
        <v>62</v>
      </c>
      <c r="H64" s="16" t="n">
        <v>290</v>
      </c>
      <c r="I64" s="16"/>
      <c r="J64" s="16"/>
      <c r="K64" s="19" t="n">
        <v>46117</v>
      </c>
      <c r="L64" s="19" t="n">
        <v>46117</v>
      </c>
      <c r="M64" s="20" t="n">
        <f aca="false">+I64/H64</f>
        <v>0</v>
      </c>
      <c r="N64" s="16" t="s">
        <v>75</v>
      </c>
      <c r="O64" s="16"/>
      <c r="P64" s="16"/>
      <c r="Q64" s="16"/>
      <c r="R64" s="16"/>
      <c r="S64" s="16"/>
    </row>
    <row r="65" customFormat="false" ht="15" hidden="true" customHeight="false" outlineLevel="0" collapsed="false">
      <c r="B65" s="21"/>
      <c r="C65" s="21" t="s">
        <v>33</v>
      </c>
      <c r="D65" s="21" t="n">
        <v>4702067325</v>
      </c>
      <c r="E65" s="21" t="s">
        <v>74</v>
      </c>
      <c r="F65" s="21" t="s">
        <v>34</v>
      </c>
      <c r="G65" s="21" t="s">
        <v>62</v>
      </c>
      <c r="H65" s="21" t="n">
        <v>149</v>
      </c>
      <c r="I65" s="21" t="n">
        <v>44</v>
      </c>
      <c r="J65" s="21" t="n">
        <v>1</v>
      </c>
      <c r="K65" s="24" t="n">
        <v>46117</v>
      </c>
      <c r="L65" s="24" t="n">
        <v>46117</v>
      </c>
      <c r="M65" s="20" t="n">
        <f aca="false">+I65/H65</f>
        <v>0.295302013422819</v>
      </c>
      <c r="N65" s="21" t="s">
        <v>35</v>
      </c>
      <c r="O65" s="21"/>
      <c r="P65" s="21"/>
      <c r="Q65" s="21"/>
      <c r="R65" s="21"/>
      <c r="S65" s="21"/>
    </row>
    <row r="66" customFormat="false" ht="15" hidden="true" customHeight="false" outlineLevel="0" collapsed="false">
      <c r="B66" s="16"/>
      <c r="C66" s="16" t="s">
        <v>33</v>
      </c>
      <c r="D66" s="16" t="n">
        <v>4702067326</v>
      </c>
      <c r="E66" s="16" t="s">
        <v>74</v>
      </c>
      <c r="F66" s="16" t="s">
        <v>34</v>
      </c>
      <c r="G66" s="16" t="s">
        <v>62</v>
      </c>
      <c r="H66" s="16" t="n">
        <v>765</v>
      </c>
      <c r="I66" s="16"/>
      <c r="J66" s="16"/>
      <c r="K66" s="19" t="n">
        <v>46117</v>
      </c>
      <c r="L66" s="19" t="n">
        <v>46117</v>
      </c>
      <c r="M66" s="20" t="n">
        <f aca="false">+I66/H66</f>
        <v>0</v>
      </c>
      <c r="N66" s="16" t="s">
        <v>75</v>
      </c>
      <c r="O66" s="16"/>
      <c r="P66" s="16"/>
      <c r="Q66" s="16"/>
      <c r="R66" s="16"/>
      <c r="S66" s="16"/>
    </row>
    <row r="67" customFormat="false" ht="15" hidden="true" customHeight="false" outlineLevel="0" collapsed="false">
      <c r="B67" s="21"/>
      <c r="C67" s="21" t="s">
        <v>76</v>
      </c>
      <c r="D67" s="21" t="n">
        <v>4702067333</v>
      </c>
      <c r="E67" s="21" t="s">
        <v>74</v>
      </c>
      <c r="F67" s="21" t="s">
        <v>77</v>
      </c>
      <c r="G67" s="21" t="s">
        <v>78</v>
      </c>
      <c r="H67" s="21" t="n">
        <v>141</v>
      </c>
      <c r="I67" s="21" t="n">
        <v>141</v>
      </c>
      <c r="J67" s="21" t="n">
        <v>9</v>
      </c>
      <c r="K67" s="24" t="n">
        <v>46117</v>
      </c>
      <c r="L67" s="24" t="n">
        <v>46117</v>
      </c>
      <c r="M67" s="20" t="n">
        <f aca="false">+I67/H67</f>
        <v>1</v>
      </c>
      <c r="N67" s="21" t="s">
        <v>37</v>
      </c>
      <c r="O67" s="21"/>
      <c r="P67" s="21"/>
      <c r="Q67" s="21"/>
      <c r="R67" s="21"/>
      <c r="S67" s="21"/>
    </row>
    <row r="68" customFormat="false" ht="15" hidden="true" customHeight="false" outlineLevel="0" collapsed="false">
      <c r="B68" s="16"/>
      <c r="C68" s="16" t="s">
        <v>47</v>
      </c>
      <c r="D68" s="16" t="n">
        <v>4702067333</v>
      </c>
      <c r="E68" s="16" t="s">
        <v>74</v>
      </c>
      <c r="F68" s="16" t="s">
        <v>48</v>
      </c>
      <c r="G68" s="16" t="s">
        <v>49</v>
      </c>
      <c r="H68" s="16" t="n">
        <v>211</v>
      </c>
      <c r="I68" s="16" t="n">
        <v>211</v>
      </c>
      <c r="J68" s="16" t="n">
        <v>13</v>
      </c>
      <c r="K68" s="19" t="n">
        <v>46117</v>
      </c>
      <c r="L68" s="19" t="n">
        <v>46117</v>
      </c>
      <c r="M68" s="20" t="n">
        <f aca="false">+I68/H68</f>
        <v>1</v>
      </c>
      <c r="N68" s="16" t="s">
        <v>37</v>
      </c>
      <c r="O68" s="16"/>
      <c r="P68" s="16"/>
      <c r="Q68" s="16"/>
      <c r="R68" s="16"/>
      <c r="S68" s="16"/>
    </row>
    <row r="69" customFormat="false" ht="15" hidden="true" customHeight="false" outlineLevel="0" collapsed="false">
      <c r="B69" s="21"/>
      <c r="C69" s="21" t="s">
        <v>79</v>
      </c>
      <c r="D69" s="21" t="n">
        <v>4702067333</v>
      </c>
      <c r="E69" s="21" t="s">
        <v>74</v>
      </c>
      <c r="F69" s="21" t="s">
        <v>80</v>
      </c>
      <c r="G69" s="21" t="s">
        <v>81</v>
      </c>
      <c r="H69" s="21" t="n">
        <v>90</v>
      </c>
      <c r="I69" s="21" t="n">
        <v>90</v>
      </c>
      <c r="J69" s="21" t="n">
        <v>7</v>
      </c>
      <c r="K69" s="24" t="n">
        <v>46117</v>
      </c>
      <c r="L69" s="24" t="n">
        <v>46117</v>
      </c>
      <c r="M69" s="20" t="n">
        <f aca="false">+I69/H69</f>
        <v>1</v>
      </c>
      <c r="N69" s="21" t="s">
        <v>37</v>
      </c>
      <c r="O69" s="21"/>
      <c r="P69" s="21"/>
      <c r="Q69" s="21"/>
      <c r="R69" s="21"/>
      <c r="S69" s="21"/>
    </row>
    <row r="70" customFormat="false" ht="15" hidden="true" customHeight="false" outlineLevel="0" collapsed="false">
      <c r="B70" s="16"/>
      <c r="C70" s="16" t="s">
        <v>82</v>
      </c>
      <c r="D70" s="16" t="n">
        <v>4702067336</v>
      </c>
      <c r="E70" s="16" t="s">
        <v>74</v>
      </c>
      <c r="F70" s="16" t="s">
        <v>83</v>
      </c>
      <c r="G70" s="16" t="s">
        <v>84</v>
      </c>
      <c r="H70" s="16" t="n">
        <v>35</v>
      </c>
      <c r="I70" s="16" t="n">
        <v>35</v>
      </c>
      <c r="J70" s="16" t="n">
        <v>3</v>
      </c>
      <c r="K70" s="19" t="n">
        <v>46117</v>
      </c>
      <c r="L70" s="19" t="n">
        <v>46117</v>
      </c>
      <c r="M70" s="20" t="n">
        <f aca="false">+I70/H70</f>
        <v>1</v>
      </c>
      <c r="N70" s="16" t="s">
        <v>37</v>
      </c>
      <c r="O70" s="16"/>
      <c r="P70" s="16"/>
      <c r="Q70" s="16"/>
      <c r="R70" s="16"/>
      <c r="S70" s="16"/>
    </row>
    <row r="71" customFormat="false" ht="15" hidden="true" customHeight="false" outlineLevel="0" collapsed="false">
      <c r="B71" s="21"/>
      <c r="C71" s="21" t="s">
        <v>85</v>
      </c>
      <c r="D71" s="21" t="n">
        <v>4702095844</v>
      </c>
      <c r="E71" s="21" t="s">
        <v>39</v>
      </c>
      <c r="F71" s="23" t="n">
        <v>710967632002</v>
      </c>
      <c r="G71" s="21" t="s">
        <v>86</v>
      </c>
      <c r="H71" s="21" t="n">
        <v>3760</v>
      </c>
      <c r="I71" s="21"/>
      <c r="J71" s="21"/>
      <c r="K71" s="24" t="n">
        <v>46117</v>
      </c>
      <c r="L71" s="24" t="n">
        <v>46117</v>
      </c>
      <c r="M71" s="20" t="n">
        <f aca="false">+I71/H71</f>
        <v>0</v>
      </c>
      <c r="N71" s="21" t="s">
        <v>87</v>
      </c>
      <c r="O71" s="21"/>
      <c r="P71" s="21"/>
      <c r="Q71" s="21"/>
      <c r="R71" s="21"/>
      <c r="S71" s="21"/>
    </row>
    <row r="72" customFormat="false" ht="15" hidden="true" customHeight="false" outlineLevel="0" collapsed="false">
      <c r="B72" s="16"/>
      <c r="C72" s="16" t="s">
        <v>88</v>
      </c>
      <c r="D72" s="16" t="n">
        <v>4702095844</v>
      </c>
      <c r="E72" s="16" t="s">
        <v>39</v>
      </c>
      <c r="F72" s="18" t="n">
        <v>710967632005</v>
      </c>
      <c r="G72" s="16" t="s">
        <v>89</v>
      </c>
      <c r="H72" s="16" t="n">
        <v>3760</v>
      </c>
      <c r="I72" s="16"/>
      <c r="J72" s="16"/>
      <c r="K72" s="19" t="n">
        <v>46117</v>
      </c>
      <c r="L72" s="19" t="n">
        <v>46117</v>
      </c>
      <c r="M72" s="20" t="n">
        <f aca="false">+I72/H72</f>
        <v>0</v>
      </c>
      <c r="N72" s="21" t="s">
        <v>42</v>
      </c>
      <c r="O72" s="16"/>
      <c r="P72" s="16"/>
      <c r="Q72" s="16"/>
      <c r="R72" s="16"/>
      <c r="S72" s="16"/>
    </row>
    <row r="73" customFormat="false" ht="15" hidden="true" customHeight="false" outlineLevel="0" collapsed="false">
      <c r="B73" s="21"/>
      <c r="C73" s="21" t="s">
        <v>90</v>
      </c>
      <c r="D73" s="21" t="n">
        <v>4702095844</v>
      </c>
      <c r="E73" s="21" t="s">
        <v>39</v>
      </c>
      <c r="F73" s="23" t="n">
        <v>710967632010</v>
      </c>
      <c r="G73" s="21" t="s">
        <v>91</v>
      </c>
      <c r="H73" s="21" t="n">
        <v>2820</v>
      </c>
      <c r="I73" s="21"/>
      <c r="J73" s="21"/>
      <c r="K73" s="24" t="n">
        <v>46117</v>
      </c>
      <c r="L73" s="24" t="n">
        <v>46117</v>
      </c>
      <c r="M73" s="20" t="n">
        <f aca="false">+I73/H73</f>
        <v>0</v>
      </c>
      <c r="N73" s="21" t="s">
        <v>92</v>
      </c>
      <c r="O73" s="21"/>
      <c r="P73" s="21"/>
      <c r="Q73" s="21"/>
      <c r="R73" s="21"/>
      <c r="S73" s="21"/>
    </row>
    <row r="74" customFormat="false" ht="15" hidden="true" customHeight="false" outlineLevel="0" collapsed="false">
      <c r="B74" s="16"/>
      <c r="C74" s="16" t="s">
        <v>85</v>
      </c>
      <c r="D74" s="16" t="n">
        <v>4702095845</v>
      </c>
      <c r="E74" s="16" t="s">
        <v>51</v>
      </c>
      <c r="F74" s="18" t="n">
        <v>710967632002</v>
      </c>
      <c r="G74" s="16" t="s">
        <v>86</v>
      </c>
      <c r="H74" s="16" t="n">
        <v>240</v>
      </c>
      <c r="I74" s="16"/>
      <c r="J74" s="16"/>
      <c r="K74" s="19" t="n">
        <v>46117</v>
      </c>
      <c r="L74" s="19" t="n">
        <v>46117</v>
      </c>
      <c r="M74" s="20" t="n">
        <f aca="false">+I74/H74</f>
        <v>0</v>
      </c>
      <c r="N74" s="16" t="s">
        <v>87</v>
      </c>
      <c r="O74" s="16"/>
      <c r="P74" s="16"/>
      <c r="Q74" s="16"/>
      <c r="R74" s="16"/>
      <c r="S74" s="16"/>
    </row>
    <row r="75" customFormat="false" ht="15" hidden="true" customHeight="false" outlineLevel="0" collapsed="false">
      <c r="B75" s="21"/>
      <c r="C75" s="21" t="s">
        <v>88</v>
      </c>
      <c r="D75" s="21" t="n">
        <v>4702095845</v>
      </c>
      <c r="E75" s="21" t="s">
        <v>51</v>
      </c>
      <c r="F75" s="23" t="n">
        <v>710967632005</v>
      </c>
      <c r="G75" s="21" t="s">
        <v>89</v>
      </c>
      <c r="H75" s="21" t="n">
        <v>240</v>
      </c>
      <c r="I75" s="21"/>
      <c r="J75" s="21"/>
      <c r="K75" s="24" t="n">
        <v>46117</v>
      </c>
      <c r="L75" s="24" t="n">
        <v>46117</v>
      </c>
      <c r="M75" s="20" t="n">
        <f aca="false">+I75/H75</f>
        <v>0</v>
      </c>
      <c r="N75" s="21" t="s">
        <v>42</v>
      </c>
      <c r="O75" s="21"/>
      <c r="P75" s="21"/>
      <c r="Q75" s="21"/>
      <c r="R75" s="21"/>
      <c r="S75" s="21"/>
    </row>
    <row r="76" customFormat="false" ht="15" hidden="true" customHeight="false" outlineLevel="0" collapsed="false">
      <c r="B76" s="16"/>
      <c r="C76" s="16" t="s">
        <v>90</v>
      </c>
      <c r="D76" s="16" t="n">
        <v>4702095845</v>
      </c>
      <c r="E76" s="16" t="s">
        <v>51</v>
      </c>
      <c r="F76" s="18" t="n">
        <v>710967632010</v>
      </c>
      <c r="G76" s="16" t="s">
        <v>91</v>
      </c>
      <c r="H76" s="16" t="n">
        <v>180</v>
      </c>
      <c r="I76" s="16"/>
      <c r="J76" s="16"/>
      <c r="K76" s="19" t="n">
        <v>46117</v>
      </c>
      <c r="L76" s="19" t="n">
        <v>46117</v>
      </c>
      <c r="M76" s="20" t="n">
        <f aca="false">+I76/H76</f>
        <v>0</v>
      </c>
      <c r="N76" s="21" t="s">
        <v>92</v>
      </c>
      <c r="O76" s="16"/>
      <c r="P76" s="16"/>
      <c r="Q76" s="16"/>
      <c r="R76" s="16"/>
      <c r="S76" s="16"/>
    </row>
    <row r="77" customFormat="false" ht="15" hidden="true" customHeight="false" outlineLevel="0" collapsed="false">
      <c r="B77" s="16"/>
      <c r="C77" s="21" t="s">
        <v>93</v>
      </c>
      <c r="D77" s="21" t="n">
        <v>4702050924</v>
      </c>
      <c r="E77" s="21" t="s">
        <v>39</v>
      </c>
      <c r="F77" s="23" t="n">
        <v>782581596001</v>
      </c>
      <c r="G77" s="21" t="s">
        <v>61</v>
      </c>
      <c r="H77" s="21" t="n">
        <v>9</v>
      </c>
      <c r="I77" s="21"/>
      <c r="J77" s="21"/>
      <c r="K77" s="26"/>
      <c r="L77" s="24" t="n">
        <v>46117</v>
      </c>
      <c r="M77" s="20" t="n">
        <f aca="false">+I77/H77</f>
        <v>0</v>
      </c>
      <c r="N77" s="16" t="s">
        <v>42</v>
      </c>
      <c r="O77" s="16"/>
      <c r="P77" s="16"/>
      <c r="Q77" s="16"/>
      <c r="R77" s="16"/>
      <c r="S77" s="16"/>
    </row>
    <row r="78" customFormat="false" ht="15" hidden="true" customHeight="false" outlineLevel="0" collapsed="false">
      <c r="B78" s="16"/>
      <c r="C78" s="16" t="s">
        <v>94</v>
      </c>
      <c r="D78" s="16" t="n">
        <v>4702050919</v>
      </c>
      <c r="E78" s="16" t="s">
        <v>39</v>
      </c>
      <c r="F78" s="18" t="n">
        <v>782528496001</v>
      </c>
      <c r="G78" s="16" t="s">
        <v>61</v>
      </c>
      <c r="H78" s="16" t="n">
        <v>18</v>
      </c>
      <c r="I78" s="16"/>
      <c r="J78" s="16"/>
      <c r="K78" s="26"/>
      <c r="L78" s="19" t="n">
        <v>46117</v>
      </c>
      <c r="M78" s="20" t="n">
        <f aca="false">+I78/H78</f>
        <v>0</v>
      </c>
      <c r="N78" s="16" t="s">
        <v>42</v>
      </c>
      <c r="O78" s="16"/>
      <c r="P78" s="16"/>
      <c r="Q78" s="16"/>
      <c r="R78" s="16"/>
      <c r="S78" s="16"/>
    </row>
    <row r="79" customFormat="false" ht="15" hidden="true" customHeight="false" outlineLevel="0" collapsed="false">
      <c r="B79" s="16"/>
      <c r="C79" s="16" t="s">
        <v>94</v>
      </c>
      <c r="D79" s="16" t="n">
        <v>4702050920</v>
      </c>
      <c r="E79" s="16" t="s">
        <v>74</v>
      </c>
      <c r="F79" s="18" t="n">
        <v>782528496001</v>
      </c>
      <c r="G79" s="16" t="s">
        <v>61</v>
      </c>
      <c r="H79" s="16" t="n">
        <v>30</v>
      </c>
      <c r="I79" s="16"/>
      <c r="J79" s="16"/>
      <c r="L79" s="19" t="n">
        <v>46117</v>
      </c>
      <c r="M79" s="20" t="n">
        <f aca="false">+I79/H79</f>
        <v>0</v>
      </c>
      <c r="N79" s="16" t="s">
        <v>42</v>
      </c>
      <c r="O79" s="16"/>
      <c r="P79" s="16"/>
      <c r="Q79" s="16"/>
      <c r="R79" s="16"/>
      <c r="S79" s="16"/>
    </row>
    <row r="80" customFormat="false" ht="15" hidden="true" customHeight="false" outlineLevel="0" collapsed="false">
      <c r="B80" s="16"/>
      <c r="C80" s="16" t="s">
        <v>94</v>
      </c>
      <c r="D80" s="16" t="n">
        <v>4702050921</v>
      </c>
      <c r="E80" s="16" t="s">
        <v>36</v>
      </c>
      <c r="F80" s="18" t="n">
        <v>782528496001</v>
      </c>
      <c r="G80" s="16" t="s">
        <v>61</v>
      </c>
      <c r="H80" s="16" t="n">
        <v>30</v>
      </c>
      <c r="I80" s="16"/>
      <c r="J80" s="16"/>
      <c r="L80" s="19" t="n">
        <v>46117</v>
      </c>
      <c r="M80" s="20" t="n">
        <f aca="false">+I80/H80</f>
        <v>0</v>
      </c>
      <c r="N80" s="16" t="s">
        <v>42</v>
      </c>
      <c r="O80" s="16"/>
      <c r="P80" s="16"/>
      <c r="Q80" s="16"/>
      <c r="R80" s="16"/>
      <c r="S80" s="16"/>
    </row>
    <row r="81" customFormat="false" ht="15" hidden="true" customHeight="false" outlineLevel="0" collapsed="false">
      <c r="B81" s="16"/>
      <c r="C81" s="16" t="s">
        <v>93</v>
      </c>
      <c r="D81" s="16" t="n">
        <v>4702050922</v>
      </c>
      <c r="E81" s="16" t="s">
        <v>95</v>
      </c>
      <c r="F81" s="18" t="n">
        <v>782581596001</v>
      </c>
      <c r="G81" s="16" t="s">
        <v>61</v>
      </c>
      <c r="H81" s="16" t="n">
        <v>30</v>
      </c>
      <c r="I81" s="16"/>
      <c r="J81" s="16"/>
      <c r="L81" s="19" t="n">
        <v>46117</v>
      </c>
      <c r="M81" s="20" t="n">
        <f aca="false">+I81/H81</f>
        <v>0</v>
      </c>
      <c r="N81" s="16" t="s">
        <v>42</v>
      </c>
      <c r="O81" s="16"/>
      <c r="P81" s="16"/>
      <c r="Q81" s="16"/>
      <c r="R81" s="16"/>
      <c r="S81" s="16"/>
    </row>
    <row r="82" customFormat="false" ht="15" hidden="true" customHeight="false" outlineLevel="0" collapsed="false">
      <c r="B82" s="16"/>
      <c r="C82" s="16" t="s">
        <v>93</v>
      </c>
      <c r="D82" s="16" t="n">
        <v>4702050925</v>
      </c>
      <c r="E82" s="16" t="s">
        <v>74</v>
      </c>
      <c r="F82" s="18" t="n">
        <v>782581596001</v>
      </c>
      <c r="G82" s="16" t="s">
        <v>61</v>
      </c>
      <c r="H82" s="16" t="n">
        <v>30</v>
      </c>
      <c r="I82" s="16"/>
      <c r="J82" s="16"/>
      <c r="L82" s="19" t="n">
        <v>46117</v>
      </c>
      <c r="M82" s="20" t="n">
        <f aca="false">+I82/H82</f>
        <v>0</v>
      </c>
      <c r="N82" s="16" t="s">
        <v>42</v>
      </c>
      <c r="O82" s="16"/>
      <c r="P82" s="16"/>
      <c r="Q82" s="16"/>
      <c r="R82" s="16"/>
      <c r="S82" s="16"/>
    </row>
    <row r="83" customFormat="false" ht="15" hidden="true" customHeight="false" outlineLevel="0" collapsed="false">
      <c r="B83" s="16"/>
      <c r="C83" s="16" t="s">
        <v>93</v>
      </c>
      <c r="D83" s="16" t="n">
        <v>4702050926</v>
      </c>
      <c r="E83" s="16" t="s">
        <v>36</v>
      </c>
      <c r="F83" s="18" t="n">
        <v>782581596001</v>
      </c>
      <c r="G83" s="16" t="s">
        <v>61</v>
      </c>
      <c r="H83" s="16" t="n">
        <v>40</v>
      </c>
      <c r="I83" s="16"/>
      <c r="J83" s="16"/>
      <c r="L83" s="19" t="n">
        <v>46117</v>
      </c>
      <c r="M83" s="20" t="n">
        <f aca="false">+I83/H83</f>
        <v>0</v>
      </c>
      <c r="N83" s="16" t="s">
        <v>42</v>
      </c>
      <c r="O83" s="16"/>
      <c r="P83" s="16"/>
      <c r="Q83" s="16"/>
      <c r="R83" s="16"/>
      <c r="S83" s="16"/>
    </row>
    <row r="84" customFormat="false" ht="15" hidden="true" customHeight="false" outlineLevel="0" collapsed="false">
      <c r="B84" s="16"/>
      <c r="C84" s="16" t="s">
        <v>96</v>
      </c>
      <c r="D84" s="16" t="n">
        <v>4702095656</v>
      </c>
      <c r="E84" s="16" t="s">
        <v>97</v>
      </c>
      <c r="F84" s="18" t="n">
        <v>710967894500</v>
      </c>
      <c r="G84" s="16" t="s">
        <v>91</v>
      </c>
      <c r="H84" s="16" t="n">
        <v>72</v>
      </c>
      <c r="I84" s="16"/>
      <c r="J84" s="16"/>
      <c r="L84" s="19" t="n">
        <v>46117</v>
      </c>
      <c r="M84" s="20" t="n">
        <f aca="false">+I84/H84</f>
        <v>0</v>
      </c>
      <c r="N84" s="16" t="s">
        <v>92</v>
      </c>
      <c r="O84" s="16"/>
      <c r="P84" s="16"/>
      <c r="Q84" s="16"/>
      <c r="R84" s="16"/>
      <c r="S84" s="16"/>
    </row>
    <row r="85" customFormat="false" ht="15" hidden="true" customHeight="false" outlineLevel="0" collapsed="false">
      <c r="B85" s="16"/>
      <c r="C85" s="16" t="s">
        <v>93</v>
      </c>
      <c r="D85" s="16" t="n">
        <v>4702050923</v>
      </c>
      <c r="E85" s="16" t="s">
        <v>39</v>
      </c>
      <c r="F85" s="18" t="n">
        <v>782581596001</v>
      </c>
      <c r="G85" s="16" t="s">
        <v>61</v>
      </c>
      <c r="H85" s="16" t="n">
        <v>91</v>
      </c>
      <c r="I85" s="16"/>
      <c r="J85" s="16"/>
      <c r="L85" s="19" t="n">
        <v>46117</v>
      </c>
      <c r="M85" s="20" t="n">
        <f aca="false">+I85/H85</f>
        <v>0</v>
      </c>
      <c r="N85" s="16" t="s">
        <v>42</v>
      </c>
      <c r="O85" s="16"/>
      <c r="P85" s="16"/>
      <c r="Q85" s="16"/>
      <c r="R85" s="16"/>
      <c r="S85" s="16"/>
    </row>
    <row r="86" customFormat="false" ht="15" hidden="true" customHeight="false" outlineLevel="0" collapsed="false">
      <c r="B86" s="16"/>
      <c r="C86" s="16" t="s">
        <v>98</v>
      </c>
      <c r="D86" s="16" t="n">
        <v>4702095660</v>
      </c>
      <c r="E86" s="16" t="s">
        <v>39</v>
      </c>
      <c r="F86" s="16" t="s">
        <v>99</v>
      </c>
      <c r="G86" s="16" t="s">
        <v>100</v>
      </c>
      <c r="H86" s="16" t="n">
        <v>100</v>
      </c>
      <c r="I86" s="16"/>
      <c r="J86" s="16"/>
      <c r="L86" s="19" t="n">
        <v>46117</v>
      </c>
      <c r="M86" s="20" t="n">
        <f aca="false">+I86/H86</f>
        <v>0</v>
      </c>
      <c r="N86" s="16" t="s">
        <v>42</v>
      </c>
      <c r="O86" s="16"/>
      <c r="P86" s="16"/>
      <c r="Q86" s="16"/>
      <c r="R86" s="16"/>
      <c r="S86" s="16"/>
    </row>
    <row r="87" customFormat="false" ht="15" hidden="true" customHeight="false" outlineLevel="0" collapsed="false">
      <c r="B87" s="16"/>
      <c r="C87" s="16" t="s">
        <v>44</v>
      </c>
      <c r="D87" s="16" t="n">
        <v>4702096674</v>
      </c>
      <c r="E87" s="16" t="s">
        <v>51</v>
      </c>
      <c r="F87" s="18" t="n">
        <v>710804257063</v>
      </c>
      <c r="G87" s="16" t="s">
        <v>45</v>
      </c>
      <c r="H87" s="16" t="n">
        <v>143</v>
      </c>
      <c r="I87" s="16"/>
      <c r="J87" s="16"/>
      <c r="L87" s="19" t="n">
        <v>46117</v>
      </c>
      <c r="M87" s="20" t="n">
        <f aca="false">+I87/H87</f>
        <v>0</v>
      </c>
      <c r="N87" s="16" t="s">
        <v>46</v>
      </c>
      <c r="O87" s="16"/>
      <c r="P87" s="16"/>
      <c r="Q87" s="16"/>
      <c r="R87" s="16"/>
      <c r="S87" s="16"/>
    </row>
    <row r="88" customFormat="false" ht="15" hidden="true" customHeight="false" outlineLevel="0" collapsed="false">
      <c r="B88" s="16"/>
      <c r="C88" s="16" t="s">
        <v>94</v>
      </c>
      <c r="D88" s="16" t="n">
        <v>4702050918</v>
      </c>
      <c r="E88" s="16" t="s">
        <v>39</v>
      </c>
      <c r="F88" s="18" t="n">
        <v>782528496001</v>
      </c>
      <c r="G88" s="16" t="s">
        <v>61</v>
      </c>
      <c r="H88" s="16" t="n">
        <v>175</v>
      </c>
      <c r="I88" s="16"/>
      <c r="J88" s="16"/>
      <c r="L88" s="19" t="n">
        <v>46117</v>
      </c>
      <c r="M88" s="20" t="n">
        <f aca="false">+I88/H88</f>
        <v>0</v>
      </c>
      <c r="N88" s="16" t="s">
        <v>42</v>
      </c>
      <c r="O88" s="16"/>
      <c r="P88" s="16"/>
      <c r="Q88" s="16"/>
      <c r="R88" s="16"/>
      <c r="S88" s="16"/>
    </row>
    <row r="89" customFormat="false" ht="15" hidden="true" customHeight="false" outlineLevel="0" collapsed="false">
      <c r="B89" s="16"/>
      <c r="C89" s="16" t="s">
        <v>101</v>
      </c>
      <c r="D89" s="16" t="n">
        <v>4702095656</v>
      </c>
      <c r="E89" s="16" t="s">
        <v>97</v>
      </c>
      <c r="F89" s="18" t="n">
        <v>710967894002</v>
      </c>
      <c r="G89" s="16" t="s">
        <v>86</v>
      </c>
      <c r="H89" s="16" t="n">
        <v>180</v>
      </c>
      <c r="I89" s="16"/>
      <c r="J89" s="16"/>
      <c r="L89" s="19" t="n">
        <v>46117</v>
      </c>
      <c r="M89" s="20" t="n">
        <f aca="false">+I89/H89</f>
        <v>0</v>
      </c>
      <c r="N89" s="16" t="s">
        <v>92</v>
      </c>
      <c r="O89" s="16"/>
      <c r="P89" s="16"/>
      <c r="Q89" s="16"/>
      <c r="R89" s="16"/>
      <c r="S89" s="16"/>
    </row>
    <row r="90" customFormat="false" ht="15" hidden="true" customHeight="false" outlineLevel="0" collapsed="false">
      <c r="B90" s="16"/>
      <c r="C90" s="16" t="s">
        <v>63</v>
      </c>
      <c r="D90" s="16" t="n">
        <v>4702095656</v>
      </c>
      <c r="E90" s="16" t="s">
        <v>97</v>
      </c>
      <c r="F90" s="18" t="n">
        <v>710967894001</v>
      </c>
      <c r="G90" s="16" t="s">
        <v>61</v>
      </c>
      <c r="H90" s="16" t="n">
        <v>240</v>
      </c>
      <c r="I90" s="16" t="n">
        <v>240</v>
      </c>
      <c r="J90" s="16" t="n">
        <v>12</v>
      </c>
      <c r="L90" s="19" t="n">
        <v>46117</v>
      </c>
      <c r="M90" s="20" t="n">
        <f aca="false">+I90/H90</f>
        <v>1</v>
      </c>
      <c r="N90" s="16" t="s">
        <v>37</v>
      </c>
      <c r="O90" s="16"/>
      <c r="P90" s="16"/>
      <c r="Q90" s="16"/>
      <c r="R90" s="16"/>
      <c r="S90" s="16"/>
    </row>
    <row r="91" customFormat="false" ht="15" hidden="false" customHeight="false" outlineLevel="0" collapsed="false">
      <c r="B91" s="16"/>
      <c r="C91" s="16" t="s">
        <v>38</v>
      </c>
      <c r="D91" s="16" t="n">
        <v>4702095664</v>
      </c>
      <c r="E91" s="16" t="s">
        <v>97</v>
      </c>
      <c r="F91" s="16" t="s">
        <v>40</v>
      </c>
      <c r="G91" s="16" t="s">
        <v>41</v>
      </c>
      <c r="H91" s="16" t="n">
        <v>304</v>
      </c>
      <c r="I91" s="16"/>
      <c r="J91" s="16"/>
      <c r="L91" s="19" t="n">
        <v>46117</v>
      </c>
      <c r="M91" s="20" t="n">
        <f aca="false">+I91/H91</f>
        <v>0</v>
      </c>
      <c r="N91" s="16" t="s">
        <v>42</v>
      </c>
      <c r="O91" s="16"/>
      <c r="P91" s="16"/>
      <c r="Q91" s="16"/>
      <c r="R91" s="16"/>
      <c r="S91" s="16"/>
    </row>
    <row r="92" customFormat="false" ht="15" hidden="true" customHeight="false" outlineLevel="0" collapsed="false">
      <c r="B92" s="16"/>
      <c r="C92" s="16" t="s">
        <v>98</v>
      </c>
      <c r="D92" s="16" t="n">
        <v>4702095661</v>
      </c>
      <c r="E92" s="16" t="s">
        <v>97</v>
      </c>
      <c r="F92" s="16" t="s">
        <v>99</v>
      </c>
      <c r="G92" s="16" t="s">
        <v>100</v>
      </c>
      <c r="H92" s="16" t="n">
        <v>320</v>
      </c>
      <c r="I92" s="16"/>
      <c r="J92" s="16"/>
      <c r="L92" s="19" t="n">
        <v>46117</v>
      </c>
      <c r="M92" s="20" t="n">
        <f aca="false">+I92/H92</f>
        <v>0</v>
      </c>
      <c r="N92" s="16" t="s">
        <v>42</v>
      </c>
      <c r="O92" s="16"/>
      <c r="P92" s="16"/>
      <c r="Q92" s="16"/>
      <c r="R92" s="16"/>
      <c r="S92" s="16"/>
    </row>
    <row r="93" customFormat="false" ht="15" hidden="true" customHeight="false" outlineLevel="0" collapsed="false">
      <c r="B93" s="16"/>
      <c r="C93" s="16" t="s">
        <v>96</v>
      </c>
      <c r="D93" s="16" t="n">
        <v>4702095655</v>
      </c>
      <c r="E93" s="16" t="s">
        <v>39</v>
      </c>
      <c r="F93" s="18" t="n">
        <v>710967894500</v>
      </c>
      <c r="G93" s="16" t="s">
        <v>91</v>
      </c>
      <c r="H93" s="16" t="n">
        <v>1128</v>
      </c>
      <c r="I93" s="16"/>
      <c r="J93" s="16"/>
      <c r="L93" s="19" t="n">
        <v>46117</v>
      </c>
      <c r="M93" s="20" t="n">
        <f aca="false">+I93/H93</f>
        <v>0</v>
      </c>
      <c r="N93" s="16" t="s">
        <v>92</v>
      </c>
      <c r="O93" s="16"/>
      <c r="P93" s="16"/>
      <c r="Q93" s="16"/>
      <c r="R93" s="16"/>
      <c r="S93" s="16"/>
    </row>
    <row r="94" customFormat="false" ht="15" hidden="true" customHeight="false" outlineLevel="0" collapsed="false">
      <c r="B94" s="16"/>
      <c r="C94" s="16" t="s">
        <v>101</v>
      </c>
      <c r="D94" s="16" t="n">
        <v>4702095655</v>
      </c>
      <c r="E94" s="16" t="s">
        <v>39</v>
      </c>
      <c r="F94" s="18" t="n">
        <v>710967894002</v>
      </c>
      <c r="G94" s="16" t="s">
        <v>86</v>
      </c>
      <c r="H94" s="16" t="n">
        <v>2820</v>
      </c>
      <c r="I94" s="16"/>
      <c r="J94" s="16"/>
      <c r="L94" s="19" t="n">
        <v>46117</v>
      </c>
      <c r="M94" s="20" t="n">
        <f aca="false">+I94/H94</f>
        <v>0</v>
      </c>
      <c r="N94" s="16" t="s">
        <v>92</v>
      </c>
      <c r="O94" s="16"/>
      <c r="P94" s="16"/>
      <c r="Q94" s="16"/>
      <c r="R94" s="16"/>
      <c r="S94" s="16"/>
    </row>
    <row r="95" customFormat="false" ht="15" hidden="true" customHeight="false" outlineLevel="0" collapsed="false">
      <c r="B95" s="16"/>
      <c r="C95" s="16" t="s">
        <v>98</v>
      </c>
      <c r="D95" s="16" t="n">
        <v>4702095659</v>
      </c>
      <c r="E95" s="16" t="s">
        <v>39</v>
      </c>
      <c r="F95" s="16" t="s">
        <v>99</v>
      </c>
      <c r="G95" s="16" t="s">
        <v>100</v>
      </c>
      <c r="H95" s="16" t="n">
        <v>3580</v>
      </c>
      <c r="I95" s="16"/>
      <c r="J95" s="16"/>
      <c r="L95" s="19" t="n">
        <v>46117</v>
      </c>
      <c r="M95" s="20" t="n">
        <f aca="false">+I95/H95</f>
        <v>0</v>
      </c>
      <c r="N95" s="16" t="s">
        <v>42</v>
      </c>
      <c r="O95" s="16"/>
      <c r="P95" s="16"/>
      <c r="Q95" s="16"/>
      <c r="R95" s="16"/>
      <c r="S95" s="16"/>
    </row>
    <row r="96" customFormat="false" ht="15" hidden="false" customHeight="false" outlineLevel="0" collapsed="false">
      <c r="B96" s="16"/>
      <c r="C96" s="16"/>
      <c r="D96" s="16"/>
      <c r="E96" s="16"/>
      <c r="F96" s="16"/>
      <c r="G96" s="16"/>
      <c r="H96" s="16"/>
      <c r="I96" s="16"/>
      <c r="J96" s="16"/>
      <c r="L96" s="19"/>
      <c r="M96" s="20"/>
      <c r="N96" s="16"/>
      <c r="O96" s="16"/>
      <c r="P96" s="16"/>
      <c r="Q96" s="16"/>
      <c r="R96" s="16"/>
      <c r="S96" s="16"/>
    </row>
    <row r="97" customFormat="false" ht="15" hidden="false" customHeight="false" outlineLevel="0" collapsed="false">
      <c r="B97" s="16"/>
      <c r="C97" s="16"/>
      <c r="D97" s="16"/>
      <c r="E97" s="16"/>
      <c r="F97" s="16"/>
      <c r="G97" s="16"/>
      <c r="H97" s="16"/>
      <c r="I97" s="16"/>
      <c r="J97" s="16"/>
      <c r="L97" s="19"/>
      <c r="M97" s="20"/>
      <c r="N97" s="16"/>
      <c r="O97" s="16"/>
      <c r="P97" s="16"/>
      <c r="Q97" s="16"/>
      <c r="R97" s="16"/>
      <c r="S97" s="16"/>
    </row>
    <row r="98" customFormat="false" ht="15" hidden="false" customHeight="false" outlineLevel="0" collapsed="false">
      <c r="B98" s="16"/>
      <c r="C98" s="16"/>
      <c r="D98" s="16"/>
      <c r="E98" s="16"/>
      <c r="F98" s="16"/>
      <c r="G98" s="16"/>
      <c r="H98" s="16"/>
      <c r="I98" s="16"/>
      <c r="J98" s="16"/>
      <c r="L98" s="19"/>
      <c r="M98" s="20"/>
      <c r="N98" s="16"/>
      <c r="O98" s="16"/>
      <c r="P98" s="16"/>
      <c r="Q98" s="16"/>
      <c r="R98" s="16"/>
      <c r="S98" s="16"/>
    </row>
    <row r="99" customFormat="false" ht="15" hidden="false" customHeight="false" outlineLevel="0" collapsed="false">
      <c r="B99" s="16"/>
      <c r="C99" s="16"/>
      <c r="D99" s="16"/>
      <c r="E99" s="16"/>
      <c r="F99" s="16"/>
      <c r="G99" s="16"/>
      <c r="H99" s="16"/>
      <c r="I99" s="16"/>
      <c r="J99" s="16"/>
      <c r="L99" s="19"/>
      <c r="M99" s="20"/>
      <c r="N99" s="16"/>
      <c r="O99" s="16"/>
      <c r="P99" s="16"/>
      <c r="Q99" s="16"/>
      <c r="R99" s="16"/>
      <c r="S99" s="16"/>
    </row>
    <row r="100" customFormat="false" ht="15" hidden="false" customHeight="false" outlineLevel="0" collapsed="false">
      <c r="B100" s="16"/>
      <c r="C100" s="16"/>
      <c r="D100" s="16"/>
      <c r="E100" s="16"/>
      <c r="F100" s="16"/>
      <c r="G100" s="16"/>
      <c r="H100" s="16"/>
      <c r="I100" s="16"/>
      <c r="J100" s="16"/>
      <c r="L100" s="19"/>
      <c r="M100" s="20"/>
      <c r="N100" s="16"/>
      <c r="O100" s="16"/>
      <c r="P100" s="16"/>
      <c r="Q100" s="16"/>
      <c r="R100" s="16"/>
      <c r="S100" s="16"/>
    </row>
    <row r="101" customFormat="false" ht="15" hidden="false" customHeight="false" outlineLevel="0" collapsed="false">
      <c r="B101" s="16"/>
      <c r="C101" s="16"/>
      <c r="D101" s="16"/>
      <c r="E101" s="16"/>
      <c r="F101" s="16"/>
      <c r="G101" s="16"/>
      <c r="H101" s="16"/>
      <c r="I101" s="16"/>
      <c r="J101" s="16"/>
      <c r="L101" s="19"/>
      <c r="M101" s="20"/>
      <c r="N101" s="16"/>
      <c r="O101" s="16"/>
      <c r="P101" s="16"/>
      <c r="Q101" s="16"/>
      <c r="R101" s="16"/>
      <c r="S101" s="16"/>
    </row>
    <row r="102" customFormat="false" ht="15" hidden="false" customHeight="false" outlineLevel="0" collapsed="false">
      <c r="B102" s="16"/>
      <c r="C102" s="16"/>
      <c r="D102" s="16"/>
      <c r="E102" s="16"/>
      <c r="F102" s="16"/>
      <c r="G102" s="16"/>
      <c r="H102" s="16"/>
      <c r="I102" s="16"/>
      <c r="J102" s="16"/>
      <c r="L102" s="19"/>
      <c r="M102" s="20"/>
      <c r="N102" s="16"/>
      <c r="O102" s="16"/>
      <c r="P102" s="16"/>
      <c r="Q102" s="16"/>
      <c r="R102" s="16"/>
      <c r="S102" s="16"/>
    </row>
    <row r="103" customFormat="false" ht="15" hidden="false" customHeight="false" outlineLevel="0" collapsed="false">
      <c r="B103" s="16"/>
      <c r="C103" s="16"/>
      <c r="D103" s="16"/>
      <c r="E103" s="16"/>
      <c r="F103" s="16"/>
      <c r="G103" s="16"/>
      <c r="H103" s="16"/>
      <c r="I103" s="16"/>
      <c r="J103" s="16"/>
      <c r="L103" s="19"/>
      <c r="M103" s="20"/>
      <c r="N103" s="16"/>
      <c r="O103" s="16"/>
      <c r="P103" s="16"/>
      <c r="Q103" s="16"/>
      <c r="R103" s="16"/>
      <c r="S103" s="16"/>
    </row>
    <row r="104" customFormat="false" ht="15" hidden="false" customHeight="false" outlineLevel="0" collapsed="false">
      <c r="B104" s="16"/>
      <c r="C104" s="16"/>
      <c r="D104" s="16"/>
      <c r="E104" s="16"/>
      <c r="F104" s="16"/>
      <c r="G104" s="16"/>
      <c r="H104" s="16"/>
      <c r="I104" s="16"/>
      <c r="J104" s="16"/>
      <c r="L104" s="19"/>
      <c r="M104" s="20"/>
      <c r="N104" s="16"/>
      <c r="O104" s="16"/>
      <c r="P104" s="16"/>
      <c r="Q104" s="16"/>
      <c r="R104" s="16"/>
      <c r="S104" s="16"/>
    </row>
    <row r="105" customFormat="false" ht="15" hidden="false" customHeight="false" outlineLevel="0" collapsed="false">
      <c r="B105" s="16"/>
      <c r="C105" s="16"/>
      <c r="D105" s="16"/>
      <c r="E105" s="16"/>
      <c r="F105" s="16"/>
      <c r="G105" s="16"/>
      <c r="H105" s="16"/>
      <c r="I105" s="16"/>
      <c r="J105" s="16"/>
      <c r="L105" s="19"/>
      <c r="M105" s="20"/>
      <c r="N105" s="16"/>
      <c r="O105" s="16"/>
      <c r="P105" s="16"/>
      <c r="Q105" s="16"/>
      <c r="R105" s="16"/>
      <c r="S105" s="16"/>
    </row>
    <row r="106" customFormat="false" ht="15" hidden="false" customHeight="false" outlineLevel="0" collapsed="false">
      <c r="B106" s="16"/>
      <c r="C106" s="16"/>
      <c r="D106" s="16"/>
      <c r="E106" s="16"/>
      <c r="F106" s="16"/>
      <c r="G106" s="16"/>
      <c r="H106" s="16"/>
      <c r="I106" s="16"/>
      <c r="J106" s="16"/>
      <c r="L106" s="19"/>
      <c r="M106" s="20"/>
      <c r="N106" s="16"/>
      <c r="O106" s="16"/>
      <c r="P106" s="16"/>
      <c r="Q106" s="16"/>
      <c r="R106" s="16"/>
      <c r="S106" s="16"/>
    </row>
    <row r="107" customFormat="false" ht="15" hidden="false" customHeight="false" outlineLevel="0" collapsed="false">
      <c r="B107" s="16"/>
      <c r="C107" s="16"/>
      <c r="D107" s="16"/>
      <c r="E107" s="16"/>
      <c r="F107" s="16"/>
      <c r="G107" s="16"/>
      <c r="H107" s="16"/>
      <c r="I107" s="16"/>
      <c r="J107" s="16"/>
      <c r="L107" s="19"/>
      <c r="M107" s="20"/>
      <c r="N107" s="16"/>
      <c r="O107" s="16"/>
      <c r="P107" s="16"/>
      <c r="Q107" s="16"/>
      <c r="R107" s="16"/>
      <c r="S107" s="16"/>
    </row>
    <row r="108" customFormat="false" ht="15" hidden="false" customHeight="false" outlineLevel="0" collapsed="false">
      <c r="B108" s="16"/>
      <c r="C108" s="16"/>
      <c r="D108" s="16"/>
      <c r="E108" s="16"/>
      <c r="F108" s="16"/>
      <c r="G108" s="16"/>
      <c r="H108" s="16"/>
      <c r="I108" s="16"/>
      <c r="J108" s="16"/>
      <c r="L108" s="19"/>
      <c r="M108" s="20"/>
      <c r="N108" s="16"/>
      <c r="O108" s="16"/>
      <c r="P108" s="16"/>
      <c r="Q108" s="16"/>
      <c r="R108" s="16"/>
      <c r="S108" s="16"/>
    </row>
    <row r="109" customFormat="false" ht="15" hidden="false" customHeight="false" outlineLevel="0" collapsed="false">
      <c r="B109" s="16"/>
      <c r="C109" s="16"/>
      <c r="D109" s="16"/>
      <c r="E109" s="16"/>
      <c r="F109" s="16"/>
      <c r="G109" s="16"/>
      <c r="H109" s="16"/>
      <c r="I109" s="16"/>
      <c r="J109" s="16"/>
      <c r="L109" s="19"/>
      <c r="M109" s="20"/>
      <c r="N109" s="16"/>
      <c r="O109" s="16"/>
      <c r="P109" s="16"/>
      <c r="Q109" s="16"/>
      <c r="R109" s="16"/>
      <c r="S109" s="16"/>
    </row>
    <row r="110" customFormat="false" ht="15" hidden="false" customHeight="false" outlineLevel="0" collapsed="false">
      <c r="B110" s="16"/>
      <c r="C110" s="16"/>
      <c r="D110" s="16"/>
      <c r="E110" s="16"/>
      <c r="F110" s="16"/>
      <c r="G110" s="16"/>
      <c r="H110" s="16"/>
      <c r="I110" s="16"/>
      <c r="J110" s="16"/>
      <c r="L110" s="19"/>
      <c r="M110" s="20"/>
      <c r="N110" s="16"/>
      <c r="O110" s="16"/>
      <c r="P110" s="16"/>
      <c r="Q110" s="16"/>
      <c r="R110" s="16"/>
      <c r="S110" s="16"/>
    </row>
    <row r="111" customFormat="false" ht="15" hidden="false" customHeight="false" outlineLevel="0" collapsed="false">
      <c r="B111" s="16"/>
      <c r="C111" s="16"/>
      <c r="D111" s="16"/>
      <c r="E111" s="16"/>
      <c r="F111" s="16"/>
      <c r="G111" s="16"/>
      <c r="H111" s="16"/>
      <c r="I111" s="16"/>
      <c r="J111" s="16"/>
      <c r="L111" s="19"/>
      <c r="M111" s="20"/>
      <c r="N111" s="16"/>
      <c r="O111" s="16"/>
      <c r="P111" s="16"/>
      <c r="Q111" s="16"/>
      <c r="R111" s="16"/>
      <c r="S111" s="16"/>
    </row>
    <row r="112" customFormat="false" ht="15" hidden="false" customHeight="false" outlineLevel="0" collapsed="false">
      <c r="B112" s="16"/>
      <c r="C112" s="16"/>
      <c r="D112" s="16"/>
      <c r="E112" s="16"/>
      <c r="F112" s="16"/>
      <c r="G112" s="16"/>
      <c r="H112" s="16"/>
      <c r="I112" s="16"/>
      <c r="J112" s="16"/>
      <c r="L112" s="19"/>
      <c r="M112" s="20"/>
      <c r="N112" s="16"/>
      <c r="O112" s="16"/>
      <c r="P112" s="16"/>
      <c r="Q112" s="16"/>
      <c r="R112" s="16"/>
      <c r="S112" s="16"/>
    </row>
    <row r="113" customFormat="false" ht="15" hidden="false" customHeight="false" outlineLevel="0" collapsed="false">
      <c r="B113" s="16"/>
      <c r="C113" s="16"/>
      <c r="D113" s="16"/>
      <c r="E113" s="16"/>
      <c r="F113" s="16"/>
      <c r="G113" s="16"/>
      <c r="H113" s="16"/>
      <c r="I113" s="16"/>
      <c r="J113" s="16"/>
      <c r="L113" s="19"/>
      <c r="M113" s="20"/>
      <c r="N113" s="16"/>
      <c r="O113" s="16"/>
      <c r="P113" s="16"/>
      <c r="Q113" s="16"/>
      <c r="R113" s="16"/>
      <c r="S113" s="16"/>
    </row>
    <row r="114" customFormat="false" ht="15" hidden="false" customHeight="false" outlineLevel="0" collapsed="false">
      <c r="B114" s="16"/>
      <c r="C114" s="16"/>
      <c r="D114" s="16"/>
      <c r="E114" s="16"/>
      <c r="F114" s="16"/>
      <c r="G114" s="16"/>
      <c r="H114" s="16"/>
      <c r="I114" s="16"/>
      <c r="J114" s="16"/>
      <c r="L114" s="19"/>
      <c r="M114" s="20"/>
      <c r="N114" s="16"/>
      <c r="O114" s="16"/>
      <c r="P114" s="16"/>
      <c r="Q114" s="16"/>
      <c r="R114" s="16"/>
      <c r="S114" s="16"/>
    </row>
    <row r="115" customFormat="false" ht="15" hidden="false" customHeight="false" outlineLevel="0" collapsed="false">
      <c r="B115" s="16"/>
      <c r="C115" s="16"/>
      <c r="D115" s="16"/>
      <c r="E115" s="16"/>
      <c r="F115" s="16"/>
      <c r="G115" s="16"/>
      <c r="H115" s="16"/>
      <c r="I115" s="16"/>
      <c r="J115" s="16"/>
      <c r="L115" s="19"/>
      <c r="M115" s="20"/>
      <c r="N115" s="16"/>
      <c r="O115" s="16"/>
      <c r="P115" s="16"/>
      <c r="Q115" s="16"/>
      <c r="R115" s="16"/>
      <c r="S115" s="16"/>
    </row>
    <row r="116" customFormat="false" ht="15" hidden="false" customHeight="false" outlineLevel="0" collapsed="false">
      <c r="B116" s="16"/>
      <c r="C116" s="16"/>
      <c r="D116" s="16"/>
      <c r="E116" s="16"/>
      <c r="F116" s="16"/>
      <c r="G116" s="16"/>
      <c r="H116" s="16"/>
      <c r="I116" s="16"/>
      <c r="J116" s="16"/>
      <c r="L116" s="19"/>
      <c r="M116" s="20"/>
      <c r="N116" s="16"/>
      <c r="O116" s="16"/>
      <c r="P116" s="16"/>
      <c r="Q116" s="16"/>
      <c r="R116" s="16"/>
      <c r="S116" s="16"/>
    </row>
    <row r="117" customFormat="false" ht="15" hidden="false" customHeight="false" outlineLevel="0" collapsed="false">
      <c r="B117" s="16"/>
      <c r="C117" s="16"/>
      <c r="D117" s="16"/>
      <c r="E117" s="16"/>
      <c r="F117" s="16"/>
      <c r="G117" s="16"/>
      <c r="H117" s="16"/>
      <c r="I117" s="16"/>
      <c r="J117" s="16"/>
      <c r="L117" s="19"/>
      <c r="M117" s="20"/>
      <c r="N117" s="16"/>
      <c r="O117" s="16"/>
      <c r="P117" s="16"/>
      <c r="Q117" s="16"/>
      <c r="R117" s="16"/>
      <c r="S117" s="16"/>
    </row>
    <row r="118" customFormat="false" ht="15" hidden="false" customHeight="false" outlineLevel="0" collapsed="false">
      <c r="B118" s="16"/>
      <c r="C118" s="16"/>
      <c r="D118" s="16"/>
      <c r="E118" s="16"/>
      <c r="F118" s="16"/>
      <c r="G118" s="16"/>
      <c r="H118" s="16"/>
      <c r="I118" s="16"/>
      <c r="J118" s="16"/>
      <c r="L118" s="19"/>
      <c r="M118" s="20"/>
      <c r="N118" s="16"/>
      <c r="O118" s="16"/>
      <c r="P118" s="16"/>
      <c r="Q118" s="16"/>
      <c r="R118" s="16"/>
      <c r="S118" s="16"/>
    </row>
    <row r="119" customFormat="false" ht="15" hidden="false" customHeight="false" outlineLevel="0" collapsed="false">
      <c r="B119" s="16"/>
      <c r="C119" s="16"/>
      <c r="D119" s="16"/>
      <c r="E119" s="16"/>
      <c r="F119" s="16"/>
      <c r="G119" s="16"/>
      <c r="H119" s="16"/>
      <c r="I119" s="16"/>
      <c r="J119" s="16"/>
      <c r="L119" s="19"/>
      <c r="M119" s="20"/>
      <c r="N119" s="16"/>
      <c r="O119" s="16"/>
      <c r="P119" s="16"/>
      <c r="Q119" s="16"/>
      <c r="R119" s="16"/>
      <c r="S119" s="16"/>
    </row>
    <row r="120" customFormat="false" ht="15" hidden="false" customHeight="false" outlineLevel="0" collapsed="false">
      <c r="B120" s="16"/>
      <c r="C120" s="16"/>
      <c r="D120" s="16"/>
      <c r="E120" s="16"/>
      <c r="F120" s="16"/>
      <c r="G120" s="16"/>
      <c r="H120" s="16"/>
      <c r="I120" s="16"/>
      <c r="J120" s="16"/>
      <c r="L120" s="19"/>
      <c r="M120" s="20"/>
      <c r="N120" s="16"/>
      <c r="O120" s="16"/>
      <c r="P120" s="16"/>
      <c r="Q120" s="16"/>
      <c r="R120" s="16"/>
      <c r="S120" s="16"/>
    </row>
    <row r="121" customFormat="false" ht="15" hidden="false" customHeight="false" outlineLevel="0" collapsed="false">
      <c r="B121" s="16"/>
      <c r="C121" s="16"/>
      <c r="D121" s="16"/>
      <c r="E121" s="16"/>
      <c r="F121" s="16"/>
      <c r="G121" s="16"/>
      <c r="H121" s="16"/>
      <c r="I121" s="16"/>
      <c r="J121" s="16"/>
      <c r="L121" s="19"/>
      <c r="M121" s="20"/>
      <c r="N121" s="16"/>
      <c r="O121" s="16"/>
      <c r="P121" s="16"/>
      <c r="Q121" s="16"/>
      <c r="R121" s="16"/>
      <c r="S121" s="16"/>
    </row>
    <row r="122" customFormat="false" ht="15" hidden="false" customHeight="false" outlineLevel="0" collapsed="false">
      <c r="B122" s="16"/>
      <c r="C122" s="16"/>
      <c r="D122" s="16"/>
      <c r="E122" s="16"/>
      <c r="F122" s="16"/>
      <c r="G122" s="16"/>
      <c r="H122" s="16"/>
      <c r="I122" s="16"/>
      <c r="J122" s="16"/>
      <c r="L122" s="19"/>
      <c r="M122" s="20"/>
      <c r="N122" s="16"/>
      <c r="O122" s="16"/>
      <c r="P122" s="16"/>
      <c r="Q122" s="16"/>
      <c r="R122" s="16"/>
      <c r="S122" s="16"/>
    </row>
    <row r="123" customFormat="false" ht="15" hidden="false" customHeight="false" outlineLevel="0" collapsed="false">
      <c r="B123" s="16"/>
      <c r="C123" s="16"/>
      <c r="D123" s="16"/>
      <c r="E123" s="16"/>
      <c r="F123" s="16"/>
      <c r="G123" s="16"/>
      <c r="H123" s="16"/>
      <c r="I123" s="16"/>
      <c r="J123" s="16"/>
      <c r="L123" s="19"/>
      <c r="M123" s="20"/>
      <c r="N123" s="16"/>
      <c r="O123" s="16"/>
      <c r="P123" s="16"/>
      <c r="Q123" s="16"/>
      <c r="R123" s="16"/>
      <c r="S123" s="16"/>
    </row>
    <row r="124" customFormat="false" ht="15" hidden="false" customHeight="false" outlineLevel="0" collapsed="false">
      <c r="B124" s="16"/>
      <c r="C124" s="16"/>
      <c r="D124" s="16"/>
      <c r="E124" s="16"/>
      <c r="F124" s="16"/>
      <c r="G124" s="16"/>
      <c r="H124" s="16"/>
      <c r="I124" s="16"/>
      <c r="J124" s="16"/>
      <c r="L124" s="19"/>
      <c r="M124" s="20"/>
      <c r="N124" s="16"/>
      <c r="O124" s="16"/>
      <c r="P124" s="16"/>
      <c r="Q124" s="16"/>
      <c r="R124" s="16"/>
      <c r="S124" s="16"/>
    </row>
    <row r="125" customFormat="false" ht="15" hidden="false" customHeight="false" outlineLevel="0" collapsed="false">
      <c r="B125" s="16"/>
      <c r="C125" s="16"/>
      <c r="D125" s="16"/>
      <c r="E125" s="16"/>
      <c r="F125" s="16"/>
      <c r="G125" s="16"/>
      <c r="H125" s="16"/>
      <c r="I125" s="16"/>
      <c r="J125" s="16"/>
      <c r="L125" s="19"/>
      <c r="M125" s="20"/>
      <c r="N125" s="16"/>
      <c r="O125" s="16"/>
      <c r="P125" s="16"/>
      <c r="Q125" s="16"/>
      <c r="R125" s="16"/>
      <c r="S125" s="16"/>
    </row>
    <row r="126" customFormat="false" ht="15" hidden="false" customHeight="false" outlineLevel="0" collapsed="false">
      <c r="B126" s="16"/>
      <c r="C126" s="16"/>
      <c r="D126" s="16"/>
      <c r="E126" s="16"/>
      <c r="F126" s="16"/>
      <c r="G126" s="16"/>
      <c r="H126" s="16"/>
      <c r="I126" s="16"/>
      <c r="J126" s="16"/>
      <c r="L126" s="19"/>
      <c r="M126" s="20"/>
      <c r="N126" s="16"/>
      <c r="O126" s="16"/>
      <c r="P126" s="16"/>
      <c r="Q126" s="16"/>
      <c r="R126" s="16"/>
      <c r="S126" s="16"/>
    </row>
    <row r="127" customFormat="false" ht="15" hidden="false" customHeight="false" outlineLevel="0" collapsed="false">
      <c r="B127" s="16"/>
      <c r="C127" s="16"/>
      <c r="D127" s="16"/>
      <c r="E127" s="16"/>
      <c r="F127" s="16"/>
      <c r="G127" s="16"/>
      <c r="H127" s="16"/>
      <c r="I127" s="16"/>
      <c r="J127" s="16"/>
      <c r="L127" s="19"/>
      <c r="M127" s="20"/>
      <c r="N127" s="16"/>
      <c r="O127" s="16"/>
      <c r="P127" s="16"/>
      <c r="Q127" s="16"/>
      <c r="R127" s="16"/>
      <c r="S127" s="16"/>
    </row>
    <row r="128" customFormat="false" ht="15" hidden="false" customHeight="false" outlineLevel="0" collapsed="false">
      <c r="B128" s="16"/>
      <c r="C128" s="16"/>
      <c r="D128" s="16"/>
      <c r="E128" s="16"/>
      <c r="F128" s="16"/>
      <c r="G128" s="16"/>
      <c r="H128" s="16"/>
      <c r="I128" s="16"/>
      <c r="J128" s="16"/>
      <c r="L128" s="19"/>
      <c r="M128" s="20"/>
      <c r="N128" s="16"/>
      <c r="O128" s="16"/>
      <c r="P128" s="16"/>
      <c r="Q128" s="16"/>
      <c r="R128" s="16"/>
      <c r="S128" s="16"/>
    </row>
    <row r="129" customFormat="false" ht="15" hidden="false" customHeight="false" outlineLevel="0" collapsed="false">
      <c r="B129" s="16"/>
      <c r="C129" s="16"/>
      <c r="D129" s="16"/>
      <c r="E129" s="16"/>
      <c r="F129" s="16"/>
      <c r="G129" s="16"/>
      <c r="H129" s="16"/>
      <c r="I129" s="16"/>
      <c r="J129" s="16"/>
      <c r="L129" s="19"/>
      <c r="M129" s="20"/>
      <c r="N129" s="16"/>
      <c r="O129" s="16"/>
      <c r="P129" s="16"/>
      <c r="Q129" s="16"/>
      <c r="R129" s="16"/>
      <c r="S129" s="16"/>
    </row>
    <row r="130" customFormat="false" ht="15" hidden="false" customHeight="false" outlineLevel="0" collapsed="false">
      <c r="B130" s="16"/>
      <c r="C130" s="16"/>
      <c r="D130" s="16"/>
      <c r="E130" s="16"/>
      <c r="F130" s="16"/>
      <c r="G130" s="16"/>
      <c r="H130" s="16"/>
      <c r="I130" s="16"/>
      <c r="J130" s="16"/>
      <c r="L130" s="19"/>
      <c r="M130" s="20"/>
      <c r="N130" s="16"/>
      <c r="O130" s="16"/>
      <c r="P130" s="16"/>
      <c r="Q130" s="16"/>
      <c r="R130" s="16"/>
      <c r="S130" s="16"/>
    </row>
    <row r="131" customFormat="false" ht="15" hidden="false" customHeight="false" outlineLevel="0" collapsed="false">
      <c r="B131" s="16"/>
      <c r="C131" s="16"/>
      <c r="D131" s="16"/>
      <c r="E131" s="16"/>
      <c r="F131" s="16"/>
      <c r="G131" s="16"/>
      <c r="H131" s="16"/>
      <c r="I131" s="16"/>
      <c r="J131" s="16"/>
      <c r="L131" s="19"/>
      <c r="M131" s="20"/>
      <c r="N131" s="16"/>
      <c r="O131" s="16"/>
      <c r="P131" s="16"/>
      <c r="Q131" s="16"/>
      <c r="R131" s="16"/>
      <c r="S131" s="16"/>
    </row>
    <row r="132" customFormat="false" ht="15" hidden="false" customHeight="false" outlineLevel="0" collapsed="false">
      <c r="B132" s="16"/>
      <c r="C132" s="16"/>
      <c r="D132" s="16"/>
      <c r="E132" s="16"/>
      <c r="F132" s="16"/>
      <c r="G132" s="16"/>
      <c r="H132" s="16"/>
      <c r="I132" s="16"/>
      <c r="J132" s="16"/>
      <c r="L132" s="19"/>
      <c r="M132" s="20"/>
      <c r="N132" s="16"/>
      <c r="O132" s="16"/>
      <c r="P132" s="16"/>
      <c r="Q132" s="16"/>
      <c r="R132" s="16"/>
      <c r="S132" s="16"/>
    </row>
    <row r="133" customFormat="false" ht="15" hidden="false" customHeight="false" outlineLevel="0" collapsed="false">
      <c r="B133" s="16"/>
      <c r="C133" s="16"/>
      <c r="D133" s="16"/>
      <c r="E133" s="16"/>
      <c r="F133" s="16"/>
      <c r="G133" s="16"/>
      <c r="H133" s="16"/>
      <c r="I133" s="16"/>
      <c r="J133" s="16"/>
      <c r="L133" s="19"/>
      <c r="M133" s="20"/>
      <c r="N133" s="16"/>
      <c r="O133" s="16"/>
      <c r="P133" s="16"/>
      <c r="Q133" s="16"/>
      <c r="R133" s="16"/>
      <c r="S133" s="16"/>
    </row>
    <row r="134" customFormat="false" ht="15" hidden="false" customHeight="false" outlineLevel="0" collapsed="false">
      <c r="B134" s="16"/>
      <c r="C134" s="16"/>
      <c r="D134" s="16"/>
      <c r="E134" s="16"/>
      <c r="F134" s="16"/>
      <c r="G134" s="16"/>
      <c r="H134" s="16"/>
      <c r="I134" s="16"/>
      <c r="J134" s="16"/>
      <c r="L134" s="19"/>
      <c r="M134" s="20"/>
      <c r="N134" s="16"/>
      <c r="O134" s="16"/>
      <c r="P134" s="16"/>
      <c r="Q134" s="16"/>
      <c r="R134" s="16"/>
      <c r="S134" s="16"/>
    </row>
    <row r="135" customFormat="false" ht="15" hidden="false" customHeight="false" outlineLevel="0" collapsed="false">
      <c r="B135" s="16"/>
      <c r="C135" s="16"/>
      <c r="D135" s="16"/>
      <c r="E135" s="16"/>
      <c r="F135" s="16"/>
      <c r="G135" s="16"/>
      <c r="H135" s="16"/>
      <c r="I135" s="16"/>
      <c r="J135" s="16"/>
      <c r="L135" s="19"/>
      <c r="M135" s="20"/>
      <c r="N135" s="16"/>
      <c r="O135" s="16"/>
      <c r="P135" s="16"/>
      <c r="Q135" s="16"/>
      <c r="R135" s="16"/>
      <c r="S135" s="16"/>
    </row>
    <row r="136" customFormat="false" ht="15" hidden="false" customHeight="false" outlineLevel="0" collapsed="false">
      <c r="B136" s="16"/>
      <c r="C136" s="16"/>
      <c r="D136" s="16"/>
      <c r="E136" s="16"/>
      <c r="F136" s="16"/>
      <c r="G136" s="16"/>
      <c r="H136" s="16"/>
      <c r="I136" s="16"/>
      <c r="J136" s="16"/>
      <c r="L136" s="19"/>
      <c r="M136" s="20"/>
      <c r="N136" s="16"/>
      <c r="O136" s="16"/>
      <c r="P136" s="16"/>
      <c r="Q136" s="16"/>
      <c r="R136" s="16"/>
      <c r="S136" s="16"/>
    </row>
    <row r="137" customFormat="false" ht="15" hidden="false" customHeight="false" outlineLevel="0" collapsed="false">
      <c r="B137" s="16"/>
      <c r="C137" s="16"/>
      <c r="D137" s="16"/>
      <c r="E137" s="16"/>
      <c r="F137" s="16"/>
      <c r="G137" s="16"/>
      <c r="H137" s="16"/>
      <c r="I137" s="16"/>
      <c r="J137" s="16"/>
      <c r="L137" s="19"/>
      <c r="M137" s="20"/>
      <c r="N137" s="16"/>
      <c r="O137" s="16"/>
      <c r="P137" s="16"/>
      <c r="Q137" s="16"/>
      <c r="R137" s="16"/>
      <c r="S137" s="16"/>
    </row>
    <row r="138" customFormat="false" ht="15" hidden="false" customHeight="false" outlineLevel="0" collapsed="false">
      <c r="B138" s="16"/>
      <c r="C138" s="16"/>
      <c r="D138" s="16"/>
      <c r="E138" s="16"/>
      <c r="F138" s="16"/>
      <c r="G138" s="16"/>
      <c r="H138" s="16"/>
      <c r="I138" s="16"/>
      <c r="J138" s="16"/>
      <c r="L138" s="19"/>
      <c r="M138" s="20"/>
      <c r="N138" s="16"/>
      <c r="O138" s="16"/>
      <c r="P138" s="16"/>
      <c r="Q138" s="16"/>
      <c r="R138" s="16"/>
      <c r="S138" s="16"/>
    </row>
    <row r="139" customFormat="false" ht="15" hidden="false" customHeight="false" outlineLevel="0" collapsed="false">
      <c r="B139" s="16"/>
      <c r="C139" s="16"/>
      <c r="D139" s="16"/>
      <c r="E139" s="16"/>
      <c r="F139" s="16"/>
      <c r="G139" s="16"/>
      <c r="H139" s="16"/>
      <c r="I139" s="16"/>
      <c r="J139" s="16"/>
      <c r="L139" s="19"/>
      <c r="M139" s="20"/>
      <c r="N139" s="16"/>
      <c r="O139" s="16"/>
      <c r="P139" s="16"/>
      <c r="Q139" s="16"/>
      <c r="R139" s="16"/>
      <c r="S139" s="16"/>
    </row>
    <row r="140" customFormat="false" ht="15" hidden="false" customHeight="false" outlineLevel="0" collapsed="false">
      <c r="B140" s="16"/>
      <c r="C140" s="16"/>
      <c r="D140" s="16"/>
      <c r="E140" s="16"/>
      <c r="F140" s="16"/>
      <c r="G140" s="16"/>
      <c r="H140" s="16"/>
      <c r="I140" s="16"/>
      <c r="J140" s="16"/>
      <c r="L140" s="19"/>
      <c r="M140" s="20"/>
      <c r="N140" s="16"/>
      <c r="O140" s="16"/>
      <c r="P140" s="16"/>
      <c r="Q140" s="16"/>
      <c r="R140" s="16"/>
      <c r="S140" s="16"/>
    </row>
    <row r="141" customFormat="false" ht="15" hidden="false" customHeight="false" outlineLevel="0" collapsed="false">
      <c r="B141" s="16"/>
      <c r="C141" s="16"/>
      <c r="D141" s="16"/>
      <c r="E141" s="16"/>
      <c r="F141" s="16"/>
      <c r="G141" s="16"/>
      <c r="H141" s="16"/>
      <c r="I141" s="16"/>
      <c r="J141" s="16"/>
      <c r="L141" s="19"/>
      <c r="M141" s="20"/>
      <c r="N141" s="16"/>
      <c r="O141" s="16"/>
      <c r="P141" s="16"/>
      <c r="Q141" s="16"/>
      <c r="R141" s="16"/>
      <c r="S141" s="16"/>
    </row>
    <row r="142" customFormat="false" ht="15" hidden="false" customHeight="false" outlineLevel="0" collapsed="false">
      <c r="B142" s="16"/>
      <c r="C142" s="16"/>
      <c r="D142" s="16"/>
      <c r="E142" s="16"/>
      <c r="F142" s="16"/>
      <c r="G142" s="16"/>
      <c r="H142" s="16"/>
      <c r="I142" s="16"/>
      <c r="J142" s="16"/>
      <c r="L142" s="19"/>
      <c r="M142" s="20"/>
      <c r="N142" s="16"/>
      <c r="O142" s="16"/>
      <c r="P142" s="16"/>
      <c r="Q142" s="16"/>
      <c r="R142" s="16"/>
      <c r="S142" s="16"/>
    </row>
    <row r="143" customFormat="false" ht="15" hidden="false" customHeight="false" outlineLevel="0" collapsed="false">
      <c r="B143" s="16"/>
      <c r="C143" s="16"/>
      <c r="D143" s="16"/>
      <c r="E143" s="16"/>
      <c r="F143" s="16"/>
      <c r="G143" s="16"/>
      <c r="H143" s="16"/>
      <c r="I143" s="16"/>
      <c r="J143" s="16"/>
      <c r="L143" s="19"/>
      <c r="M143" s="20"/>
      <c r="N143" s="16"/>
      <c r="O143" s="16"/>
      <c r="P143" s="16"/>
      <c r="Q143" s="16"/>
      <c r="R143" s="16"/>
      <c r="S143" s="16"/>
    </row>
    <row r="144" customFormat="false" ht="15" hidden="false" customHeight="false" outlineLevel="0" collapsed="false">
      <c r="B144" s="16"/>
      <c r="C144" s="16"/>
      <c r="D144" s="16"/>
      <c r="E144" s="16"/>
      <c r="F144" s="16"/>
      <c r="G144" s="16"/>
      <c r="H144" s="16"/>
      <c r="I144" s="16"/>
      <c r="J144" s="16"/>
      <c r="L144" s="19"/>
      <c r="M144" s="20"/>
      <c r="N144" s="16"/>
      <c r="O144" s="16"/>
      <c r="P144" s="16"/>
      <c r="Q144" s="16"/>
      <c r="R144" s="16"/>
      <c r="S144" s="16"/>
    </row>
    <row r="145" customFormat="false" ht="15" hidden="false" customHeight="false" outlineLevel="0" collapsed="false">
      <c r="B145" s="16"/>
      <c r="C145" s="16"/>
      <c r="D145" s="16"/>
      <c r="E145" s="16"/>
      <c r="F145" s="16"/>
      <c r="G145" s="16"/>
      <c r="H145" s="16"/>
      <c r="I145" s="16"/>
      <c r="J145" s="16"/>
      <c r="L145" s="19"/>
      <c r="M145" s="20"/>
      <c r="N145" s="16"/>
      <c r="O145" s="16"/>
      <c r="P145" s="16"/>
      <c r="Q145" s="16"/>
      <c r="R145" s="16"/>
      <c r="S145" s="16"/>
    </row>
  </sheetData>
  <autoFilter ref="B7:S100">
    <filterColumn colId="1">
      <filters>
        <filter val="PRLS/25/13156"/>
      </filters>
    </filterColumn>
    <sortState ref="B8:S100">
      <sortCondition ref="A8:A100" customList=""/>
    </sortState>
  </autoFilter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2026-03-05T04:44:34Z</dcterms:created>
  <dc:creator>Finishing DEO4</dc:creator>
  <dc:description/>
  <dc:language>en-US</dc:language>
  <cp:lastModifiedBy>Finishing DEO4</cp:lastModifiedBy>
  <dcterms:modified xsi:type="dcterms:W3CDTF">2026-03-05T04:58:45Z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