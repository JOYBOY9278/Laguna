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inishingDeo4\Downloads\"/>
    </mc:Choice>
  </mc:AlternateContent>
  <bookViews>
    <workbookView xWindow="0" yWindow="0" windowWidth="28800" windowHeight="12000" activeTab="1"/>
  </bookViews>
  <sheets>
    <sheet name="CDD - 01.03.2026 " sheetId="1" r:id="rId1"/>
    <sheet name="Booking Dashboard" sheetId="2" r:id="rId2"/>
  </sheets>
  <definedNames>
    <definedName name="_152">#REF!</definedName>
    <definedName name="_153">#REF!</definedName>
    <definedName name="_1593">#REF!</definedName>
    <definedName name="_17">#REF!</definedName>
    <definedName name="_18">#REF!</definedName>
    <definedName name="_35_3443">"$#REF!.$#REF!$#REF!"</definedName>
    <definedName name="_35_3443_2">"$#REF!.$#REF!$#REF!"</definedName>
    <definedName name="_35_3443_3">"$#REF!.$#REF!$#REF!"</definedName>
    <definedName name="_555">#REF!</definedName>
    <definedName name="_xlnm._FilterDatabase" localSheetId="0">'CDD - 01.03.2026 '!$B$5:$Z$28</definedName>
    <definedName name="arjunkumar">"$#REF!.$#REF!$#REF!"</definedName>
    <definedName name="arjunkumar_2">"$#REF!.$#REF!$#REF!"</definedName>
    <definedName name="arjunkumar_3">"$#REF!.$#REF!$#REF!"</definedName>
    <definedName name="ckjs">#REF!</definedName>
    <definedName name="ckjs.">#REF!</definedName>
    <definedName name="dishu">#REF!</definedName>
    <definedName name="drt">#REF!</definedName>
    <definedName name="er">#REF!</definedName>
    <definedName name="Excel_BuiltIn__FilterDatabase_1">"$#REF!.$B$1:$BL$256"</definedName>
    <definedName name="Excel_BuiltIn__FilterDatabase_1_1">"$#REF!.$B$1:$BL$256"</definedName>
    <definedName name="Excel_BuiltIn__FilterDatabase_1_1_1">"$#REF!.$A$3:$AZ$211"</definedName>
    <definedName name="Excel_BuiltIn__FilterDatabase_1_1_1_1">"$#REF!.$A$3:$AZ$191"</definedName>
    <definedName name="Excel_BuiltIn__FilterDatabase_1_1_1_1_1">"$#REF!.$A$3:$AZ$210"</definedName>
    <definedName name="Excel_BuiltIn__FilterDatabase_1_1_1_1_1_1">"$#REF!.$A$3:$AZ$208"</definedName>
    <definedName name="Excel_BuiltIn__FilterDatabase_1_1_1_1_1_1_1">"$#REF!.$A$3:$AZ$208"</definedName>
    <definedName name="Excel_BuiltIn__FilterDatabase_1_1_1_1_1_1_1_1">"$#REF!.$A$3:$AZ$208"</definedName>
    <definedName name="Excel_BuiltIn__FilterDatabase_1_1_1_1_1_1_1_1_1">"$#REF!.$A$3:$AZ$211"</definedName>
    <definedName name="Excel_BuiltIn__FilterDatabase_1_1_1_1_1_1_1_1_1_1">"$#REF!.$A$3:$AZ$171"</definedName>
    <definedName name="Excel_BuiltIn__FilterDatabase_1_1_1_1_1_1_1_1_1_1_1">"$#REF!.$A$3:$AZ$206"</definedName>
    <definedName name="Excel_BuiltIn__FilterDatabase_1_1_1_1_1_1_1_1_1_1_1_1">"$#REF!.$A$3:$AZ$207"</definedName>
    <definedName name="Excel_BuiltIn__FilterDatabase_1_1_1_1_1_1_1_1_1_1_1_1_1">"$#REF!.$A$3:$AZ$192"</definedName>
    <definedName name="Excel_BuiltIn__FilterDatabase_1_1_1_1_1_1_1_1_1_1_1_1_1_1">"$#REF!.$A$3:$AZ$211"</definedName>
    <definedName name="Excel_BuiltIn__FilterDatabase_1_1_1_1_1_1_1_1_1_1_1_1_1_1_1">"$#REF!.$A$3:$AZ$187"</definedName>
    <definedName name="Excel_BuiltIn__FilterDatabase_1_1_1_1_1_1_1_1_1_1_1_1_1_1_1_1">"$#REF!.$A$3:$AZ$185"</definedName>
    <definedName name="Excel_BuiltIn__FilterDatabase_1_1_1_1_1_1_1_1_1_1_1_1_1_1_1_1_1">"$#REF!.$A$3:$AZ$156"</definedName>
    <definedName name="Excel_BuiltIn__FilterDatabase_1_1_1_1_1_1_1_1_1_1_1_1_1_1_1_1_1_1">"$#REF!.$A$3:$AZ$211"</definedName>
    <definedName name="Excel_BuiltIn__FilterDatabase_1_1_1_1_1_1_1_1_1_1_1_1_1_1_1_1_1_1_1">"$#REF!.$A$3:$AZ$157"</definedName>
    <definedName name="Excel_BuiltIn__FilterDatabase_1_1_1_1_1_1_1_1_1_1_1_1_1_1_1_1_1_1_1_1">"$#REF!.$A$3:$AZ$211"</definedName>
    <definedName name="Excel_BuiltIn__FilterDatabase_1_1_1_1_1_1_1_1_1_1_1_1_1_1_1_1_1_1_1_1_1">"$#REF!.$A$3:$AZ$212"</definedName>
    <definedName name="Excel_BuiltIn__FilterDatabase_1_1_1_1_1_1_1_1_1_1_1_1_1_1_1_1_1_1_1_1_1_1">"$#REF!.$A$3:$AZ$151"</definedName>
    <definedName name="Excel_BuiltIn__FilterDatabase_1_1_1_1_1_1_1_1_1_1_1_1_1_1_1_1_1_1_1_1_1_1_1">"$#REF!.$A$3:$AZ$157"</definedName>
    <definedName name="Excel_BuiltIn__FilterDatabase_1_1_1_1_1_1_1_1_1_1_1_1_1_1_1_1_1_1_1_1_1_1_1_1">"$#REF!.$A$3:$AZ$211"</definedName>
    <definedName name="Excel_BuiltIn__FilterDatabase_1_1_1_1_1_1_1_1_1_1_1_1_1_1_1_1_1_1_1_1_1_1_1_1_1">"$#REF!.$A$3:$AZ$212"</definedName>
    <definedName name="Excel_BuiltIn__FilterDatabase_1_1_1_1_1_1_1_1_1_1_1_1_1_1_1_1_1_1_1_1_1_1_1_1_1_1">"$#REF!.$A$3:$AZ$211"</definedName>
    <definedName name="Excel_BuiltIn__FilterDatabase_1_1_1_1_1_1_1_1_1_1_1_1_1_1_1_1_1_1_1_1_1_1_1_1_1_1_1">"$#REF!.$A$3:$AZ$157"</definedName>
    <definedName name="Excel_BuiltIn__FilterDatabase_1_1_1_1_1_1_1_1_1_1_1_1_1_1_1_1_1_1_1_1_1_1_1_1_1_1_1_1">"$#REF!.$A$3:$AZ$123"</definedName>
    <definedName name="Excel_BuiltIn__FilterDatabase_1_1_1_1_1_1_1_1_1_1_1_1_1_1_1_1_1_1_1_1_1_1_1_1_1_1_1_1_1">"$#REF!.$A$3:$AZ$212"</definedName>
    <definedName name="Excel_BuiltIn__FilterDatabase_1_1_1_1_1_1_1_1_1_1_1_1_1_1_1_1_1_1_1_1_1_1_1_1_1_1_1_1_1_1">"$#REF!.$A$3:$AZ$211"</definedName>
    <definedName name="Excel_BuiltIn__FilterDatabase_1_1_1_1_1_1_1_1_1_1_1_1_1_1_1_1_1_1_1_1_1_1_1_1_1_1_1_1_1_1_1">"$#REF!.$A$3:$AZ$211"</definedName>
    <definedName name="Excel_BuiltIn__FilterDatabase_1_1_1_1_1_1_1_1_1_1_1_1_1_1_1_1_1_1_1_1_1_1_1_1_1_1_1_1_1_1_1_1">"$#REF!.$A$3:$AZ$211"</definedName>
    <definedName name="Excel_BuiltIn__FilterDatabase_1_1_1_1_1_1_1_1_1_1_1_1_1_1_1_1_1_1_1_1_1_1_1_1_1_1_1_1_1_1_1_1_1">"$#REF!.$A$3:$AZ$117"</definedName>
    <definedName name="Excel_BuiltIn__FilterDatabase_1_1_1_1_1_1_1_1_1_1_1_1_1_1_1_1_1_1_1_1_1_1_1_1_1_1_1_1_1_1_1_1_1_1">"$#REF!.$A$3:$AZ$117"</definedName>
    <definedName name="Excel_BuiltIn__FilterDatabase_1_1_1_1_1_1_1_1_1_1_1_1_1_1_1_1_1_1_1_1_1_1_1_1_1_1_1_1_1_1_1_1_1_1_1">"$#REF!.$A$3:$AZ$117"</definedName>
    <definedName name="Excel_BuiltIn__FilterDatabase_1_1_1_1_1_1_1_1_1_1_1_1_1_1_1_1_1_1_1_1_1_1_1_1_1_1_1_1_1_1_1_1_1_1_1_1">"$#REF!.$A$3:$AZ$117"</definedName>
    <definedName name="Excel_BuiltIn__FilterDatabase_1_1_1_1_1_1_1_1_1_1_1_1_1_1_1_1_1_1_1_1_1_1_1_1_1_1_1_1_1_1_1_1_1_1_1_1_1">"$#REF!.$A$3:$AZ$212"</definedName>
    <definedName name="Excel_BuiltIn__FilterDatabase_1_1_1_1_1_1_1_1_1_1_1_1_1_1_1_1_1_1_1_1_1_1_1_1_1_1_1_1_1_1_1_1_1_1_1_1_1_1">"$#REF!.$A$3:$AZ$117"</definedName>
    <definedName name="Excel_BuiltIn__FilterDatabase_1_1_1_1_1_1_1_1_1_1_1_1_1_1_1_1_1_1_1_1_1_1_1_1_1_1_1_1_1_1_1_1_1_1_1_1_1_1_1">"$#REF!.$A$3:$AZ$117"</definedName>
    <definedName name="Excel_BuiltIn__FilterDatabase_1_1_1_1_1_1_1_1_1_1_1_1_1_1_1_1_1_1_1_1_1_1_1_1_1_1_1_1_1_1_1_1_1_1_1_1_1_1_1_1">"$#REF!.$A$3:$AZ$117"</definedName>
    <definedName name="Excel_BuiltIn__FilterDatabase_1_1_1_1_1_1_1_1_1_1_1_1_1_1_1_1_1_1_1_1_1_1_1_1_1_1_1_1_1_1_1_1_1_1_1_1_1_1_1_1_1">"$#REF!.$A$3:$AZ$117"</definedName>
    <definedName name="Excel_BuiltIn__FilterDatabase_1_1_1_1_1_1_1_1_1_1_1_1_1_1_1_1_1_1_1_1_1_1_1_1_1_1_1_1_1_1_1_1_1_1_1_1_1_1_1_1_1_1">"$#REF!.$A$3:$AZ$96"</definedName>
    <definedName name="Excel_BuiltIn__FilterDatabase_1_1_1_1_1_1_1_1_1_1_1_1_1_1_1_1_1_1_1_1_1_1_1_1_1_1_1_1_1_1_1_1_1_1_1_1_1_1_1_1_1_1_1">"$#REF!.$A$3:$AZ$117"</definedName>
    <definedName name="Excel_BuiltIn__FilterDatabase_1_1_1_1_1_1_1_1_1_1_1_1_1_1_1_1_1_1_1_1_1_1_1_1_1_1_1_1_1_1_1_1_1_1_1_1_1_1_1_1_1_1_1_1">"$#REF!.$A$3:$AZ$117"</definedName>
    <definedName name="Excel_BuiltIn__FilterDatabase_1_1_1_1_1_1_1_1_1_1_1_1_1_1_1_1_1_1_1_1_1_1_1_1_1_1_1_1_1_1_1_1_1_1_1_1_1_1_1_1_1_1_1_1_1">"$#REF!.$A$3:$AZ$117"</definedName>
    <definedName name="Excel_BuiltIn__FilterDatabase_1_1_1_1_1_1_1_1_1_1_1_1_1_1_1_1_1_1_1_1_1_1_1_1_1_1_1_1_1_1_1_1_1_1_1_1_1_1_1_1_1_1_1_1_1_1">"$#REF!.$A$3:$AZ$117"</definedName>
    <definedName name="Excel_BuiltIn__FilterDatabase_1_1_1_1_1_1_1_1_1_1_1_1_1_1_1_1_1_1_1_1_1_1_1_1_1_1_1_1_1_1_1_1_1_1_1_1_1_1_1_1_1_1_1_1_1_1_1">"$#REF!.$A$3:$AMJ$117"</definedName>
    <definedName name="Excel_BuiltIn__FilterDatabase_1_1_1_1_1_1_1_1_1_1_1_1_1_1_1_1_1_1_1_1_1_1_1_1_1_1_1_1_1_1_1_1_1_1_1_1_1_1_1_1_1_1_1_1_1_1_1_1">"$#REF!.$A$3:$AZ$96"</definedName>
    <definedName name="Excel_BuiltIn__FilterDatabase_1_1_1_1_1_1_1_1_1_1_1_1_1_1_1_1_1_1_1_1_1_1_1_1_1_1_1_1_1_1_1_1_1_1_1_1_1_1_1_1_1_1_1_1_1_1_1_1_1">"$#REF!.$A$3:$AZ$212"</definedName>
    <definedName name="Excel_BuiltIn__FilterDatabase_1_1_1_1_1_1_1_1_1_1_1_1_1_1_1_1_1_1_1_1_1_1_1_1_1_1_1_1_1_1_1_1_1_1_1_1_1_1_1_1_1_1_1_1_1_1_1_1_1_1">"$#REF!.$A$3:$AX$374"</definedName>
    <definedName name="Excel_BuiltIn__FilterDatabase_2">"$#REF!.$A$4:$IT$355"</definedName>
    <definedName name="Excel_BuiltIn__FilterDatabase_2_1">"$#REF!.$A$4:$IT$281"</definedName>
    <definedName name="Excel_BuiltIn__FilterDatabase_2_1_1">"$#REF!.$A$4:$IR$262"</definedName>
    <definedName name="Excel_BuiltIn__FilterDatabase_2_1_1_1">"$#REF!.$A$5:$IR$370"</definedName>
    <definedName name="Excel_BuiltIn__FilterDatabase_2_1_1_1_1">"$#REF!.$A$5:$IR$370"</definedName>
    <definedName name="Excel_BuiltIn__FilterDatabase_2_1_1_1_1_1">"$#REF!.$A$3:$AMJ$408"</definedName>
    <definedName name="Excel_BuiltIn__FilterDatabase_2_1_1_1_1_1_1">"$#REF!.$A$3:$AMJ$408"</definedName>
    <definedName name="Excel_BuiltIn__FilterDatabase_2_1_1_1_1_1_1_1">"$#REF!.$A$3:$AMJ$387"</definedName>
    <definedName name="Excel_BuiltIn__FilterDatabase_2_1_1_1_1_1_1_1_1">"$#REF!.$A$3:$AMJ$406"</definedName>
    <definedName name="Excel_BuiltIn__FilterDatabase_2_1_1_1_1_1_1_1_1_1">"$#REF!.$A$3:$AMJ$407"</definedName>
    <definedName name="Excel_BuiltIn__FilterDatabase_2_1_1_1_1_1_1_1_1_1_1">"$#REF!.$A$3:$AMJ$408"</definedName>
    <definedName name="Excel_BuiltIn__FilterDatabase_2_1_1_1_1_1_1_1_1_1_1_1">"$#REF!.$A$3:$AMJ$395"</definedName>
    <definedName name="Excel_BuiltIn__FilterDatabase_2_1_1_1_1_1_1_1_1_1_1_1_1">"$#REF!.$A$3:$AMJ$397"</definedName>
    <definedName name="Excel_BuiltIn__FilterDatabase_2_1_1_1_1_1_1_1_1_1_1_1_1_1">"$#REF!.$A$3:$AMJ$397"</definedName>
    <definedName name="Excel_BuiltIn__FilterDatabase_2_1_1_1_1_1_1_1_1_1_1_1_1_1_1">"$#REF!.$A$3:$AMJ$393"</definedName>
    <definedName name="Excel_BuiltIn__FilterDatabase_2_1_1_1_1_1_1_1_1_1_1_1_1_1_1_1">"$#REF!.$A$3:$AMJ$394"</definedName>
    <definedName name="Excel_BuiltIn__FilterDatabase_2_1_1_1_1_1_1_1_1_1_1_1_1_1_1_1_1">"$#REF!.$A$3:$AMJ$332"</definedName>
    <definedName name="Excel_BuiltIn__FilterDatabase_2_1_1_1_1_1_1_1_1_1_1_1_1_1_1_1_1_1">"$#REF!.$A$3:$AMJ$392"</definedName>
    <definedName name="Excel_BuiltIn__FilterDatabase_2_1_1_1_1_1_1_1_1_1_1_1_1_1_1_1_1_1_1">"$#REF!.$A$3:$AMJ$391"</definedName>
    <definedName name="Excel_BuiltIn__FilterDatabase_2_1_1_1_1_1_1_1_1_1_1_1_1_1_1_1_1_1_1_1">"$#REF!.$A$3:$AMJ$311"</definedName>
    <definedName name="Excel_BuiltIn__FilterDatabase_2_1_1_1_1_1_1_1_1_1_1_1_1_1_1_1_1_1_1_1_1">"$#REF!.$A$3:$AMJ$390"</definedName>
    <definedName name="Excel_BuiltIn__FilterDatabase_2_1_1_1_1_1_1_1_1_1_1_1_1_1_1_1_1_1_1_1_1_1">"$#REF!.$A$3:$AMJ$395"</definedName>
    <definedName name="Excel_BuiltIn__FilterDatabase_2_1_1_1_1_1_1_1_1_1_1_1_1_1_1_1_1_1_1_1_1_1_1">"$#REF!.$A$3:$AMJ$358"</definedName>
    <definedName name="Excel_BuiltIn__FilterDatabase_2_1_1_1_1_1_1_1_1_1_1_1_1_1_1_1_1_1_1_1_1_1_1_1">"$#REF!.$A$3:$AMJ$359"</definedName>
    <definedName name="Excel_BuiltIn__FilterDatabase_2_1_1_1_1_1_1_1_1_1_1_1_1_1_1_1_1_1_1_1_1_1_1_1_1">"$#REF!.$A$3:$AMJ$325"</definedName>
    <definedName name="Excel_BuiltIn__FilterDatabase_2_1_1_1_1_1_1_1_1_1_1_1_1_1_1_1_1_1_1_1_1_1_1_1_1_1">"$#REF!.$A$3:$AMJ$358"</definedName>
    <definedName name="Excel_BuiltIn__FilterDatabase_2_1_1_1_1_1_1_1_1_1_1_1_1_1_1_1_1_1_1_1_1_1_1_1_1_1_1">"$#REF!.$A$3:$AMJ$411"</definedName>
    <definedName name="Excel_BuiltIn__FilterDatabase_2_1_1_1_1_1_1_1_1_1_1_1_1_1_1_1_1_1_1_1_1_1_1_1_1_1_1_1">"$#REF!.$A$3:$AMJ$360"</definedName>
    <definedName name="Excel_BuiltIn__FilterDatabase_2_1_1_1_1_1_1_1_1_1_1_1_1_1_1_1_1_1_1_1_1_1_1_1_1_1_1_1_1">"$#REF!.$A$3:$AMJ$360"</definedName>
    <definedName name="Excel_BuiltIn__FilterDatabase_2_1_1_1_1_1_1_1_1_1_1_1_1_1_1_1_1_1_1_1_1_1_1_1_1_1_1_1_1_1">"$#REF!.$A$3:$AMJ$360"</definedName>
    <definedName name="Excel_BuiltIn__FilterDatabase_2_1_1_1_1_1_1_1_1_1_1_1_1_1_1_1_1_1_1_1_1_1_1_1_1_1_1_1_1_1_1">"$#REF!.$A$3:$AMJ$362"</definedName>
    <definedName name="Excel_BuiltIn__FilterDatabase_2_1_1_1_1_1_1_1_1_1_1_1_1_1_1_1_1_1_1_1_1_1_1_1_1_1_1_1_1_1_1_1">"$#REF!.$A$3:$AMJ$360"</definedName>
    <definedName name="Excel_BuiltIn__FilterDatabase_2_1_1_1_1_1_1_1_1_1_1_1_1_1_1_1_1_1_1_1_1_1_1_1_1_1_1_1_1_1_1_1_1">"$#REF!.$A$3:$AMJ$359"</definedName>
    <definedName name="Excel_BuiltIn__FilterDatabase_2_1_1_1_1_1_1_1_1_1_1_1_1_1_1_1_1_1_1_1_1_1_1_1_1_1_1_1_1_1_1_1_1_1">"$#REF!.$A$3:$AMJ$358"</definedName>
    <definedName name="Excel_BuiltIn__FilterDatabase_2_1_1_1_1_1_1_1_1_1_1_1_1_1_1_1_1_1_1_1_1_1_1_1_1_1_1_1_1_1_1_1_1_1_1">"$#REF!.$A$3:$AMJ$360"</definedName>
    <definedName name="Excel_BuiltIn__FilterDatabase_2_1_1_1_1_1_1_1_1_1_1_1_1_1_1_1_1_1_1_1_1_1_1_1_1_1_1_1_1_1_1_1_1_1_1_1">"$#REF!.$A$3:$AMJ$497"</definedName>
    <definedName name="Excel_BuiltIn__FilterDatabase_2_1_1_1_1_1_1_1_1_1_1_1_1_1_1_1_1_1_1_1_1_1_1_1_1_1_1_1_1_1_1_1_1_1_1_1_1">"$#REF!.$A$3:$AMJ$500"</definedName>
    <definedName name="Excel_BuiltIn__FilterDatabase_2_1_1_1_1_1_1_1_1_1_1_1_1_1_1_1_1_1_1_1_1_1_1_1_1_1_1_1_1_1_1_1_1_1_1_1_1_1">"$#REF!.$A$3:$AMJ$504"</definedName>
    <definedName name="Excel_BuiltIn__FilterDatabase_2_1_1_1_1_1_1_1_1_1_1_1_1_1_1_1_1_1_1_1_1_1_1_1_1_1_1_1_1_1_1_1_1_1_1_1_1_1_1">"$#REF!.$A$3:$AMJ$504"</definedName>
    <definedName name="Excel_BuiltIn__FilterDatabase_2_1_1_1_1_1_1_1_1_1_1_1_1_1_1_1_1_1_1_1_1_1_1_1_1_1_1_1_1_1_1_1_1_1_1_1_1_1_1_1">"$#REF!.$B$3:$BL$498"</definedName>
    <definedName name="Excel_BuiltIn__FilterDatabase_2_1_1_1_1_1_1_1_1_1_1_1_1_1_1_1_1_1_1_1_1_1_1_1_1_1_1_1_1_1_1_1_1_1_1_1_1_1_1_1_1">"$#REF!.$B$3:$BM$256"</definedName>
    <definedName name="Excel_BuiltIn__FilterDatabase_2_1_1_1_1_1_1_1_1_1_1_1_1_1_1_1_1_1_1_1_1_1_1_1_1_1_1_1_1_1_1_1_1_1_1_1_1_1_1_1_1_1">"$#REF!.$B$3:$BL$256"</definedName>
    <definedName name="Excel_BuiltIn__FilterDatabase_2_1_1_1_1_1_1_1_1_1_1_1_1_1_1_1_1_1_1_1_1_1_1_1_1_1_1_1_1_1_1_1_1_1_1_1_1_1_1_1_1_1_1">"$#REF!.$A$3:$AZ$197"</definedName>
    <definedName name="Excel_BuiltIn__FilterDatabase_2_1_1_1_1_1_1_1_1_1_1_1_1_1_1_1_1_1_1_1_1_1_1_1_1_1_1_1_1_1_1_1_1_1_1_1_1_1_1_1_1_1_1_1">"$#REF!.$A$3:$AZ$96"</definedName>
    <definedName name="Excel_BuiltIn__FilterDatabase_2_1_1_1_1_1_1_1_1_1_1_1_1_1_1_1_1_1_1_1_1_1_1_1_1_1_1_1_1_1_1_1_1_1_1_1_1_1_1_1_1_1_1_1_1">"$#REF!.$A$3:$AZ$212"</definedName>
    <definedName name="Excel_BuiltIn__FilterDatabase_2_1_1_1_1_1_1_1_1_1_1_1_1_1_1_1_1_1_1_1_1_1_1_1_1_1_1_1_1_1_1_1_1_1_1_1_1_1_1_1_1_1_1_1_1_1">"$#REF!.$A$3:$AX$371"</definedName>
    <definedName name="Excel_BuiltIn__FilterDatabase_3_1">"$#REF!.$A$3:$AZ$212"</definedName>
    <definedName name="Excel_BuiltIn__FilterDatabase_5">"$#REF!.$A$3:$AZ$117"</definedName>
    <definedName name="Excel_BuiltIn_Print_Area_1">"$#REF!.$A$1:$AZ$96"</definedName>
    <definedName name="Excel_BuiltIn_Print_Area_1_1">"$#REF!.$A$1:$BA$117"</definedName>
    <definedName name="fred">#REF!</definedName>
    <definedName name="gsf_5">#REF!</definedName>
    <definedName name="hh">#REF!</definedName>
    <definedName name="j">"$#REF!.$#REF!$#REF!"</definedName>
    <definedName name="j_2">"$#REF!.$#REF!$#REF!"</definedName>
    <definedName name="j_3">"$#REF!.$#REF!$#REF!"</definedName>
    <definedName name="kl">"$#REF!.$#REF!$#REF!"</definedName>
    <definedName name="kl_2">"$#REF!.$#REF!$#REF!"</definedName>
    <definedName name="kl_3">"$#REF!.$#REF!$#REF!"</definedName>
    <definedName name="lk">#REF!</definedName>
    <definedName name="m">"$#REF!.$#REF!$#REF!"</definedName>
    <definedName name="m_2">"$#REF!.$#REF!$#REF!"</definedName>
    <definedName name="m_3">"$#REF!.$#REF!$#REF!"</definedName>
    <definedName name="mm">#REF!</definedName>
    <definedName name="mmm">#REF!</definedName>
    <definedName name="ni">#REF!</definedName>
    <definedName name="nike">#REF!</definedName>
    <definedName name="nike2555">#REF!</definedName>
    <definedName name="nike32">#REF!</definedName>
    <definedName name="oiuk">#REF!</definedName>
    <definedName name="po">"$#REF!.$#REF!$#REF!"</definedName>
    <definedName name="po_2">"$#REF!.$#REF!$#REF!"</definedName>
    <definedName name="po_3">"$#REF!.$#REF!$#REF!"</definedName>
    <definedName name="prl">#REF!</definedName>
    <definedName name="re">#REF!</definedName>
    <definedName name="rews">#REF!</definedName>
    <definedName name="road">#REF!</definedName>
    <definedName name="road1">#REF!</definedName>
    <definedName name="rrr">#REF!</definedName>
    <definedName name="rt">#REF!</definedName>
    <definedName name="rte">#REF!</definedName>
    <definedName name="SC">#REF!</definedName>
    <definedName name="SD">#REF!</definedName>
    <definedName name="t">#REF!</definedName>
    <definedName name="tomm2">#REF!</definedName>
    <definedName name="TOMMY">#REF!</definedName>
    <definedName name="TOMMY_HILFIGER_TAILORED_EUROPE">#REF!</definedName>
    <definedName name="tommy1">#REF!</definedName>
    <definedName name="tommy11">#REF!</definedName>
    <definedName name="tommy111">#REF!</definedName>
    <definedName name="tommy2">#REF!</definedName>
    <definedName name="tommy321">#REF!</definedName>
    <definedName name="tommy99">#REF!</definedName>
    <definedName name="tommye">#REF!</definedName>
    <definedName name="tommyuu">#REF!</definedName>
    <definedName name="tur">#REF!</definedName>
    <definedName name="utt">#REF!</definedName>
    <definedName name="uyt">#REF!</definedName>
    <definedName name="we">#REF!</definedName>
    <definedName name="www">#REF!</definedName>
    <definedName name="yy">#REF!</definedName>
    <definedName name="yyou">#REF!</definedName>
  </definedNames>
  <calcPr calcId="162913"/>
</workbook>
</file>

<file path=xl/calcChain.xml><?xml version="1.0" encoding="utf-8"?>
<calcChain xmlns="http://schemas.openxmlformats.org/spreadsheetml/2006/main">
  <c r="I22" i="2" l="1"/>
  <c r="O22" i="2"/>
  <c r="P22" i="2"/>
  <c r="J22" i="2"/>
  <c r="K22" i="2"/>
  <c r="L22" i="2"/>
  <c r="M22" i="2"/>
  <c r="N22" i="2"/>
  <c r="J31" i="2"/>
  <c r="K31" i="2"/>
  <c r="L31" i="2"/>
  <c r="M31" i="2"/>
  <c r="N31" i="2"/>
  <c r="O31" i="2"/>
  <c r="P31" i="2"/>
  <c r="I31" i="2"/>
  <c r="J29" i="2"/>
  <c r="K29" i="2"/>
  <c r="L29" i="2"/>
  <c r="M29" i="2"/>
  <c r="N29" i="2"/>
  <c r="O29" i="2"/>
  <c r="P29" i="2"/>
  <c r="I29" i="2"/>
  <c r="J20" i="2"/>
  <c r="K20" i="2"/>
  <c r="L20" i="2"/>
  <c r="M20" i="2"/>
  <c r="N20" i="2"/>
  <c r="O20" i="2"/>
  <c r="P20" i="2"/>
  <c r="I20" i="2"/>
  <c r="J17" i="2"/>
  <c r="K17" i="2"/>
  <c r="L17" i="2"/>
  <c r="M17" i="2"/>
  <c r="N17" i="2"/>
  <c r="O17" i="2"/>
  <c r="P17" i="2"/>
  <c r="I17" i="2"/>
  <c r="J14" i="2"/>
  <c r="K14" i="2"/>
  <c r="L14" i="2"/>
  <c r="M14" i="2"/>
  <c r="N14" i="2"/>
  <c r="O14" i="2"/>
  <c r="P14" i="2"/>
  <c r="I14" i="2"/>
  <c r="J9" i="2"/>
  <c r="K9" i="2"/>
  <c r="L9" i="2"/>
  <c r="M9" i="2"/>
  <c r="N9" i="2"/>
  <c r="O9" i="2"/>
  <c r="P9" i="2"/>
  <c r="I9" i="2"/>
  <c r="Q29" i="1"/>
  <c r="P29" i="1"/>
  <c r="O29" i="1"/>
  <c r="N29" i="1"/>
  <c r="M29" i="1"/>
  <c r="L29" i="1"/>
  <c r="K29" i="1"/>
  <c r="J29" i="1"/>
  <c r="Q27" i="1"/>
  <c r="P27" i="1"/>
  <c r="O27" i="1"/>
  <c r="N27" i="1"/>
  <c r="M27" i="1"/>
  <c r="L27" i="1"/>
  <c r="K27" i="1"/>
  <c r="J27" i="1"/>
  <c r="Q21" i="1"/>
  <c r="P21" i="1"/>
  <c r="O21" i="1"/>
  <c r="N21" i="1"/>
  <c r="M21" i="1"/>
  <c r="L21" i="1"/>
  <c r="K21" i="1"/>
  <c r="J21" i="1"/>
  <c r="Q18" i="1"/>
  <c r="P18" i="1"/>
  <c r="O18" i="1"/>
  <c r="N18" i="1"/>
  <c r="M18" i="1"/>
  <c r="L18" i="1"/>
  <c r="K18" i="1"/>
  <c r="J18" i="1"/>
  <c r="Q15" i="1"/>
  <c r="P15" i="1"/>
  <c r="O15" i="1"/>
  <c r="N15" i="1"/>
  <c r="M15" i="1"/>
  <c r="L15" i="1"/>
  <c r="K15" i="1"/>
  <c r="J15" i="1"/>
  <c r="Q10" i="1"/>
  <c r="P10" i="1"/>
  <c r="O10" i="1"/>
  <c r="N10" i="1"/>
  <c r="M10" i="1"/>
  <c r="L10" i="1"/>
  <c r="K10" i="1"/>
  <c r="J10" i="1"/>
</calcChain>
</file>

<file path=xl/sharedStrings.xml><?xml version="1.0" encoding="utf-8"?>
<sst xmlns="http://schemas.openxmlformats.org/spreadsheetml/2006/main" count="269" uniqueCount="77">
  <si>
    <t>SEA FOB </t>
  </si>
  <si>
    <t>TRUCKOUT ON - 18.02.2026</t>
  </si>
  <si>
    <t>F Line</t>
  </si>
  <si>
    <t>PLANT CODE</t>
  </si>
  <si>
    <t>LINE NO</t>
  </si>
  <si>
    <t>CON</t>
  </si>
  <si>
    <t>DESTINATION</t>
  </si>
  <si>
    <t>PO NO</t>
  </si>
  <si>
    <t>COLOR</t>
  </si>
  <si>
    <t>MATERIAL NO</t>
  </si>
  <si>
    <t>QTY</t>
  </si>
  <si>
    <t>CUT QTY</t>
  </si>
  <si>
    <t>Send to Wash / Dye</t>
  </si>
  <si>
    <t>Balance to Send</t>
  </si>
  <si>
    <t>Wash / Dye Received</t>
  </si>
  <si>
    <t>Balance to receive</t>
  </si>
  <si>
    <t>PACK/SHIP QTY</t>
  </si>
  <si>
    <t xml:space="preserve">CTNS </t>
  </si>
  <si>
    <t>STATUS</t>
  </si>
  <si>
    <t>FI to be done by</t>
  </si>
  <si>
    <t>ASN</t>
  </si>
  <si>
    <t>WEIGHT</t>
  </si>
  <si>
    <t>WFX</t>
  </si>
  <si>
    <t>QC</t>
  </si>
  <si>
    <t>BOOKING NO</t>
  </si>
  <si>
    <t>DO    </t>
  </si>
  <si>
    <t>Ship Percentage</t>
  </si>
  <si>
    <t>V992</t>
  </si>
  <si>
    <t>PRLS/25/12728</t>
  </si>
  <si>
    <t>HK</t>
  </si>
  <si>
    <t>6671A CABANA BLUE/WHITE</t>
  </si>
  <si>
    <t>710B18632001</t>
  </si>
  <si>
    <t>Ready to ship</t>
  </si>
  <si>
    <t xml:space="preserve">Dumping-KA05AK8319 </t>
  </si>
  <si>
    <t>IBKG0000238230</t>
  </si>
  <si>
    <t>PRLS/25/12730</t>
  </si>
  <si>
    <t>6671I POWDER PURPLE/WHITE</t>
  </si>
  <si>
    <t>710B18632002</t>
  </si>
  <si>
    <t>TOTAL</t>
  </si>
  <si>
    <t>V993</t>
  </si>
  <si>
    <t>KOREA</t>
  </si>
  <si>
    <t>IBKG0000238233</t>
  </si>
  <si>
    <t>Dumping - KA42-D1209</t>
  </si>
  <si>
    <t>PRLS/25/12731</t>
  </si>
  <si>
    <t>6671H COASTAL BEIGE/WHITE</t>
  </si>
  <si>
    <t>710B18632003</t>
  </si>
  <si>
    <t>CA10</t>
  </si>
  <si>
    <t>PRLS/25/12735</t>
  </si>
  <si>
    <t>ITALY</t>
  </si>
  <si>
    <t>710B22588002</t>
  </si>
  <si>
    <t>QIMA-GOING ON - 16-02-2026</t>
  </si>
  <si>
    <t>IBKG0000238235</t>
  </si>
  <si>
    <t>HD00</t>
  </si>
  <si>
    <t>PRLS/25/12742</t>
  </si>
  <si>
    <t>US</t>
  </si>
  <si>
    <t>711B18632001</t>
  </si>
  <si>
    <t>IBKG0000240190</t>
  </si>
  <si>
    <t>PRLS/25/12829</t>
  </si>
  <si>
    <t>5089E LAVENDER PURPLE WHITE</t>
  </si>
  <si>
    <t>Under Scaning</t>
  </si>
  <si>
    <t>IBKG0000238237</t>
  </si>
  <si>
    <t>PRLS/25/12830</t>
  </si>
  <si>
    <t>5089F COASTAL BEIGE WHITE</t>
  </si>
  <si>
    <t>PRLS/25/12831</t>
  </si>
  <si>
    <t>5089D HRBR ISLND BLUE WHT</t>
  </si>
  <si>
    <t>PRLS/25/12832</t>
  </si>
  <si>
    <t>7316 WHITE BLUE</t>
  </si>
  <si>
    <t>712B22550001</t>
  </si>
  <si>
    <t>FI Pending</t>
  </si>
  <si>
    <t>GRAND TOTAL</t>
  </si>
  <si>
    <t>SEA FOB | Truckout Date: 18.02.2026 | CDD: 01.03.2026</t>
  </si>
  <si>
    <t xml:space="preserve">SUBTOTAL </t>
  </si>
  <si>
    <t>SUBTOTAL</t>
  </si>
  <si>
    <t xml:space="preserve">SHIPMENT BOOKING </t>
  </si>
  <si>
    <t>DONE</t>
  </si>
  <si>
    <t>Under finishing</t>
  </si>
  <si>
    <t xml:space="preserve">Under FI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</si>
</sst>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0.0"/>
  </numFmts>
  <fonts count="2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Inherit"/>
    </font>
    <font>
      <sz val="11"/>
      <color rgb="FF000000"/>
      <name val="Calibri"/>
      <scheme val="minor"/>
    </font>
    <font>
      <b/>
      <sz val="9"/>
      <color theme="2"/>
      <name val="Calibri"/>
      <scheme val="minor"/>
    </font>
    <font>
      <sz val="8"/>
      <color theme="1"/>
      <name val="Franklin Gothic Book"/>
    </font>
    <font>
      <b/>
      <sz val="10"/>
      <name val="Calibri"/>
    </font>
    <font>
      <b/>
      <sz val="10"/>
      <name val="Ebrima"/>
    </font>
    <font>
      <b/>
      <sz val="8"/>
      <color theme="1"/>
      <name val="Calibri"/>
      <scheme val="minor"/>
    </font>
    <font>
      <b/>
      <sz val="11"/>
      <name val="Calibri"/>
    </font>
    <font>
      <b/>
      <sz val="11"/>
      <name val="Ebrima"/>
    </font>
    <font>
      <b/>
      <sz val="24"/>
      <color rgb="FFFFFFFF"/>
      <name val="Aptos Narrow"/>
    </font>
    <font>
      <sz val="11"/>
      <name val="Calibri"/>
      <scheme val="minor"/>
    </font>
    <font>
      <b/>
      <sz val="11"/>
      <color rgb="FFFFFFFF"/>
      <name val="Aptos Narrow"/>
    </font>
    <font>
      <sz val="10"/>
      <name val="Aptos Narrow"/>
    </font>
    <font>
      <b/>
      <sz val="10"/>
      <name val="Aptos Narrow"/>
    </font>
    <font>
      <sz val="10"/>
      <color rgb="FF9C5700"/>
      <name val="Aptos Narrow"/>
    </font>
    <font>
      <sz val="10"/>
      <color rgb="FFC00000"/>
      <name val="Aptos Narrow"/>
    </font>
    <font>
      <sz val="12"/>
      <color rgb="FF404040"/>
      <name val="Aptos Narrow"/>
    </font>
    <font>
      <sz val="1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4472C4"/>
      </patternFill>
    </fill>
    <fill>
      <patternFill patternType="solid">
        <fgColor rgb="FFD5FFFF"/>
      </patternFill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008B8B"/>
      </patternFill>
    </fill>
    <fill>
      <patternFill patternType="solid">
        <fgColor rgb="FFE8F4F8"/>
      </patternFill>
    </fill>
    <fill>
      <patternFill patternType="solid">
        <fgColor rgb="FFD9E1F2"/>
      </patternFill>
    </fill>
    <fill>
      <patternFill patternType="solid">
        <fgColor rgb="FFE8F8E8"/>
      </patternFill>
    </fill>
    <fill>
      <patternFill patternType="solid">
        <fgColor rgb="FFFFF9E6"/>
      </patternFill>
    </fill>
    <fill>
      <patternFill patternType="solid">
        <fgColor rgb="FFFFF0E6"/>
      </patternFill>
    </fill>
    <fill>
      <patternFill patternType="solid">
        <fgColor rgb="FFF0E6FF"/>
      </patternFill>
    </fill>
    <fill>
      <patternFill patternType="solid">
        <fgColor rgb="FFFFEB9C"/>
      </patternFill>
    </fill>
    <fill>
      <patternFill patternType="solid">
        <fgColor rgb="FFFFD9B3"/>
      </patternFill>
    </fill>
    <fill>
      <patternFill patternType="solid">
        <fgColor rgb="FF2F5233"/>
      </patternFill>
    </fill>
    <fill>
      <patternFill patternType="solid">
        <fgColor theme="7" tint="0.79998168889431442"/>
        <bgColor indexed="65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1F4E78"/>
      </left>
      <right/>
      <top style="thick">
        <color rgb="FF1F4E78"/>
      </top>
      <bottom/>
      <diagonal/>
    </border>
    <border>
      <left/>
      <right/>
      <top style="thick">
        <color rgb="FF1F4E78"/>
      </top>
      <bottom/>
      <diagonal/>
    </border>
    <border>
      <left/>
      <right style="thick">
        <color rgb="FF1F4E78"/>
      </right>
      <top style="thick">
        <color rgb="FF1F4E78"/>
      </top>
      <bottom/>
      <diagonal/>
    </border>
    <border>
      <left style="thick">
        <color rgb="FF1F4E78"/>
      </left>
      <right/>
      <top/>
      <bottom/>
      <diagonal/>
    </border>
    <border>
      <left/>
      <right style="thick">
        <color rgb="FF1F4E78"/>
      </right>
      <top/>
      <bottom/>
      <diagonal/>
    </border>
    <border>
      <left style="thick">
        <color rgb="FF1F4E78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1F4E78"/>
      </right>
      <top style="thin">
        <color rgb="FF000000"/>
      </top>
      <bottom style="thin">
        <color rgb="FF000000"/>
      </bottom>
      <diagonal/>
    </border>
    <border>
      <left style="thick">
        <color rgb="FF1F4E78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ck">
        <color rgb="FF1F4E78"/>
      </right>
      <top style="thin">
        <color rgb="FF808080"/>
      </top>
      <bottom style="thin">
        <color rgb="FF808080"/>
      </bottom>
      <diagonal/>
    </border>
    <border>
      <left style="thick">
        <color rgb="FF1F4E78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thick">
        <color rgb="FF1F4E78"/>
      </right>
      <top style="medium">
        <color rgb="FF808080"/>
      </top>
      <bottom style="medium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medium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medium">
        <color rgb="FF002060"/>
      </left>
      <right style="thin">
        <color theme="4"/>
      </right>
      <top style="medium">
        <color rgb="FF002060"/>
      </top>
      <bottom style="medium">
        <color rgb="FF002060"/>
      </bottom>
      <diagonal/>
    </border>
    <border>
      <left style="thin">
        <color theme="4"/>
      </left>
      <right style="thin">
        <color theme="4"/>
      </right>
      <top style="medium">
        <color rgb="FF002060"/>
      </top>
      <bottom style="medium">
        <color rgb="FF002060"/>
      </bottom>
      <diagonal/>
    </border>
    <border>
      <left style="thin">
        <color theme="4"/>
      </left>
      <right style="medium">
        <color rgb="FF002060"/>
      </right>
      <top style="medium">
        <color rgb="FF002060"/>
      </top>
      <bottom style="medium">
        <color rgb="FF002060"/>
      </bottom>
      <diagonal/>
    </border>
  </borders>
  <cellStyleXfs count="2">
    <xf numFmtId="0" fontId="0" fillId="0" borderId="1"/>
    <xf numFmtId="0" fontId="1" fillId="18" borderId="0" applyNumberFormat="0" applyBorder="0" applyAlignment="0" applyProtection="0"/>
  </cellStyleXfs>
  <cellXfs count="84">
    <xf numFmtId="0" fontId="0" fillId="0" borderId="1" xfId="0"/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0" fillId="0" borderId="2" xfId="0" applyBorder="1"/>
    <xf numFmtId="16" fontId="3" fillId="3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/>
    </xf>
    <xf numFmtId="1" fontId="6" fillId="5" borderId="2" xfId="0" applyNumberFormat="1" applyFont="1" applyFill="1" applyBorder="1" applyAlignment="1">
      <alignment horizontal="center" vertical="center" wrapText="1"/>
    </xf>
    <xf numFmtId="1" fontId="7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/>
    </xf>
    <xf numFmtId="0" fontId="5" fillId="0" borderId="2" xfId="0" applyFont="1" applyBorder="1" applyAlignment="1">
      <alignment vertical="center"/>
    </xf>
    <xf numFmtId="1" fontId="5" fillId="0" borderId="2" xfId="0" applyNumberFormat="1" applyFont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 wrapText="1"/>
    </xf>
    <xf numFmtId="1" fontId="10" fillId="6" borderId="2" xfId="0" applyNumberFormat="1" applyFont="1" applyFill="1" applyBorder="1" applyAlignment="1">
      <alignment horizontal="center" vertical="center"/>
    </xf>
    <xf numFmtId="1" fontId="10" fillId="6" borderId="2" xfId="0" applyNumberFormat="1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12" fillId="0" borderId="10" xfId="0" applyFont="1" applyBorder="1" applyAlignment="1">
      <alignment vertical="top"/>
    </xf>
    <xf numFmtId="0" fontId="12" fillId="0" borderId="9" xfId="0" applyFont="1" applyBorder="1" applyAlignment="1">
      <alignment vertical="top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1" fillId="7" borderId="6" xfId="0" applyFont="1" applyFill="1" applyBorder="1" applyAlignment="1">
      <alignment horizontal="center" vertical="center"/>
    </xf>
    <xf numFmtId="0" fontId="12" fillId="0" borderId="7" xfId="0" applyFont="1" applyBorder="1" applyAlignment="1">
      <alignment vertical="top"/>
    </xf>
    <xf numFmtId="0" fontId="12" fillId="0" borderId="8" xfId="0" applyFont="1" applyBorder="1" applyAlignment="1">
      <alignment vertical="top"/>
    </xf>
    <xf numFmtId="0" fontId="13" fillId="8" borderId="11" xfId="0" applyFont="1" applyFill="1" applyBorder="1" applyAlignment="1">
      <alignment horizontal="center" vertical="center"/>
    </xf>
    <xf numFmtId="0" fontId="13" fillId="8" borderId="12" xfId="0" applyFont="1" applyFill="1" applyBorder="1" applyAlignment="1">
      <alignment horizontal="center" vertical="center"/>
    </xf>
    <xf numFmtId="3" fontId="13" fillId="17" borderId="20" xfId="0" applyNumberFormat="1" applyFont="1" applyFill="1" applyBorder="1" applyAlignment="1">
      <alignment horizontal="center" vertical="center"/>
    </xf>
    <xf numFmtId="0" fontId="13" fillId="17" borderId="20" xfId="0" applyFont="1" applyFill="1" applyBorder="1" applyAlignment="1">
      <alignment horizontal="center" vertical="center"/>
    </xf>
    <xf numFmtId="0" fontId="14" fillId="9" borderId="14" xfId="0" applyFont="1" applyFill="1" applyBorder="1" applyAlignment="1">
      <alignment horizontal="center" vertical="center"/>
    </xf>
    <xf numFmtId="0" fontId="14" fillId="9" borderId="15" xfId="0" applyFont="1" applyFill="1" applyBorder="1" applyAlignment="1">
      <alignment horizontal="center" vertical="center"/>
    </xf>
    <xf numFmtId="3" fontId="14" fillId="9" borderId="15" xfId="0" applyNumberFormat="1" applyFont="1" applyFill="1" applyBorder="1" applyAlignment="1">
      <alignment horizontal="center" vertical="center"/>
    </xf>
    <xf numFmtId="0" fontId="15" fillId="10" borderId="17" xfId="0" applyFont="1" applyFill="1" applyBorder="1" applyAlignment="1">
      <alignment horizontal="center" vertical="center"/>
    </xf>
    <xf numFmtId="0" fontId="15" fillId="10" borderId="18" xfId="0" applyFont="1" applyFill="1" applyBorder="1" applyAlignment="1">
      <alignment horizontal="center" vertical="center"/>
    </xf>
    <xf numFmtId="0" fontId="15" fillId="10" borderId="18" xfId="0" applyFont="1" applyFill="1" applyBorder="1" applyAlignment="1">
      <alignment horizontal="center" vertical="center"/>
    </xf>
    <xf numFmtId="3" fontId="15" fillId="10" borderId="18" xfId="0" applyNumberFormat="1" applyFont="1" applyFill="1" applyBorder="1" applyAlignment="1">
      <alignment horizontal="center" vertical="center"/>
    </xf>
    <xf numFmtId="0" fontId="15" fillId="10" borderId="19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0" fillId="0" borderId="1" xfId="0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4" fillId="11" borderId="14" xfId="0" applyFont="1" applyFill="1" applyBorder="1" applyAlignment="1">
      <alignment horizontal="center" vertical="center"/>
    </xf>
    <xf numFmtId="0" fontId="14" fillId="11" borderId="15" xfId="0" applyFont="1" applyFill="1" applyBorder="1" applyAlignment="1">
      <alignment horizontal="center" vertical="center"/>
    </xf>
    <xf numFmtId="3" fontId="14" fillId="11" borderId="15" xfId="0" applyNumberFormat="1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center" vertical="center"/>
    </xf>
    <xf numFmtId="0" fontId="14" fillId="12" borderId="14" xfId="0" applyFont="1" applyFill="1" applyBorder="1" applyAlignment="1">
      <alignment horizontal="center" vertical="center"/>
    </xf>
    <xf numFmtId="0" fontId="14" fillId="12" borderId="15" xfId="0" applyFont="1" applyFill="1" applyBorder="1" applyAlignment="1">
      <alignment horizontal="center" vertical="center"/>
    </xf>
    <xf numFmtId="3" fontId="14" fillId="12" borderId="15" xfId="0" applyNumberFormat="1" applyFont="1" applyFill="1" applyBorder="1" applyAlignment="1">
      <alignment horizontal="center" vertical="center"/>
    </xf>
    <xf numFmtId="0" fontId="14" fillId="12" borderId="16" xfId="0" applyFont="1" applyFill="1" applyBorder="1" applyAlignment="1">
      <alignment horizontal="center" vertical="center"/>
    </xf>
    <xf numFmtId="0" fontId="14" fillId="13" borderId="14" xfId="0" applyFont="1" applyFill="1" applyBorder="1" applyAlignment="1">
      <alignment horizontal="center" vertical="center"/>
    </xf>
    <xf numFmtId="0" fontId="14" fillId="13" borderId="15" xfId="0" applyFont="1" applyFill="1" applyBorder="1" applyAlignment="1">
      <alignment horizontal="center" vertical="center"/>
    </xf>
    <xf numFmtId="3" fontId="14" fillId="13" borderId="15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/>
    </xf>
    <xf numFmtId="0" fontId="14" fillId="14" borderId="14" xfId="0" applyFont="1" applyFill="1" applyBorder="1" applyAlignment="1">
      <alignment horizontal="center" vertical="center"/>
    </xf>
    <xf numFmtId="0" fontId="14" fillId="14" borderId="15" xfId="0" applyFont="1" applyFill="1" applyBorder="1" applyAlignment="1">
      <alignment horizontal="center" vertical="center"/>
    </xf>
    <xf numFmtId="3" fontId="14" fillId="14" borderId="15" xfId="0" applyNumberFormat="1" applyFont="1" applyFill="1" applyBorder="1" applyAlignment="1">
      <alignment horizontal="center" vertical="center"/>
    </xf>
    <xf numFmtId="0" fontId="16" fillId="15" borderId="15" xfId="0" applyFont="1" applyFill="1" applyBorder="1" applyAlignment="1">
      <alignment horizontal="center" vertical="center"/>
    </xf>
    <xf numFmtId="0" fontId="14" fillId="14" borderId="16" xfId="0" applyFont="1" applyFill="1" applyBorder="1" applyAlignment="1">
      <alignment horizontal="center" vertical="center"/>
    </xf>
    <xf numFmtId="0" fontId="17" fillId="16" borderId="15" xfId="0" applyFont="1" applyFill="1" applyBorder="1" applyAlignment="1">
      <alignment horizontal="center" vertical="center"/>
    </xf>
    <xf numFmtId="0" fontId="14" fillId="9" borderId="21" xfId="0" applyFont="1" applyFill="1" applyBorder="1" applyAlignment="1">
      <alignment horizontal="center" vertical="center"/>
    </xf>
    <xf numFmtId="0" fontId="14" fillId="9" borderId="22" xfId="0" applyFont="1" applyFill="1" applyBorder="1" applyAlignment="1">
      <alignment horizontal="center" vertical="center"/>
    </xf>
    <xf numFmtId="0" fontId="14" fillId="9" borderId="23" xfId="0" applyFont="1" applyFill="1" applyBorder="1" applyAlignment="1">
      <alignment horizontal="center" vertical="center"/>
    </xf>
    <xf numFmtId="0" fontId="14" fillId="11" borderId="24" xfId="0" applyFont="1" applyFill="1" applyBorder="1" applyAlignment="1">
      <alignment horizontal="center" vertical="center"/>
    </xf>
    <xf numFmtId="0" fontId="14" fillId="11" borderId="22" xfId="0" applyFont="1" applyFill="1" applyBorder="1" applyAlignment="1">
      <alignment horizontal="center" vertical="center"/>
    </xf>
    <xf numFmtId="0" fontId="14" fillId="11" borderId="23" xfId="0" applyFont="1" applyFill="1" applyBorder="1" applyAlignment="1">
      <alignment horizontal="center" vertical="center"/>
    </xf>
    <xf numFmtId="0" fontId="14" fillId="14" borderId="24" xfId="0" applyFont="1" applyFill="1" applyBorder="1" applyAlignment="1">
      <alignment horizontal="center" vertical="center"/>
    </xf>
    <xf numFmtId="0" fontId="14" fillId="14" borderId="22" xfId="0" applyFont="1" applyFill="1" applyBorder="1" applyAlignment="1">
      <alignment horizontal="center" vertical="center"/>
    </xf>
    <xf numFmtId="0" fontId="14" fillId="14" borderId="23" xfId="0" applyFont="1" applyFill="1" applyBorder="1" applyAlignment="1">
      <alignment horizontal="center" vertical="center"/>
    </xf>
    <xf numFmtId="0" fontId="13" fillId="8" borderId="13" xfId="0" applyFont="1" applyFill="1" applyBorder="1" applyAlignment="1">
      <alignment horizontal="center" vertical="center" wrapText="1"/>
    </xf>
    <xf numFmtId="167" fontId="14" fillId="9" borderId="16" xfId="0" applyNumberFormat="1" applyFont="1" applyFill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" fillId="0" borderId="1" xfId="0" applyFont="1"/>
    <xf numFmtId="0" fontId="19" fillId="0" borderId="10" xfId="0" applyFont="1" applyBorder="1" applyAlignment="1">
      <alignment vertical="top"/>
    </xf>
    <xf numFmtId="1" fontId="14" fillId="14" borderId="15" xfId="0" applyNumberFormat="1" applyFont="1" applyFill="1" applyBorder="1" applyAlignment="1">
      <alignment horizontal="center" vertical="center"/>
    </xf>
    <xf numFmtId="0" fontId="1" fillId="18" borderId="15" xfId="1" applyBorder="1" applyAlignment="1">
      <alignment horizontal="center" vertical="center"/>
    </xf>
    <xf numFmtId="0" fontId="13" fillId="8" borderId="12" xfId="0" applyFont="1" applyFill="1" applyBorder="1" applyAlignment="1">
      <alignment horizontal="center" vertical="center" wrapText="1"/>
    </xf>
    <xf numFmtId="3" fontId="13" fillId="17" borderId="26" xfId="0" applyNumberFormat="1" applyFont="1" applyFill="1" applyBorder="1" applyAlignment="1">
      <alignment horizontal="center" vertical="center"/>
    </xf>
    <xf numFmtId="0" fontId="13" fillId="17" borderId="26" xfId="0" applyFont="1" applyFill="1" applyBorder="1" applyAlignment="1">
      <alignment horizontal="center" vertical="center"/>
    </xf>
    <xf numFmtId="0" fontId="13" fillId="17" borderId="27" xfId="0" applyFont="1" applyFill="1" applyBorder="1" applyAlignment="1">
      <alignment horizontal="center" vertical="center"/>
    </xf>
    <xf numFmtId="0" fontId="13" fillId="17" borderId="25" xfId="0" applyFont="1" applyFill="1" applyBorder="1" applyAlignment="1">
      <alignment vertical="center"/>
    </xf>
    <xf numFmtId="0" fontId="13" fillId="17" borderId="26" xfId="0" applyFont="1" applyFill="1" applyBorder="1" applyAlignment="1">
      <alignment vertical="center"/>
    </xf>
    <xf numFmtId="0" fontId="13" fillId="17" borderId="20" xfId="0" applyFont="1" applyFill="1" applyBorder="1" applyAlignment="1">
      <alignment vertical="center"/>
    </xf>
  </cellXfs>
  <cellStyles count="2">
    <cellStyle name="20% - Accent4" xfId="1" builtinId="4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4:Z29"/>
  <sheetViews>
    <sheetView workbookViewId="0">
      <selection activeCell="P37" sqref="P37"/>
    </sheetView>
  </sheetViews>
  <sheetFormatPr defaultColWidth="9.140625" defaultRowHeight="15" customHeight="1"/>
  <cols>
    <col min="2" max="2" width="5.28515625" customWidth="1"/>
    <col min="5" max="5" width="11.85546875" customWidth="1"/>
    <col min="6" max="6" width="8.5703125" customWidth="1"/>
    <col min="7" max="7" width="9.5703125" customWidth="1"/>
    <col min="8" max="8" width="23.7109375" customWidth="1"/>
    <col min="9" max="9" width="13.140625" customWidth="1"/>
    <col min="10" max="10" width="10.140625" customWidth="1"/>
    <col min="11" max="11" width="7.140625" hidden="1" customWidth="1"/>
    <col min="12" max="12" width="6.28515625" hidden="1" customWidth="1"/>
    <col min="13" max="13" width="8.42578125" hidden="1" customWidth="1"/>
    <col min="14" max="14" width="7.42578125" hidden="1" customWidth="1"/>
    <col min="15" max="15" width="8.42578125" hidden="1" customWidth="1"/>
    <col min="16" max="16" width="8.7109375" customWidth="1"/>
    <col min="17" max="17" width="5.140625" customWidth="1"/>
    <col min="18" max="18" width="21.140625" customWidth="1"/>
    <col min="19" max="19" width="16.85546875" customWidth="1"/>
    <col min="20" max="20" width="8.5703125" customWidth="1"/>
    <col min="21" max="21" width="11.5703125" customWidth="1"/>
    <col min="22" max="22" width="9" customWidth="1"/>
    <col min="23" max="23" width="7.5703125" customWidth="1"/>
    <col min="24" max="24" width="15.28515625" customWidth="1"/>
    <col min="25" max="25" width="7" customWidth="1"/>
    <col min="26" max="26" width="8.85546875" customWidth="1"/>
  </cols>
  <sheetData>
    <row r="4" spans="2:26" ht="15" customHeight="1">
      <c r="B4" s="1" t="s">
        <v>0</v>
      </c>
      <c r="C4" s="2"/>
      <c r="D4" s="2" t="s">
        <v>1</v>
      </c>
      <c r="E4" s="2"/>
      <c r="F4" s="2"/>
      <c r="G4" s="2"/>
      <c r="H4" s="2"/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4">
        <v>46082</v>
      </c>
      <c r="Y4" s="4">
        <v>46061</v>
      </c>
      <c r="Z4" s="3"/>
    </row>
    <row r="5" spans="2:26" ht="36" customHeight="1"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  <c r="T5" s="5" t="s">
        <v>20</v>
      </c>
      <c r="U5" s="6" t="s">
        <v>21</v>
      </c>
      <c r="V5" s="5" t="s">
        <v>22</v>
      </c>
      <c r="W5" s="5" t="s">
        <v>23</v>
      </c>
      <c r="X5" s="5" t="s">
        <v>24</v>
      </c>
      <c r="Y5" s="5" t="s">
        <v>25</v>
      </c>
      <c r="Z5" s="5" t="s">
        <v>26</v>
      </c>
    </row>
    <row r="6" spans="2:26" ht="12.75" customHeight="1">
      <c r="B6" s="7"/>
      <c r="C6" s="7" t="s">
        <v>27</v>
      </c>
      <c r="D6" s="7">
        <v>10</v>
      </c>
      <c r="E6" s="7" t="s">
        <v>28</v>
      </c>
      <c r="F6" s="7" t="s">
        <v>29</v>
      </c>
      <c r="G6" s="7">
        <v>4702068707</v>
      </c>
      <c r="H6" s="7" t="s">
        <v>30</v>
      </c>
      <c r="I6" s="7" t="s">
        <v>31</v>
      </c>
      <c r="J6" s="7">
        <v>1012</v>
      </c>
      <c r="K6" s="7"/>
      <c r="L6" s="7"/>
      <c r="M6" s="7"/>
      <c r="N6" s="7"/>
      <c r="O6" s="7"/>
      <c r="P6" s="7">
        <v>1034</v>
      </c>
      <c r="Q6" s="7">
        <v>59</v>
      </c>
      <c r="R6" s="7" t="s">
        <v>32</v>
      </c>
      <c r="S6" s="7" t="s">
        <v>33</v>
      </c>
      <c r="T6" s="7"/>
      <c r="U6" s="7"/>
      <c r="V6" s="7"/>
      <c r="W6" s="7"/>
      <c r="X6" s="22" t="s">
        <v>34</v>
      </c>
      <c r="Y6" s="7"/>
      <c r="Z6" s="8"/>
    </row>
    <row r="7" spans="2:26" ht="12.75" customHeight="1">
      <c r="B7" s="7"/>
      <c r="C7" s="7" t="s">
        <v>27</v>
      </c>
      <c r="D7" s="7">
        <v>20</v>
      </c>
      <c r="E7" s="7" t="s">
        <v>35</v>
      </c>
      <c r="F7" s="7" t="s">
        <v>29</v>
      </c>
      <c r="G7" s="7">
        <v>4702068707</v>
      </c>
      <c r="H7" s="7" t="s">
        <v>36</v>
      </c>
      <c r="I7" s="7" t="s">
        <v>37</v>
      </c>
      <c r="J7" s="7">
        <v>568</v>
      </c>
      <c r="K7" s="7"/>
      <c r="L7" s="7"/>
      <c r="M7" s="7"/>
      <c r="N7" s="7"/>
      <c r="O7" s="7"/>
      <c r="P7" s="7">
        <v>583</v>
      </c>
      <c r="Q7" s="7">
        <v>34</v>
      </c>
      <c r="R7" s="7" t="s">
        <v>32</v>
      </c>
      <c r="S7" s="7" t="s">
        <v>33</v>
      </c>
      <c r="T7" s="7"/>
      <c r="U7" s="7"/>
      <c r="V7" s="7"/>
      <c r="W7" s="7"/>
      <c r="X7" s="23"/>
      <c r="Y7" s="7"/>
      <c r="Z7" s="8"/>
    </row>
    <row r="8" spans="2:26" ht="12.75" customHeight="1">
      <c r="B8" s="7"/>
      <c r="C8" s="7" t="s">
        <v>27</v>
      </c>
      <c r="D8" s="7">
        <v>10</v>
      </c>
      <c r="E8" s="7" t="s">
        <v>28</v>
      </c>
      <c r="F8" s="7" t="s">
        <v>29</v>
      </c>
      <c r="G8" s="7">
        <v>4702068708</v>
      </c>
      <c r="H8" s="7" t="s">
        <v>30</v>
      </c>
      <c r="I8" s="7" t="s">
        <v>31</v>
      </c>
      <c r="J8" s="7">
        <v>925</v>
      </c>
      <c r="K8" s="7"/>
      <c r="L8" s="7"/>
      <c r="M8" s="7"/>
      <c r="N8" s="7"/>
      <c r="O8" s="7"/>
      <c r="P8" s="7">
        <v>951</v>
      </c>
      <c r="Q8" s="7">
        <v>55</v>
      </c>
      <c r="R8" s="7" t="s">
        <v>32</v>
      </c>
      <c r="S8" s="7" t="s">
        <v>33</v>
      </c>
      <c r="T8" s="7"/>
      <c r="U8" s="7"/>
      <c r="V8" s="7"/>
      <c r="W8" s="7"/>
      <c r="X8" s="23"/>
      <c r="Y8" s="7"/>
      <c r="Z8" s="8"/>
    </row>
    <row r="9" spans="2:26" ht="12.75" customHeight="1">
      <c r="B9" s="7"/>
      <c r="C9" s="7" t="s">
        <v>27</v>
      </c>
      <c r="D9" s="7">
        <v>20</v>
      </c>
      <c r="E9" s="7" t="s">
        <v>35</v>
      </c>
      <c r="F9" s="7" t="s">
        <v>29</v>
      </c>
      <c r="G9" s="7">
        <v>4702068708</v>
      </c>
      <c r="H9" s="7" t="s">
        <v>36</v>
      </c>
      <c r="I9" s="7" t="s">
        <v>37</v>
      </c>
      <c r="J9" s="7">
        <v>645</v>
      </c>
      <c r="K9" s="7"/>
      <c r="L9" s="7"/>
      <c r="M9" s="7"/>
      <c r="N9" s="7"/>
      <c r="O9" s="7"/>
      <c r="P9" s="7">
        <v>657</v>
      </c>
      <c r="Q9" s="7">
        <v>39</v>
      </c>
      <c r="R9" s="7" t="s">
        <v>32</v>
      </c>
      <c r="S9" s="7" t="s">
        <v>33</v>
      </c>
      <c r="T9" s="7"/>
      <c r="U9" s="7"/>
      <c r="V9" s="7"/>
      <c r="W9" s="7"/>
      <c r="X9" s="24"/>
      <c r="Y9" s="7"/>
      <c r="Z9" s="8"/>
    </row>
    <row r="10" spans="2:26" ht="12.75" customHeight="1">
      <c r="B10" s="9"/>
      <c r="C10" s="9"/>
      <c r="D10" s="9"/>
      <c r="E10" s="9"/>
      <c r="F10" s="10" t="s">
        <v>38</v>
      </c>
      <c r="G10" s="10"/>
      <c r="H10" s="10"/>
      <c r="I10" s="10"/>
      <c r="J10" s="10">
        <f t="shared" ref="J10:Q27" si="0">SUM(J6:J9)</f>
        <v>3150</v>
      </c>
      <c r="K10" s="10">
        <f t="shared" si="0"/>
        <v>0</v>
      </c>
      <c r="L10" s="10">
        <f t="shared" si="0"/>
        <v>0</v>
      </c>
      <c r="M10" s="10">
        <f t="shared" si="0"/>
        <v>0</v>
      </c>
      <c r="N10" s="10">
        <f t="shared" si="0"/>
        <v>0</v>
      </c>
      <c r="O10" s="10">
        <f t="shared" si="0"/>
        <v>0</v>
      </c>
      <c r="P10" s="10">
        <f t="shared" si="0"/>
        <v>3225</v>
      </c>
      <c r="Q10" s="10">
        <f t="shared" si="0"/>
        <v>187</v>
      </c>
      <c r="R10" s="11"/>
      <c r="S10" s="11"/>
      <c r="T10" s="11"/>
      <c r="U10" s="11"/>
      <c r="V10" s="11"/>
      <c r="W10" s="11"/>
      <c r="X10" s="11"/>
      <c r="Y10" s="11"/>
      <c r="Z10" s="12"/>
    </row>
    <row r="11" spans="2:26" ht="12.75" customHeight="1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13"/>
      <c r="Y11" s="7"/>
      <c r="Z11" s="8"/>
    </row>
    <row r="12" spans="2:26" ht="12.75" customHeight="1">
      <c r="B12" s="7"/>
      <c r="C12" s="7" t="s">
        <v>39</v>
      </c>
      <c r="D12" s="7">
        <v>10</v>
      </c>
      <c r="E12" s="7" t="s">
        <v>28</v>
      </c>
      <c r="F12" s="7" t="s">
        <v>40</v>
      </c>
      <c r="G12" s="7">
        <v>4702068709</v>
      </c>
      <c r="H12" s="7" t="s">
        <v>30</v>
      </c>
      <c r="I12" s="7" t="s">
        <v>31</v>
      </c>
      <c r="J12" s="7">
        <v>1200</v>
      </c>
      <c r="K12" s="7"/>
      <c r="L12" s="7"/>
      <c r="M12" s="7"/>
      <c r="N12" s="7"/>
      <c r="O12" s="7"/>
      <c r="P12" s="7">
        <v>1233</v>
      </c>
      <c r="Q12" s="7">
        <v>70</v>
      </c>
      <c r="R12" s="7" t="s">
        <v>32</v>
      </c>
      <c r="S12" s="7" t="s">
        <v>33</v>
      </c>
      <c r="T12" s="7"/>
      <c r="U12" s="7"/>
      <c r="V12" s="7"/>
      <c r="W12" s="7"/>
      <c r="X12" s="22" t="s">
        <v>41</v>
      </c>
      <c r="Y12" s="7"/>
      <c r="Z12" s="8"/>
    </row>
    <row r="13" spans="2:26" ht="12.75" customHeight="1">
      <c r="B13" s="7"/>
      <c r="C13" s="7" t="s">
        <v>39</v>
      </c>
      <c r="D13" s="7">
        <v>20</v>
      </c>
      <c r="E13" s="7" t="s">
        <v>35</v>
      </c>
      <c r="F13" s="7" t="s">
        <v>40</v>
      </c>
      <c r="G13" s="7">
        <v>4702068709</v>
      </c>
      <c r="H13" s="7" t="s">
        <v>36</v>
      </c>
      <c r="I13" s="7" t="s">
        <v>37</v>
      </c>
      <c r="J13" s="7">
        <v>500</v>
      </c>
      <c r="K13" s="7"/>
      <c r="L13" s="7"/>
      <c r="M13" s="7"/>
      <c r="N13" s="7"/>
      <c r="O13" s="7"/>
      <c r="P13" s="7">
        <v>513</v>
      </c>
      <c r="Q13" s="7">
        <v>30</v>
      </c>
      <c r="R13" s="7" t="s">
        <v>32</v>
      </c>
      <c r="S13" s="7" t="s">
        <v>42</v>
      </c>
      <c r="T13" s="7"/>
      <c r="U13" s="7"/>
      <c r="V13" s="7"/>
      <c r="W13" s="7"/>
      <c r="X13" s="23"/>
      <c r="Y13" s="7"/>
      <c r="Z13" s="8"/>
    </row>
    <row r="14" spans="2:26" ht="12.75" customHeight="1">
      <c r="B14" s="7"/>
      <c r="C14" s="7" t="s">
        <v>39</v>
      </c>
      <c r="D14" s="7">
        <v>30</v>
      </c>
      <c r="E14" s="7" t="s">
        <v>43</v>
      </c>
      <c r="F14" s="7" t="s">
        <v>40</v>
      </c>
      <c r="G14" s="7">
        <v>4702068709</v>
      </c>
      <c r="H14" s="7" t="s">
        <v>44</v>
      </c>
      <c r="I14" s="7" t="s">
        <v>45</v>
      </c>
      <c r="J14" s="7">
        <v>800</v>
      </c>
      <c r="K14" s="7"/>
      <c r="L14" s="7"/>
      <c r="M14" s="7"/>
      <c r="N14" s="7"/>
      <c r="O14" s="7"/>
      <c r="P14" s="7">
        <v>819</v>
      </c>
      <c r="Q14" s="7">
        <v>47</v>
      </c>
      <c r="R14" s="7" t="s">
        <v>32</v>
      </c>
      <c r="S14" s="7" t="s">
        <v>42</v>
      </c>
      <c r="T14" s="7"/>
      <c r="U14" s="7"/>
      <c r="V14" s="7"/>
      <c r="W14" s="7"/>
      <c r="X14" s="24"/>
      <c r="Y14" s="7"/>
      <c r="Z14" s="8"/>
    </row>
    <row r="15" spans="2:26" ht="12.75" customHeight="1">
      <c r="B15" s="9"/>
      <c r="C15" s="9"/>
      <c r="D15" s="9"/>
      <c r="E15" s="9"/>
      <c r="F15" s="10" t="s">
        <v>38</v>
      </c>
      <c r="G15" s="10"/>
      <c r="H15" s="10"/>
      <c r="I15" s="10"/>
      <c r="J15" s="10">
        <f t="shared" ref="J15:Q15" si="1">SUM(J12:J14)</f>
        <v>2500</v>
      </c>
      <c r="K15" s="10">
        <f t="shared" si="1"/>
        <v>0</v>
      </c>
      <c r="L15" s="10">
        <f t="shared" si="1"/>
        <v>0</v>
      </c>
      <c r="M15" s="10">
        <f t="shared" si="1"/>
        <v>0</v>
      </c>
      <c r="N15" s="10">
        <f t="shared" si="1"/>
        <v>0</v>
      </c>
      <c r="O15" s="10">
        <f t="shared" si="1"/>
        <v>0</v>
      </c>
      <c r="P15" s="10">
        <f t="shared" si="1"/>
        <v>2565</v>
      </c>
      <c r="Q15" s="10">
        <f t="shared" si="1"/>
        <v>147</v>
      </c>
      <c r="R15" s="11"/>
      <c r="S15" s="11"/>
      <c r="T15" s="11"/>
      <c r="U15" s="11"/>
      <c r="V15" s="11"/>
      <c r="W15" s="11"/>
      <c r="X15" s="11"/>
      <c r="Y15" s="11"/>
      <c r="Z15" s="12"/>
    </row>
    <row r="16" spans="2:26" ht="12.75" customHeight="1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13"/>
      <c r="Y16" s="7"/>
      <c r="Z16" s="8"/>
    </row>
    <row r="17" spans="2:26" ht="12.75" customHeight="1">
      <c r="B17" s="7"/>
      <c r="C17" s="7" t="s">
        <v>46</v>
      </c>
      <c r="D17" s="7">
        <v>20</v>
      </c>
      <c r="E17" s="7" t="s">
        <v>47</v>
      </c>
      <c r="F17" s="7" t="s">
        <v>48</v>
      </c>
      <c r="G17" s="7">
        <v>4702068711</v>
      </c>
      <c r="H17" s="7" t="s">
        <v>30</v>
      </c>
      <c r="I17" s="7" t="s">
        <v>49</v>
      </c>
      <c r="J17" s="7">
        <v>2600</v>
      </c>
      <c r="K17" s="7"/>
      <c r="L17" s="7"/>
      <c r="M17" s="7"/>
      <c r="N17" s="7"/>
      <c r="O17" s="7"/>
      <c r="P17" s="7">
        <v>2672</v>
      </c>
      <c r="Q17" s="7">
        <v>156</v>
      </c>
      <c r="R17" s="7" t="s">
        <v>50</v>
      </c>
      <c r="S17" s="7"/>
      <c r="T17" s="7"/>
      <c r="U17" s="7"/>
      <c r="V17" s="7"/>
      <c r="W17" s="7"/>
      <c r="X17" s="13" t="s">
        <v>51</v>
      </c>
      <c r="Y17" s="7"/>
      <c r="Z17" s="8"/>
    </row>
    <row r="18" spans="2:26" ht="12.75" customHeight="1">
      <c r="B18" s="9"/>
      <c r="C18" s="9"/>
      <c r="D18" s="9"/>
      <c r="E18" s="9"/>
      <c r="F18" s="10" t="s">
        <v>38</v>
      </c>
      <c r="G18" s="10"/>
      <c r="H18" s="10"/>
      <c r="I18" s="10"/>
      <c r="J18" s="10">
        <f t="shared" ref="J18:Q21" si="2">SUM(J17)</f>
        <v>2600</v>
      </c>
      <c r="K18" s="10">
        <f t="shared" si="2"/>
        <v>0</v>
      </c>
      <c r="L18" s="10">
        <f t="shared" si="2"/>
        <v>0</v>
      </c>
      <c r="M18" s="10">
        <f t="shared" si="2"/>
        <v>0</v>
      </c>
      <c r="N18" s="10">
        <f t="shared" si="2"/>
        <v>0</v>
      </c>
      <c r="O18" s="10">
        <f t="shared" si="2"/>
        <v>0</v>
      </c>
      <c r="P18" s="10">
        <f t="shared" si="2"/>
        <v>2672</v>
      </c>
      <c r="Q18" s="10">
        <f t="shared" si="2"/>
        <v>156</v>
      </c>
      <c r="R18" s="11"/>
      <c r="S18" s="11"/>
      <c r="T18" s="11"/>
      <c r="U18" s="11"/>
      <c r="V18" s="11"/>
      <c r="W18" s="11"/>
      <c r="X18" s="11"/>
      <c r="Y18" s="11"/>
      <c r="Z18" s="12"/>
    </row>
    <row r="19" spans="2:26" ht="12.75" customHeight="1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13"/>
      <c r="Y19" s="7"/>
      <c r="Z19" s="8"/>
    </row>
    <row r="20" spans="2:26" ht="12.75" customHeight="1">
      <c r="B20" s="7"/>
      <c r="C20" s="7" t="s">
        <v>52</v>
      </c>
      <c r="D20" s="7">
        <v>10</v>
      </c>
      <c r="E20" s="7" t="s">
        <v>53</v>
      </c>
      <c r="F20" s="7" t="s">
        <v>54</v>
      </c>
      <c r="G20" s="7">
        <v>4702068713</v>
      </c>
      <c r="H20" s="7" t="s">
        <v>30</v>
      </c>
      <c r="I20" s="7" t="s">
        <v>55</v>
      </c>
      <c r="J20" s="7">
        <v>300</v>
      </c>
      <c r="K20" s="7"/>
      <c r="L20" s="7"/>
      <c r="M20" s="7"/>
      <c r="N20" s="7"/>
      <c r="O20" s="7"/>
      <c r="P20" s="7">
        <v>300</v>
      </c>
      <c r="Q20" s="7">
        <v>19</v>
      </c>
      <c r="R20" s="7" t="s">
        <v>32</v>
      </c>
      <c r="S20" s="7" t="s">
        <v>42</v>
      </c>
      <c r="T20" s="7"/>
      <c r="U20" s="7"/>
      <c r="V20" s="7"/>
      <c r="W20" s="7"/>
      <c r="X20" s="13" t="s">
        <v>56</v>
      </c>
      <c r="Y20" s="7"/>
      <c r="Z20" s="8"/>
    </row>
    <row r="21" spans="2:26" ht="12.75" customHeight="1">
      <c r="B21" s="9"/>
      <c r="C21" s="9"/>
      <c r="D21" s="9"/>
      <c r="E21" s="9"/>
      <c r="F21" s="10" t="s">
        <v>38</v>
      </c>
      <c r="G21" s="10"/>
      <c r="H21" s="10"/>
      <c r="I21" s="10"/>
      <c r="J21" s="10">
        <f t="shared" si="2"/>
        <v>300</v>
      </c>
      <c r="K21" s="10">
        <f t="shared" si="2"/>
        <v>0</v>
      </c>
      <c r="L21" s="10">
        <f t="shared" si="2"/>
        <v>0</v>
      </c>
      <c r="M21" s="10">
        <f t="shared" si="2"/>
        <v>0</v>
      </c>
      <c r="N21" s="10">
        <f t="shared" si="2"/>
        <v>0</v>
      </c>
      <c r="O21" s="10">
        <f t="shared" si="2"/>
        <v>0</v>
      </c>
      <c r="P21" s="10">
        <f t="shared" si="2"/>
        <v>300</v>
      </c>
      <c r="Q21" s="10">
        <f t="shared" si="2"/>
        <v>19</v>
      </c>
      <c r="R21" s="11"/>
      <c r="S21" s="11"/>
      <c r="T21" s="11"/>
      <c r="U21" s="11"/>
      <c r="V21" s="11"/>
      <c r="W21" s="11"/>
      <c r="X21" s="11"/>
      <c r="Y21" s="11"/>
      <c r="Z21" s="12"/>
    </row>
    <row r="22" spans="2:26" ht="12.75" customHeight="1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13"/>
      <c r="Y22" s="7"/>
      <c r="Z22" s="8"/>
    </row>
    <row r="23" spans="2:26" ht="12.75" customHeight="1">
      <c r="B23" s="7"/>
      <c r="C23" s="7" t="s">
        <v>52</v>
      </c>
      <c r="D23" s="7">
        <v>10</v>
      </c>
      <c r="E23" s="7" t="s">
        <v>57</v>
      </c>
      <c r="F23" s="7" t="s">
        <v>54</v>
      </c>
      <c r="G23" s="7">
        <v>4702077438</v>
      </c>
      <c r="H23" s="7" t="s">
        <v>58</v>
      </c>
      <c r="I23" s="14">
        <v>712936018500</v>
      </c>
      <c r="J23" s="7">
        <v>300</v>
      </c>
      <c r="K23" s="7"/>
      <c r="L23" s="7"/>
      <c r="M23" s="7"/>
      <c r="N23" s="7"/>
      <c r="O23" s="7"/>
      <c r="P23" s="7">
        <v>54</v>
      </c>
      <c r="Q23" s="7">
        <v>3</v>
      </c>
      <c r="R23" s="7" t="s">
        <v>59</v>
      </c>
      <c r="S23" s="7"/>
      <c r="T23" s="7"/>
      <c r="U23" s="7"/>
      <c r="V23" s="7"/>
      <c r="W23" s="7"/>
      <c r="X23" s="22" t="s">
        <v>60</v>
      </c>
      <c r="Y23" s="7"/>
      <c r="Z23" s="8"/>
    </row>
    <row r="24" spans="2:26" ht="12.75" customHeight="1">
      <c r="B24" s="7"/>
      <c r="C24" s="7" t="s">
        <v>52</v>
      </c>
      <c r="D24" s="7">
        <v>20</v>
      </c>
      <c r="E24" s="7" t="s">
        <v>61</v>
      </c>
      <c r="F24" s="7" t="s">
        <v>54</v>
      </c>
      <c r="G24" s="7">
        <v>4702077438</v>
      </c>
      <c r="H24" s="7" t="s">
        <v>62</v>
      </c>
      <c r="I24" s="14">
        <v>712936018501</v>
      </c>
      <c r="J24" s="7">
        <v>300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23"/>
      <c r="Y24" s="7"/>
      <c r="Z24" s="8"/>
    </row>
    <row r="25" spans="2:26" ht="12.75" customHeight="1">
      <c r="B25" s="7"/>
      <c r="C25" s="7" t="s">
        <v>52</v>
      </c>
      <c r="D25" s="7">
        <v>30</v>
      </c>
      <c r="E25" s="7" t="s">
        <v>63</v>
      </c>
      <c r="F25" s="7" t="s">
        <v>54</v>
      </c>
      <c r="G25" s="7">
        <v>4702077438</v>
      </c>
      <c r="H25" s="7" t="s">
        <v>64</v>
      </c>
      <c r="I25" s="14">
        <v>712936018502</v>
      </c>
      <c r="J25" s="7">
        <v>300</v>
      </c>
      <c r="K25" s="7"/>
      <c r="L25" s="7"/>
      <c r="M25" s="7"/>
      <c r="N25" s="7"/>
      <c r="O25" s="7"/>
      <c r="P25" s="7">
        <v>126</v>
      </c>
      <c r="Q25" s="7">
        <v>7</v>
      </c>
      <c r="R25" s="7" t="s">
        <v>59</v>
      </c>
      <c r="S25" s="7"/>
      <c r="T25" s="7"/>
      <c r="U25" s="7"/>
      <c r="V25" s="7"/>
      <c r="W25" s="7"/>
      <c r="X25" s="23"/>
      <c r="Y25" s="7"/>
      <c r="Z25" s="8"/>
    </row>
    <row r="26" spans="2:26" ht="12.75" customHeight="1">
      <c r="B26" s="7"/>
      <c r="C26" s="7" t="s">
        <v>52</v>
      </c>
      <c r="D26" s="7">
        <v>10</v>
      </c>
      <c r="E26" s="7" t="s">
        <v>65</v>
      </c>
      <c r="F26" s="7" t="s">
        <v>54</v>
      </c>
      <c r="G26" s="7">
        <v>4702077439</v>
      </c>
      <c r="H26" s="7" t="s">
        <v>66</v>
      </c>
      <c r="I26" s="7" t="s">
        <v>67</v>
      </c>
      <c r="J26" s="7">
        <v>300</v>
      </c>
      <c r="K26" s="7"/>
      <c r="L26" s="7"/>
      <c r="M26" s="7"/>
      <c r="N26" s="7"/>
      <c r="O26" s="7"/>
      <c r="P26" s="7">
        <v>300</v>
      </c>
      <c r="Q26" s="7">
        <v>20</v>
      </c>
      <c r="R26" s="7" t="s">
        <v>68</v>
      </c>
      <c r="S26" s="7"/>
      <c r="T26" s="7"/>
      <c r="U26" s="7"/>
      <c r="V26" s="7"/>
      <c r="W26" s="7"/>
      <c r="X26" s="24"/>
      <c r="Y26" s="7"/>
      <c r="Z26" s="8"/>
    </row>
    <row r="27" spans="2:26" ht="12.75" customHeight="1">
      <c r="B27" s="9"/>
      <c r="C27" s="9"/>
      <c r="D27" s="9"/>
      <c r="E27" s="9"/>
      <c r="F27" s="10" t="s">
        <v>38</v>
      </c>
      <c r="G27" s="10"/>
      <c r="H27" s="10"/>
      <c r="I27" s="10"/>
      <c r="J27" s="10">
        <f t="shared" si="0"/>
        <v>1200</v>
      </c>
      <c r="K27" s="10">
        <f t="shared" si="0"/>
        <v>0</v>
      </c>
      <c r="L27" s="10">
        <f t="shared" si="0"/>
        <v>0</v>
      </c>
      <c r="M27" s="10">
        <f t="shared" si="0"/>
        <v>0</v>
      </c>
      <c r="N27" s="10">
        <f t="shared" si="0"/>
        <v>0</v>
      </c>
      <c r="O27" s="10">
        <f t="shared" si="0"/>
        <v>0</v>
      </c>
      <c r="P27" s="10">
        <f t="shared" si="0"/>
        <v>480</v>
      </c>
      <c r="Q27" s="10">
        <f t="shared" si="0"/>
        <v>30</v>
      </c>
      <c r="R27" s="11"/>
      <c r="S27" s="11"/>
      <c r="T27" s="11"/>
      <c r="U27" s="11"/>
      <c r="V27" s="11"/>
      <c r="W27" s="11"/>
      <c r="X27" s="11"/>
      <c r="Y27" s="11"/>
      <c r="Z27" s="12"/>
    </row>
    <row r="28" spans="2:26" ht="12.75" customHeight="1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2:26" ht="12.75" customHeight="1">
      <c r="B29" s="15"/>
      <c r="C29" s="15"/>
      <c r="D29" s="15"/>
      <c r="E29" s="15"/>
      <c r="F29" s="15"/>
      <c r="G29" s="15"/>
      <c r="H29" s="16" t="s">
        <v>69</v>
      </c>
      <c r="I29" s="17"/>
      <c r="J29" s="17">
        <f t="shared" ref="J29:Q29" si="3">SUBTOTAL(9,J6:J9,J12:J14,J17,J20,J23:J26)</f>
        <v>9750</v>
      </c>
      <c r="K29" s="17">
        <f t="shared" si="3"/>
        <v>0</v>
      </c>
      <c r="L29" s="17">
        <f t="shared" si="3"/>
        <v>0</v>
      </c>
      <c r="M29" s="17">
        <f t="shared" si="3"/>
        <v>0</v>
      </c>
      <c r="N29" s="17">
        <f t="shared" si="3"/>
        <v>0</v>
      </c>
      <c r="O29" s="17">
        <f t="shared" si="3"/>
        <v>0</v>
      </c>
      <c r="P29" s="17">
        <f t="shared" si="3"/>
        <v>9242</v>
      </c>
      <c r="Q29" s="17">
        <f t="shared" si="3"/>
        <v>539</v>
      </c>
      <c r="R29" s="18"/>
      <c r="S29" s="18"/>
      <c r="T29" s="18"/>
      <c r="U29" s="18"/>
      <c r="V29" s="18"/>
      <c r="W29" s="18"/>
      <c r="X29" s="18"/>
      <c r="Y29" s="18"/>
      <c r="Z29" s="19"/>
    </row>
  </sheetData>
  <autoFilter ref="B5:Z28"/>
  <mergeCells count="3">
    <mergeCell ref="X6:X9"/>
    <mergeCell ref="X12:X14"/>
    <mergeCell ref="X23:X26"/>
  </mergeCells>
  <pageMargins left="0.7" right="0.7" top="0.75" bottom="0.75" header="0.3" footer="0.3"/>
  <pageSetup paperSize="9" scale="57" orientation="landscape" useFirstPageNumber="1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1"/>
  <sheetViews>
    <sheetView tabSelected="1" topLeftCell="B1" zoomScale="85" zoomScaleNormal="85" workbookViewId="0">
      <selection activeCell="W11" sqref="W11:W13"/>
    </sheetView>
  </sheetViews>
  <sheetFormatPr defaultColWidth="8.85546875" defaultRowHeight="15" customHeight="1"/>
  <cols>
    <col min="1" max="1" width="16.5703125" hidden="1" customWidth="1"/>
    <col min="2" max="2" width="10.5703125" customWidth="1"/>
    <col min="3" max="3" width="10" customWidth="1"/>
    <col min="4" max="4" width="18.5703125" customWidth="1"/>
    <col min="5" max="5" width="14.28515625" customWidth="1"/>
    <col min="6" max="6" width="17.140625" customWidth="1"/>
    <col min="7" max="7" width="31.42578125" customWidth="1"/>
    <col min="8" max="8" width="21.42578125" customWidth="1"/>
    <col min="9" max="9" width="14.28515625" customWidth="1"/>
    <col min="10" max="10" width="10.7109375" hidden="1" customWidth="1"/>
    <col min="11" max="11" width="20.7109375" hidden="1" customWidth="1"/>
    <col min="12" max="12" width="17.85546875" hidden="1" customWidth="1"/>
    <col min="13" max="13" width="22.7109375" hidden="1" customWidth="1"/>
    <col min="14" max="14" width="20.28515625" hidden="1" customWidth="1"/>
    <col min="15" max="15" width="17.85546875" bestFit="1" customWidth="1"/>
    <col min="16" max="16" width="7.5703125" bestFit="1" customWidth="1"/>
    <col min="17" max="17" width="25.7109375" customWidth="1"/>
    <col min="18" max="18" width="10.7109375" hidden="1" customWidth="1"/>
    <col min="19" max="22" width="12.85546875" hidden="1" customWidth="1"/>
    <col min="23" max="23" width="22.85546875" customWidth="1"/>
    <col min="24" max="24" width="11.42578125" customWidth="1"/>
    <col min="25" max="25" width="9.140625" customWidth="1"/>
  </cols>
  <sheetData>
    <row r="1" spans="1:25" ht="30" customHeight="1">
      <c r="A1" s="25" t="s">
        <v>73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ht="18.75" customHeight="1">
      <c r="A2" s="72" t="s">
        <v>70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4"/>
    </row>
    <row r="3" spans="1:25" ht="15" customHeight="1">
      <c r="A3" s="21"/>
      <c r="Y3" s="20"/>
    </row>
    <row r="4" spans="1:25" ht="26.25" customHeight="1">
      <c r="A4" s="28" t="s">
        <v>2</v>
      </c>
      <c r="B4" s="77" t="s">
        <v>3</v>
      </c>
      <c r="C4" s="29" t="s">
        <v>4</v>
      </c>
      <c r="D4" s="29" t="s">
        <v>5</v>
      </c>
      <c r="E4" s="29" t="s">
        <v>6</v>
      </c>
      <c r="F4" s="29" t="s">
        <v>7</v>
      </c>
      <c r="G4" s="29" t="s">
        <v>8</v>
      </c>
      <c r="H4" s="29" t="s">
        <v>9</v>
      </c>
      <c r="I4" s="29" t="s">
        <v>10</v>
      </c>
      <c r="J4" s="29" t="s">
        <v>11</v>
      </c>
      <c r="K4" s="29" t="s">
        <v>12</v>
      </c>
      <c r="L4" s="29" t="s">
        <v>13</v>
      </c>
      <c r="M4" s="29" t="s">
        <v>14</v>
      </c>
      <c r="N4" s="29" t="s">
        <v>15</v>
      </c>
      <c r="O4" s="29" t="s">
        <v>16</v>
      </c>
      <c r="P4" s="29" t="s">
        <v>17</v>
      </c>
      <c r="Q4" s="29" t="s">
        <v>18</v>
      </c>
      <c r="R4" s="77" t="s">
        <v>19</v>
      </c>
      <c r="S4" s="29" t="s">
        <v>20</v>
      </c>
      <c r="T4" s="29" t="s">
        <v>21</v>
      </c>
      <c r="U4" s="29" t="s">
        <v>22</v>
      </c>
      <c r="V4" s="29" t="s">
        <v>23</v>
      </c>
      <c r="W4" s="29" t="s">
        <v>24</v>
      </c>
      <c r="X4" s="29" t="s">
        <v>25</v>
      </c>
      <c r="Y4" s="70" t="s">
        <v>26</v>
      </c>
    </row>
    <row r="5" spans="1:25" ht="18.75" customHeight="1">
      <c r="A5" s="32"/>
      <c r="B5" s="33" t="s">
        <v>27</v>
      </c>
      <c r="C5" s="33">
        <v>10</v>
      </c>
      <c r="D5" s="33" t="s">
        <v>28</v>
      </c>
      <c r="E5" s="33" t="s">
        <v>29</v>
      </c>
      <c r="F5" s="33">
        <v>4702068707</v>
      </c>
      <c r="G5" s="33" t="s">
        <v>30</v>
      </c>
      <c r="H5" s="33" t="s">
        <v>31</v>
      </c>
      <c r="I5" s="34">
        <v>1012</v>
      </c>
      <c r="J5" s="34"/>
      <c r="K5" s="34"/>
      <c r="L5" s="34"/>
      <c r="M5" s="34"/>
      <c r="N5" s="34"/>
      <c r="O5" s="34">
        <v>1034</v>
      </c>
      <c r="P5" s="34">
        <v>59</v>
      </c>
      <c r="Q5" s="76" t="s">
        <v>32</v>
      </c>
      <c r="R5" s="33"/>
      <c r="S5" s="33" t="s">
        <v>74</v>
      </c>
      <c r="T5" s="33" t="s">
        <v>74</v>
      </c>
      <c r="U5" s="33" t="s">
        <v>74</v>
      </c>
      <c r="V5" s="33" t="s">
        <v>74</v>
      </c>
      <c r="W5" s="61" t="s">
        <v>34</v>
      </c>
      <c r="X5" s="33"/>
      <c r="Y5" s="71"/>
    </row>
    <row r="6" spans="1:25" ht="18.75" customHeight="1">
      <c r="A6" s="32"/>
      <c r="B6" s="33" t="s">
        <v>27</v>
      </c>
      <c r="C6" s="33">
        <v>20</v>
      </c>
      <c r="D6" s="33" t="s">
        <v>35</v>
      </c>
      <c r="E6" s="33" t="s">
        <v>29</v>
      </c>
      <c r="F6" s="33">
        <v>4702068707</v>
      </c>
      <c r="G6" s="33" t="s">
        <v>36</v>
      </c>
      <c r="H6" s="33" t="s">
        <v>37</v>
      </c>
      <c r="I6" s="34">
        <v>568</v>
      </c>
      <c r="J6" s="34"/>
      <c r="K6" s="34"/>
      <c r="L6" s="34"/>
      <c r="M6" s="34"/>
      <c r="N6" s="34"/>
      <c r="O6" s="34">
        <v>583</v>
      </c>
      <c r="P6" s="34">
        <v>34</v>
      </c>
      <c r="Q6" s="76" t="s">
        <v>32</v>
      </c>
      <c r="R6" s="33"/>
      <c r="S6" s="33" t="s">
        <v>74</v>
      </c>
      <c r="T6" s="33" t="s">
        <v>74</v>
      </c>
      <c r="U6" s="33" t="s">
        <v>74</v>
      </c>
      <c r="V6" s="33" t="s">
        <v>74</v>
      </c>
      <c r="W6" s="62"/>
      <c r="X6" s="33"/>
      <c r="Y6" s="71"/>
    </row>
    <row r="7" spans="1:25" ht="18.75" customHeight="1">
      <c r="A7" s="32"/>
      <c r="B7" s="33" t="s">
        <v>27</v>
      </c>
      <c r="C7" s="33">
        <v>10</v>
      </c>
      <c r="D7" s="33" t="s">
        <v>28</v>
      </c>
      <c r="E7" s="33" t="s">
        <v>29</v>
      </c>
      <c r="F7" s="33">
        <v>4702068708</v>
      </c>
      <c r="G7" s="33" t="s">
        <v>30</v>
      </c>
      <c r="H7" s="33" t="s">
        <v>31</v>
      </c>
      <c r="I7" s="34">
        <v>925</v>
      </c>
      <c r="J7" s="34"/>
      <c r="K7" s="34"/>
      <c r="L7" s="34"/>
      <c r="M7" s="34"/>
      <c r="N7" s="34"/>
      <c r="O7" s="34">
        <v>951</v>
      </c>
      <c r="P7" s="34">
        <v>55</v>
      </c>
      <c r="Q7" s="76" t="s">
        <v>32</v>
      </c>
      <c r="R7" s="33"/>
      <c r="S7" s="33" t="s">
        <v>74</v>
      </c>
      <c r="T7" s="33" t="s">
        <v>74</v>
      </c>
      <c r="U7" s="33" t="s">
        <v>74</v>
      </c>
      <c r="V7" s="33" t="s">
        <v>74</v>
      </c>
      <c r="W7" s="62"/>
      <c r="X7" s="33"/>
      <c r="Y7" s="71"/>
    </row>
    <row r="8" spans="1:25" ht="18.75" customHeight="1" thickBot="1">
      <c r="A8" s="32"/>
      <c r="B8" s="33" t="s">
        <v>27</v>
      </c>
      <c r="C8" s="33">
        <v>20</v>
      </c>
      <c r="D8" s="33" t="s">
        <v>35</v>
      </c>
      <c r="E8" s="33" t="s">
        <v>29</v>
      </c>
      <c r="F8" s="33">
        <v>4702068708</v>
      </c>
      <c r="G8" s="33" t="s">
        <v>36</v>
      </c>
      <c r="H8" s="33" t="s">
        <v>37</v>
      </c>
      <c r="I8" s="34">
        <v>645</v>
      </c>
      <c r="J8" s="34"/>
      <c r="K8" s="34"/>
      <c r="L8" s="34"/>
      <c r="M8" s="34"/>
      <c r="N8" s="34"/>
      <c r="O8" s="34">
        <v>657</v>
      </c>
      <c r="P8" s="34">
        <v>39</v>
      </c>
      <c r="Q8" s="76" t="s">
        <v>32</v>
      </c>
      <c r="R8" s="33"/>
      <c r="S8" s="33" t="s">
        <v>74</v>
      </c>
      <c r="T8" s="33" t="s">
        <v>74</v>
      </c>
      <c r="U8" s="33" t="s">
        <v>74</v>
      </c>
      <c r="V8" s="33" t="s">
        <v>74</v>
      </c>
      <c r="W8" s="63"/>
      <c r="X8" s="33"/>
      <c r="Y8" s="71"/>
    </row>
    <row r="9" spans="1:25" ht="15" customHeight="1" thickBot="1">
      <c r="A9" s="35" t="s">
        <v>71</v>
      </c>
      <c r="B9" s="36"/>
      <c r="C9" s="36"/>
      <c r="D9" s="36"/>
      <c r="E9" s="36"/>
      <c r="F9" s="37"/>
      <c r="G9" s="37"/>
      <c r="H9" s="37"/>
      <c r="I9" s="38">
        <f>SUM(I5:I8)</f>
        <v>3150</v>
      </c>
      <c r="J9" s="38">
        <f t="shared" ref="J9:P9" si="0">SUM(J5:J8)</f>
        <v>0</v>
      </c>
      <c r="K9" s="38">
        <f t="shared" si="0"/>
        <v>0</v>
      </c>
      <c r="L9" s="38">
        <f t="shared" si="0"/>
        <v>0</v>
      </c>
      <c r="M9" s="38">
        <f t="shared" si="0"/>
        <v>0</v>
      </c>
      <c r="N9" s="38">
        <f t="shared" si="0"/>
        <v>0</v>
      </c>
      <c r="O9" s="38">
        <f t="shared" si="0"/>
        <v>3225</v>
      </c>
      <c r="P9" s="38">
        <f t="shared" si="0"/>
        <v>187</v>
      </c>
      <c r="Q9" s="37"/>
      <c r="R9" s="37"/>
      <c r="S9" s="37"/>
      <c r="T9" s="37"/>
      <c r="U9" s="37"/>
      <c r="V9" s="37"/>
      <c r="W9" s="37"/>
      <c r="X9" s="37"/>
      <c r="Y9" s="39"/>
    </row>
    <row r="10" spans="1:25" ht="15" customHeight="1">
      <c r="A10" s="40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2"/>
    </row>
    <row r="11" spans="1:25" ht="18.75" customHeight="1">
      <c r="A11" s="43"/>
      <c r="B11" s="44" t="s">
        <v>39</v>
      </c>
      <c r="C11" s="44">
        <v>10</v>
      </c>
      <c r="D11" s="44" t="s">
        <v>28</v>
      </c>
      <c r="E11" s="44" t="s">
        <v>40</v>
      </c>
      <c r="F11" s="44">
        <v>4702068709</v>
      </c>
      <c r="G11" s="44" t="s">
        <v>30</v>
      </c>
      <c r="H11" s="44" t="s">
        <v>31</v>
      </c>
      <c r="I11" s="45">
        <v>1200</v>
      </c>
      <c r="J11" s="45"/>
      <c r="K11" s="45"/>
      <c r="L11" s="45"/>
      <c r="M11" s="45"/>
      <c r="N11" s="45"/>
      <c r="O11" s="45">
        <v>1233</v>
      </c>
      <c r="P11" s="45">
        <v>70</v>
      </c>
      <c r="Q11" s="76" t="s">
        <v>32</v>
      </c>
      <c r="R11" s="44"/>
      <c r="S11" s="44" t="s">
        <v>74</v>
      </c>
      <c r="T11" s="44" t="s">
        <v>74</v>
      </c>
      <c r="U11" s="44" t="s">
        <v>74</v>
      </c>
      <c r="V11" s="44" t="s">
        <v>74</v>
      </c>
      <c r="W11" s="64" t="s">
        <v>41</v>
      </c>
      <c r="X11" s="44"/>
      <c r="Y11" s="46"/>
    </row>
    <row r="12" spans="1:25" ht="18.75" customHeight="1">
      <c r="A12" s="43"/>
      <c r="B12" s="44" t="s">
        <v>39</v>
      </c>
      <c r="C12" s="44">
        <v>20</v>
      </c>
      <c r="D12" s="44" t="s">
        <v>35</v>
      </c>
      <c r="E12" s="44" t="s">
        <v>40</v>
      </c>
      <c r="F12" s="44">
        <v>4702068709</v>
      </c>
      <c r="G12" s="44" t="s">
        <v>36</v>
      </c>
      <c r="H12" s="44" t="s">
        <v>37</v>
      </c>
      <c r="I12" s="45">
        <v>500</v>
      </c>
      <c r="J12" s="45"/>
      <c r="K12" s="45"/>
      <c r="L12" s="45"/>
      <c r="M12" s="45"/>
      <c r="N12" s="45"/>
      <c r="O12" s="45">
        <v>513</v>
      </c>
      <c r="P12" s="45">
        <v>30</v>
      </c>
      <c r="Q12" s="76" t="s">
        <v>32</v>
      </c>
      <c r="R12" s="44"/>
      <c r="S12" s="44" t="s">
        <v>74</v>
      </c>
      <c r="T12" s="44" t="s">
        <v>74</v>
      </c>
      <c r="U12" s="44" t="s">
        <v>74</v>
      </c>
      <c r="V12" s="44" t="s">
        <v>74</v>
      </c>
      <c r="W12" s="65"/>
      <c r="X12" s="44"/>
      <c r="Y12" s="46"/>
    </row>
    <row r="13" spans="1:25" ht="18.75" customHeight="1" thickBot="1">
      <c r="A13" s="43"/>
      <c r="B13" s="44" t="s">
        <v>39</v>
      </c>
      <c r="C13" s="44">
        <v>30</v>
      </c>
      <c r="D13" s="44" t="s">
        <v>43</v>
      </c>
      <c r="E13" s="44" t="s">
        <v>40</v>
      </c>
      <c r="F13" s="44">
        <v>4702068709</v>
      </c>
      <c r="G13" s="44" t="s">
        <v>44</v>
      </c>
      <c r="H13" s="44" t="s">
        <v>45</v>
      </c>
      <c r="I13" s="45">
        <v>800</v>
      </c>
      <c r="J13" s="45"/>
      <c r="K13" s="45"/>
      <c r="L13" s="45"/>
      <c r="M13" s="45"/>
      <c r="N13" s="45"/>
      <c r="O13" s="45">
        <v>819</v>
      </c>
      <c r="P13" s="45">
        <v>47</v>
      </c>
      <c r="Q13" s="76" t="s">
        <v>32</v>
      </c>
      <c r="R13" s="44"/>
      <c r="S13" s="44" t="s">
        <v>74</v>
      </c>
      <c r="T13" s="44" t="s">
        <v>74</v>
      </c>
      <c r="U13" s="44" t="s">
        <v>74</v>
      </c>
      <c r="V13" s="44" t="s">
        <v>74</v>
      </c>
      <c r="W13" s="66"/>
      <c r="X13" s="44"/>
      <c r="Y13" s="46"/>
    </row>
    <row r="14" spans="1:25" ht="15" customHeight="1" thickBot="1">
      <c r="A14" s="35" t="s">
        <v>72</v>
      </c>
      <c r="B14" s="36"/>
      <c r="C14" s="36"/>
      <c r="D14" s="36"/>
      <c r="E14" s="36"/>
      <c r="F14" s="37"/>
      <c r="G14" s="37"/>
      <c r="H14" s="37"/>
      <c r="I14" s="38">
        <f>SUM(I11:I13)</f>
        <v>2500</v>
      </c>
      <c r="J14" s="38">
        <f t="shared" ref="J14:P14" si="1">SUM(J11:J13)</f>
        <v>0</v>
      </c>
      <c r="K14" s="38">
        <f t="shared" si="1"/>
        <v>0</v>
      </c>
      <c r="L14" s="38">
        <f t="shared" si="1"/>
        <v>0</v>
      </c>
      <c r="M14" s="38">
        <f t="shared" si="1"/>
        <v>0</v>
      </c>
      <c r="N14" s="38">
        <f t="shared" si="1"/>
        <v>0</v>
      </c>
      <c r="O14" s="38">
        <f t="shared" si="1"/>
        <v>2565</v>
      </c>
      <c r="P14" s="38">
        <f t="shared" si="1"/>
        <v>147</v>
      </c>
      <c r="Q14" s="37"/>
      <c r="R14" s="37"/>
      <c r="S14" s="37"/>
      <c r="T14" s="37"/>
      <c r="U14" s="37"/>
      <c r="V14" s="37"/>
      <c r="W14" s="37"/>
      <c r="X14" s="37"/>
      <c r="Y14" s="39"/>
    </row>
    <row r="15" spans="1:25" ht="15" customHeight="1">
      <c r="A15" s="40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2"/>
    </row>
    <row r="16" spans="1:25" ht="18.75" customHeight="1">
      <c r="A16" s="47"/>
      <c r="B16" s="48" t="s">
        <v>46</v>
      </c>
      <c r="C16" s="48">
        <v>20</v>
      </c>
      <c r="D16" s="48" t="s">
        <v>47</v>
      </c>
      <c r="E16" s="48" t="s">
        <v>48</v>
      </c>
      <c r="F16" s="48">
        <v>4702068711</v>
      </c>
      <c r="G16" s="48" t="s">
        <v>30</v>
      </c>
      <c r="H16" s="48" t="s">
        <v>49</v>
      </c>
      <c r="I16" s="49">
        <v>2600</v>
      </c>
      <c r="J16" s="49"/>
      <c r="K16" s="49"/>
      <c r="L16" s="49"/>
      <c r="M16" s="49"/>
      <c r="N16" s="49"/>
      <c r="O16" s="49">
        <v>2672</v>
      </c>
      <c r="P16" s="49">
        <v>156</v>
      </c>
      <c r="Q16" s="76" t="s">
        <v>32</v>
      </c>
      <c r="R16" s="48"/>
      <c r="S16" s="48" t="s">
        <v>74</v>
      </c>
      <c r="T16" s="48" t="s">
        <v>74</v>
      </c>
      <c r="U16" s="48" t="s">
        <v>74</v>
      </c>
      <c r="V16" s="48"/>
      <c r="W16" s="48" t="s">
        <v>51</v>
      </c>
      <c r="X16" s="48"/>
      <c r="Y16" s="50"/>
    </row>
    <row r="17" spans="1:25" ht="15" customHeight="1">
      <c r="A17" s="35" t="s">
        <v>71</v>
      </c>
      <c r="B17" s="36"/>
      <c r="C17" s="36"/>
      <c r="D17" s="36"/>
      <c r="E17" s="36"/>
      <c r="F17" s="37"/>
      <c r="G17" s="37"/>
      <c r="H17" s="37"/>
      <c r="I17" s="38">
        <f>SUM(I16)</f>
        <v>2600</v>
      </c>
      <c r="J17" s="38">
        <f t="shared" ref="J17:P17" si="2">SUM(J16)</f>
        <v>0</v>
      </c>
      <c r="K17" s="38">
        <f t="shared" si="2"/>
        <v>0</v>
      </c>
      <c r="L17" s="38">
        <f t="shared" si="2"/>
        <v>0</v>
      </c>
      <c r="M17" s="38">
        <f t="shared" si="2"/>
        <v>0</v>
      </c>
      <c r="N17" s="38">
        <f t="shared" si="2"/>
        <v>0</v>
      </c>
      <c r="O17" s="38">
        <f t="shared" si="2"/>
        <v>2672</v>
      </c>
      <c r="P17" s="38">
        <f t="shared" si="2"/>
        <v>156</v>
      </c>
      <c r="Q17" s="37"/>
      <c r="R17" s="37"/>
      <c r="S17" s="37"/>
      <c r="T17" s="37"/>
      <c r="U17" s="37"/>
      <c r="V17" s="37"/>
      <c r="W17" s="37"/>
      <c r="X17" s="37"/>
      <c r="Y17" s="39"/>
    </row>
    <row r="18" spans="1:25" ht="15" customHeight="1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2"/>
    </row>
    <row r="19" spans="1:25" ht="18.75" customHeight="1" thickBot="1">
      <c r="A19" s="51"/>
      <c r="B19" s="52" t="s">
        <v>52</v>
      </c>
      <c r="C19" s="52">
        <v>10</v>
      </c>
      <c r="D19" s="52" t="s">
        <v>53</v>
      </c>
      <c r="E19" s="52" t="s">
        <v>54</v>
      </c>
      <c r="F19" s="52">
        <v>4702068713</v>
      </c>
      <c r="G19" s="52" t="s">
        <v>30</v>
      </c>
      <c r="H19" s="52" t="s">
        <v>55</v>
      </c>
      <c r="I19" s="53">
        <v>300</v>
      </c>
      <c r="J19" s="53"/>
      <c r="K19" s="53"/>
      <c r="L19" s="53"/>
      <c r="M19" s="53"/>
      <c r="N19" s="53"/>
      <c r="O19" s="53">
        <v>300</v>
      </c>
      <c r="P19" s="53">
        <v>19</v>
      </c>
      <c r="Q19" s="76" t="s">
        <v>32</v>
      </c>
      <c r="R19" s="52"/>
      <c r="S19" s="52" t="s">
        <v>74</v>
      </c>
      <c r="T19" s="52" t="s">
        <v>74</v>
      </c>
      <c r="U19" s="52" t="s">
        <v>74</v>
      </c>
      <c r="V19" s="52" t="s">
        <v>74</v>
      </c>
      <c r="W19" s="52" t="s">
        <v>56</v>
      </c>
      <c r="X19" s="52"/>
      <c r="Y19" s="54"/>
    </row>
    <row r="20" spans="1:25" ht="15" customHeight="1" thickBot="1">
      <c r="A20" s="35" t="s">
        <v>71</v>
      </c>
      <c r="B20" s="36"/>
      <c r="C20" s="36"/>
      <c r="D20" s="36"/>
      <c r="E20" s="36"/>
      <c r="F20" s="37"/>
      <c r="G20" s="37"/>
      <c r="H20" s="37"/>
      <c r="I20" s="38">
        <f>SUM(I19)</f>
        <v>300</v>
      </c>
      <c r="J20" s="38">
        <f t="shared" ref="J20:P20" si="3">SUM(J19)</f>
        <v>0</v>
      </c>
      <c r="K20" s="38">
        <f t="shared" si="3"/>
        <v>0</v>
      </c>
      <c r="L20" s="38">
        <f t="shared" si="3"/>
        <v>0</v>
      </c>
      <c r="M20" s="38">
        <f t="shared" si="3"/>
        <v>0</v>
      </c>
      <c r="N20" s="38">
        <f t="shared" si="3"/>
        <v>0</v>
      </c>
      <c r="O20" s="38">
        <f t="shared" si="3"/>
        <v>300</v>
      </c>
      <c r="P20" s="38">
        <f t="shared" si="3"/>
        <v>19</v>
      </c>
      <c r="Q20" s="37"/>
      <c r="R20" s="37"/>
      <c r="S20" s="37"/>
      <c r="T20" s="37"/>
      <c r="U20" s="37"/>
      <c r="V20" s="37"/>
      <c r="W20" s="37"/>
      <c r="X20" s="37"/>
      <c r="Y20" s="39"/>
    </row>
    <row r="21" spans="1:25" ht="15" customHeight="1" thickBot="1">
      <c r="A21" s="40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2"/>
    </row>
    <row r="22" spans="1:25" ht="22.5" customHeight="1" thickBot="1">
      <c r="A22" s="81"/>
      <c r="B22" s="82"/>
      <c r="C22" s="82"/>
      <c r="D22" s="82"/>
      <c r="E22" s="82"/>
      <c r="F22" s="82"/>
      <c r="G22" s="79" t="s">
        <v>69</v>
      </c>
      <c r="H22" s="82"/>
      <c r="I22" s="78">
        <f>SUBTOTAL(9,I5:I8,I11:I13,I16,I19)</f>
        <v>8550</v>
      </c>
      <c r="J22" s="78">
        <f t="shared" ref="J22:P22" si="4">SUBTOTAL(9,J5:J8,J11:J13,J16,J19)</f>
        <v>0</v>
      </c>
      <c r="K22" s="78">
        <f t="shared" si="4"/>
        <v>0</v>
      </c>
      <c r="L22" s="78">
        <f t="shared" si="4"/>
        <v>0</v>
      </c>
      <c r="M22" s="78">
        <f t="shared" si="4"/>
        <v>0</v>
      </c>
      <c r="N22" s="78">
        <f t="shared" si="4"/>
        <v>0</v>
      </c>
      <c r="O22" s="78">
        <f>SUBTOTAL(9,O5:O8,O11:O13,O16,O19)</f>
        <v>8762</v>
      </c>
      <c r="P22" s="78">
        <f>SUBTOTAL(9,P5:P8,P11:P13,P16,P19)</f>
        <v>509</v>
      </c>
      <c r="Q22" s="79"/>
      <c r="R22" s="79"/>
      <c r="S22" s="79"/>
      <c r="T22" s="79"/>
      <c r="U22" s="79"/>
      <c r="V22" s="79"/>
      <c r="W22" s="79"/>
      <c r="X22" s="79"/>
      <c r="Y22" s="80"/>
    </row>
    <row r="23" spans="1:25" ht="15" customHeight="1">
      <c r="A23" s="40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2"/>
    </row>
    <row r="24" spans="1:25" ht="15" customHeight="1">
      <c r="A24" s="40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2"/>
    </row>
    <row r="25" spans="1:25" ht="18.75" customHeight="1">
      <c r="A25" s="55"/>
      <c r="B25" s="56" t="s">
        <v>52</v>
      </c>
      <c r="C25" s="56">
        <v>10</v>
      </c>
      <c r="D25" s="56" t="s">
        <v>57</v>
      </c>
      <c r="E25" s="56" t="s">
        <v>54</v>
      </c>
      <c r="F25" s="56">
        <v>4702077438</v>
      </c>
      <c r="G25" s="56" t="s">
        <v>58</v>
      </c>
      <c r="H25" s="75">
        <v>712936018500</v>
      </c>
      <c r="I25" s="57">
        <v>300</v>
      </c>
      <c r="J25" s="57"/>
      <c r="K25" s="57"/>
      <c r="L25" s="57"/>
      <c r="M25" s="57"/>
      <c r="N25" s="57"/>
      <c r="O25" s="57">
        <v>126</v>
      </c>
      <c r="P25" s="57">
        <v>7</v>
      </c>
      <c r="Q25" s="58" t="s">
        <v>59</v>
      </c>
      <c r="R25" s="56"/>
      <c r="S25" s="56"/>
      <c r="T25" s="56"/>
      <c r="U25" s="56"/>
      <c r="V25" s="56"/>
      <c r="W25" s="67" t="s">
        <v>60</v>
      </c>
      <c r="X25" s="56"/>
      <c r="Y25" s="59"/>
    </row>
    <row r="26" spans="1:25" ht="18.75" customHeight="1">
      <c r="A26" s="55"/>
      <c r="B26" s="56" t="s">
        <v>52</v>
      </c>
      <c r="C26" s="56">
        <v>20</v>
      </c>
      <c r="D26" s="56" t="s">
        <v>61</v>
      </c>
      <c r="E26" s="56" t="s">
        <v>54</v>
      </c>
      <c r="F26" s="56">
        <v>4702077438</v>
      </c>
      <c r="G26" s="56" t="s">
        <v>62</v>
      </c>
      <c r="H26" s="75">
        <v>712936018501</v>
      </c>
      <c r="I26" s="57">
        <v>300</v>
      </c>
      <c r="J26" s="57"/>
      <c r="K26" s="57"/>
      <c r="L26" s="57"/>
      <c r="M26" s="57"/>
      <c r="N26" s="57"/>
      <c r="O26" s="57"/>
      <c r="P26" s="57"/>
      <c r="Q26" s="56" t="s">
        <v>75</v>
      </c>
      <c r="R26" s="56"/>
      <c r="S26" s="56"/>
      <c r="T26" s="56"/>
      <c r="U26" s="56"/>
      <c r="V26" s="56"/>
      <c r="W26" s="68"/>
      <c r="X26" s="56"/>
      <c r="Y26" s="59"/>
    </row>
    <row r="27" spans="1:25" ht="18.75" customHeight="1">
      <c r="A27" s="55"/>
      <c r="B27" s="56" t="s">
        <v>52</v>
      </c>
      <c r="C27" s="56">
        <v>30</v>
      </c>
      <c r="D27" s="56" t="s">
        <v>63</v>
      </c>
      <c r="E27" s="56" t="s">
        <v>54</v>
      </c>
      <c r="F27" s="56">
        <v>4702077438</v>
      </c>
      <c r="G27" s="56" t="s">
        <v>64</v>
      </c>
      <c r="H27" s="75">
        <v>712936018502</v>
      </c>
      <c r="I27" s="57">
        <v>300</v>
      </c>
      <c r="J27" s="57"/>
      <c r="K27" s="57"/>
      <c r="L27" s="57"/>
      <c r="M27" s="57"/>
      <c r="N27" s="57"/>
      <c r="O27" s="57">
        <v>126</v>
      </c>
      <c r="P27" s="57">
        <v>7</v>
      </c>
      <c r="Q27" s="58" t="s">
        <v>59</v>
      </c>
      <c r="R27" s="56"/>
      <c r="S27" s="56"/>
      <c r="T27" s="56"/>
      <c r="U27" s="56"/>
      <c r="V27" s="56"/>
      <c r="W27" s="68"/>
      <c r="X27" s="56"/>
      <c r="Y27" s="59"/>
    </row>
    <row r="28" spans="1:25" ht="18.75" customHeight="1" thickBot="1">
      <c r="A28" s="55"/>
      <c r="B28" s="56" t="s">
        <v>52</v>
      </c>
      <c r="C28" s="56">
        <v>10</v>
      </c>
      <c r="D28" s="56" t="s">
        <v>65</v>
      </c>
      <c r="E28" s="56" t="s">
        <v>54</v>
      </c>
      <c r="F28" s="56">
        <v>4702077439</v>
      </c>
      <c r="G28" s="56" t="s">
        <v>66</v>
      </c>
      <c r="H28" s="56" t="s">
        <v>67</v>
      </c>
      <c r="I28" s="57">
        <v>300</v>
      </c>
      <c r="J28" s="57"/>
      <c r="K28" s="57"/>
      <c r="L28" s="57"/>
      <c r="M28" s="57"/>
      <c r="N28" s="57"/>
      <c r="O28" s="57">
        <v>300</v>
      </c>
      <c r="P28" s="57">
        <v>20</v>
      </c>
      <c r="Q28" s="60" t="s">
        <v>76</v>
      </c>
      <c r="R28" s="56"/>
      <c r="S28" s="56"/>
      <c r="T28" s="56"/>
      <c r="U28" s="56"/>
      <c r="V28" s="56"/>
      <c r="W28" s="69"/>
      <c r="X28" s="56"/>
      <c r="Y28" s="59"/>
    </row>
    <row r="29" spans="1:25" ht="15" customHeight="1" thickBot="1">
      <c r="A29" s="35" t="s">
        <v>72</v>
      </c>
      <c r="B29" s="36"/>
      <c r="C29" s="36"/>
      <c r="D29" s="36"/>
      <c r="E29" s="36"/>
      <c r="F29" s="37"/>
      <c r="G29" s="37"/>
      <c r="H29" s="37"/>
      <c r="I29" s="38">
        <f>SUM(I25:I28)</f>
        <v>1200</v>
      </c>
      <c r="J29" s="38">
        <f t="shared" ref="J29:P29" si="5">SUM(J25:J28)</f>
        <v>0</v>
      </c>
      <c r="K29" s="38">
        <f t="shared" si="5"/>
        <v>0</v>
      </c>
      <c r="L29" s="38">
        <f t="shared" si="5"/>
        <v>0</v>
      </c>
      <c r="M29" s="38">
        <f t="shared" si="5"/>
        <v>0</v>
      </c>
      <c r="N29" s="38">
        <f t="shared" si="5"/>
        <v>0</v>
      </c>
      <c r="O29" s="38">
        <f t="shared" si="5"/>
        <v>552</v>
      </c>
      <c r="P29" s="38">
        <f t="shared" si="5"/>
        <v>34</v>
      </c>
      <c r="Q29" s="37"/>
      <c r="R29" s="37"/>
      <c r="S29" s="37"/>
      <c r="T29" s="37"/>
      <c r="U29" s="37"/>
      <c r="V29" s="37"/>
      <c r="W29" s="37"/>
      <c r="X29" s="37"/>
      <c r="Y29" s="39"/>
    </row>
    <row r="30" spans="1:25" ht="15" customHeight="1">
      <c r="A30" s="21"/>
      <c r="Y30" s="20"/>
    </row>
    <row r="31" spans="1:25" ht="22.5" customHeight="1">
      <c r="A31" s="83"/>
      <c r="B31" s="83"/>
      <c r="C31" s="83"/>
      <c r="D31" s="83"/>
      <c r="E31" s="83"/>
      <c r="F31" s="83"/>
      <c r="G31" s="31" t="s">
        <v>69</v>
      </c>
      <c r="H31" s="83"/>
      <c r="I31" s="30">
        <f>SUBTOTAL(9,I5:I8,I11:I13,I16,I19,I25:I28)</f>
        <v>9750</v>
      </c>
      <c r="J31" s="30">
        <f>SUBTOTAL(9,J5:J8,J11:J13,J16,J19,J25:J28)</f>
        <v>0</v>
      </c>
      <c r="K31" s="30">
        <f>SUBTOTAL(9,K5:K8,K11:K13,K16,K19,K25:K28)</f>
        <v>0</v>
      </c>
      <c r="L31" s="30">
        <f>SUBTOTAL(9,L5:L8,L11:L13,L16,L19,L25:L28)</f>
        <v>0</v>
      </c>
      <c r="M31" s="30">
        <f>SUBTOTAL(9,M5:M8,M11:M13,M16,M19,M25:M28)</f>
        <v>0</v>
      </c>
      <c r="N31" s="30">
        <f>SUBTOTAL(9,N5:N8,N11:N13,N16,N19,N25:N28)</f>
        <v>0</v>
      </c>
      <c r="O31" s="30">
        <f>SUBTOTAL(9,O5:O8,O11:O13,O16,O19,O25:O28)</f>
        <v>9314</v>
      </c>
      <c r="P31" s="30">
        <f>SUBTOTAL(9,P5:P8,P11:P13,P16,P19,P25:P28)</f>
        <v>543</v>
      </c>
      <c r="Q31" s="31"/>
      <c r="R31" s="31"/>
      <c r="S31" s="31"/>
      <c r="T31" s="31"/>
      <c r="U31" s="31"/>
      <c r="V31" s="31"/>
      <c r="W31" s="31"/>
      <c r="X31" s="31"/>
      <c r="Y31" s="31"/>
    </row>
  </sheetData>
  <mergeCells count="10">
    <mergeCell ref="A20:E20"/>
    <mergeCell ref="A29:E29"/>
    <mergeCell ref="W5:W8"/>
    <mergeCell ref="W11:W13"/>
    <mergeCell ref="W25:W28"/>
    <mergeCell ref="A1:Y1"/>
    <mergeCell ref="A2:Y2"/>
    <mergeCell ref="A9:E9"/>
    <mergeCell ref="A14:E14"/>
    <mergeCell ref="A17:E17"/>
  </mergeCells>
  <pageMargins left="0.7" right="0.7" top="0.75" bottom="0.75" header="0.3" footer="0.3"/>
  <pageSetup scale="52" orientation="landscape" r:id="rId1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CDD - 01.03.2026 </vt:lpstr>
      <vt:lpstr>Booking Dashboard</vt:lpstr>
      <vt:lpstr>'CDD - 01.03.2026 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Finishing DEO4</dc:creator>
  <cp:lastModifiedBy>Finishing DEO4</cp:lastModifiedBy>
  <cp:lastPrinted>2026-02-17T07:25:21Z</cp:lastPrinted>
  <dcterms:created xsi:type="dcterms:W3CDTF">2026-02-16T08:13:20Z</dcterms:created>
  <dcterms:modified xsi:type="dcterms:W3CDTF">2026-02-17T07:28:40Z</dcterms:modified>
</cp:coreProperties>
</file>