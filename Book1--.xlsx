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inishingDeo4\Desktop\Yash\"/>
    </mc:Choice>
  </mc:AlternateContent>
  <bookViews>
    <workbookView xWindow="0" yWindow="0" windowWidth="28800" windowHeight="12300"/>
  </bookViews>
  <sheets>
    <sheet name="Sheet3" sheetId="1" r:id="rId1"/>
  </sheets>
  <externalReferences>
    <externalReference r:id="rId2"/>
  </externalReferences>
  <definedNames>
    <definedName name="_152">#REF!</definedName>
    <definedName name="_35_3443">"$#REF!.$#REF!$#REF!"</definedName>
    <definedName name="_35_3443_2">"$#REF!.$#REF!$#REF!"</definedName>
    <definedName name="_35_3443_3">"$#REF!.$#REF!$#REF!"</definedName>
    <definedName name="_xlnm._FilterDatabase" localSheetId="0" hidden="1">Sheet3!$B$3:$P$209</definedName>
    <definedName name="arjunkumar">"$#REF!.$#REF!$#REF!"</definedName>
    <definedName name="arjunkumar_2">"$#REF!.$#REF!$#REF!"</definedName>
    <definedName name="arjunkumar_3">"$#REF!.$#REF!$#REF!"</definedName>
    <definedName name="Excel_BuiltIn__FilterDatabase_1">"$#REF!.$B$1:$BL$256"</definedName>
    <definedName name="Excel_BuiltIn__FilterDatabase_1_1">"$#REF!.$B$1:$BL$256"</definedName>
    <definedName name="Excel_BuiltIn__FilterDatabase_1_1_1">"$#REF!.$A$3:$AZ$211"</definedName>
    <definedName name="Excel_BuiltIn__FilterDatabase_1_1_1_1">"$#REF!.$A$3:$AZ$191"</definedName>
    <definedName name="Excel_BuiltIn__FilterDatabase_1_1_1_1_1">"$#REF!.$A$3:$AZ$210"</definedName>
    <definedName name="Excel_BuiltIn__FilterDatabase_1_1_1_1_1_1">"$#REF!.$A$3:$AZ$208"</definedName>
    <definedName name="Excel_BuiltIn__FilterDatabase_1_1_1_1_1_1_1">"$#REF!.$A$3:$AZ$208"</definedName>
    <definedName name="Excel_BuiltIn__FilterDatabase_1_1_1_1_1_1_1_1">"$#REF!.$A$3:$AZ$208"</definedName>
    <definedName name="Excel_BuiltIn__FilterDatabase_1_1_1_1_1_1_1_1_1">"$#REF!.$A$3:$AZ$211"</definedName>
    <definedName name="Excel_BuiltIn__FilterDatabase_1_1_1_1_1_1_1_1_1_1">"$#REF!.$A$3:$AZ$171"</definedName>
    <definedName name="Excel_BuiltIn__FilterDatabase_1_1_1_1_1_1_1_1_1_1_1">"$#REF!.$A$3:$AZ$206"</definedName>
    <definedName name="Excel_BuiltIn__FilterDatabase_1_1_1_1_1_1_1_1_1_1_1_1">"$#REF!.$A$3:$AZ$207"</definedName>
    <definedName name="Excel_BuiltIn__FilterDatabase_1_1_1_1_1_1_1_1_1_1_1_1_1">"$#REF!.$A$3:$AZ$192"</definedName>
    <definedName name="Excel_BuiltIn__FilterDatabase_1_1_1_1_1_1_1_1_1_1_1_1_1_1">"$#REF!.$A$3:$AZ$211"</definedName>
    <definedName name="Excel_BuiltIn__FilterDatabase_1_1_1_1_1_1_1_1_1_1_1_1_1_1_1">"$#REF!.$A$3:$AZ$187"</definedName>
    <definedName name="Excel_BuiltIn__FilterDatabase_1_1_1_1_1_1_1_1_1_1_1_1_1_1_1_1">"$#REF!.$A$3:$AZ$185"</definedName>
    <definedName name="Excel_BuiltIn__FilterDatabase_1_1_1_1_1_1_1_1_1_1_1_1_1_1_1_1_1">"$#REF!.$A$3:$AZ$156"</definedName>
    <definedName name="Excel_BuiltIn__FilterDatabase_1_1_1_1_1_1_1_1_1_1_1_1_1_1_1_1_1_1">"$#REF!.$A$3:$AZ$211"</definedName>
    <definedName name="Excel_BuiltIn__FilterDatabase_1_1_1_1_1_1_1_1_1_1_1_1_1_1_1_1_1_1_1">"$#REF!.$A$3:$AZ$157"</definedName>
    <definedName name="Excel_BuiltIn__FilterDatabase_1_1_1_1_1_1_1_1_1_1_1_1_1_1_1_1_1_1_1_1">"$#REF!.$A$3:$AZ$211"</definedName>
    <definedName name="Excel_BuiltIn__FilterDatabase_1_1_1_1_1_1_1_1_1_1_1_1_1_1_1_1_1_1_1_1_1">"$#REF!.$A$3:$AZ$212"</definedName>
    <definedName name="Excel_BuiltIn__FilterDatabase_1_1_1_1_1_1_1_1_1_1_1_1_1_1_1_1_1_1_1_1_1_1">"$#REF!.$A$3:$AZ$151"</definedName>
    <definedName name="Excel_BuiltIn__FilterDatabase_1_1_1_1_1_1_1_1_1_1_1_1_1_1_1_1_1_1_1_1_1_1_1">"$#REF!.$A$3:$AZ$157"</definedName>
    <definedName name="Excel_BuiltIn__FilterDatabase_1_1_1_1_1_1_1_1_1_1_1_1_1_1_1_1_1_1_1_1_1_1_1_1">"$#REF!.$A$3:$AZ$211"</definedName>
    <definedName name="Excel_BuiltIn__FilterDatabase_1_1_1_1_1_1_1_1_1_1_1_1_1_1_1_1_1_1_1_1_1_1_1_1_1">"$#REF!.$A$3:$AZ$212"</definedName>
    <definedName name="Excel_BuiltIn__FilterDatabase_1_1_1_1_1_1_1_1_1_1_1_1_1_1_1_1_1_1_1_1_1_1_1_1_1_1">"$#REF!.$A$3:$AZ$211"</definedName>
    <definedName name="Excel_BuiltIn__FilterDatabase_1_1_1_1_1_1_1_1_1_1_1_1_1_1_1_1_1_1_1_1_1_1_1_1_1_1_1">"$#REF!.$A$3:$AZ$157"</definedName>
    <definedName name="Excel_BuiltIn__FilterDatabase_1_1_1_1_1_1_1_1_1_1_1_1_1_1_1_1_1_1_1_1_1_1_1_1_1_1_1_1">"$#REF!.$A$3:$AZ$123"</definedName>
    <definedName name="Excel_BuiltIn__FilterDatabase_1_1_1_1_1_1_1_1_1_1_1_1_1_1_1_1_1_1_1_1_1_1_1_1_1_1_1_1_1">"$#REF!.$A$3:$AZ$212"</definedName>
    <definedName name="Excel_BuiltIn__FilterDatabase_1_1_1_1_1_1_1_1_1_1_1_1_1_1_1_1_1_1_1_1_1_1_1_1_1_1_1_1_1_1">"$#REF!.$A$3:$AZ$211"</definedName>
    <definedName name="Excel_BuiltIn__FilterDatabase_1_1_1_1_1_1_1_1_1_1_1_1_1_1_1_1_1_1_1_1_1_1_1_1_1_1_1_1_1_1_1">"$#REF!.$A$3:$AZ$211"</definedName>
    <definedName name="Excel_BuiltIn__FilterDatabase_1_1_1_1_1_1_1_1_1_1_1_1_1_1_1_1_1_1_1_1_1_1_1_1_1_1_1_1_1_1_1_1">"$#REF!.$A$3:$AZ$211"</definedName>
    <definedName name="Excel_BuiltIn__FilterDatabase_1_1_1_1_1_1_1_1_1_1_1_1_1_1_1_1_1_1_1_1_1_1_1_1_1_1_1_1_1_1_1_1_1">"$#REF!.$A$3:$AZ$117"</definedName>
    <definedName name="Excel_BuiltIn__FilterDatabase_1_1_1_1_1_1_1_1_1_1_1_1_1_1_1_1_1_1_1_1_1_1_1_1_1_1_1_1_1_1_1_1_1_1">"$#REF!.$A$3:$AZ$117"</definedName>
    <definedName name="Excel_BuiltIn__FilterDatabase_1_1_1_1_1_1_1_1_1_1_1_1_1_1_1_1_1_1_1_1_1_1_1_1_1_1_1_1_1_1_1_1_1_1_1">"$#REF!.$A$3:$AZ$117"</definedName>
    <definedName name="Excel_BuiltIn__FilterDatabase_1_1_1_1_1_1_1_1_1_1_1_1_1_1_1_1_1_1_1_1_1_1_1_1_1_1_1_1_1_1_1_1_1_1_1_1">"$#REF!.$A$3:$AZ$117"</definedName>
    <definedName name="Excel_BuiltIn__FilterDatabase_1_1_1_1_1_1_1_1_1_1_1_1_1_1_1_1_1_1_1_1_1_1_1_1_1_1_1_1_1_1_1_1_1_1_1_1_1">"$#REF!.$A$3:$AZ$212"</definedName>
    <definedName name="Excel_BuiltIn__FilterDatabase_1_1_1_1_1_1_1_1_1_1_1_1_1_1_1_1_1_1_1_1_1_1_1_1_1_1_1_1_1_1_1_1_1_1_1_1_1_1">"$#REF!.$A$3:$AZ$117"</definedName>
    <definedName name="Excel_BuiltIn__FilterDatabase_1_1_1_1_1_1_1_1_1_1_1_1_1_1_1_1_1_1_1_1_1_1_1_1_1_1_1_1_1_1_1_1_1_1_1_1_1_1_1">"$#REF!.$A$3:$AZ$117"</definedName>
    <definedName name="Excel_BuiltIn__FilterDatabase_1_1_1_1_1_1_1_1_1_1_1_1_1_1_1_1_1_1_1_1_1_1_1_1_1_1_1_1_1_1_1_1_1_1_1_1_1_1_1_1">"$#REF!.$A$3:$AZ$117"</definedName>
    <definedName name="Excel_BuiltIn__FilterDatabase_1_1_1_1_1_1_1_1_1_1_1_1_1_1_1_1_1_1_1_1_1_1_1_1_1_1_1_1_1_1_1_1_1_1_1_1_1_1_1_1_1">"$#REF!.$A$3:$AZ$117"</definedName>
    <definedName name="Excel_BuiltIn__FilterDatabase_1_1_1_1_1_1_1_1_1_1_1_1_1_1_1_1_1_1_1_1_1_1_1_1_1_1_1_1_1_1_1_1_1_1_1_1_1_1_1_1_1_1">"$#REF!.$A$3:$AZ$96"</definedName>
    <definedName name="Excel_BuiltIn__FilterDatabase_1_1_1_1_1_1_1_1_1_1_1_1_1_1_1_1_1_1_1_1_1_1_1_1_1_1_1_1_1_1_1_1_1_1_1_1_1_1_1_1_1_1_1">"$#REF!.$A$3:$AZ$117"</definedName>
    <definedName name="Excel_BuiltIn__FilterDatabase_1_1_1_1_1_1_1_1_1_1_1_1_1_1_1_1_1_1_1_1_1_1_1_1_1_1_1_1_1_1_1_1_1_1_1_1_1_1_1_1_1_1_1_1">"$#REF!.$A$3:$AZ$117"</definedName>
    <definedName name="Excel_BuiltIn__FilterDatabase_1_1_1_1_1_1_1_1_1_1_1_1_1_1_1_1_1_1_1_1_1_1_1_1_1_1_1_1_1_1_1_1_1_1_1_1_1_1_1_1_1_1_1_1_1">"$#REF!.$A$3:$AZ$117"</definedName>
    <definedName name="Excel_BuiltIn__FilterDatabase_1_1_1_1_1_1_1_1_1_1_1_1_1_1_1_1_1_1_1_1_1_1_1_1_1_1_1_1_1_1_1_1_1_1_1_1_1_1_1_1_1_1_1_1_1_1">"$#REF!.$A$3:$AZ$117"</definedName>
    <definedName name="Excel_BuiltIn__FilterDatabase_1_1_1_1_1_1_1_1_1_1_1_1_1_1_1_1_1_1_1_1_1_1_1_1_1_1_1_1_1_1_1_1_1_1_1_1_1_1_1_1_1_1_1_1_1_1_1">"$#REF!.$A$3:$AMJ$117"</definedName>
    <definedName name="Excel_BuiltIn__FilterDatabase_1_1_1_1_1_1_1_1_1_1_1_1_1_1_1_1_1_1_1_1_1_1_1_1_1_1_1_1_1_1_1_1_1_1_1_1_1_1_1_1_1_1_1_1_1_1_1_1">"$#REF!.$A$3:$AZ$96"</definedName>
    <definedName name="Excel_BuiltIn__FilterDatabase_1_1_1_1_1_1_1_1_1_1_1_1_1_1_1_1_1_1_1_1_1_1_1_1_1_1_1_1_1_1_1_1_1_1_1_1_1_1_1_1_1_1_1_1_1_1_1_1_1">"$#REF!.$A$3:$AZ$212"</definedName>
    <definedName name="Excel_BuiltIn__FilterDatabase_1_1_1_1_1_1_1_1_1_1_1_1_1_1_1_1_1_1_1_1_1_1_1_1_1_1_1_1_1_1_1_1_1_1_1_1_1_1_1_1_1_1_1_1_1_1_1_1_1_1">"$#REF!.$A$3:$AX$374"</definedName>
    <definedName name="Excel_BuiltIn__FilterDatabase_2">"$#REF!.$A$4:$IT$355"</definedName>
    <definedName name="Excel_BuiltIn__FilterDatabase_2_1">"$#REF!.$A$4:$IT$281"</definedName>
    <definedName name="Excel_BuiltIn__FilterDatabase_2_1_1">"$#REF!.$A$4:$IR$262"</definedName>
    <definedName name="Excel_BuiltIn__FilterDatabase_2_1_1_1">"$#REF!.$A$5:$IR$370"</definedName>
    <definedName name="Excel_BuiltIn__FilterDatabase_2_1_1_1_1">"$#REF!.$A$5:$IR$370"</definedName>
    <definedName name="Excel_BuiltIn__FilterDatabase_2_1_1_1_1_1">"$#REF!.$A$3:$AMJ$408"</definedName>
    <definedName name="Excel_BuiltIn__FilterDatabase_2_1_1_1_1_1_1">"$#REF!.$A$3:$AMJ$408"</definedName>
    <definedName name="Excel_BuiltIn__FilterDatabase_2_1_1_1_1_1_1_1">"$#REF!.$A$3:$AMJ$387"</definedName>
    <definedName name="Excel_BuiltIn__FilterDatabase_2_1_1_1_1_1_1_1_1">"$#REF!.$A$3:$AMJ$406"</definedName>
    <definedName name="Excel_BuiltIn__FilterDatabase_2_1_1_1_1_1_1_1_1_1">"$#REF!.$A$3:$AMJ$407"</definedName>
    <definedName name="Excel_BuiltIn__FilterDatabase_2_1_1_1_1_1_1_1_1_1_1">"$#REF!.$A$3:$AMJ$408"</definedName>
    <definedName name="Excel_BuiltIn__FilterDatabase_2_1_1_1_1_1_1_1_1_1_1_1">"$#REF!.$A$3:$AMJ$395"</definedName>
    <definedName name="Excel_BuiltIn__FilterDatabase_2_1_1_1_1_1_1_1_1_1_1_1_1">"$#REF!.$A$3:$AMJ$397"</definedName>
    <definedName name="Excel_BuiltIn__FilterDatabase_2_1_1_1_1_1_1_1_1_1_1_1_1_1">"$#REF!.$A$3:$AMJ$397"</definedName>
    <definedName name="Excel_BuiltIn__FilterDatabase_2_1_1_1_1_1_1_1_1_1_1_1_1_1_1">"$#REF!.$A$3:$AMJ$393"</definedName>
    <definedName name="Excel_BuiltIn__FilterDatabase_2_1_1_1_1_1_1_1_1_1_1_1_1_1_1_1">"$#REF!.$A$3:$AMJ$394"</definedName>
    <definedName name="Excel_BuiltIn__FilterDatabase_2_1_1_1_1_1_1_1_1_1_1_1_1_1_1_1_1">"$#REF!.$A$3:$AMJ$332"</definedName>
    <definedName name="Excel_BuiltIn__FilterDatabase_2_1_1_1_1_1_1_1_1_1_1_1_1_1_1_1_1_1">"$#REF!.$A$3:$AMJ$392"</definedName>
    <definedName name="Excel_BuiltIn__FilterDatabase_2_1_1_1_1_1_1_1_1_1_1_1_1_1_1_1_1_1_1">"$#REF!.$A$3:$AMJ$391"</definedName>
    <definedName name="Excel_BuiltIn__FilterDatabase_2_1_1_1_1_1_1_1_1_1_1_1_1_1_1_1_1_1_1_1">"$#REF!.$A$3:$AMJ$311"</definedName>
    <definedName name="Excel_BuiltIn__FilterDatabase_2_1_1_1_1_1_1_1_1_1_1_1_1_1_1_1_1_1_1_1_1">"$#REF!.$A$3:$AMJ$390"</definedName>
    <definedName name="Excel_BuiltIn__FilterDatabase_2_1_1_1_1_1_1_1_1_1_1_1_1_1_1_1_1_1_1_1_1_1">"$#REF!.$A$3:$AMJ$395"</definedName>
    <definedName name="Excel_BuiltIn__FilterDatabase_2_1_1_1_1_1_1_1_1_1_1_1_1_1_1_1_1_1_1_1_1_1_1">"$#REF!.$A$3:$AMJ$358"</definedName>
    <definedName name="Excel_BuiltIn__FilterDatabase_2_1_1_1_1_1_1_1_1_1_1_1_1_1_1_1_1_1_1_1_1_1_1_1">"$#REF!.$A$3:$AMJ$359"</definedName>
    <definedName name="Excel_BuiltIn__FilterDatabase_2_1_1_1_1_1_1_1_1_1_1_1_1_1_1_1_1_1_1_1_1_1_1_1_1">"$#REF!.$A$3:$AMJ$325"</definedName>
    <definedName name="Excel_BuiltIn__FilterDatabase_2_1_1_1_1_1_1_1_1_1_1_1_1_1_1_1_1_1_1_1_1_1_1_1_1_1">"$#REF!.$A$3:$AMJ$358"</definedName>
    <definedName name="Excel_BuiltIn__FilterDatabase_2_1_1_1_1_1_1_1_1_1_1_1_1_1_1_1_1_1_1_1_1_1_1_1_1_1_1">"$#REF!.$A$3:$AMJ$411"</definedName>
    <definedName name="Excel_BuiltIn__FilterDatabase_2_1_1_1_1_1_1_1_1_1_1_1_1_1_1_1_1_1_1_1_1_1_1_1_1_1_1_1">"$#REF!.$A$3:$AMJ$360"</definedName>
    <definedName name="Excel_BuiltIn__FilterDatabase_2_1_1_1_1_1_1_1_1_1_1_1_1_1_1_1_1_1_1_1_1_1_1_1_1_1_1_1_1">"$#REF!.$A$3:$AMJ$360"</definedName>
    <definedName name="Excel_BuiltIn__FilterDatabase_2_1_1_1_1_1_1_1_1_1_1_1_1_1_1_1_1_1_1_1_1_1_1_1_1_1_1_1_1_1">"$#REF!.$A$3:$AMJ$360"</definedName>
    <definedName name="Excel_BuiltIn__FilterDatabase_2_1_1_1_1_1_1_1_1_1_1_1_1_1_1_1_1_1_1_1_1_1_1_1_1_1_1_1_1_1_1">"$#REF!.$A$3:$AMJ$362"</definedName>
    <definedName name="Excel_BuiltIn__FilterDatabase_2_1_1_1_1_1_1_1_1_1_1_1_1_1_1_1_1_1_1_1_1_1_1_1_1_1_1_1_1_1_1_1">"$#REF!.$A$3:$AMJ$360"</definedName>
    <definedName name="Excel_BuiltIn__FilterDatabase_2_1_1_1_1_1_1_1_1_1_1_1_1_1_1_1_1_1_1_1_1_1_1_1_1_1_1_1_1_1_1_1_1">"$#REF!.$A$3:$AMJ$359"</definedName>
    <definedName name="Excel_BuiltIn__FilterDatabase_2_1_1_1_1_1_1_1_1_1_1_1_1_1_1_1_1_1_1_1_1_1_1_1_1_1_1_1_1_1_1_1_1_1">"$#REF!.$A$3:$AMJ$358"</definedName>
    <definedName name="Excel_BuiltIn__FilterDatabase_2_1_1_1_1_1_1_1_1_1_1_1_1_1_1_1_1_1_1_1_1_1_1_1_1_1_1_1_1_1_1_1_1_1_1">"$#REF!.$A$3:$AMJ$360"</definedName>
    <definedName name="Excel_BuiltIn__FilterDatabase_2_1_1_1_1_1_1_1_1_1_1_1_1_1_1_1_1_1_1_1_1_1_1_1_1_1_1_1_1_1_1_1_1_1_1_1">"$#REF!.$A$3:$AMJ$497"</definedName>
    <definedName name="Excel_BuiltIn__FilterDatabase_2_1_1_1_1_1_1_1_1_1_1_1_1_1_1_1_1_1_1_1_1_1_1_1_1_1_1_1_1_1_1_1_1_1_1_1_1">"$#REF!.$A$3:$AMJ$500"</definedName>
    <definedName name="Excel_BuiltIn__FilterDatabase_2_1_1_1_1_1_1_1_1_1_1_1_1_1_1_1_1_1_1_1_1_1_1_1_1_1_1_1_1_1_1_1_1_1_1_1_1_1">"$#REF!.$A$3:$AMJ$504"</definedName>
    <definedName name="Excel_BuiltIn__FilterDatabase_2_1_1_1_1_1_1_1_1_1_1_1_1_1_1_1_1_1_1_1_1_1_1_1_1_1_1_1_1_1_1_1_1_1_1_1_1_1_1">"$#REF!.$A$3:$AMJ$504"</definedName>
    <definedName name="Excel_BuiltIn__FilterDatabase_2_1_1_1_1_1_1_1_1_1_1_1_1_1_1_1_1_1_1_1_1_1_1_1_1_1_1_1_1_1_1_1_1_1_1_1_1_1_1_1">"$#REF!.$B$3:$BL$498"</definedName>
    <definedName name="Excel_BuiltIn__FilterDatabase_2_1_1_1_1_1_1_1_1_1_1_1_1_1_1_1_1_1_1_1_1_1_1_1_1_1_1_1_1_1_1_1_1_1_1_1_1_1_1_1_1">"$#REF!.$B$3:$BM$256"</definedName>
    <definedName name="Excel_BuiltIn__FilterDatabase_2_1_1_1_1_1_1_1_1_1_1_1_1_1_1_1_1_1_1_1_1_1_1_1_1_1_1_1_1_1_1_1_1_1_1_1_1_1_1_1_1_1">"$#REF!.$B$3:$BL$256"</definedName>
    <definedName name="Excel_BuiltIn__FilterDatabase_2_1_1_1_1_1_1_1_1_1_1_1_1_1_1_1_1_1_1_1_1_1_1_1_1_1_1_1_1_1_1_1_1_1_1_1_1_1_1_1_1_1_1">"$#REF!.$A$3:$AZ$197"</definedName>
    <definedName name="Excel_BuiltIn__FilterDatabase_2_1_1_1_1_1_1_1_1_1_1_1_1_1_1_1_1_1_1_1_1_1_1_1_1_1_1_1_1_1_1_1_1_1_1_1_1_1_1_1_1_1_1_1">"$#REF!.$A$3:$AZ$96"</definedName>
    <definedName name="Excel_BuiltIn__FilterDatabase_2_1_1_1_1_1_1_1_1_1_1_1_1_1_1_1_1_1_1_1_1_1_1_1_1_1_1_1_1_1_1_1_1_1_1_1_1_1_1_1_1_1_1_1_1">"$#REF!.$A$3:$AZ$212"</definedName>
    <definedName name="Excel_BuiltIn__FilterDatabase_2_1_1_1_1_1_1_1_1_1_1_1_1_1_1_1_1_1_1_1_1_1_1_1_1_1_1_1_1_1_1_1_1_1_1_1_1_1_1_1_1_1_1_1_1_1">"$#REF!.$A$3:$AX$371"</definedName>
    <definedName name="Excel_BuiltIn__FilterDatabase_3_1">"$#REF!.$A$3:$AZ$212"</definedName>
    <definedName name="Excel_BuiltIn__FilterDatabase_5">"$#REF!.$A$3:$AZ$117"</definedName>
    <definedName name="Excel_BuiltIn_Print_Area_1">"$#REF!.$A$1:$AZ$96"</definedName>
    <definedName name="Excel_BuiltIn_Print_Area_1_1">"$#REF!.$A$1:$BA$117"</definedName>
    <definedName name="gsf_5">#REF!</definedName>
    <definedName name="j">"$#REF!.$#REF!$#REF!"</definedName>
    <definedName name="j_2">"$#REF!.$#REF!$#REF!"</definedName>
    <definedName name="j_3">"$#REF!.$#REF!$#REF!"</definedName>
    <definedName name="kl">"$#REF!.$#REF!$#REF!"</definedName>
    <definedName name="kl_2">"$#REF!.$#REF!$#REF!"</definedName>
    <definedName name="kl_3">"$#REF!.$#REF!$#REF!"</definedName>
    <definedName name="m">"$#REF!.$#REF!$#REF!"</definedName>
    <definedName name="m_2">"$#REF!.$#REF!$#REF!"</definedName>
    <definedName name="m_3">"$#REF!.$#REF!$#REF!"</definedName>
    <definedName name="mm">#REF!</definedName>
    <definedName name="nike">#REF!</definedName>
    <definedName name="oiuk">#REF!</definedName>
    <definedName name="po">"$#REF!.$#REF!$#REF!"</definedName>
    <definedName name="po_2">"$#REF!.$#REF!$#REF!"</definedName>
    <definedName name="po_3">"$#REF!.$#REF!$#REF!"</definedName>
    <definedName name="prl">#REF!</definedName>
    <definedName name="SC">#REF!</definedName>
    <definedName name="SD">#REF!</definedName>
    <definedName name="t">#REF!</definedName>
    <definedName name="tomm2">#REF!</definedName>
    <definedName name="TOMMY">#REF!</definedName>
    <definedName name="TOMMY_HILFIGER_TAILORED_EUROPE">#REF!</definedName>
    <definedName name="tommy1">#REF!</definedName>
    <definedName name="tommy2">#REF!</definedName>
    <definedName name="yy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2" i="1" l="1"/>
  <c r="G242" i="1"/>
  <c r="F242" i="1"/>
  <c r="E242" i="1"/>
  <c r="I242" i="1" s="1"/>
  <c r="D242" i="1"/>
  <c r="C242" i="1"/>
  <c r="I241" i="1"/>
  <c r="I240" i="1"/>
  <c r="I239" i="1"/>
  <c r="I163" i="1"/>
  <c r="H163" i="1"/>
  <c r="G163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I95" i="1"/>
  <c r="K94" i="1"/>
  <c r="K93" i="1"/>
  <c r="K92" i="1"/>
  <c r="K90" i="1"/>
  <c r="K89" i="1"/>
  <c r="K88" i="1"/>
  <c r="K87" i="1"/>
  <c r="K86" i="1"/>
  <c r="K72" i="1"/>
  <c r="K71" i="1"/>
  <c r="K70" i="1"/>
  <c r="K69" i="1"/>
  <c r="K68" i="1"/>
  <c r="K67" i="1"/>
  <c r="K64" i="1"/>
  <c r="I2" i="1"/>
  <c r="H2" i="1"/>
  <c r="G2" i="1"/>
</calcChain>
</file>

<file path=xl/sharedStrings.xml><?xml version="1.0" encoding="utf-8"?>
<sst xmlns="http://schemas.openxmlformats.org/spreadsheetml/2006/main" count="851" uniqueCount="261">
  <si>
    <t>SG TOTAL</t>
  </si>
  <si>
    <t>CON</t>
  </si>
  <si>
    <t>PO</t>
  </si>
  <si>
    <t>COUNTRY</t>
  </si>
  <si>
    <t>MATERIAL ID</t>
  </si>
  <si>
    <t>COLOR</t>
  </si>
  <si>
    <t>O, QTY</t>
  </si>
  <si>
    <t>Scan qty</t>
  </si>
  <si>
    <t>CTNS</t>
  </si>
  <si>
    <t>CDD</t>
  </si>
  <si>
    <t>Ship %</t>
  </si>
  <si>
    <t>Status</t>
  </si>
  <si>
    <t>Dumping Details</t>
  </si>
  <si>
    <t>Remarks</t>
  </si>
  <si>
    <t>Sub Remarks</t>
  </si>
  <si>
    <t>Draft</t>
  </si>
  <si>
    <t>PRLS/25/10982</t>
  </si>
  <si>
    <t>KOREA</t>
  </si>
  <si>
    <t>6555B CABANA BLUE WHITE</t>
  </si>
  <si>
    <t>Shipped</t>
  </si>
  <si>
    <t>30th Nov CDD</t>
  </si>
  <si>
    <t>OCR Received -  2 pcs</t>
  </si>
  <si>
    <t>SENT</t>
  </si>
  <si>
    <t>JAPAN</t>
  </si>
  <si>
    <t>HK</t>
  </si>
  <si>
    <t>PRLS/25/10977, PRLS/25/12156</t>
  </si>
  <si>
    <t>POLO BLACK</t>
  </si>
  <si>
    <t>PRLS/25/10977</t>
  </si>
  <si>
    <t>PRLS/25/10989</t>
  </si>
  <si>
    <t>COOPER BROWN</t>
  </si>
  <si>
    <t>PRLS/25/11028</t>
  </si>
  <si>
    <t>5137A BLUE WHITE</t>
  </si>
  <si>
    <t>PRLS/25/10987</t>
  </si>
  <si>
    <t>710B16389001</t>
  </si>
  <si>
    <t>3334A BLUE/WHITE</t>
  </si>
  <si>
    <t>2068 - OCR Received</t>
  </si>
  <si>
    <t>PRLS/25/11972</t>
  </si>
  <si>
    <t>ITALY</t>
  </si>
  <si>
    <t>7188E COASTAL BEIGE WHITE</t>
  </si>
  <si>
    <t>OCR - Nagaraju - Revised Pending - 25 PCS Washing Balance</t>
  </si>
  <si>
    <t>PRLS/25/12031</t>
  </si>
  <si>
    <t>Short Shipment mail pending</t>
  </si>
  <si>
    <t>PRLS/25/11753</t>
  </si>
  <si>
    <t>PRLS/25/11970</t>
  </si>
  <si>
    <t>7188B BLUE WHITE</t>
  </si>
  <si>
    <t>OCR - Nagaraju - Revised Pending</t>
  </si>
  <si>
    <t>Short Shipment Mail Pending</t>
  </si>
  <si>
    <t>PRLS/25/10975, PRLS/25/12154</t>
  </si>
  <si>
    <t>LC/PRLS/25/12154.1 - 3 Size extra Cut in this Same, OC/ Marge / Scanning Start</t>
  </si>
  <si>
    <t>PRLS/25/10976</t>
  </si>
  <si>
    <t>CARMEL PINK</t>
  </si>
  <si>
    <t>PRLS/25/10986</t>
  </si>
  <si>
    <t>710B16388001</t>
  </si>
  <si>
    <t>594CBLUE/WHITE</t>
  </si>
  <si>
    <t>PRLS/25/11393</t>
  </si>
  <si>
    <t>SKY LAVENDER</t>
  </si>
  <si>
    <t>PRLS/25/11397</t>
  </si>
  <si>
    <t>OCR Received</t>
  </si>
  <si>
    <t>PRLS/25/11754</t>
  </si>
  <si>
    <t>PRLS/25/10983</t>
  </si>
  <si>
    <t>6555H COASTAL BEIGE WHITE</t>
  </si>
  <si>
    <t>PRLS/25/11394</t>
  </si>
  <si>
    <t>PRLS/25/11761</t>
  </si>
  <si>
    <t>US</t>
  </si>
  <si>
    <t>710P03855009</t>
  </si>
  <si>
    <t>7110A WHITE BRIGHT NAVY</t>
  </si>
  <si>
    <t>RL-Mexico</t>
  </si>
  <si>
    <t>PRLS/25/11751</t>
  </si>
  <si>
    <t>AUSTIN BLUE</t>
  </si>
  <si>
    <t>PRLS/25/12144, PRLS/25/11760</t>
  </si>
  <si>
    <t>710P03855008</t>
  </si>
  <si>
    <t>7109B BLUE GREEN MULTI</t>
  </si>
  <si>
    <t>PRLS/25/11971</t>
  </si>
  <si>
    <t>7188A WHITE BLUE</t>
  </si>
  <si>
    <t>PRLS/25/11762</t>
  </si>
  <si>
    <t>710P03855010</t>
  </si>
  <si>
    <t>7110B WHITE HARBOR ISLAND BLE</t>
  </si>
  <si>
    <t>PRLS/25/11759</t>
  </si>
  <si>
    <t>710P03855005</t>
  </si>
  <si>
    <t>7108A BLUE PINK MULTI</t>
  </si>
  <si>
    <t>Revised Mail</t>
  </si>
  <si>
    <t>PRLS/25/11980</t>
  </si>
  <si>
    <t>710B16705001</t>
  </si>
  <si>
    <t>7116B GREEN BLUE WHITE</t>
  </si>
  <si>
    <t>Sent</t>
  </si>
  <si>
    <t>PRLS/25/11973</t>
  </si>
  <si>
    <t>CANADA</t>
  </si>
  <si>
    <t>710B14228001</t>
  </si>
  <si>
    <t>PRLS/25/12035</t>
  </si>
  <si>
    <t>710P03854002</t>
  </si>
  <si>
    <t>BSR WHITE</t>
  </si>
  <si>
    <t>PRLS/25/11588</t>
  </si>
  <si>
    <t>710B14314001</t>
  </si>
  <si>
    <t>4596A BLUE WHITE MULTI</t>
  </si>
  <si>
    <t>PRLS/25/11404</t>
  </si>
  <si>
    <t>WHITE</t>
  </si>
  <si>
    <t>Short Shipment mail Sent</t>
  </si>
  <si>
    <t>PRLS/25/11822</t>
  </si>
  <si>
    <t>712B16811001</t>
  </si>
  <si>
    <t>7239 NAVY WHITE</t>
  </si>
  <si>
    <t>PRLS/25/11032</t>
  </si>
  <si>
    <t>5137B PINK/WHITE</t>
  </si>
  <si>
    <t>PRLS/25/11468</t>
  </si>
  <si>
    <t>PERFECT GREY</t>
  </si>
  <si>
    <t>Trims Not Avaliable - 3743</t>
  </si>
  <si>
    <t>KA51C3743 - Dumpped</t>
  </si>
  <si>
    <t>PRLS/25/10974</t>
  </si>
  <si>
    <t>Without trims Ready - 3743</t>
  </si>
  <si>
    <t>Without trims Ready - Excess qty PO Pending</t>
  </si>
  <si>
    <t>PRLS/25/11747</t>
  </si>
  <si>
    <t>PRLS/25/11823</t>
  </si>
  <si>
    <t>710B14295001</t>
  </si>
  <si>
    <t>7187 PURPLE BLUE MULTI</t>
  </si>
  <si>
    <t>PRLS/25/11750</t>
  </si>
  <si>
    <t>4702048433</t>
  </si>
  <si>
    <t>710968915504</t>
  </si>
  <si>
    <t>PRLS/25/11746</t>
  </si>
  <si>
    <t>ready to ship</t>
  </si>
  <si>
    <t>PRLS/25/11974</t>
  </si>
  <si>
    <t>710B14232001</t>
  </si>
  <si>
    <t>7169 BLUE GREEN MULTI</t>
  </si>
  <si>
    <t>PRLS/25/10827</t>
  </si>
  <si>
    <t>4701995835</t>
  </si>
  <si>
    <t>782P05364001</t>
  </si>
  <si>
    <t>BLUE/RED MULTI</t>
  </si>
  <si>
    <t>Under Finishing</t>
  </si>
  <si>
    <t>4701995834</t>
  </si>
  <si>
    <t>4701995832</t>
  </si>
  <si>
    <t>4701995836</t>
  </si>
  <si>
    <t>4701995837</t>
  </si>
  <si>
    <t>4701995833</t>
  </si>
  <si>
    <t>PRLS/25/10828</t>
  </si>
  <si>
    <t>4702002183</t>
  </si>
  <si>
    <t>782P05366001</t>
  </si>
  <si>
    <t>YELLOW MULTI</t>
  </si>
  <si>
    <t>4702002182</t>
  </si>
  <si>
    <t>4702002180</t>
  </si>
  <si>
    <t>4702002181</t>
  </si>
  <si>
    <t>4702002184</t>
  </si>
  <si>
    <t>4702002179</t>
  </si>
  <si>
    <t>4702032004</t>
  </si>
  <si>
    <t>PRLS/25/11975</t>
  </si>
  <si>
    <t>4702043044</t>
  </si>
  <si>
    <t>710B15594001</t>
  </si>
  <si>
    <t>5137H GARDEN TRAIL WHITE</t>
  </si>
  <si>
    <t>FI Going on -06th</t>
  </si>
  <si>
    <t>FI Pending</t>
  </si>
  <si>
    <t>PRLS/25/11981</t>
  </si>
  <si>
    <t>4702043050</t>
  </si>
  <si>
    <t>710B16705002</t>
  </si>
  <si>
    <t>7116A BLUE GREEN MULTI</t>
  </si>
  <si>
    <t>Under Cutting</t>
  </si>
  <si>
    <t>PRLS/25/12131</t>
  </si>
  <si>
    <t>4702043031</t>
  </si>
  <si>
    <t>710978098502</t>
  </si>
  <si>
    <t>PRLS/25/12132</t>
  </si>
  <si>
    <t>710978098503</t>
  </si>
  <si>
    <t>Under Sewing\washing</t>
  </si>
  <si>
    <t>FI Going on -08-12-2025</t>
  </si>
  <si>
    <t>Revised Mail sent On - 06th Nov</t>
  </si>
  <si>
    <t>PRLS/25/11976, PRLS/25/12091</t>
  </si>
  <si>
    <t>710B15594004</t>
  </si>
  <si>
    <t>Under Scaning</t>
  </si>
  <si>
    <t>Darft Mail Sent On - 07-11-2025 - Revised Mail Sent On - 11-11-2025</t>
  </si>
  <si>
    <t>PRLS/25/11979, PRLS/25/12093</t>
  </si>
  <si>
    <t>710B15594006</t>
  </si>
  <si>
    <t>PRLS/25/12094</t>
  </si>
  <si>
    <t>4702043042</t>
  </si>
  <si>
    <t>PRLS/25/11975, PRLS/25/12090</t>
  </si>
  <si>
    <t>4702043040</t>
  </si>
  <si>
    <t>PRLS/25/12130</t>
  </si>
  <si>
    <t>4702043030</t>
  </si>
  <si>
    <t>710978098501</t>
  </si>
  <si>
    <t>7188D LAVENDER WHITE</t>
  </si>
  <si>
    <t>4702043029</t>
  </si>
  <si>
    <t>4702043032</t>
  </si>
  <si>
    <t>PRLS/25/12133</t>
  </si>
  <si>
    <t>710978098505</t>
  </si>
  <si>
    <t>PRLS/25/12134</t>
  </si>
  <si>
    <t>710978098508</t>
  </si>
  <si>
    <t>7188G NEW CLASSIC NAVY WHITE</t>
  </si>
  <si>
    <t>PRLS/25/12139</t>
  </si>
  <si>
    <t>4702043041</t>
  </si>
  <si>
    <t>WIP Bundling</t>
  </si>
  <si>
    <t>PRLS/25/12140</t>
  </si>
  <si>
    <t>710B15594005</t>
  </si>
  <si>
    <t>PRLS/25/12141</t>
  </si>
  <si>
    <t>PRLS/25/12142</t>
  </si>
  <si>
    <t>4702043047</t>
  </si>
  <si>
    <t>PRLS/25/12334</t>
  </si>
  <si>
    <t>4702048642</t>
  </si>
  <si>
    <t>710B23578001</t>
  </si>
  <si>
    <t>5463 WHITE/YELLOW MULTI</t>
  </si>
  <si>
    <t>PRLS/25/12337</t>
  </si>
  <si>
    <t>4702048644</t>
  </si>
  <si>
    <t>711B23578001</t>
  </si>
  <si>
    <t xml:space="preserve">Lay Bal </t>
  </si>
  <si>
    <t>4702048645</t>
  </si>
  <si>
    <t>4702048641</t>
  </si>
  <si>
    <t>4702048643</t>
  </si>
  <si>
    <t>PRLS/25/12198</t>
  </si>
  <si>
    <t>4702049202</t>
  </si>
  <si>
    <t>710965825001</t>
  </si>
  <si>
    <t>6707A NAVY/GREEN MULTI</t>
  </si>
  <si>
    <t>PRLS/25/12199</t>
  </si>
  <si>
    <t>710965825002</t>
  </si>
  <si>
    <t>6707B RED/GREEN MULTI</t>
  </si>
  <si>
    <t>PRLS/25/12211</t>
  </si>
  <si>
    <t>4702053662</t>
  </si>
  <si>
    <t>710967632006</t>
  </si>
  <si>
    <t>PRLS/25/12326</t>
  </si>
  <si>
    <t>4702053675</t>
  </si>
  <si>
    <t>711967632004</t>
  </si>
  <si>
    <t>PRLS/25/12335</t>
  </si>
  <si>
    <t>710P07023004</t>
  </si>
  <si>
    <t>HARBOR ISLAND BLUE</t>
  </si>
  <si>
    <t>PRLS/25/12427</t>
  </si>
  <si>
    <t>PRLS/25/12332</t>
  </si>
  <si>
    <t>710B14296001</t>
  </si>
  <si>
    <t>SU58 OLIVE WINE</t>
  </si>
  <si>
    <t>PRLS/25/12089</t>
  </si>
  <si>
    <t>PRLS/25/12095</t>
  </si>
  <si>
    <t>PRLS/25/12096</t>
  </si>
  <si>
    <t>PRLS/25/12088</t>
  </si>
  <si>
    <t>PRLS/25/12135</t>
  </si>
  <si>
    <t>322A12756001</t>
  </si>
  <si>
    <t>#B7158 WHITE FADED BLUE MULTI</t>
  </si>
  <si>
    <t>PRLS/25/12136</t>
  </si>
  <si>
    <t>322A12756002</t>
  </si>
  <si>
    <t>#B4771 SEAFOAM PINK MULTI</t>
  </si>
  <si>
    <t>PRLS/25/12138</t>
  </si>
  <si>
    <t>323A12756002</t>
  </si>
  <si>
    <t>PRLS/25/12069</t>
  </si>
  <si>
    <t>WHITE (OXFORD)</t>
  </si>
  <si>
    <t>PRLS/25/12070</t>
  </si>
  <si>
    <t>1021P TRUE BLUE/WHITE</t>
  </si>
  <si>
    <t>PRLS/25/12808</t>
  </si>
  <si>
    <t>PRLS/25/11978, PRLS/25/12092</t>
  </si>
  <si>
    <t>TOTAL</t>
  </si>
  <si>
    <t>4901808087</t>
  </si>
  <si>
    <t>4901802940</t>
  </si>
  <si>
    <t>4901802972</t>
  </si>
  <si>
    <t>4901802973</t>
  </si>
  <si>
    <t>4901792671</t>
  </si>
  <si>
    <t>4901809685</t>
  </si>
  <si>
    <t>4901809768</t>
  </si>
  <si>
    <t>4901809788</t>
  </si>
  <si>
    <t>4901809791</t>
  </si>
  <si>
    <t>4901809792</t>
  </si>
  <si>
    <t>4901806226</t>
  </si>
  <si>
    <t>4901809812</t>
  </si>
  <si>
    <t>XS</t>
  </si>
  <si>
    <t>S</t>
  </si>
  <si>
    <t>M</t>
  </si>
  <si>
    <t>L</t>
  </si>
  <si>
    <t>XL</t>
  </si>
  <si>
    <t>XXL</t>
  </si>
  <si>
    <t>CUT</t>
  </si>
  <si>
    <t>Order qty</t>
  </si>
  <si>
    <t>Ship Qty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</si>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</sst>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family val="2"/>
      <scheme val="minor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b/>
      <sz val="8"/>
      <name val="Calibri"/>
      <family val="2"/>
    </font>
    <font>
      <sz val="8"/>
      <name val="Inherit"/>
    </font>
    <font>
      <sz val="8"/>
      <color rgb="FF000000"/>
      <name val="Calibri"/>
      <family val="2"/>
      <scheme val="minor"/>
    </font>
    <font>
      <b/>
      <sz val="8"/>
      <color indexed="10"/>
      <name val="Calibri"/>
      <family val="2"/>
    </font>
    <font>
      <b/>
      <sz val="8"/>
      <color rgb="FFFF0000"/>
      <name val="Calibri"/>
      <family val="2"/>
    </font>
    <font>
      <b/>
      <sz val="16"/>
      <color indexed="8"/>
      <name val="Calibri"/>
      <family val="2"/>
    </font>
    <font>
      <sz val="16"/>
      <color indexed="8"/>
      <name val="Calibri"/>
      <family val="2"/>
    </font>
    <font>
      <sz val="10"/>
      <name val="Calibri"/>
      <family val="2"/>
    </font>
    <font>
      <b/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6FF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3408001953185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2">
    <xf numFmtId="0" fontId="0" fillId="0" borderId="0" xfId="0"/>
    <xf numFmtId="0" fontId="1" fillId="0" borderId="0" xfId="0" applyNumberFormat="1" applyFont="1" applyFill="1" applyBorder="1" applyAlignment="1" applyProtection="1">
      <alignment horizontal="center"/>
    </xf>
    <xf numFmtId="1" fontId="1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/>
    </xf>
    <xf numFmtId="1" fontId="3" fillId="0" borderId="0" xfId="0" applyNumberFormat="1" applyFont="1" applyFill="1" applyBorder="1" applyAlignment="1" applyProtection="1">
      <alignment horizontal="center"/>
    </xf>
    <xf numFmtId="1" fontId="3" fillId="2" borderId="0" xfId="0" applyNumberFormat="1" applyFont="1" applyFill="1" applyBorder="1" applyAlignment="1" applyProtection="1">
      <alignment horizontal="center"/>
    </xf>
    <xf numFmtId="1" fontId="3" fillId="3" borderId="1" xfId="0" applyNumberFormat="1" applyFont="1" applyFill="1" applyBorder="1" applyAlignment="1" applyProtection="1">
      <alignment horizontal="center" vertical="center"/>
    </xf>
    <xf numFmtId="1" fontId="3" fillId="3" borderId="2" xfId="0" applyNumberFormat="1" applyFont="1" applyFill="1" applyBorder="1" applyAlignment="1" applyProtection="1">
      <alignment horizontal="center" vertical="center"/>
    </xf>
    <xf numFmtId="1" fontId="3" fillId="2" borderId="0" xfId="0" applyNumberFormat="1" applyFont="1" applyFill="1" applyBorder="1" applyAlignment="1" applyProtection="1">
      <alignment horizontal="center" vertical="center"/>
    </xf>
    <xf numFmtId="0" fontId="2" fillId="0" borderId="3" xfId="0" applyNumberFormat="1" applyFont="1" applyFill="1" applyBorder="1" applyAlignment="1" applyProtection="1">
      <alignment horizontal="center"/>
    </xf>
    <xf numFmtId="1" fontId="3" fillId="4" borderId="1" xfId="0" applyNumberFormat="1" applyFont="1" applyFill="1" applyBorder="1" applyAlignment="1" applyProtection="1">
      <alignment horizontal="center" vertical="center"/>
    </xf>
    <xf numFmtId="1" fontId="3" fillId="4" borderId="2" xfId="0" applyNumberFormat="1" applyFont="1" applyFill="1" applyBorder="1" applyAlignment="1" applyProtection="1">
      <alignment horizontal="center" vertical="center"/>
    </xf>
    <xf numFmtId="1" fontId="3" fillId="4" borderId="4" xfId="0" applyNumberFormat="1" applyFont="1" applyFill="1" applyBorder="1" applyAlignment="1" applyProtection="1">
      <alignment horizontal="center" vertical="center"/>
    </xf>
    <xf numFmtId="0" fontId="2" fillId="0" borderId="5" xfId="0" applyNumberFormat="1" applyFont="1" applyFill="1" applyBorder="1" applyAlignment="1" applyProtection="1">
      <alignment horizontal="center"/>
    </xf>
    <xf numFmtId="1" fontId="2" fillId="5" borderId="6" xfId="0" applyNumberFormat="1" applyFont="1" applyFill="1" applyBorder="1" applyAlignment="1" applyProtection="1">
      <alignment horizontal="center" vertical="center"/>
    </xf>
    <xf numFmtId="1" fontId="2" fillId="5" borderId="7" xfId="0" applyNumberFormat="1" applyFont="1" applyFill="1" applyBorder="1" applyAlignment="1" applyProtection="1">
      <alignment horizontal="center" vertical="center"/>
    </xf>
    <xf numFmtId="15" fontId="2" fillId="5" borderId="7" xfId="0" applyNumberFormat="1" applyFont="1" applyFill="1" applyBorder="1" applyAlignment="1" applyProtection="1">
      <alignment horizontal="center" vertical="center"/>
    </xf>
    <xf numFmtId="9" fontId="2" fillId="5" borderId="7" xfId="0" applyNumberFormat="1" applyFont="1" applyFill="1" applyBorder="1" applyAlignment="1" applyProtection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2" fillId="5" borderId="8" xfId="0" applyNumberFormat="1" applyFont="1" applyFill="1" applyBorder="1" applyAlignment="1" applyProtection="1">
      <alignment horizontal="center" vertical="center"/>
    </xf>
    <xf numFmtId="0" fontId="2" fillId="0" borderId="9" xfId="0" applyNumberFormat="1" applyFont="1" applyFill="1" applyBorder="1" applyAlignment="1" applyProtection="1"/>
    <xf numFmtId="1" fontId="2" fillId="5" borderId="10" xfId="0" applyNumberFormat="1" applyFont="1" applyFill="1" applyBorder="1" applyAlignment="1" applyProtection="1">
      <alignment horizontal="center"/>
    </xf>
    <xf numFmtId="1" fontId="3" fillId="5" borderId="11" xfId="0" applyNumberFormat="1" applyFont="1" applyFill="1" applyBorder="1" applyAlignment="1" applyProtection="1">
      <alignment horizontal="center"/>
    </xf>
    <xf numFmtId="1" fontId="2" fillId="5" borderId="11" xfId="0" applyNumberFormat="1" applyFont="1" applyFill="1" applyBorder="1" applyAlignment="1" applyProtection="1">
      <alignment horizontal="center"/>
    </xf>
    <xf numFmtId="15" fontId="2" fillId="5" borderId="11" xfId="0" applyNumberFormat="1" applyFont="1" applyFill="1" applyBorder="1" applyAlignment="1" applyProtection="1">
      <alignment horizontal="center" vertical="center"/>
    </xf>
    <xf numFmtId="9" fontId="2" fillId="5" borderId="11" xfId="0" applyNumberFormat="1" applyFont="1" applyFill="1" applyBorder="1" applyAlignment="1" applyProtection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2" fillId="5" borderId="12" xfId="0" applyNumberFormat="1" applyFont="1" applyFill="1" applyBorder="1" applyAlignment="1" applyProtection="1"/>
    <xf numFmtId="0" fontId="2" fillId="0" borderId="9" xfId="0" applyNumberFormat="1" applyFont="1" applyFill="1" applyBorder="1" applyAlignment="1" applyProtection="1">
      <alignment horizontal="center"/>
    </xf>
    <xf numFmtId="0" fontId="2" fillId="5" borderId="12" xfId="0" applyNumberFormat="1" applyFont="1" applyFill="1" applyBorder="1" applyAlignment="1" applyProtection="1">
      <alignment horizontal="center"/>
    </xf>
    <xf numFmtId="1" fontId="2" fillId="5" borderId="10" xfId="0" applyNumberFormat="1" applyFont="1" applyFill="1" applyBorder="1" applyAlignment="1" applyProtection="1">
      <alignment horizontal="center" vertical="center"/>
    </xf>
    <xf numFmtId="1" fontId="6" fillId="5" borderId="11" xfId="0" applyNumberFormat="1" applyFont="1" applyFill="1" applyBorder="1" applyAlignment="1" applyProtection="1">
      <alignment horizontal="center" vertical="center"/>
    </xf>
    <xf numFmtId="1" fontId="2" fillId="5" borderId="11" xfId="0" applyNumberFormat="1" applyFont="1" applyFill="1" applyBorder="1" applyAlignment="1" applyProtection="1">
      <alignment horizontal="center" vertical="center"/>
    </xf>
    <xf numFmtId="0" fontId="2" fillId="5" borderId="12" xfId="0" applyNumberFormat="1" applyFont="1" applyFill="1" applyBorder="1" applyAlignment="1" applyProtection="1">
      <alignment vertical="center"/>
    </xf>
    <xf numFmtId="1" fontId="3" fillId="5" borderId="10" xfId="0" applyNumberFormat="1" applyFont="1" applyFill="1" applyBorder="1" applyAlignment="1" applyProtection="1">
      <alignment horizontal="center"/>
    </xf>
    <xf numFmtId="1" fontId="6" fillId="5" borderId="11" xfId="0" applyNumberFormat="1" applyFont="1" applyFill="1" applyBorder="1" applyAlignment="1" applyProtection="1">
      <alignment horizontal="center"/>
    </xf>
    <xf numFmtId="0" fontId="2" fillId="5" borderId="12" xfId="0" applyNumberFormat="1" applyFont="1" applyFill="1" applyBorder="1" applyAlignment="1" applyProtection="1">
      <alignment horizontal="center" vertical="center"/>
    </xf>
    <xf numFmtId="1" fontId="3" fillId="5" borderId="10" xfId="0" applyNumberFormat="1" applyFont="1" applyFill="1" applyBorder="1" applyAlignment="1" applyProtection="1">
      <alignment horizontal="center" vertical="center"/>
    </xf>
    <xf numFmtId="1" fontId="2" fillId="5" borderId="11" xfId="0" applyNumberFormat="1" applyFont="1" applyFill="1" applyBorder="1" applyAlignment="1" applyProtection="1">
      <alignment vertical="center"/>
    </xf>
    <xf numFmtId="1" fontId="3" fillId="5" borderId="11" xfId="0" applyNumberFormat="1" applyFont="1" applyFill="1" applyBorder="1" applyAlignment="1" applyProtection="1">
      <alignment horizontal="center" vertical="center"/>
    </xf>
    <xf numFmtId="15" fontId="3" fillId="5" borderId="11" xfId="0" applyNumberFormat="1" applyFont="1" applyFill="1" applyBorder="1" applyAlignment="1" applyProtection="1">
      <alignment horizontal="center" vertical="center"/>
    </xf>
    <xf numFmtId="9" fontId="3" fillId="5" borderId="11" xfId="0" applyNumberFormat="1" applyFont="1" applyFill="1" applyBorder="1" applyAlignment="1" applyProtection="1">
      <alignment horizontal="center" vertical="center"/>
    </xf>
    <xf numFmtId="9" fontId="2" fillId="5" borderId="12" xfId="0" applyNumberFormat="1" applyFont="1" applyFill="1" applyBorder="1" applyAlignment="1" applyProtection="1">
      <alignment horizontal="center" vertical="center"/>
    </xf>
    <xf numFmtId="0" fontId="6" fillId="5" borderId="12" xfId="0" applyNumberFormat="1" applyFont="1" applyFill="1" applyBorder="1" applyAlignment="1" applyProtection="1">
      <alignment horizontal="center" vertical="center"/>
    </xf>
    <xf numFmtId="0" fontId="2" fillId="0" borderId="13" xfId="0" applyNumberFormat="1" applyFont="1" applyFill="1" applyBorder="1" applyAlignment="1" applyProtection="1">
      <alignment horizontal="center"/>
    </xf>
    <xf numFmtId="14" fontId="2" fillId="0" borderId="9" xfId="0" applyNumberFormat="1" applyFont="1" applyFill="1" applyBorder="1" applyAlignment="1" applyProtection="1">
      <alignment horizontal="center"/>
    </xf>
    <xf numFmtId="0" fontId="3" fillId="5" borderId="11" xfId="0" applyNumberFormat="1" applyFont="1" applyFill="1" applyBorder="1" applyAlignment="1" applyProtection="1">
      <alignment horizontal="center" vertical="center"/>
    </xf>
    <xf numFmtId="0" fontId="2" fillId="5" borderId="11" xfId="0" applyNumberFormat="1" applyFont="1" applyFill="1" applyBorder="1" applyAlignment="1" applyProtection="1">
      <alignment horizontal="center" vertical="center"/>
    </xf>
    <xf numFmtId="14" fontId="2" fillId="0" borderId="5" xfId="0" applyNumberFormat="1" applyFont="1" applyFill="1" applyBorder="1" applyAlignment="1" applyProtection="1">
      <alignment horizontal="center"/>
    </xf>
    <xf numFmtId="0" fontId="3" fillId="5" borderId="11" xfId="0" applyNumberFormat="1" applyFont="1" applyFill="1" applyBorder="1" applyAlignment="1" applyProtection="1">
      <alignment horizontal="center"/>
    </xf>
    <xf numFmtId="0" fontId="3" fillId="5" borderId="11" xfId="0" applyFont="1" applyFill="1" applyBorder="1" applyAlignment="1" applyProtection="1">
      <alignment horizontal="center"/>
    </xf>
    <xf numFmtId="0" fontId="3" fillId="5" borderId="12" xfId="0" applyNumberFormat="1" applyFont="1" applyFill="1" applyBorder="1" applyAlignment="1" applyProtection="1">
      <alignment horizontal="center"/>
    </xf>
    <xf numFmtId="1" fontId="6" fillId="0" borderId="10" xfId="0" applyNumberFormat="1" applyFont="1" applyFill="1" applyBorder="1" applyAlignment="1" applyProtection="1">
      <alignment horizontal="center"/>
    </xf>
    <xf numFmtId="1" fontId="6" fillId="0" borderId="11" xfId="0" applyNumberFormat="1" applyFont="1" applyFill="1" applyBorder="1" applyAlignment="1" applyProtection="1">
      <alignment horizontal="center"/>
    </xf>
    <xf numFmtId="15" fontId="6" fillId="0" borderId="11" xfId="0" applyNumberFormat="1" applyFont="1" applyFill="1" applyBorder="1" applyAlignment="1" applyProtection="1">
      <alignment horizontal="center" vertical="center"/>
    </xf>
    <xf numFmtId="1" fontId="6" fillId="0" borderId="11" xfId="0" applyNumberFormat="1" applyFont="1" applyFill="1" applyBorder="1" applyAlignment="1" applyProtection="1">
      <alignment horizontal="center" vertical="center"/>
    </xf>
    <xf numFmtId="1" fontId="2" fillId="0" borderId="11" xfId="0" applyNumberFormat="1" applyFont="1" applyFill="1" applyBorder="1" applyAlignment="1" applyProtection="1">
      <alignment horizontal="center" vertical="center"/>
    </xf>
    <xf numFmtId="0" fontId="2" fillId="0" borderId="12" xfId="0" applyNumberFormat="1" applyFont="1" applyFill="1" applyBorder="1" applyAlignment="1" applyProtection="1">
      <alignment horizontal="center"/>
    </xf>
    <xf numFmtId="1" fontId="7" fillId="0" borderId="1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/>
    <xf numFmtId="15" fontId="2" fillId="0" borderId="11" xfId="0" applyNumberFormat="1" applyFont="1" applyFill="1" applyBorder="1" applyAlignment="1" applyProtection="1">
      <alignment horizontal="center" vertical="center"/>
    </xf>
    <xf numFmtId="1" fontId="1" fillId="0" borderId="11" xfId="0" applyNumberFormat="1" applyFont="1" applyFill="1" applyBorder="1" applyAlignment="1" applyProtection="1">
      <alignment horizontal="center"/>
    </xf>
    <xf numFmtId="0" fontId="1" fillId="0" borderId="12" xfId="0" applyNumberFormat="1" applyFont="1" applyFill="1" applyBorder="1" applyAlignment="1" applyProtection="1">
      <alignment horizontal="center"/>
    </xf>
    <xf numFmtId="1" fontId="1" fillId="5" borderId="11" xfId="0" applyNumberFormat="1" applyFont="1" applyFill="1" applyBorder="1" applyAlignment="1" applyProtection="1">
      <alignment horizontal="center"/>
    </xf>
    <xf numFmtId="0" fontId="1" fillId="5" borderId="12" xfId="0" applyNumberFormat="1" applyFont="1" applyFill="1" applyBorder="1" applyAlignment="1" applyProtection="1">
      <alignment horizontal="center"/>
    </xf>
    <xf numFmtId="1" fontId="2" fillId="6" borderId="10" xfId="0" applyNumberFormat="1" applyFont="1" applyFill="1" applyBorder="1" applyAlignment="1" applyProtection="1">
      <alignment horizontal="center"/>
    </xf>
    <xf numFmtId="1" fontId="2" fillId="6" borderId="11" xfId="0" applyNumberFormat="1" applyFont="1" applyFill="1" applyBorder="1" applyAlignment="1" applyProtection="1">
      <alignment horizontal="center"/>
    </xf>
    <xf numFmtId="1" fontId="3" fillId="6" borderId="11" xfId="0" applyNumberFormat="1" applyFont="1" applyFill="1" applyBorder="1" applyAlignment="1" applyProtection="1">
      <alignment horizontal="center"/>
    </xf>
    <xf numFmtId="15" fontId="2" fillId="6" borderId="11" xfId="0" applyNumberFormat="1" applyFont="1" applyFill="1" applyBorder="1" applyAlignment="1" applyProtection="1">
      <alignment horizontal="center" vertical="center"/>
    </xf>
    <xf numFmtId="9" fontId="2" fillId="6" borderId="11" xfId="0" applyNumberFormat="1" applyFont="1" applyFill="1" applyBorder="1" applyAlignment="1" applyProtection="1">
      <alignment horizontal="center" vertical="center"/>
    </xf>
    <xf numFmtId="1" fontId="2" fillId="0" borderId="10" xfId="0" applyNumberFormat="1" applyFont="1" applyFill="1" applyBorder="1" applyAlignment="1" applyProtection="1">
      <alignment horizontal="center"/>
    </xf>
    <xf numFmtId="1" fontId="2" fillId="0" borderId="11" xfId="0" applyNumberFormat="1" applyFont="1" applyFill="1" applyBorder="1" applyAlignment="1" applyProtection="1">
      <alignment horizontal="center"/>
    </xf>
    <xf numFmtId="9" fontId="2" fillId="0" borderId="11" xfId="0" applyNumberFormat="1" applyFont="1" applyFill="1" applyBorder="1" applyAlignment="1" applyProtection="1">
      <alignment horizontal="center" vertical="center"/>
    </xf>
    <xf numFmtId="1" fontId="2" fillId="7" borderId="10" xfId="0" applyNumberFormat="1" applyFont="1" applyFill="1" applyBorder="1" applyAlignment="1" applyProtection="1">
      <alignment horizontal="center"/>
    </xf>
    <xf numFmtId="1" fontId="2" fillId="7" borderId="11" xfId="0" applyNumberFormat="1" applyFont="1" applyFill="1" applyBorder="1" applyAlignment="1" applyProtection="1">
      <alignment horizontal="center"/>
    </xf>
    <xf numFmtId="15" fontId="2" fillId="7" borderId="11" xfId="0" applyNumberFormat="1" applyFont="1" applyFill="1" applyBorder="1" applyAlignment="1" applyProtection="1">
      <alignment horizontal="center" vertical="center"/>
    </xf>
    <xf numFmtId="9" fontId="2" fillId="7" borderId="11" xfId="0" applyNumberFormat="1" applyFont="1" applyFill="1" applyBorder="1" applyAlignment="1" applyProtection="1">
      <alignment horizontal="center" vertical="center"/>
    </xf>
    <xf numFmtId="1" fontId="3" fillId="7" borderId="11" xfId="0" applyNumberFormat="1" applyFont="1" applyFill="1" applyBorder="1" applyAlignment="1" applyProtection="1">
      <alignment horizontal="center"/>
    </xf>
    <xf numFmtId="1" fontId="2" fillId="8" borderId="10" xfId="0" applyNumberFormat="1" applyFont="1" applyFill="1" applyBorder="1" applyAlignment="1" applyProtection="1">
      <alignment horizontal="center"/>
    </xf>
    <xf numFmtId="1" fontId="2" fillId="8" borderId="11" xfId="0" applyNumberFormat="1" applyFont="1" applyFill="1" applyBorder="1" applyAlignment="1" applyProtection="1">
      <alignment horizontal="center"/>
    </xf>
    <xf numFmtId="15" fontId="2" fillId="8" borderId="11" xfId="0" applyNumberFormat="1" applyFont="1" applyFill="1" applyBorder="1" applyAlignment="1" applyProtection="1">
      <alignment horizontal="center" vertical="center"/>
    </xf>
    <xf numFmtId="9" fontId="2" fillId="8" borderId="11" xfId="0" applyNumberFormat="1" applyFont="1" applyFill="1" applyBorder="1" applyAlignment="1" applyProtection="1">
      <alignment horizontal="center" vertical="center"/>
    </xf>
    <xf numFmtId="1" fontId="3" fillId="0" borderId="11" xfId="0" applyNumberFormat="1" applyFont="1" applyFill="1" applyBorder="1" applyAlignment="1" applyProtection="1">
      <alignment horizontal="center"/>
    </xf>
    <xf numFmtId="1" fontId="3" fillId="0" borderId="11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1" fontId="3" fillId="9" borderId="10" xfId="0" applyNumberFormat="1" applyFont="1" applyFill="1" applyBorder="1" applyAlignment="1" applyProtection="1">
      <alignment horizontal="center"/>
    </xf>
    <xf numFmtId="1" fontId="3" fillId="9" borderId="11" xfId="0" applyNumberFormat="1" applyFont="1" applyFill="1" applyBorder="1" applyAlignment="1" applyProtection="1">
      <alignment horizontal="center"/>
    </xf>
    <xf numFmtId="15" fontId="3" fillId="9" borderId="11" xfId="0" applyNumberFormat="1" applyFont="1" applyFill="1" applyBorder="1" applyAlignment="1" applyProtection="1">
      <alignment horizontal="center" vertical="center"/>
    </xf>
    <xf numFmtId="9" fontId="3" fillId="9" borderId="11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center"/>
    </xf>
    <xf numFmtId="0" fontId="2" fillId="0" borderId="12" xfId="0" applyNumberFormat="1" applyFont="1" applyFill="1" applyBorder="1" applyAlignment="1" applyProtection="1"/>
    <xf numFmtId="1" fontId="3" fillId="0" borderId="11" xfId="0" applyNumberFormat="1" applyFont="1" applyFill="1" applyBorder="1" applyAlignment="1" applyProtection="1">
      <alignment horizontal="right" vertical="center"/>
    </xf>
    <xf numFmtId="1" fontId="3" fillId="10" borderId="10" xfId="0" applyNumberFormat="1" applyFont="1" applyFill="1" applyBorder="1" applyAlignment="1" applyProtection="1">
      <alignment horizontal="center"/>
    </xf>
    <xf numFmtId="1" fontId="3" fillId="7" borderId="10" xfId="0" applyNumberFormat="1" applyFont="1" applyFill="1" applyBorder="1" applyAlignment="1" applyProtection="1">
      <alignment horizontal="center"/>
    </xf>
    <xf numFmtId="15" fontId="3" fillId="7" borderId="11" xfId="0" applyNumberFormat="1" applyFont="1" applyFill="1" applyBorder="1" applyAlignment="1" applyProtection="1">
      <alignment horizontal="center" vertical="center"/>
    </xf>
    <xf numFmtId="9" fontId="3" fillId="7" borderId="11" xfId="0" applyNumberFormat="1" applyFont="1" applyFill="1" applyBorder="1" applyAlignment="1" applyProtection="1">
      <alignment horizontal="center" vertical="center"/>
    </xf>
    <xf numFmtId="1" fontId="2" fillId="9" borderId="10" xfId="0" applyNumberFormat="1" applyFont="1" applyFill="1" applyBorder="1" applyAlignment="1" applyProtection="1">
      <alignment horizontal="center"/>
    </xf>
    <xf numFmtId="1" fontId="2" fillId="9" borderId="11" xfId="0" applyNumberFormat="1" applyFont="1" applyFill="1" applyBorder="1" applyAlignment="1" applyProtection="1">
      <alignment horizontal="center"/>
    </xf>
    <xf numFmtId="15" fontId="2" fillId="9" borderId="11" xfId="0" applyNumberFormat="1" applyFont="1" applyFill="1" applyBorder="1" applyAlignment="1" applyProtection="1">
      <alignment horizontal="center" vertical="center"/>
    </xf>
    <xf numFmtId="9" fontId="2" fillId="9" borderId="11" xfId="0" applyNumberFormat="1" applyFont="1" applyFill="1" applyBorder="1" applyAlignment="1" applyProtection="1">
      <alignment horizontal="center" vertical="center"/>
    </xf>
    <xf numFmtId="0" fontId="2" fillId="7" borderId="10" xfId="0" applyNumberFormat="1" applyFont="1" applyFill="1" applyBorder="1" applyAlignment="1" applyProtection="1">
      <alignment horizontal="center"/>
    </xf>
    <xf numFmtId="0" fontId="2" fillId="7" borderId="11" xfId="0" applyNumberFormat="1" applyFont="1" applyFill="1" applyBorder="1" applyAlignment="1" applyProtection="1">
      <alignment horizontal="center"/>
    </xf>
    <xf numFmtId="0" fontId="2" fillId="5" borderId="10" xfId="0" applyNumberFormat="1" applyFont="1" applyFill="1" applyBorder="1" applyAlignment="1" applyProtection="1">
      <alignment horizontal="center"/>
    </xf>
    <xf numFmtId="0" fontId="2" fillId="5" borderId="11" xfId="0" applyNumberFormat="1" applyFont="1" applyFill="1" applyBorder="1" applyAlignment="1" applyProtection="1">
      <alignment horizontal="center"/>
    </xf>
    <xf numFmtId="14" fontId="2" fillId="10" borderId="9" xfId="0" applyNumberFormat="1" applyFont="1" applyFill="1" applyBorder="1" applyAlignment="1" applyProtection="1">
      <alignment horizontal="center"/>
    </xf>
    <xf numFmtId="15" fontId="2" fillId="10" borderId="11" xfId="0" applyNumberFormat="1" applyFont="1" applyFill="1" applyBorder="1" applyAlignment="1" applyProtection="1">
      <alignment horizontal="center" vertical="center"/>
    </xf>
    <xf numFmtId="1" fontId="1" fillId="10" borderId="11" xfId="0" applyNumberFormat="1" applyFont="1" applyFill="1" applyBorder="1" applyAlignment="1" applyProtection="1">
      <alignment horizontal="center"/>
    </xf>
    <xf numFmtId="0" fontId="1" fillId="10" borderId="12" xfId="0" applyNumberFormat="1" applyFont="1" applyFill="1" applyBorder="1" applyAlignment="1" applyProtection="1">
      <alignment horizontal="center"/>
    </xf>
    <xf numFmtId="0" fontId="1" fillId="10" borderId="0" xfId="0" applyNumberFormat="1" applyFont="1" applyFill="1" applyBorder="1" applyAlignment="1" applyProtection="1">
      <alignment horizontal="center"/>
    </xf>
    <xf numFmtId="0" fontId="2" fillId="0" borderId="10" xfId="0" applyNumberFormat="1" applyFont="1" applyFill="1" applyBorder="1" applyAlignment="1" applyProtection="1">
      <alignment horizontal="center"/>
    </xf>
    <xf numFmtId="0" fontId="2" fillId="0" borderId="11" xfId="0" applyNumberFormat="1" applyFont="1" applyFill="1" applyBorder="1" applyAlignment="1" applyProtection="1">
      <alignment horizontal="center"/>
    </xf>
    <xf numFmtId="0" fontId="2" fillId="8" borderId="10" xfId="0" applyNumberFormat="1" applyFont="1" applyFill="1" applyBorder="1" applyAlignment="1" applyProtection="1">
      <alignment horizontal="center"/>
    </xf>
    <xf numFmtId="0" fontId="2" fillId="8" borderId="11" xfId="0" applyNumberFormat="1" applyFont="1" applyFill="1" applyBorder="1" applyAlignment="1" applyProtection="1">
      <alignment horizontal="center"/>
    </xf>
    <xf numFmtId="1" fontId="2" fillId="0" borderId="14" xfId="0" applyNumberFormat="1" applyFont="1" applyFill="1" applyBorder="1" applyAlignment="1" applyProtection="1">
      <alignment horizontal="center"/>
    </xf>
    <xf numFmtId="1" fontId="2" fillId="0" borderId="15" xfId="0" applyNumberFormat="1" applyFont="1" applyFill="1" applyBorder="1" applyAlignment="1" applyProtection="1">
      <alignment horizontal="center"/>
    </xf>
    <xf numFmtId="1" fontId="1" fillId="0" borderId="15" xfId="0" applyNumberFormat="1" applyFont="1" applyFill="1" applyBorder="1" applyAlignment="1" applyProtection="1">
      <alignment horizontal="center"/>
    </xf>
    <xf numFmtId="15" fontId="2" fillId="0" borderId="15" xfId="0" applyNumberFormat="1" applyFont="1" applyFill="1" applyBorder="1" applyAlignment="1" applyProtection="1">
      <alignment horizontal="center" vertical="center"/>
    </xf>
    <xf numFmtId="9" fontId="2" fillId="0" borderId="15" xfId="0" applyNumberFormat="1" applyFont="1" applyFill="1" applyBorder="1" applyAlignment="1" applyProtection="1">
      <alignment horizontal="center" vertical="center"/>
    </xf>
    <xf numFmtId="0" fontId="1" fillId="0" borderId="16" xfId="0" applyNumberFormat="1" applyFont="1" applyFill="1" applyBorder="1" applyAlignment="1" applyProtection="1">
      <alignment horizontal="center"/>
    </xf>
    <xf numFmtId="0" fontId="8" fillId="0" borderId="9" xfId="0" applyNumberFormat="1" applyFont="1" applyFill="1" applyBorder="1" applyAlignment="1" applyProtection="1">
      <alignment horizontal="center"/>
    </xf>
    <xf numFmtId="1" fontId="8" fillId="11" borderId="17" xfId="0" applyNumberFormat="1" applyFont="1" applyFill="1" applyBorder="1" applyAlignment="1" applyProtection="1">
      <alignment horizontal="center"/>
    </xf>
    <xf numFmtId="1" fontId="8" fillId="11" borderId="18" xfId="0" applyNumberFormat="1" applyFont="1" applyFill="1" applyBorder="1" applyAlignment="1" applyProtection="1">
      <alignment horizontal="center"/>
    </xf>
    <xf numFmtId="1" fontId="8" fillId="11" borderId="19" xfId="0" applyNumberFormat="1" applyFont="1" applyFill="1" applyBorder="1" applyAlignment="1" applyProtection="1">
      <alignment horizontal="center"/>
    </xf>
    <xf numFmtId="1" fontId="8" fillId="11" borderId="20" xfId="0" applyNumberFormat="1" applyFont="1" applyFill="1" applyBorder="1" applyAlignment="1" applyProtection="1">
      <alignment horizontal="center"/>
    </xf>
    <xf numFmtId="15" fontId="8" fillId="11" borderId="18" xfId="0" applyNumberFormat="1" applyFont="1" applyFill="1" applyBorder="1" applyAlignment="1" applyProtection="1">
      <alignment horizontal="center" vertical="center"/>
    </xf>
    <xf numFmtId="9" fontId="8" fillId="11" borderId="18" xfId="0" applyNumberFormat="1" applyFont="1" applyFill="1" applyBorder="1" applyAlignment="1" applyProtection="1">
      <alignment horizontal="center" vertical="center"/>
    </xf>
    <xf numFmtId="1" fontId="9" fillId="11" borderId="18" xfId="0" applyNumberFormat="1" applyFont="1" applyFill="1" applyBorder="1" applyAlignment="1" applyProtection="1">
      <alignment horizontal="center"/>
    </xf>
    <xf numFmtId="1" fontId="1" fillId="11" borderId="18" xfId="0" applyNumberFormat="1" applyFont="1" applyFill="1" applyBorder="1" applyAlignment="1" applyProtection="1">
      <alignment horizontal="center"/>
    </xf>
    <xf numFmtId="0" fontId="9" fillId="11" borderId="21" xfId="0" applyNumberFormat="1" applyFont="1" applyFill="1" applyBorder="1" applyAlignment="1" applyProtection="1">
      <alignment horizontal="center"/>
    </xf>
    <xf numFmtId="0" fontId="9" fillId="0" borderId="0" xfId="0" applyNumberFormat="1" applyFont="1" applyFill="1" applyBorder="1" applyAlignment="1" applyProtection="1">
      <alignment horizontal="center"/>
    </xf>
    <xf numFmtId="1" fontId="2" fillId="0" borderId="22" xfId="0" applyNumberFormat="1" applyFont="1" applyFill="1" applyBorder="1" applyAlignment="1" applyProtection="1">
      <alignment horizontal="center"/>
    </xf>
    <xf numFmtId="1" fontId="2" fillId="0" borderId="23" xfId="0" applyNumberFormat="1" applyFont="1" applyFill="1" applyBorder="1" applyAlignment="1" applyProtection="1">
      <alignment horizontal="center"/>
    </xf>
    <xf numFmtId="1" fontId="1" fillId="0" borderId="23" xfId="0" applyNumberFormat="1" applyFont="1" applyFill="1" applyBorder="1" applyAlignment="1" applyProtection="1">
      <alignment horizontal="center"/>
    </xf>
    <xf numFmtId="15" fontId="2" fillId="0" borderId="23" xfId="0" applyNumberFormat="1" applyFont="1" applyFill="1" applyBorder="1" applyAlignment="1" applyProtection="1">
      <alignment horizontal="center" vertical="center"/>
    </xf>
    <xf numFmtId="9" fontId="2" fillId="0" borderId="23" xfId="0" applyNumberFormat="1" applyFont="1" applyFill="1" applyBorder="1" applyAlignment="1" applyProtection="1">
      <alignment horizontal="center" vertical="center"/>
    </xf>
    <xf numFmtId="0" fontId="1" fillId="0" borderId="24" xfId="0" applyNumberFormat="1" applyFont="1" applyFill="1" applyBorder="1" applyAlignment="1" applyProtection="1">
      <alignment horizontal="center"/>
    </xf>
    <xf numFmtId="15" fontId="1" fillId="0" borderId="0" xfId="0" applyNumberFormat="1" applyFont="1" applyFill="1" applyBorder="1" applyAlignment="1" applyProtection="1">
      <alignment horizontal="center" vertical="center"/>
    </xf>
    <xf numFmtId="1" fontId="1" fillId="0" borderId="0" xfId="0" applyNumberFormat="1" applyFont="1" applyFill="1" applyBorder="1" applyAlignment="1" applyProtection="1">
      <alignment horizontal="center" vertical="center"/>
    </xf>
    <xf numFmtId="2" fontId="1" fillId="0" borderId="0" xfId="0" applyNumberFormat="1" applyFont="1" applyFill="1" applyBorder="1" applyAlignment="1" applyProtection="1">
      <alignment horizontal="center" vertical="center"/>
    </xf>
    <xf numFmtId="1" fontId="10" fillId="5" borderId="11" xfId="0" applyNumberFormat="1" applyFont="1" applyFill="1" applyBorder="1" applyAlignment="1" applyProtection="1">
      <alignment horizontal="center" vertical="center"/>
    </xf>
    <xf numFmtId="1" fontId="11" fillId="11" borderId="11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1" fontId="11" fillId="12" borderId="11" xfId="0" applyNumberFormat="1" applyFont="1" applyFill="1" applyBorder="1" applyAlignment="1">
      <alignment horizontal="center" vertical="center"/>
    </xf>
    <xf numFmtId="0" fontId="13" fillId="12" borderId="11" xfId="0" applyFont="1" applyFill="1" applyBorder="1" applyAlignment="1">
      <alignment horizontal="center" vertical="center"/>
    </xf>
    <xf numFmtId="0" fontId="14" fillId="12" borderId="11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12" fillId="0" borderId="11" xfId="0" applyFont="1" applyFill="1" applyBorder="1" applyAlignment="1">
      <alignment horizontal="center" vertical="center"/>
    </xf>
    <xf numFmtId="0" fontId="0" fillId="6" borderId="11" xfId="0" applyFill="1" applyBorder="1" applyAlignment="1">
      <alignment horizontal="center"/>
    </xf>
    <xf numFmtId="0" fontId="12" fillId="6" borderId="11" xfId="0" applyFont="1" applyFill="1" applyBorder="1" applyAlignment="1">
      <alignment horizontal="center" vertical="center"/>
    </xf>
    <xf numFmtId="0" fontId="14" fillId="6" borderId="11" xfId="0" applyFont="1" applyFill="1" applyBorder="1" applyAlignment="1">
      <alignment horizontal="center" vertical="center"/>
    </xf>
    <xf numFmtId="0" fontId="12" fillId="0" borderId="1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strike val="0"/>
        <u val="none"/>
        <color auto="1"/>
      </font>
      <fill>
        <gradientFill type="path" left="0.5" right="0.5" top="0.5" bottom="0.5">
          <stop position="0">
            <color theme="8" tint="0.59999389629810485"/>
          </stop>
          <stop position="1">
            <color theme="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 val="none"/>
        <color auto="1"/>
      </font>
      <fill>
        <gradientFill type="path" left="0.5" right="0.5" top="0.5" bottom="0.5">
          <stop position="0">
            <color theme="8" tint="0.59999389629810485"/>
          </stop>
          <stop position="1">
            <color theme="0"/>
          </stop>
        </gradient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Ready%20to%20ship\2019%20-%20ALL%20BUYER%20PACKING%20LIST\POLO%20RALPH%20LAUREN%20PRL\2025\Working%20Data\PRL%20ASN%20&amp;%20CONS%20STATUS-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N SCREEN SHOT"/>
      <sheetName val="Shipped - 23.03.2025 -CDD"/>
      <sheetName val="16.03.2025 - CDD - Shipped"/>
      <sheetName val="30.03.2025 - CDD - Shipped"/>
      <sheetName val="AIR CPT - 22.03.2025 - Shipped"/>
      <sheetName val="06.04.2025 - CDD Shipped"/>
      <sheetName val="13.04.2025 - CDD - Shipped"/>
      <sheetName val="SHIPPED CDD 22.12.2024"/>
      <sheetName val="SHIPPED CDD 29.12.2024"/>
      <sheetName val="Shipped CDD 05.01.2025"/>
      <sheetName val="Shipped AIR CPT 30.12.2024"/>
      <sheetName val="Shipped CDD - 12.01.2025"/>
      <sheetName val="Shipped CDD - 19.01.2025"/>
      <sheetName val="Shipped CDD - 26.01.2025"/>
      <sheetName val="SHIPPED CDD - 02.02.2025"/>
      <sheetName val="Shipped CDD - 09-02-2025"/>
      <sheetName val="CDD - 16-02-2025 Shipped"/>
      <sheetName val="Shipped - CDD - 23-02-2025"/>
      <sheetName val="Shipped - 02.03.2025 - CDD"/>
      <sheetName val="09.03.2025 - CDD Shipped"/>
      <sheetName val="10th Air CPT - Shipped "/>
      <sheetName val="20.04.2025 - CDD - Shipped"/>
      <sheetName val="27.04.2025 - CDD - Shipped"/>
      <sheetName val="04.05.2025 - CDD Shipped"/>
      <sheetName val="11.05.2025 - CDD Shipped"/>
      <sheetName val="18-05-2025 - CDD - Shipped"/>
      <sheetName val="25-05-2025 - CDD SHIPPED"/>
      <sheetName val="01.06.2025 - CDD -SHIPPED"/>
      <sheetName val="08.06.2025 - CDD - SHIPPED"/>
      <sheetName val="15.06.2025 - CDD - SHIPPED"/>
      <sheetName val="CDD - 22.06.2025 - Shipped"/>
      <sheetName val="CDD - 07.09.2025 (2)"/>
      <sheetName val="PRL DATA"/>
      <sheetName val="CDD Dash Board"/>
      <sheetName val="CDD - 29.06.2025 - Shipped"/>
      <sheetName val="CDD -06.07.2025 - Shipped"/>
      <sheetName val="CDD - 27.07.2025  -SHIPPED"/>
      <sheetName val="CDD - 03.08.2025- SHIPPED"/>
      <sheetName val="CDD - 10.08.2025 - SHIPPED "/>
      <sheetName val="CDD - 27.07.2025 -BKG WISE PEND"/>
      <sheetName val="19TH - BOOKING WISE DONE"/>
      <sheetName val="CDD - 10.08.2025 (2)"/>
      <sheetName val="31-7-2025 - SECOND VEHICLE"/>
      <sheetName val="CDD - 17.08.2025 - SHIPPED"/>
      <sheetName val="CDD - 24-08-2025 - shipped "/>
      <sheetName val="CDD - 24-08-2025 - 14-8-20225"/>
      <sheetName val="CDD - 07.09.2025- shipped"/>
      <sheetName val="CDD - 31.08.2025"/>
      <sheetName val="CDD - 14.09.2025-shipped"/>
      <sheetName val="CDD - 21.09.2025 - Shipped"/>
      <sheetName val="CDD - 28.09.2025-shipped"/>
      <sheetName val="CDD - 05.10.2025 - SHIPPED"/>
      <sheetName val="CDD - 12.10.2025 -SHIPPED"/>
      <sheetName val="CDD - 19-10-2025-shipped"/>
      <sheetName val="CDD - 26-10-2025 - SHIPPED"/>
      <sheetName val="Size Wise Details"/>
      <sheetName val="CDD - 02-11-2025"/>
      <sheetName val="KA51A8618"/>
      <sheetName val="KA51B2029"/>
      <sheetName val="823 cartons - 32 feet"/>
      <sheetName val="KA51A8618."/>
      <sheetName val="CDD - 09-11-2025-SHIPPED"/>
      <sheetName val="CDD - 16-11-2025"/>
      <sheetName val="CDD - 23-11-2025 - Shipped "/>
      <sheetName val="CDD - 30-11-2025-SHIPPED"/>
      <sheetName val="CDD -7-12-2025"/>
      <sheetName val="CDD -14-12-2025-Shipped"/>
      <sheetName val="ASN Details"/>
      <sheetName val="CDD -21-12-2025"/>
      <sheetName val="Sheet3"/>
      <sheetName val="Sheet1"/>
      <sheetName val="New Size Wise Details "/>
      <sheetName val="Rej Details Month of FEB - 25"/>
      <sheetName val="Rej Details Month of Mar - 25"/>
      <sheetName val="Rej Details Month of April - 25"/>
      <sheetName val="Rej Details Month of June - 25"/>
      <sheetName val="Rej Details Month of May - 25"/>
      <sheetName val="Rej Details Month of JAN - 25"/>
      <sheetName val="Shipped RRL Shipments"/>
      <sheetName val="Rej Details"/>
      <sheetName val="Rej Details - NOV"/>
      <sheetName val="Rej Details - DEC"/>
      <sheetName val="Short Shipment Data"/>
      <sheetName val="Photo DMN Details"/>
      <sheetName val="Photo Data"/>
      <sheetName val="Weight"/>
      <sheetName val="WHITHOUT TAG"/>
      <sheetName val="Shipped CDD - 6-1-2025 - AI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Q242"/>
  <sheetViews>
    <sheetView showGridLines="0" tabSelected="1" topLeftCell="A3" zoomScale="115" zoomScaleNormal="115" workbookViewId="0">
      <selection activeCell="B3" sqref="B3:L152"/>
    </sheetView>
  </sheetViews>
  <sheetFormatPr defaultRowHeight="11.25"/>
  <cols>
    <col min="1" max="1" width="8.7109375" style="1" bestFit="1" customWidth="1"/>
    <col min="2" max="2" width="23.28515625" style="1" bestFit="1" customWidth="1"/>
    <col min="3" max="3" width="12.42578125" style="1" bestFit="1" customWidth="1"/>
    <col min="4" max="4" width="8" style="1" bestFit="1" customWidth="1"/>
    <col min="5" max="5" width="14.85546875" style="1" bestFit="1" customWidth="1"/>
    <col min="6" max="6" width="23.85546875" style="1" bestFit="1" customWidth="1"/>
    <col min="7" max="7" width="12.5703125" style="1" customWidth="1"/>
    <col min="8" max="8" width="11.28515625" style="1" bestFit="1" customWidth="1"/>
    <col min="9" max="9" width="8.85546875" style="1" bestFit="1" customWidth="1"/>
    <col min="10" max="10" width="8.42578125" style="1" bestFit="1" customWidth="1"/>
    <col min="11" max="11" width="9.85546875" style="1" bestFit="1" customWidth="1"/>
    <col min="12" max="12" width="19.28515625" style="1" bestFit="1" customWidth="1"/>
    <col min="13" max="13" width="16.5703125" style="1" customWidth="1"/>
    <col min="14" max="14" width="17.28515625" style="1" customWidth="1"/>
    <col min="15" max="15" width="12.7109375" style="1" customWidth="1"/>
    <col min="16" max="16" width="8" style="1" customWidth="1"/>
    <col min="17" max="16384" width="9.140625" style="1"/>
  </cols>
  <sheetData>
    <row r="1" spans="1:16" ht="12" thickBot="1">
      <c r="G1" s="2"/>
    </row>
    <row r="2" spans="1:16" ht="12" thickBot="1">
      <c r="A2" s="3"/>
      <c r="B2" s="4"/>
      <c r="C2" s="5"/>
      <c r="D2" s="5"/>
      <c r="E2" s="6"/>
      <c r="F2" s="7" t="s">
        <v>0</v>
      </c>
      <c r="G2" s="7">
        <f>SUBTOTAL(9,G48:G162)</f>
        <v>51431</v>
      </c>
      <c r="H2" s="7">
        <f>SUBTOTAL(9,H48:H162)</f>
        <v>22830</v>
      </c>
      <c r="I2" s="7">
        <f>SUBTOTAL(9,I48:I162)</f>
        <v>1308</v>
      </c>
      <c r="J2" s="8"/>
      <c r="K2" s="8"/>
      <c r="L2" s="8"/>
      <c r="M2" s="3"/>
      <c r="N2" s="3"/>
      <c r="O2" s="3"/>
      <c r="P2" s="3"/>
    </row>
    <row r="3" spans="1:16">
      <c r="A3" s="9"/>
      <c r="B3" s="10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  <c r="M3" s="11" t="s">
        <v>12</v>
      </c>
      <c r="N3" s="11" t="s">
        <v>13</v>
      </c>
      <c r="O3" s="11" t="s">
        <v>14</v>
      </c>
      <c r="P3" s="12" t="s">
        <v>15</v>
      </c>
    </row>
    <row r="4" spans="1:16" hidden="1">
      <c r="A4" s="13"/>
      <c r="B4" s="14" t="s">
        <v>16</v>
      </c>
      <c r="C4" s="15">
        <v>4702013054</v>
      </c>
      <c r="D4" s="15" t="s">
        <v>17</v>
      </c>
      <c r="E4" s="15">
        <v>712966320001</v>
      </c>
      <c r="F4" s="15" t="s">
        <v>18</v>
      </c>
      <c r="G4" s="15">
        <v>400</v>
      </c>
      <c r="H4" s="15">
        <v>409</v>
      </c>
      <c r="I4" s="15">
        <v>23</v>
      </c>
      <c r="J4" s="16">
        <v>45991</v>
      </c>
      <c r="K4" s="17">
        <v>1.0225</v>
      </c>
      <c r="L4" s="18" t="s">
        <v>19</v>
      </c>
      <c r="M4" s="15"/>
      <c r="N4" s="15" t="s">
        <v>20</v>
      </c>
      <c r="O4" s="15" t="s">
        <v>21</v>
      </c>
      <c r="P4" s="19" t="s">
        <v>22</v>
      </c>
    </row>
    <row r="5" spans="1:16" hidden="1">
      <c r="A5" s="20"/>
      <c r="B5" s="21" t="s">
        <v>16</v>
      </c>
      <c r="C5" s="22">
        <v>4702013055</v>
      </c>
      <c r="D5" s="23" t="s">
        <v>23</v>
      </c>
      <c r="E5" s="23">
        <v>712966320001</v>
      </c>
      <c r="F5" s="23" t="s">
        <v>18</v>
      </c>
      <c r="G5" s="23">
        <v>50</v>
      </c>
      <c r="H5" s="23">
        <v>49</v>
      </c>
      <c r="I5" s="23">
        <v>4</v>
      </c>
      <c r="J5" s="24">
        <v>45991</v>
      </c>
      <c r="K5" s="25">
        <v>0</v>
      </c>
      <c r="L5" s="26" t="s">
        <v>19</v>
      </c>
      <c r="M5" s="23"/>
      <c r="N5" s="23" t="s">
        <v>20</v>
      </c>
      <c r="O5" s="23"/>
      <c r="P5" s="27"/>
    </row>
    <row r="6" spans="1:16" hidden="1">
      <c r="A6" s="28"/>
      <c r="B6" s="21" t="s">
        <v>16</v>
      </c>
      <c r="C6" s="23">
        <v>4702013053</v>
      </c>
      <c r="D6" s="23" t="s">
        <v>24</v>
      </c>
      <c r="E6" s="23">
        <v>712966320001</v>
      </c>
      <c r="F6" s="23" t="s">
        <v>18</v>
      </c>
      <c r="G6" s="23">
        <v>180</v>
      </c>
      <c r="H6" s="23">
        <v>180</v>
      </c>
      <c r="I6" s="23">
        <v>12</v>
      </c>
      <c r="J6" s="24">
        <v>45991</v>
      </c>
      <c r="K6" s="25">
        <v>1</v>
      </c>
      <c r="L6" s="26" t="s">
        <v>19</v>
      </c>
      <c r="M6" s="23"/>
      <c r="N6" s="23" t="s">
        <v>20</v>
      </c>
      <c r="O6" s="23"/>
      <c r="P6" s="29"/>
    </row>
    <row r="7" spans="1:16" hidden="1">
      <c r="A7" s="20"/>
      <c r="B7" s="30" t="s">
        <v>25</v>
      </c>
      <c r="C7" s="31">
        <v>4702030760</v>
      </c>
      <c r="D7" s="32" t="s">
        <v>24</v>
      </c>
      <c r="E7" s="32">
        <v>710966294019</v>
      </c>
      <c r="F7" s="32" t="s">
        <v>26</v>
      </c>
      <c r="G7" s="31">
        <v>189</v>
      </c>
      <c r="H7" s="32">
        <v>189</v>
      </c>
      <c r="I7" s="32">
        <v>12</v>
      </c>
      <c r="J7" s="24">
        <v>45991</v>
      </c>
      <c r="K7" s="25">
        <v>1</v>
      </c>
      <c r="L7" s="26" t="s">
        <v>19</v>
      </c>
      <c r="M7" s="32"/>
      <c r="N7" s="32" t="s">
        <v>20</v>
      </c>
      <c r="O7" s="32"/>
      <c r="P7" s="33"/>
    </row>
    <row r="8" spans="1:16" hidden="1">
      <c r="A8" s="20"/>
      <c r="B8" s="30" t="s">
        <v>27</v>
      </c>
      <c r="C8" s="32">
        <v>4702030761</v>
      </c>
      <c r="D8" s="32" t="s">
        <v>17</v>
      </c>
      <c r="E8" s="32">
        <v>710966294019</v>
      </c>
      <c r="F8" s="32" t="s">
        <v>26</v>
      </c>
      <c r="G8" s="32">
        <v>48</v>
      </c>
      <c r="H8" s="32">
        <v>48</v>
      </c>
      <c r="I8" s="32">
        <v>3</v>
      </c>
      <c r="J8" s="24">
        <v>45991</v>
      </c>
      <c r="K8" s="25">
        <v>1</v>
      </c>
      <c r="L8" s="26" t="s">
        <v>19</v>
      </c>
      <c r="M8" s="32"/>
      <c r="N8" s="32" t="s">
        <v>20</v>
      </c>
      <c r="O8" s="32"/>
      <c r="P8" s="33"/>
    </row>
    <row r="9" spans="1:16" hidden="1">
      <c r="A9" s="20"/>
      <c r="B9" s="34" t="s">
        <v>28</v>
      </c>
      <c r="C9" s="35">
        <v>4702024648</v>
      </c>
      <c r="D9" s="23" t="s">
        <v>23</v>
      </c>
      <c r="E9" s="23">
        <v>710967669502</v>
      </c>
      <c r="F9" s="23" t="s">
        <v>29</v>
      </c>
      <c r="G9" s="23">
        <v>1110</v>
      </c>
      <c r="H9" s="23">
        <v>1035</v>
      </c>
      <c r="I9" s="23">
        <v>59</v>
      </c>
      <c r="J9" s="24">
        <v>45991</v>
      </c>
      <c r="K9" s="25">
        <v>0.95675675675675675</v>
      </c>
      <c r="L9" s="26" t="s">
        <v>19</v>
      </c>
      <c r="M9" s="23"/>
      <c r="N9" s="23" t="s">
        <v>20</v>
      </c>
      <c r="O9" s="23"/>
      <c r="P9" s="27"/>
    </row>
    <row r="10" spans="1:16" hidden="1">
      <c r="A10" s="28"/>
      <c r="B10" s="30" t="s">
        <v>28</v>
      </c>
      <c r="C10" s="32">
        <v>4702024647</v>
      </c>
      <c r="D10" s="32" t="s">
        <v>17</v>
      </c>
      <c r="E10" s="32">
        <v>710967669502</v>
      </c>
      <c r="F10" s="32" t="s">
        <v>29</v>
      </c>
      <c r="G10" s="32">
        <v>450</v>
      </c>
      <c r="H10" s="32">
        <v>460</v>
      </c>
      <c r="I10" s="32">
        <v>27</v>
      </c>
      <c r="J10" s="24">
        <v>45991</v>
      </c>
      <c r="K10" s="25">
        <v>1.0222222222222221</v>
      </c>
      <c r="L10" s="26" t="s">
        <v>19</v>
      </c>
      <c r="M10" s="32"/>
      <c r="N10" s="32" t="s">
        <v>20</v>
      </c>
      <c r="O10" s="32"/>
      <c r="P10" s="36"/>
    </row>
    <row r="11" spans="1:16" hidden="1">
      <c r="A11" s="28"/>
      <c r="B11" s="30" t="s">
        <v>28</v>
      </c>
      <c r="C11" s="32">
        <v>4702024644</v>
      </c>
      <c r="D11" s="32" t="s">
        <v>24</v>
      </c>
      <c r="E11" s="32">
        <v>710967669502</v>
      </c>
      <c r="F11" s="32" t="s">
        <v>29</v>
      </c>
      <c r="G11" s="32">
        <v>390</v>
      </c>
      <c r="H11" s="32">
        <v>390</v>
      </c>
      <c r="I11" s="32">
        <v>25</v>
      </c>
      <c r="J11" s="24">
        <v>45991</v>
      </c>
      <c r="K11" s="25">
        <v>1</v>
      </c>
      <c r="L11" s="26" t="s">
        <v>19</v>
      </c>
      <c r="M11" s="32"/>
      <c r="N11" s="32" t="s">
        <v>20</v>
      </c>
      <c r="O11" s="32"/>
      <c r="P11" s="36"/>
    </row>
    <row r="12" spans="1:16" hidden="1">
      <c r="A12" s="20"/>
      <c r="B12" s="30" t="s">
        <v>28</v>
      </c>
      <c r="C12" s="32">
        <v>4702024646</v>
      </c>
      <c r="D12" s="32" t="s">
        <v>24</v>
      </c>
      <c r="E12" s="32">
        <v>710967669502</v>
      </c>
      <c r="F12" s="32" t="s">
        <v>29</v>
      </c>
      <c r="G12" s="32">
        <v>40</v>
      </c>
      <c r="H12" s="32">
        <v>40</v>
      </c>
      <c r="I12" s="32">
        <v>3</v>
      </c>
      <c r="J12" s="24">
        <v>45991</v>
      </c>
      <c r="K12" s="25">
        <v>1</v>
      </c>
      <c r="L12" s="26" t="s">
        <v>19</v>
      </c>
      <c r="M12" s="32"/>
      <c r="N12" s="32" t="s">
        <v>20</v>
      </c>
      <c r="O12" s="32"/>
      <c r="P12" s="33"/>
    </row>
    <row r="13" spans="1:16" hidden="1">
      <c r="A13" s="28"/>
      <c r="B13" s="30" t="s">
        <v>28</v>
      </c>
      <c r="C13" s="32">
        <v>4702024645</v>
      </c>
      <c r="D13" s="32" t="s">
        <v>24</v>
      </c>
      <c r="E13" s="32">
        <v>710967669502</v>
      </c>
      <c r="F13" s="32" t="s">
        <v>29</v>
      </c>
      <c r="G13" s="32">
        <v>645</v>
      </c>
      <c r="H13" s="32">
        <v>659</v>
      </c>
      <c r="I13" s="32">
        <v>39</v>
      </c>
      <c r="J13" s="24">
        <v>45991</v>
      </c>
      <c r="K13" s="25">
        <v>1.0217054263565892</v>
      </c>
      <c r="L13" s="26" t="s">
        <v>19</v>
      </c>
      <c r="M13" s="32"/>
      <c r="N13" s="32" t="s">
        <v>20</v>
      </c>
      <c r="O13" s="32"/>
      <c r="P13" s="36"/>
    </row>
    <row r="14" spans="1:16" hidden="1">
      <c r="A14" s="20"/>
      <c r="B14" s="37" t="s">
        <v>30</v>
      </c>
      <c r="C14" s="31">
        <v>4702024299</v>
      </c>
      <c r="D14" s="32" t="s">
        <v>24</v>
      </c>
      <c r="E14" s="32">
        <v>710978098507</v>
      </c>
      <c r="F14" s="32" t="s">
        <v>31</v>
      </c>
      <c r="G14" s="32">
        <v>170</v>
      </c>
      <c r="H14" s="32">
        <v>409</v>
      </c>
      <c r="I14" s="32">
        <v>24</v>
      </c>
      <c r="J14" s="24">
        <v>45991</v>
      </c>
      <c r="K14" s="25">
        <v>7.3058823529411763</v>
      </c>
      <c r="L14" s="26" t="s">
        <v>19</v>
      </c>
      <c r="M14" s="32"/>
      <c r="N14" s="32" t="s">
        <v>20</v>
      </c>
      <c r="O14" s="32"/>
      <c r="P14" s="33"/>
    </row>
    <row r="15" spans="1:16" hidden="1">
      <c r="A15" s="20"/>
      <c r="B15" s="37" t="s">
        <v>30</v>
      </c>
      <c r="C15" s="31">
        <v>4702024301</v>
      </c>
      <c r="D15" s="32" t="s">
        <v>24</v>
      </c>
      <c r="E15" s="32">
        <v>710978098507</v>
      </c>
      <c r="F15" s="32" t="s">
        <v>31</v>
      </c>
      <c r="G15" s="32">
        <v>459</v>
      </c>
      <c r="H15" s="32"/>
      <c r="I15" s="32"/>
      <c r="J15" s="24">
        <v>45991</v>
      </c>
      <c r="K15" s="25">
        <v>0</v>
      </c>
      <c r="L15" s="26" t="s">
        <v>19</v>
      </c>
      <c r="M15" s="32"/>
      <c r="N15" s="32" t="s">
        <v>20</v>
      </c>
      <c r="O15" s="32"/>
      <c r="P15" s="33"/>
    </row>
    <row r="16" spans="1:16" hidden="1">
      <c r="A16" s="20"/>
      <c r="B16" s="37" t="s">
        <v>30</v>
      </c>
      <c r="C16" s="32">
        <v>4702024303</v>
      </c>
      <c r="D16" s="32" t="s">
        <v>17</v>
      </c>
      <c r="E16" s="32">
        <v>710978098507</v>
      </c>
      <c r="F16" s="32" t="s">
        <v>31</v>
      </c>
      <c r="G16" s="32">
        <v>100</v>
      </c>
      <c r="H16" s="32"/>
      <c r="I16" s="32"/>
      <c r="J16" s="24">
        <v>45991</v>
      </c>
      <c r="K16" s="25">
        <v>0</v>
      </c>
      <c r="L16" s="26" t="s">
        <v>19</v>
      </c>
      <c r="M16" s="32"/>
      <c r="N16" s="32" t="s">
        <v>20</v>
      </c>
      <c r="O16" s="32"/>
      <c r="P16" s="33"/>
    </row>
    <row r="17" spans="1:16" hidden="1">
      <c r="A17" s="20"/>
      <c r="B17" s="34" t="s">
        <v>30</v>
      </c>
      <c r="C17" s="35">
        <v>4702024305</v>
      </c>
      <c r="D17" s="23" t="s">
        <v>23</v>
      </c>
      <c r="E17" s="23">
        <v>710978098507</v>
      </c>
      <c r="F17" s="23" t="s">
        <v>31</v>
      </c>
      <c r="G17" s="23">
        <v>400</v>
      </c>
      <c r="H17" s="38"/>
      <c r="I17" s="38"/>
      <c r="J17" s="24">
        <v>45991</v>
      </c>
      <c r="K17" s="25">
        <v>0</v>
      </c>
      <c r="L17" s="26" t="s">
        <v>19</v>
      </c>
      <c r="M17" s="23"/>
      <c r="N17" s="23" t="s">
        <v>20</v>
      </c>
      <c r="O17" s="23"/>
      <c r="P17" s="27"/>
    </row>
    <row r="18" spans="1:16" hidden="1">
      <c r="A18" s="28"/>
      <c r="B18" s="30" t="s">
        <v>32</v>
      </c>
      <c r="C18" s="32">
        <v>4702024656</v>
      </c>
      <c r="D18" s="32" t="s">
        <v>17</v>
      </c>
      <c r="E18" s="32" t="s">
        <v>33</v>
      </c>
      <c r="F18" s="32" t="s">
        <v>34</v>
      </c>
      <c r="G18" s="32">
        <v>450</v>
      </c>
      <c r="H18" s="32">
        <v>461</v>
      </c>
      <c r="I18" s="32">
        <v>27</v>
      </c>
      <c r="J18" s="24">
        <v>45991</v>
      </c>
      <c r="K18" s="25">
        <v>1.0244444444444445</v>
      </c>
      <c r="L18" s="26" t="s">
        <v>19</v>
      </c>
      <c r="M18" s="32"/>
      <c r="N18" s="32" t="s">
        <v>20</v>
      </c>
      <c r="O18" s="32" t="s">
        <v>35</v>
      </c>
      <c r="P18" s="36" t="s">
        <v>22</v>
      </c>
    </row>
    <row r="19" spans="1:16" hidden="1">
      <c r="A19" s="28"/>
      <c r="B19" s="30" t="s">
        <v>32</v>
      </c>
      <c r="C19" s="39">
        <v>4702024655</v>
      </c>
      <c r="D19" s="32" t="s">
        <v>24</v>
      </c>
      <c r="E19" s="32" t="s">
        <v>33</v>
      </c>
      <c r="F19" s="32" t="s">
        <v>34</v>
      </c>
      <c r="G19" s="32">
        <v>30</v>
      </c>
      <c r="H19" s="32">
        <v>30</v>
      </c>
      <c r="I19" s="32">
        <v>3</v>
      </c>
      <c r="J19" s="24">
        <v>45991</v>
      </c>
      <c r="K19" s="25">
        <v>1</v>
      </c>
      <c r="L19" s="26" t="s">
        <v>19</v>
      </c>
      <c r="M19" s="32"/>
      <c r="N19" s="32" t="s">
        <v>20</v>
      </c>
      <c r="O19" s="32" t="s">
        <v>35</v>
      </c>
      <c r="P19" s="36" t="s">
        <v>22</v>
      </c>
    </row>
    <row r="20" spans="1:16" hidden="1">
      <c r="A20" s="28"/>
      <c r="B20" s="30" t="s">
        <v>32</v>
      </c>
      <c r="C20" s="39">
        <v>4702024654</v>
      </c>
      <c r="D20" s="32" t="s">
        <v>24</v>
      </c>
      <c r="E20" s="32" t="s">
        <v>33</v>
      </c>
      <c r="F20" s="32" t="s">
        <v>34</v>
      </c>
      <c r="G20" s="32">
        <v>374</v>
      </c>
      <c r="H20" s="32">
        <v>380</v>
      </c>
      <c r="I20" s="32">
        <v>22</v>
      </c>
      <c r="J20" s="24">
        <v>45991</v>
      </c>
      <c r="K20" s="25">
        <v>1.0160427807486632</v>
      </c>
      <c r="L20" s="26" t="s">
        <v>19</v>
      </c>
      <c r="M20" s="32"/>
      <c r="N20" s="32" t="s">
        <v>20</v>
      </c>
      <c r="O20" s="32" t="s">
        <v>35</v>
      </c>
      <c r="P20" s="36" t="s">
        <v>22</v>
      </c>
    </row>
    <row r="21" spans="1:16" hidden="1">
      <c r="A21" s="28"/>
      <c r="B21" s="30" t="s">
        <v>32</v>
      </c>
      <c r="C21" s="39">
        <v>4702024653</v>
      </c>
      <c r="D21" s="32" t="s">
        <v>24</v>
      </c>
      <c r="E21" s="32" t="s">
        <v>33</v>
      </c>
      <c r="F21" s="32" t="s">
        <v>34</v>
      </c>
      <c r="G21" s="32">
        <v>420</v>
      </c>
      <c r="H21" s="32">
        <v>427</v>
      </c>
      <c r="I21" s="32">
        <v>24</v>
      </c>
      <c r="J21" s="24">
        <v>45991</v>
      </c>
      <c r="K21" s="25">
        <v>1.0166666666666666</v>
      </c>
      <c r="L21" s="26" t="s">
        <v>19</v>
      </c>
      <c r="M21" s="32"/>
      <c r="N21" s="32" t="s">
        <v>20</v>
      </c>
      <c r="O21" s="32" t="s">
        <v>35</v>
      </c>
      <c r="P21" s="36" t="s">
        <v>22</v>
      </c>
    </row>
    <row r="22" spans="1:16" hidden="1">
      <c r="A22" s="28"/>
      <c r="B22" s="21" t="s">
        <v>32</v>
      </c>
      <c r="C22" s="23">
        <v>4702024657</v>
      </c>
      <c r="D22" s="23" t="s">
        <v>23</v>
      </c>
      <c r="E22" s="23" t="s">
        <v>33</v>
      </c>
      <c r="F22" s="23" t="s">
        <v>34</v>
      </c>
      <c r="G22" s="23">
        <v>730</v>
      </c>
      <c r="H22" s="23">
        <v>748</v>
      </c>
      <c r="I22" s="23">
        <v>43</v>
      </c>
      <c r="J22" s="24">
        <v>45991</v>
      </c>
      <c r="K22" s="25">
        <v>1.0246575342465754</v>
      </c>
      <c r="L22" s="26" t="s">
        <v>19</v>
      </c>
      <c r="M22" s="23"/>
      <c r="N22" s="23" t="s">
        <v>20</v>
      </c>
      <c r="O22" s="23" t="s">
        <v>35</v>
      </c>
      <c r="P22" s="29" t="s">
        <v>22</v>
      </c>
    </row>
    <row r="23" spans="1:16" hidden="1">
      <c r="A23" s="28"/>
      <c r="B23" s="37" t="s">
        <v>36</v>
      </c>
      <c r="C23" s="39">
        <v>4702043053</v>
      </c>
      <c r="D23" s="39" t="s">
        <v>37</v>
      </c>
      <c r="E23" s="39">
        <v>711978098003</v>
      </c>
      <c r="F23" s="39" t="s">
        <v>38</v>
      </c>
      <c r="G23" s="39">
        <v>341</v>
      </c>
      <c r="H23" s="39">
        <v>346</v>
      </c>
      <c r="I23" s="39">
        <v>28</v>
      </c>
      <c r="J23" s="40">
        <v>45998</v>
      </c>
      <c r="K23" s="41">
        <v>1.0146627565982405</v>
      </c>
      <c r="L23" s="26" t="s">
        <v>19</v>
      </c>
      <c r="M23" s="39"/>
      <c r="N23" s="39" t="s">
        <v>20</v>
      </c>
      <c r="O23" s="39" t="s">
        <v>39</v>
      </c>
      <c r="P23" s="42"/>
    </row>
    <row r="24" spans="1:16" hidden="1">
      <c r="A24" s="28"/>
      <c r="B24" s="37" t="s">
        <v>40</v>
      </c>
      <c r="C24" s="39">
        <v>4702048430</v>
      </c>
      <c r="D24" s="39" t="s">
        <v>37</v>
      </c>
      <c r="E24" s="39">
        <v>710966421500</v>
      </c>
      <c r="F24" s="39" t="s">
        <v>26</v>
      </c>
      <c r="G24" s="39">
        <v>1275</v>
      </c>
      <c r="H24" s="39">
        <v>1269</v>
      </c>
      <c r="I24" s="39">
        <v>22</v>
      </c>
      <c r="J24" s="40">
        <v>45998</v>
      </c>
      <c r="K24" s="41">
        <v>0.99529411764705877</v>
      </c>
      <c r="L24" s="26" t="s">
        <v>19</v>
      </c>
      <c r="M24" s="39"/>
      <c r="N24" s="39" t="s">
        <v>20</v>
      </c>
      <c r="O24" s="39" t="s">
        <v>41</v>
      </c>
      <c r="P24" s="36"/>
    </row>
    <row r="25" spans="1:16" hidden="1">
      <c r="A25" s="28"/>
      <c r="B25" s="30" t="s">
        <v>42</v>
      </c>
      <c r="C25" s="32">
        <v>4702048655</v>
      </c>
      <c r="D25" s="32" t="s">
        <v>24</v>
      </c>
      <c r="E25" s="32">
        <v>710966421500</v>
      </c>
      <c r="F25" s="32" t="s">
        <v>26</v>
      </c>
      <c r="G25" s="32">
        <v>62</v>
      </c>
      <c r="H25" s="32">
        <v>62</v>
      </c>
      <c r="I25" s="32">
        <v>1</v>
      </c>
      <c r="J25" s="24">
        <v>45991</v>
      </c>
      <c r="K25" s="25">
        <v>1</v>
      </c>
      <c r="L25" s="26" t="s">
        <v>19</v>
      </c>
      <c r="M25" s="32"/>
      <c r="N25" s="32" t="s">
        <v>20</v>
      </c>
      <c r="O25" s="32"/>
      <c r="P25" s="36" t="s">
        <v>22</v>
      </c>
    </row>
    <row r="26" spans="1:16" hidden="1">
      <c r="A26" s="28"/>
      <c r="B26" s="37" t="s">
        <v>43</v>
      </c>
      <c r="C26" s="39">
        <v>4702043053</v>
      </c>
      <c r="D26" s="39" t="s">
        <v>37</v>
      </c>
      <c r="E26" s="39">
        <v>711978098001</v>
      </c>
      <c r="F26" s="39" t="s">
        <v>44</v>
      </c>
      <c r="G26" s="39">
        <v>245</v>
      </c>
      <c r="H26" s="39">
        <v>220</v>
      </c>
      <c r="I26" s="39">
        <v>17</v>
      </c>
      <c r="J26" s="40">
        <v>45998</v>
      </c>
      <c r="K26" s="41">
        <v>0.89795918367346939</v>
      </c>
      <c r="L26" s="26" t="s">
        <v>19</v>
      </c>
      <c r="M26" s="39"/>
      <c r="N26" s="39" t="s">
        <v>20</v>
      </c>
      <c r="O26" s="39" t="s">
        <v>45</v>
      </c>
      <c r="P26" s="43" t="s">
        <v>46</v>
      </c>
    </row>
    <row r="27" spans="1:16" hidden="1">
      <c r="A27" s="28"/>
      <c r="B27" s="30" t="s">
        <v>47</v>
      </c>
      <c r="C27" s="32">
        <v>4702030757</v>
      </c>
      <c r="D27" s="32" t="s">
        <v>17</v>
      </c>
      <c r="E27" s="32">
        <v>710966293015</v>
      </c>
      <c r="F27" s="32" t="s">
        <v>26</v>
      </c>
      <c r="G27" s="32">
        <v>800</v>
      </c>
      <c r="H27" s="39">
        <v>804</v>
      </c>
      <c r="I27" s="39">
        <v>38</v>
      </c>
      <c r="J27" s="24">
        <v>45991</v>
      </c>
      <c r="K27" s="25">
        <v>1.0049999999999999</v>
      </c>
      <c r="L27" s="26" t="s">
        <v>19</v>
      </c>
      <c r="M27" s="32"/>
      <c r="N27" s="32" t="s">
        <v>20</v>
      </c>
      <c r="O27" s="32" t="s">
        <v>48</v>
      </c>
      <c r="P27" s="36" t="s">
        <v>22</v>
      </c>
    </row>
    <row r="28" spans="1:16" hidden="1">
      <c r="A28" s="20"/>
      <c r="B28" s="30" t="s">
        <v>49</v>
      </c>
      <c r="C28" s="39">
        <v>4702030760</v>
      </c>
      <c r="D28" s="32" t="s">
        <v>24</v>
      </c>
      <c r="E28" s="32">
        <v>710966294009</v>
      </c>
      <c r="F28" s="32" t="s">
        <v>50</v>
      </c>
      <c r="G28" s="32">
        <v>144</v>
      </c>
      <c r="H28" s="32">
        <v>144</v>
      </c>
      <c r="I28" s="32">
        <v>8</v>
      </c>
      <c r="J28" s="24">
        <v>45991</v>
      </c>
      <c r="K28" s="25">
        <v>1</v>
      </c>
      <c r="L28" s="26" t="s">
        <v>19</v>
      </c>
      <c r="M28" s="32"/>
      <c r="N28" s="32" t="s">
        <v>20</v>
      </c>
      <c r="O28" s="32"/>
      <c r="P28" s="33"/>
    </row>
    <row r="29" spans="1:16" hidden="1">
      <c r="A29" s="44"/>
      <c r="B29" s="30" t="s">
        <v>49</v>
      </c>
      <c r="C29" s="32">
        <v>4702030761</v>
      </c>
      <c r="D29" s="32" t="s">
        <v>17</v>
      </c>
      <c r="E29" s="32">
        <v>710966294009</v>
      </c>
      <c r="F29" s="32" t="s">
        <v>50</v>
      </c>
      <c r="G29" s="32">
        <v>150</v>
      </c>
      <c r="H29" s="32">
        <v>150</v>
      </c>
      <c r="I29" s="32">
        <v>9</v>
      </c>
      <c r="J29" s="24">
        <v>45991</v>
      </c>
      <c r="K29" s="25">
        <v>1</v>
      </c>
      <c r="L29" s="26" t="s">
        <v>19</v>
      </c>
      <c r="M29" s="32"/>
      <c r="N29" s="32" t="s">
        <v>20</v>
      </c>
      <c r="O29" s="32"/>
      <c r="P29" s="36"/>
    </row>
    <row r="30" spans="1:16" hidden="1">
      <c r="A30" s="3"/>
      <c r="B30" s="21" t="s">
        <v>51</v>
      </c>
      <c r="C30" s="23">
        <v>4702024652</v>
      </c>
      <c r="D30" s="23" t="s">
        <v>23</v>
      </c>
      <c r="E30" s="23" t="s">
        <v>52</v>
      </c>
      <c r="F30" s="23" t="s">
        <v>53</v>
      </c>
      <c r="G30" s="23">
        <v>800</v>
      </c>
      <c r="H30" s="23">
        <v>821</v>
      </c>
      <c r="I30" s="23">
        <v>47</v>
      </c>
      <c r="J30" s="24">
        <v>45991</v>
      </c>
      <c r="K30" s="25">
        <v>1.0262500000000001</v>
      </c>
      <c r="L30" s="26" t="s">
        <v>19</v>
      </c>
      <c r="M30" s="23"/>
      <c r="N30" s="23" t="s">
        <v>20</v>
      </c>
      <c r="O30" s="23"/>
      <c r="P30" s="29"/>
    </row>
    <row r="31" spans="1:16" hidden="1">
      <c r="A31" s="3"/>
      <c r="B31" s="30" t="s">
        <v>51</v>
      </c>
      <c r="C31" s="32">
        <v>4702024651</v>
      </c>
      <c r="D31" s="32" t="s">
        <v>17</v>
      </c>
      <c r="E31" s="32" t="s">
        <v>52</v>
      </c>
      <c r="F31" s="32" t="s">
        <v>53</v>
      </c>
      <c r="G31" s="32">
        <v>630</v>
      </c>
      <c r="H31" s="32">
        <v>645</v>
      </c>
      <c r="I31" s="32">
        <v>37</v>
      </c>
      <c r="J31" s="24">
        <v>45991</v>
      </c>
      <c r="K31" s="25">
        <v>1.0238095238095237</v>
      </c>
      <c r="L31" s="26" t="s">
        <v>19</v>
      </c>
      <c r="M31" s="32"/>
      <c r="N31" s="32" t="s">
        <v>20</v>
      </c>
      <c r="O31" s="32"/>
      <c r="P31" s="36"/>
    </row>
    <row r="32" spans="1:16" hidden="1">
      <c r="A32" s="3"/>
      <c r="B32" s="30" t="s">
        <v>51</v>
      </c>
      <c r="C32" s="32">
        <v>4702024649</v>
      </c>
      <c r="D32" s="32" t="s">
        <v>24</v>
      </c>
      <c r="E32" s="32" t="s">
        <v>52</v>
      </c>
      <c r="F32" s="32" t="s">
        <v>53</v>
      </c>
      <c r="G32" s="32">
        <v>390</v>
      </c>
      <c r="H32" s="32">
        <v>399</v>
      </c>
      <c r="I32" s="32">
        <v>24</v>
      </c>
      <c r="J32" s="24">
        <v>45991</v>
      </c>
      <c r="K32" s="25">
        <v>1.023076923076923</v>
      </c>
      <c r="L32" s="26" t="s">
        <v>19</v>
      </c>
      <c r="M32" s="32"/>
      <c r="N32" s="32" t="s">
        <v>20</v>
      </c>
      <c r="O32" s="32"/>
      <c r="P32" s="36" t="s">
        <v>22</v>
      </c>
    </row>
    <row r="33" spans="1:16" hidden="1">
      <c r="A33" s="3"/>
      <c r="B33" s="30" t="s">
        <v>51</v>
      </c>
      <c r="C33" s="32">
        <v>4702024650</v>
      </c>
      <c r="D33" s="32" t="s">
        <v>24</v>
      </c>
      <c r="E33" s="32" t="s">
        <v>52</v>
      </c>
      <c r="F33" s="32" t="s">
        <v>53</v>
      </c>
      <c r="G33" s="32">
        <v>416</v>
      </c>
      <c r="H33" s="32">
        <v>423</v>
      </c>
      <c r="I33" s="32">
        <v>24</v>
      </c>
      <c r="J33" s="24">
        <v>45991</v>
      </c>
      <c r="K33" s="25">
        <v>1.0168269230769231</v>
      </c>
      <c r="L33" s="26" t="s">
        <v>19</v>
      </c>
      <c r="M33" s="32"/>
      <c r="N33" s="32" t="s">
        <v>20</v>
      </c>
      <c r="O33" s="32"/>
      <c r="P33" s="36" t="s">
        <v>22</v>
      </c>
    </row>
    <row r="34" spans="1:16" hidden="1">
      <c r="A34" s="28"/>
      <c r="B34" s="30" t="s">
        <v>54</v>
      </c>
      <c r="C34" s="32">
        <v>4702030753</v>
      </c>
      <c r="D34" s="32" t="s">
        <v>17</v>
      </c>
      <c r="E34" s="32">
        <v>710966292023</v>
      </c>
      <c r="F34" s="32" t="s">
        <v>55</v>
      </c>
      <c r="G34" s="32">
        <v>650</v>
      </c>
      <c r="H34" s="32">
        <v>666</v>
      </c>
      <c r="I34" s="32">
        <v>39</v>
      </c>
      <c r="J34" s="24">
        <v>45991</v>
      </c>
      <c r="K34" s="25">
        <v>1.0246153846153847</v>
      </c>
      <c r="L34" s="26" t="s">
        <v>19</v>
      </c>
      <c r="M34" s="32"/>
      <c r="N34" s="32" t="s">
        <v>20</v>
      </c>
      <c r="O34" s="32"/>
      <c r="P34" s="36"/>
    </row>
    <row r="35" spans="1:16" hidden="1">
      <c r="A35" s="28"/>
      <c r="B35" s="30" t="s">
        <v>54</v>
      </c>
      <c r="C35" s="32">
        <v>4702030752</v>
      </c>
      <c r="D35" s="32" t="s">
        <v>24</v>
      </c>
      <c r="E35" s="32">
        <v>710966292023</v>
      </c>
      <c r="F35" s="32" t="s">
        <v>55</v>
      </c>
      <c r="G35" s="32">
        <v>880</v>
      </c>
      <c r="H35" s="32">
        <v>886</v>
      </c>
      <c r="I35" s="32">
        <v>51</v>
      </c>
      <c r="J35" s="24">
        <v>45991</v>
      </c>
      <c r="K35" s="25">
        <v>1.0068181818181818</v>
      </c>
      <c r="L35" s="26" t="s">
        <v>19</v>
      </c>
      <c r="M35" s="32"/>
      <c r="N35" s="32" t="s">
        <v>20</v>
      </c>
      <c r="O35" s="32"/>
      <c r="P35" s="36"/>
    </row>
    <row r="36" spans="1:16" hidden="1">
      <c r="A36" s="28"/>
      <c r="B36" s="30" t="s">
        <v>54</v>
      </c>
      <c r="C36" s="32">
        <v>4702030751</v>
      </c>
      <c r="D36" s="32" t="s">
        <v>24</v>
      </c>
      <c r="E36" s="32">
        <v>710966292023</v>
      </c>
      <c r="F36" s="32" t="s">
        <v>55</v>
      </c>
      <c r="G36" s="32">
        <v>785</v>
      </c>
      <c r="H36" s="32">
        <v>806</v>
      </c>
      <c r="I36" s="32">
        <v>47</v>
      </c>
      <c r="J36" s="24">
        <v>45991</v>
      </c>
      <c r="K36" s="25">
        <v>1.0267515923566879</v>
      </c>
      <c r="L36" s="26" t="s">
        <v>19</v>
      </c>
      <c r="M36" s="32"/>
      <c r="N36" s="32" t="s">
        <v>20</v>
      </c>
      <c r="O36" s="32"/>
      <c r="P36" s="36"/>
    </row>
    <row r="37" spans="1:16" hidden="1">
      <c r="A37" s="28"/>
      <c r="B37" s="30" t="s">
        <v>56</v>
      </c>
      <c r="C37" s="32">
        <v>4702030877</v>
      </c>
      <c r="D37" s="32" t="s">
        <v>24</v>
      </c>
      <c r="E37" s="32">
        <v>710966294501</v>
      </c>
      <c r="F37" s="32" t="s">
        <v>55</v>
      </c>
      <c r="G37" s="32">
        <v>68</v>
      </c>
      <c r="H37" s="32">
        <v>68</v>
      </c>
      <c r="I37" s="32">
        <v>4</v>
      </c>
      <c r="J37" s="24">
        <v>45991</v>
      </c>
      <c r="K37" s="25">
        <v>1</v>
      </c>
      <c r="L37" s="26" t="s">
        <v>19</v>
      </c>
      <c r="M37" s="32"/>
      <c r="N37" s="32" t="s">
        <v>20</v>
      </c>
      <c r="O37" s="32" t="s">
        <v>57</v>
      </c>
      <c r="P37" s="36"/>
    </row>
    <row r="38" spans="1:16" hidden="1">
      <c r="A38" s="28"/>
      <c r="B38" s="30" t="s">
        <v>58</v>
      </c>
      <c r="C38" s="32">
        <v>4702048652</v>
      </c>
      <c r="D38" s="32" t="s">
        <v>24</v>
      </c>
      <c r="E38" s="32">
        <v>710966292008</v>
      </c>
      <c r="F38" s="32" t="s">
        <v>50</v>
      </c>
      <c r="G38" s="32">
        <v>415</v>
      </c>
      <c r="H38" s="32">
        <v>425</v>
      </c>
      <c r="I38" s="32">
        <v>25</v>
      </c>
      <c r="J38" s="24">
        <v>45991</v>
      </c>
      <c r="K38" s="25">
        <v>1.0240963855421688</v>
      </c>
      <c r="L38" s="26" t="s">
        <v>19</v>
      </c>
      <c r="M38" s="32"/>
      <c r="N38" s="32" t="s">
        <v>20</v>
      </c>
      <c r="O38" s="32"/>
      <c r="P38" s="36"/>
    </row>
    <row r="39" spans="1:16" hidden="1">
      <c r="A39" s="20"/>
      <c r="B39" s="30" t="s">
        <v>59</v>
      </c>
      <c r="C39" s="31">
        <v>4702013054</v>
      </c>
      <c r="D39" s="32" t="s">
        <v>17</v>
      </c>
      <c r="E39" s="32">
        <v>712966320502</v>
      </c>
      <c r="F39" s="32" t="s">
        <v>60</v>
      </c>
      <c r="G39" s="32">
        <v>250</v>
      </c>
      <c r="H39" s="32">
        <v>250</v>
      </c>
      <c r="I39" s="32">
        <v>14</v>
      </c>
      <c r="J39" s="24">
        <v>45991</v>
      </c>
      <c r="K39" s="25">
        <v>0</v>
      </c>
      <c r="L39" s="26" t="s">
        <v>19</v>
      </c>
      <c r="M39" s="32"/>
      <c r="N39" s="32" t="s">
        <v>20</v>
      </c>
      <c r="O39" s="32"/>
      <c r="P39" s="33"/>
    </row>
    <row r="40" spans="1:16" hidden="1">
      <c r="A40" s="20"/>
      <c r="B40" s="21" t="s">
        <v>59</v>
      </c>
      <c r="C40" s="35">
        <v>4702013055</v>
      </c>
      <c r="D40" s="23" t="s">
        <v>23</v>
      </c>
      <c r="E40" s="23">
        <v>712966320502</v>
      </c>
      <c r="F40" s="23" t="s">
        <v>60</v>
      </c>
      <c r="G40" s="23">
        <v>50</v>
      </c>
      <c r="H40" s="23">
        <v>43</v>
      </c>
      <c r="I40" s="23">
        <v>5</v>
      </c>
      <c r="J40" s="24">
        <v>45991</v>
      </c>
      <c r="K40" s="25">
        <v>0</v>
      </c>
      <c r="L40" s="26" t="s">
        <v>19</v>
      </c>
      <c r="M40" s="23"/>
      <c r="N40" s="23" t="s">
        <v>20</v>
      </c>
      <c r="O40" s="23"/>
      <c r="P40" s="27"/>
    </row>
    <row r="41" spans="1:16" hidden="1">
      <c r="A41" s="20"/>
      <c r="B41" s="30" t="s">
        <v>59</v>
      </c>
      <c r="C41" s="31">
        <v>4702013053</v>
      </c>
      <c r="D41" s="32" t="s">
        <v>24</v>
      </c>
      <c r="E41" s="32">
        <v>712966320502</v>
      </c>
      <c r="F41" s="32" t="s">
        <v>60</v>
      </c>
      <c r="G41" s="32">
        <v>180</v>
      </c>
      <c r="H41" s="32">
        <v>180</v>
      </c>
      <c r="I41" s="32">
        <v>12</v>
      </c>
      <c r="J41" s="24">
        <v>45991</v>
      </c>
      <c r="K41" s="25">
        <v>0</v>
      </c>
      <c r="L41" s="26" t="s">
        <v>19</v>
      </c>
      <c r="M41" s="32"/>
      <c r="N41" s="32" t="s">
        <v>20</v>
      </c>
      <c r="O41" s="32"/>
      <c r="P41" s="33"/>
    </row>
    <row r="42" spans="1:16" hidden="1">
      <c r="A42" s="20"/>
      <c r="B42" s="30" t="s">
        <v>61</v>
      </c>
      <c r="C42" s="39">
        <v>4702030756</v>
      </c>
      <c r="D42" s="32" t="s">
        <v>24</v>
      </c>
      <c r="E42" s="32">
        <v>710966293023</v>
      </c>
      <c r="F42" s="32" t="s">
        <v>55</v>
      </c>
      <c r="G42" s="32">
        <v>650</v>
      </c>
      <c r="H42" s="32">
        <v>666</v>
      </c>
      <c r="I42" s="32">
        <v>33</v>
      </c>
      <c r="J42" s="24">
        <v>45991</v>
      </c>
      <c r="K42" s="25">
        <v>1.0246153846153847</v>
      </c>
      <c r="L42" s="26" t="s">
        <v>19</v>
      </c>
      <c r="M42" s="32"/>
      <c r="N42" s="32" t="s">
        <v>20</v>
      </c>
      <c r="O42" s="32" t="s">
        <v>57</v>
      </c>
      <c r="P42" s="33"/>
    </row>
    <row r="43" spans="1:16" hidden="1">
      <c r="A43" s="20"/>
      <c r="B43" s="30" t="s">
        <v>61</v>
      </c>
      <c r="C43" s="39">
        <v>4702030755</v>
      </c>
      <c r="D43" s="32" t="s">
        <v>24</v>
      </c>
      <c r="E43" s="32">
        <v>710966293023</v>
      </c>
      <c r="F43" s="32" t="s">
        <v>55</v>
      </c>
      <c r="G43" s="32">
        <v>48</v>
      </c>
      <c r="H43" s="32">
        <v>48</v>
      </c>
      <c r="I43" s="32">
        <v>3</v>
      </c>
      <c r="J43" s="24">
        <v>45991</v>
      </c>
      <c r="K43" s="25">
        <v>1</v>
      </c>
      <c r="L43" s="26" t="s">
        <v>19</v>
      </c>
      <c r="M43" s="32"/>
      <c r="N43" s="32" t="s">
        <v>20</v>
      </c>
      <c r="O43" s="32" t="s">
        <v>57</v>
      </c>
      <c r="P43" s="33"/>
    </row>
    <row r="44" spans="1:16" hidden="1">
      <c r="A44" s="45">
        <v>45965</v>
      </c>
      <c r="B44" s="30" t="s">
        <v>62</v>
      </c>
      <c r="C44" s="32">
        <v>4702043052</v>
      </c>
      <c r="D44" s="32" t="s">
        <v>63</v>
      </c>
      <c r="E44" s="32" t="s">
        <v>64</v>
      </c>
      <c r="F44" s="32" t="s">
        <v>65</v>
      </c>
      <c r="G44" s="32">
        <v>4768</v>
      </c>
      <c r="H44" s="32">
        <v>4906</v>
      </c>
      <c r="I44" s="32">
        <v>304</v>
      </c>
      <c r="J44" s="24">
        <v>45998</v>
      </c>
      <c r="K44" s="25">
        <v>1.0289429530201342</v>
      </c>
      <c r="L44" s="26" t="s">
        <v>19</v>
      </c>
      <c r="M44" s="32"/>
      <c r="N44" s="32" t="s">
        <v>20</v>
      </c>
      <c r="O44" s="32"/>
      <c r="P44" s="36"/>
    </row>
    <row r="45" spans="1:16" hidden="1">
      <c r="A45" s="28"/>
      <c r="B45" s="21" t="s">
        <v>62</v>
      </c>
      <c r="C45" s="23">
        <v>4702048933</v>
      </c>
      <c r="D45" s="23" t="s">
        <v>66</v>
      </c>
      <c r="E45" s="23" t="s">
        <v>64</v>
      </c>
      <c r="F45" s="23" t="s">
        <v>65</v>
      </c>
      <c r="G45" s="23">
        <v>788</v>
      </c>
      <c r="H45" s="23">
        <v>512</v>
      </c>
      <c r="I45" s="23">
        <v>32</v>
      </c>
      <c r="J45" s="24">
        <v>45998</v>
      </c>
      <c r="K45" s="25">
        <v>0.6091370558375635</v>
      </c>
      <c r="L45" s="26" t="s">
        <v>19</v>
      </c>
      <c r="M45" s="23"/>
      <c r="N45" s="23" t="s">
        <v>20</v>
      </c>
      <c r="O45" s="23"/>
      <c r="P45" s="29"/>
    </row>
    <row r="46" spans="1:16" hidden="1">
      <c r="A46" s="28"/>
      <c r="B46" s="21" t="s">
        <v>62</v>
      </c>
      <c r="C46" s="23">
        <v>4702048932</v>
      </c>
      <c r="D46" s="23" t="s">
        <v>66</v>
      </c>
      <c r="E46" s="23" t="s">
        <v>64</v>
      </c>
      <c r="F46" s="23" t="s">
        <v>65</v>
      </c>
      <c r="G46" s="23">
        <v>326</v>
      </c>
      <c r="H46" s="23">
        <v>326</v>
      </c>
      <c r="I46" s="23">
        <v>22</v>
      </c>
      <c r="J46" s="24">
        <v>45998</v>
      </c>
      <c r="K46" s="25">
        <v>0.73619631901840488</v>
      </c>
      <c r="L46" s="26" t="s">
        <v>19</v>
      </c>
      <c r="M46" s="23"/>
      <c r="N46" s="23" t="s">
        <v>20</v>
      </c>
      <c r="O46" s="23"/>
      <c r="P46" s="29"/>
    </row>
    <row r="47" spans="1:16" hidden="1">
      <c r="A47" s="28"/>
      <c r="B47" s="37" t="s">
        <v>67</v>
      </c>
      <c r="C47" s="39">
        <v>4702048434</v>
      </c>
      <c r="D47" s="39" t="s">
        <v>37</v>
      </c>
      <c r="E47" s="39">
        <v>711966292505</v>
      </c>
      <c r="F47" s="39" t="s">
        <v>68</v>
      </c>
      <c r="G47" s="39">
        <v>920</v>
      </c>
      <c r="H47" s="39">
        <v>934</v>
      </c>
      <c r="I47" s="39">
        <v>68</v>
      </c>
      <c r="J47" s="40">
        <v>45998</v>
      </c>
      <c r="K47" s="41">
        <v>1.0152173913043478</v>
      </c>
      <c r="L47" s="26" t="s">
        <v>19</v>
      </c>
      <c r="M47" s="39"/>
      <c r="N47" s="32" t="s">
        <v>20</v>
      </c>
      <c r="O47" s="32"/>
      <c r="P47" s="36"/>
    </row>
    <row r="48" spans="1:16" hidden="1">
      <c r="A48" s="45">
        <v>45966</v>
      </c>
      <c r="B48" s="37" t="s">
        <v>69</v>
      </c>
      <c r="C48" s="39">
        <v>4702043052</v>
      </c>
      <c r="D48" s="39" t="s">
        <v>63</v>
      </c>
      <c r="E48" s="39" t="s">
        <v>70</v>
      </c>
      <c r="F48" s="39" t="s">
        <v>71</v>
      </c>
      <c r="G48" s="39">
        <v>2804</v>
      </c>
      <c r="H48" s="39">
        <v>2883</v>
      </c>
      <c r="I48" s="39">
        <v>179</v>
      </c>
      <c r="J48" s="40">
        <v>45998</v>
      </c>
      <c r="K48" s="41">
        <v>1.0281740370898715</v>
      </c>
      <c r="L48" s="26" t="s">
        <v>19</v>
      </c>
      <c r="M48" s="39"/>
      <c r="N48" s="32" t="s">
        <v>20</v>
      </c>
      <c r="O48" s="32"/>
      <c r="P48" s="36"/>
    </row>
    <row r="49" spans="1:16" hidden="1">
      <c r="A49" s="28"/>
      <c r="B49" s="34" t="s">
        <v>69</v>
      </c>
      <c r="C49" s="23">
        <v>4702048933</v>
      </c>
      <c r="D49" s="23" t="s">
        <v>66</v>
      </c>
      <c r="E49" s="23" t="s">
        <v>70</v>
      </c>
      <c r="F49" s="23" t="s">
        <v>71</v>
      </c>
      <c r="G49" s="23">
        <v>682</v>
      </c>
      <c r="H49" s="23">
        <v>669</v>
      </c>
      <c r="I49" s="23">
        <v>41</v>
      </c>
      <c r="J49" s="24">
        <v>45998</v>
      </c>
      <c r="K49" s="25">
        <v>0.98093841642228741</v>
      </c>
      <c r="L49" s="26" t="s">
        <v>19</v>
      </c>
      <c r="M49" s="23"/>
      <c r="N49" s="23" t="s">
        <v>20</v>
      </c>
      <c r="O49" s="23"/>
      <c r="P49" s="29"/>
    </row>
    <row r="50" spans="1:16" hidden="1">
      <c r="A50" s="45">
        <v>45967</v>
      </c>
      <c r="B50" s="37" t="s">
        <v>72</v>
      </c>
      <c r="C50" s="39">
        <v>4702043053</v>
      </c>
      <c r="D50" s="39" t="s">
        <v>37</v>
      </c>
      <c r="E50" s="39">
        <v>711978098002</v>
      </c>
      <c r="F50" s="39" t="s">
        <v>73</v>
      </c>
      <c r="G50" s="39">
        <v>386</v>
      </c>
      <c r="H50" s="39">
        <v>384</v>
      </c>
      <c r="I50" s="39">
        <v>29</v>
      </c>
      <c r="J50" s="40">
        <v>45998</v>
      </c>
      <c r="K50" s="41">
        <v>0.99481865284974091</v>
      </c>
      <c r="L50" s="26" t="s">
        <v>19</v>
      </c>
      <c r="M50" s="39"/>
      <c r="N50" s="32" t="s">
        <v>20</v>
      </c>
      <c r="O50" s="32"/>
      <c r="P50" s="43" t="s">
        <v>46</v>
      </c>
    </row>
    <row r="51" spans="1:16" hidden="1">
      <c r="A51" s="45">
        <v>45969</v>
      </c>
      <c r="B51" s="37" t="s">
        <v>74</v>
      </c>
      <c r="C51" s="46">
        <v>4702043052</v>
      </c>
      <c r="D51" s="39" t="s">
        <v>63</v>
      </c>
      <c r="E51" s="39" t="s">
        <v>75</v>
      </c>
      <c r="F51" s="39" t="s">
        <v>76</v>
      </c>
      <c r="G51" s="39">
        <v>1632</v>
      </c>
      <c r="H51" s="39">
        <v>1676</v>
      </c>
      <c r="I51" s="39">
        <v>104</v>
      </c>
      <c r="J51" s="40">
        <v>45998</v>
      </c>
      <c r="K51" s="41">
        <v>1.0269607843137254</v>
      </c>
      <c r="L51" s="26" t="s">
        <v>19</v>
      </c>
      <c r="M51" s="39"/>
      <c r="N51" s="32" t="s">
        <v>20</v>
      </c>
      <c r="O51" s="32"/>
      <c r="P51" s="36"/>
    </row>
    <row r="52" spans="1:16" hidden="1">
      <c r="A52" s="45">
        <v>45967</v>
      </c>
      <c r="B52" s="34" t="s">
        <v>77</v>
      </c>
      <c r="C52" s="22">
        <v>4702043052</v>
      </c>
      <c r="D52" s="22" t="s">
        <v>63</v>
      </c>
      <c r="E52" s="22" t="s">
        <v>78</v>
      </c>
      <c r="F52" s="22" t="s">
        <v>79</v>
      </c>
      <c r="G52" s="22">
        <v>3690</v>
      </c>
      <c r="H52" s="22">
        <v>3784</v>
      </c>
      <c r="I52" s="22">
        <v>234</v>
      </c>
      <c r="J52" s="40">
        <v>45998</v>
      </c>
      <c r="K52" s="41">
        <v>1.0254742547425475</v>
      </c>
      <c r="L52" s="26" t="s">
        <v>19</v>
      </c>
      <c r="M52" s="22"/>
      <c r="N52" s="23" t="s">
        <v>20</v>
      </c>
      <c r="O52" s="23" t="s">
        <v>80</v>
      </c>
      <c r="P52" s="29"/>
    </row>
    <row r="53" spans="1:16" hidden="1">
      <c r="A53" s="28"/>
      <c r="B53" s="34" t="s">
        <v>77</v>
      </c>
      <c r="C53" s="22">
        <v>4702048933</v>
      </c>
      <c r="D53" s="22" t="s">
        <v>66</v>
      </c>
      <c r="E53" s="22" t="s">
        <v>78</v>
      </c>
      <c r="F53" s="22" t="s">
        <v>79</v>
      </c>
      <c r="G53" s="22">
        <v>682</v>
      </c>
      <c r="H53" s="22">
        <v>698</v>
      </c>
      <c r="I53" s="22">
        <v>44</v>
      </c>
      <c r="J53" s="40">
        <v>45998</v>
      </c>
      <c r="K53" s="41">
        <v>1.0234604105571847</v>
      </c>
      <c r="L53" s="26" t="s">
        <v>19</v>
      </c>
      <c r="M53" s="22"/>
      <c r="N53" s="23" t="s">
        <v>20</v>
      </c>
      <c r="O53" s="23"/>
      <c r="P53" s="29"/>
    </row>
    <row r="54" spans="1:16" hidden="1">
      <c r="A54" s="28"/>
      <c r="B54" s="34" t="s">
        <v>77</v>
      </c>
      <c r="C54" s="22">
        <v>4702048932</v>
      </c>
      <c r="D54" s="22" t="s">
        <v>66</v>
      </c>
      <c r="E54" s="22" t="s">
        <v>78</v>
      </c>
      <c r="F54" s="22" t="s">
        <v>79</v>
      </c>
      <c r="G54" s="22">
        <v>326</v>
      </c>
      <c r="H54" s="22">
        <v>331</v>
      </c>
      <c r="I54" s="22">
        <v>22</v>
      </c>
      <c r="J54" s="40">
        <v>45998</v>
      </c>
      <c r="K54" s="41">
        <v>1.0153374233128833</v>
      </c>
      <c r="L54" s="26" t="s">
        <v>19</v>
      </c>
      <c r="M54" s="22"/>
      <c r="N54" s="23" t="s">
        <v>20</v>
      </c>
      <c r="O54" s="23"/>
      <c r="P54" s="29"/>
    </row>
    <row r="55" spans="1:16" hidden="1">
      <c r="A55" s="28"/>
      <c r="B55" s="37" t="s">
        <v>81</v>
      </c>
      <c r="C55" s="46">
        <v>4702043046</v>
      </c>
      <c r="D55" s="39" t="s">
        <v>37</v>
      </c>
      <c r="E55" s="39" t="s">
        <v>82</v>
      </c>
      <c r="F55" s="39" t="s">
        <v>83</v>
      </c>
      <c r="G55" s="39">
        <v>2000</v>
      </c>
      <c r="H55" s="39">
        <v>2050</v>
      </c>
      <c r="I55" s="39">
        <v>118</v>
      </c>
      <c r="J55" s="40">
        <v>45998</v>
      </c>
      <c r="K55" s="41">
        <v>1.0249999999999999</v>
      </c>
      <c r="L55" s="26" t="s">
        <v>19</v>
      </c>
      <c r="M55" s="39"/>
      <c r="N55" s="32" t="s">
        <v>20</v>
      </c>
      <c r="O55" s="32" t="s">
        <v>57</v>
      </c>
      <c r="P55" s="36" t="s">
        <v>84</v>
      </c>
    </row>
    <row r="56" spans="1:16" hidden="1">
      <c r="A56" s="28"/>
      <c r="B56" s="30" t="s">
        <v>85</v>
      </c>
      <c r="C56" s="47">
        <v>4702043034</v>
      </c>
      <c r="D56" s="32" t="s">
        <v>86</v>
      </c>
      <c r="E56" s="32" t="s">
        <v>87</v>
      </c>
      <c r="F56" s="32" t="s">
        <v>83</v>
      </c>
      <c r="G56" s="32">
        <v>198</v>
      </c>
      <c r="H56" s="32">
        <v>198</v>
      </c>
      <c r="I56" s="32">
        <v>12</v>
      </c>
      <c r="J56" s="24">
        <v>45991</v>
      </c>
      <c r="K56" s="25">
        <v>1</v>
      </c>
      <c r="L56" s="26" t="s">
        <v>19</v>
      </c>
      <c r="M56" s="32"/>
      <c r="N56" s="32" t="s">
        <v>20</v>
      </c>
      <c r="O56" s="32" t="s">
        <v>57</v>
      </c>
      <c r="P56" s="36" t="s">
        <v>84</v>
      </c>
    </row>
    <row r="57" spans="1:16" hidden="1">
      <c r="A57" s="28"/>
      <c r="B57" s="34" t="s">
        <v>85</v>
      </c>
      <c r="C57" s="22">
        <v>4702043033</v>
      </c>
      <c r="D57" s="22" t="s">
        <v>63</v>
      </c>
      <c r="E57" s="22" t="s">
        <v>87</v>
      </c>
      <c r="F57" s="22" t="s">
        <v>83</v>
      </c>
      <c r="G57" s="22">
        <v>502</v>
      </c>
      <c r="H57" s="22">
        <v>504</v>
      </c>
      <c r="I57" s="22">
        <v>30</v>
      </c>
      <c r="J57" s="40">
        <v>45998</v>
      </c>
      <c r="K57" s="41">
        <v>1.0039840637450199</v>
      </c>
      <c r="L57" s="26" t="s">
        <v>19</v>
      </c>
      <c r="M57" s="22"/>
      <c r="N57" s="23" t="s">
        <v>20</v>
      </c>
      <c r="O57" s="23" t="s">
        <v>57</v>
      </c>
      <c r="P57" s="29" t="s">
        <v>84</v>
      </c>
    </row>
    <row r="58" spans="1:16" hidden="1">
      <c r="A58" s="48">
        <v>45968</v>
      </c>
      <c r="B58" s="21" t="s">
        <v>88</v>
      </c>
      <c r="C58" s="23">
        <v>4702043051</v>
      </c>
      <c r="D58" s="23" t="s">
        <v>63</v>
      </c>
      <c r="E58" s="23" t="s">
        <v>89</v>
      </c>
      <c r="F58" s="23" t="s">
        <v>90</v>
      </c>
      <c r="G58" s="23">
        <v>5498</v>
      </c>
      <c r="H58" s="23">
        <v>3450</v>
      </c>
      <c r="I58" s="23">
        <v>213</v>
      </c>
      <c r="J58" s="24">
        <v>45998</v>
      </c>
      <c r="K58" s="25">
        <v>8.293925063659513E-2</v>
      </c>
      <c r="L58" s="26" t="s">
        <v>19</v>
      </c>
      <c r="M58" s="23"/>
      <c r="N58" s="23" t="s">
        <v>20</v>
      </c>
      <c r="O58" s="23"/>
      <c r="P58" s="29"/>
    </row>
    <row r="59" spans="1:16" hidden="1">
      <c r="A59" s="28"/>
      <c r="B59" s="21" t="s">
        <v>88</v>
      </c>
      <c r="C59" s="23">
        <v>4702048931</v>
      </c>
      <c r="D59" s="23" t="s">
        <v>66</v>
      </c>
      <c r="E59" s="23" t="s">
        <v>89</v>
      </c>
      <c r="F59" s="23" t="s">
        <v>90</v>
      </c>
      <c r="G59" s="23">
        <v>916</v>
      </c>
      <c r="H59" s="23">
        <v>130</v>
      </c>
      <c r="I59" s="23">
        <v>8</v>
      </c>
      <c r="J59" s="24">
        <v>45998</v>
      </c>
      <c r="K59" s="25">
        <v>0</v>
      </c>
      <c r="L59" s="26" t="s">
        <v>19</v>
      </c>
      <c r="M59" s="23"/>
      <c r="N59" s="23" t="s">
        <v>20</v>
      </c>
      <c r="O59" s="23"/>
      <c r="P59" s="29"/>
    </row>
    <row r="60" spans="1:16" hidden="1">
      <c r="A60" s="28"/>
      <c r="B60" s="21" t="s">
        <v>88</v>
      </c>
      <c r="C60" s="23">
        <v>4702048930</v>
      </c>
      <c r="D60" s="23" t="s">
        <v>66</v>
      </c>
      <c r="E60" s="23" t="s">
        <v>89</v>
      </c>
      <c r="F60" s="23" t="s">
        <v>90</v>
      </c>
      <c r="G60" s="23">
        <v>446</v>
      </c>
      <c r="H60" s="23"/>
      <c r="I60" s="23"/>
      <c r="J60" s="24">
        <v>45998</v>
      </c>
      <c r="K60" s="25">
        <v>0</v>
      </c>
      <c r="L60" s="26" t="s">
        <v>19</v>
      </c>
      <c r="M60" s="23"/>
      <c r="N60" s="23" t="s">
        <v>20</v>
      </c>
      <c r="O60" s="23"/>
      <c r="P60" s="29"/>
    </row>
    <row r="61" spans="1:16" hidden="1">
      <c r="A61" s="28"/>
      <c r="B61" s="30" t="s">
        <v>91</v>
      </c>
      <c r="C61" s="32">
        <v>4702029502</v>
      </c>
      <c r="D61" s="32" t="s">
        <v>37</v>
      </c>
      <c r="E61" s="32" t="s">
        <v>92</v>
      </c>
      <c r="F61" s="32" t="s">
        <v>93</v>
      </c>
      <c r="G61" s="32">
        <v>245</v>
      </c>
      <c r="H61" s="32">
        <v>240</v>
      </c>
      <c r="I61" s="32">
        <v>15</v>
      </c>
      <c r="J61" s="24">
        <v>45991</v>
      </c>
      <c r="K61" s="25">
        <v>0.97959183673469385</v>
      </c>
      <c r="L61" s="26" t="s">
        <v>19</v>
      </c>
      <c r="M61" s="32"/>
      <c r="N61" s="32" t="s">
        <v>20</v>
      </c>
      <c r="O61" s="32" t="s">
        <v>41</v>
      </c>
      <c r="P61" s="36" t="s">
        <v>22</v>
      </c>
    </row>
    <row r="62" spans="1:16" hidden="1">
      <c r="A62" s="28"/>
      <c r="B62" s="30" t="s">
        <v>94</v>
      </c>
      <c r="C62" s="32">
        <v>4702028461</v>
      </c>
      <c r="D62" s="32" t="s">
        <v>37</v>
      </c>
      <c r="E62" s="32">
        <v>712980684001</v>
      </c>
      <c r="F62" s="32" t="s">
        <v>95</v>
      </c>
      <c r="G62" s="32">
        <v>171</v>
      </c>
      <c r="H62" s="32">
        <v>165</v>
      </c>
      <c r="I62" s="32">
        <v>11</v>
      </c>
      <c r="J62" s="24">
        <v>45991</v>
      </c>
      <c r="K62" s="25">
        <v>0.96491228070175439</v>
      </c>
      <c r="L62" s="26" t="s">
        <v>19</v>
      </c>
      <c r="M62" s="32"/>
      <c r="N62" s="32" t="s">
        <v>20</v>
      </c>
      <c r="O62" s="39" t="s">
        <v>96</v>
      </c>
      <c r="P62" s="36" t="s">
        <v>22</v>
      </c>
    </row>
    <row r="63" spans="1:16" hidden="1">
      <c r="A63" s="28"/>
      <c r="B63" s="21" t="s">
        <v>97</v>
      </c>
      <c r="C63" s="23">
        <v>4702030013</v>
      </c>
      <c r="D63" s="22" t="s">
        <v>63</v>
      </c>
      <c r="E63" s="23" t="s">
        <v>98</v>
      </c>
      <c r="F63" s="23" t="s">
        <v>99</v>
      </c>
      <c r="G63" s="23">
        <v>350</v>
      </c>
      <c r="H63" s="23">
        <v>200</v>
      </c>
      <c r="I63" s="23">
        <v>10</v>
      </c>
      <c r="J63" s="24">
        <v>45991</v>
      </c>
      <c r="K63" s="25">
        <v>0</v>
      </c>
      <c r="L63" s="26" t="s">
        <v>19</v>
      </c>
      <c r="M63" s="23"/>
      <c r="N63" s="23" t="s">
        <v>20</v>
      </c>
      <c r="O63" s="23"/>
      <c r="P63" s="29"/>
    </row>
    <row r="64" spans="1:16" hidden="1">
      <c r="A64" s="28"/>
      <c r="B64" s="34" t="s">
        <v>100</v>
      </c>
      <c r="C64" s="49">
        <v>4702024306</v>
      </c>
      <c r="D64" s="22" t="s">
        <v>37</v>
      </c>
      <c r="E64" s="22">
        <v>710982143500</v>
      </c>
      <c r="F64" s="22" t="s">
        <v>101</v>
      </c>
      <c r="G64" s="50">
        <v>4027</v>
      </c>
      <c r="H64" s="50">
        <v>4146</v>
      </c>
      <c r="I64" s="50">
        <v>239</v>
      </c>
      <c r="J64" s="40">
        <v>45942</v>
      </c>
      <c r="K64" s="41">
        <f t="shared" ref="K64" si="0">H64/G64</f>
        <v>1.0295505338962005</v>
      </c>
      <c r="L64" s="26" t="s">
        <v>19</v>
      </c>
      <c r="M64" s="39"/>
      <c r="N64" s="39"/>
      <c r="O64" s="39"/>
      <c r="P64" s="51"/>
    </row>
    <row r="65" spans="1:16">
      <c r="A65" s="28"/>
      <c r="B65" s="52" t="s">
        <v>102</v>
      </c>
      <c r="C65" s="53"/>
      <c r="D65" s="53"/>
      <c r="E65" s="53">
        <v>710889739002</v>
      </c>
      <c r="F65" s="53" t="s">
        <v>103</v>
      </c>
      <c r="G65" s="53">
        <v>311</v>
      </c>
      <c r="H65" s="53">
        <v>198</v>
      </c>
      <c r="I65" s="53">
        <v>11</v>
      </c>
      <c r="J65" s="54"/>
      <c r="K65" s="54"/>
      <c r="L65" s="53" t="s">
        <v>104</v>
      </c>
      <c r="M65" s="55" t="s">
        <v>105</v>
      </c>
      <c r="N65" s="55" t="s">
        <v>105</v>
      </c>
      <c r="O65" s="56"/>
      <c r="P65" s="57"/>
    </row>
    <row r="66" spans="1:16">
      <c r="A66" s="28"/>
      <c r="B66" s="52" t="s">
        <v>106</v>
      </c>
      <c r="C66" s="53"/>
      <c r="D66" s="53"/>
      <c r="E66" s="53">
        <v>710966292008</v>
      </c>
      <c r="F66" s="53" t="s">
        <v>50</v>
      </c>
      <c r="G66" s="53">
        <v>792</v>
      </c>
      <c r="H66" s="53">
        <v>792</v>
      </c>
      <c r="I66" s="53">
        <v>44</v>
      </c>
      <c r="J66" s="54"/>
      <c r="K66" s="54"/>
      <c r="L66" s="53" t="s">
        <v>107</v>
      </c>
      <c r="M66" s="55" t="s">
        <v>105</v>
      </c>
      <c r="N66" s="55" t="s">
        <v>105</v>
      </c>
      <c r="O66" s="58" t="s">
        <v>108</v>
      </c>
      <c r="P66" s="57"/>
    </row>
    <row r="67" spans="1:16" s="59" customFormat="1" hidden="1">
      <c r="A67" s="20"/>
      <c r="B67" s="34" t="s">
        <v>109</v>
      </c>
      <c r="C67" s="22">
        <v>4702048423</v>
      </c>
      <c r="D67" s="22" t="s">
        <v>63</v>
      </c>
      <c r="E67" s="22">
        <v>710966293026</v>
      </c>
      <c r="F67" s="22" t="s">
        <v>68</v>
      </c>
      <c r="G67" s="22">
        <v>400</v>
      </c>
      <c r="H67" s="22">
        <v>410</v>
      </c>
      <c r="I67" s="22">
        <v>23</v>
      </c>
      <c r="J67" s="40">
        <v>46005</v>
      </c>
      <c r="K67" s="41">
        <f>H67/G67</f>
        <v>1.0249999999999999</v>
      </c>
      <c r="L67" s="26" t="s">
        <v>19</v>
      </c>
      <c r="M67" s="22"/>
      <c r="N67" s="22"/>
      <c r="O67" s="39"/>
      <c r="P67" s="27"/>
    </row>
    <row r="68" spans="1:16" hidden="1">
      <c r="A68" s="20"/>
      <c r="B68" s="34" t="s">
        <v>67</v>
      </c>
      <c r="C68" s="23">
        <v>4702048435</v>
      </c>
      <c r="D68" s="23" t="s">
        <v>63</v>
      </c>
      <c r="E68" s="23">
        <v>711966292505</v>
      </c>
      <c r="F68" s="23" t="s">
        <v>68</v>
      </c>
      <c r="G68" s="23">
        <v>300</v>
      </c>
      <c r="H68" s="23">
        <v>300</v>
      </c>
      <c r="I68" s="23">
        <v>24</v>
      </c>
      <c r="J68" s="24">
        <v>46005</v>
      </c>
      <c r="K68" s="25">
        <f>H68/G68</f>
        <v>1</v>
      </c>
      <c r="L68" s="26" t="s">
        <v>19</v>
      </c>
      <c r="M68" s="22"/>
      <c r="N68" s="49"/>
      <c r="O68" s="32"/>
      <c r="P68" s="29"/>
    </row>
    <row r="69" spans="1:16" hidden="1">
      <c r="A69" s="28"/>
      <c r="B69" s="21" t="s">
        <v>110</v>
      </c>
      <c r="C69" s="23">
        <v>4702032001</v>
      </c>
      <c r="D69" s="23" t="s">
        <v>63</v>
      </c>
      <c r="E69" s="23" t="s">
        <v>111</v>
      </c>
      <c r="F69" s="23" t="s">
        <v>112</v>
      </c>
      <c r="G69" s="23">
        <v>54</v>
      </c>
      <c r="H69" s="23">
        <v>54</v>
      </c>
      <c r="I69" s="23">
        <v>2</v>
      </c>
      <c r="J69" s="24">
        <v>46005</v>
      </c>
      <c r="K69" s="25">
        <f>H69/G69</f>
        <v>1</v>
      </c>
      <c r="L69" s="26" t="s">
        <v>19</v>
      </c>
      <c r="M69" s="60"/>
      <c r="N69" s="60"/>
      <c r="O69" s="61"/>
      <c r="P69" s="62"/>
    </row>
    <row r="70" spans="1:16" hidden="1">
      <c r="A70" s="28"/>
      <c r="B70" s="34" t="s">
        <v>113</v>
      </c>
      <c r="C70" s="22" t="s">
        <v>114</v>
      </c>
      <c r="D70" s="22" t="s">
        <v>63</v>
      </c>
      <c r="E70" s="22" t="s">
        <v>115</v>
      </c>
      <c r="F70" s="22" t="s">
        <v>68</v>
      </c>
      <c r="G70" s="22">
        <v>900</v>
      </c>
      <c r="H70" s="22">
        <v>925</v>
      </c>
      <c r="I70" s="22">
        <v>54</v>
      </c>
      <c r="J70" s="24">
        <v>46005</v>
      </c>
      <c r="K70" s="25">
        <f>H70/G70</f>
        <v>1.0277777777777777</v>
      </c>
      <c r="L70" s="26" t="s">
        <v>19</v>
      </c>
      <c r="M70" s="63"/>
      <c r="N70" s="63"/>
      <c r="O70" s="63"/>
      <c r="P70" s="64"/>
    </row>
    <row r="71" spans="1:16" hidden="1">
      <c r="A71" s="45">
        <v>45995</v>
      </c>
      <c r="B71" s="65" t="s">
        <v>116</v>
      </c>
      <c r="C71" s="66">
        <v>4702048422</v>
      </c>
      <c r="D71" s="67" t="s">
        <v>23</v>
      </c>
      <c r="E71" s="66">
        <v>710966292032</v>
      </c>
      <c r="F71" s="66" t="s">
        <v>68</v>
      </c>
      <c r="G71" s="66">
        <v>1700</v>
      </c>
      <c r="H71" s="66">
        <v>1749</v>
      </c>
      <c r="I71" s="66">
        <v>99</v>
      </c>
      <c r="J71" s="68">
        <v>46012</v>
      </c>
      <c r="K71" s="69">
        <f t="shared" ref="K71:K72" si="1">H71/G71</f>
        <v>1.0288235294117647</v>
      </c>
      <c r="L71" s="67" t="s">
        <v>117</v>
      </c>
      <c r="M71" s="60"/>
      <c r="N71" s="60"/>
      <c r="O71" s="61"/>
      <c r="P71" s="62"/>
    </row>
    <row r="72" spans="1:16" hidden="1">
      <c r="A72" s="28"/>
      <c r="B72" s="65" t="s">
        <v>118</v>
      </c>
      <c r="C72" s="66">
        <v>4702043039</v>
      </c>
      <c r="D72" s="66" t="s">
        <v>23</v>
      </c>
      <c r="E72" s="66" t="s">
        <v>119</v>
      </c>
      <c r="F72" s="66" t="s">
        <v>120</v>
      </c>
      <c r="G72" s="66">
        <v>80</v>
      </c>
      <c r="H72" s="66">
        <v>80</v>
      </c>
      <c r="I72" s="66">
        <v>2</v>
      </c>
      <c r="J72" s="68">
        <v>46012</v>
      </c>
      <c r="K72" s="69">
        <f t="shared" si="1"/>
        <v>1</v>
      </c>
      <c r="L72" s="67" t="s">
        <v>117</v>
      </c>
      <c r="M72" s="60"/>
      <c r="N72" s="60"/>
      <c r="O72" s="61"/>
      <c r="P72" s="62"/>
    </row>
    <row r="73" spans="1:16" hidden="1">
      <c r="A73" s="45">
        <v>45997</v>
      </c>
      <c r="B73" s="70" t="s">
        <v>121</v>
      </c>
      <c r="C73" s="71" t="s">
        <v>122</v>
      </c>
      <c r="D73" s="71" t="s">
        <v>24</v>
      </c>
      <c r="E73" s="71" t="s">
        <v>123</v>
      </c>
      <c r="F73" s="71" t="s">
        <v>124</v>
      </c>
      <c r="G73" s="71">
        <v>155</v>
      </c>
      <c r="H73" s="71"/>
      <c r="I73" s="71"/>
      <c r="J73" s="60">
        <v>46012</v>
      </c>
      <c r="K73" s="72"/>
      <c r="L73" s="71" t="s">
        <v>125</v>
      </c>
      <c r="M73" s="60"/>
      <c r="N73" s="60"/>
      <c r="O73" s="61"/>
      <c r="P73" s="62"/>
    </row>
    <row r="74" spans="1:16" hidden="1">
      <c r="A74" s="45">
        <v>45997</v>
      </c>
      <c r="B74" s="70" t="s">
        <v>121</v>
      </c>
      <c r="C74" s="71" t="s">
        <v>126</v>
      </c>
      <c r="D74" s="71" t="s">
        <v>63</v>
      </c>
      <c r="E74" s="71" t="s">
        <v>123</v>
      </c>
      <c r="F74" s="71" t="s">
        <v>124</v>
      </c>
      <c r="G74" s="71">
        <v>145</v>
      </c>
      <c r="H74" s="71"/>
      <c r="I74" s="71"/>
      <c r="J74" s="60">
        <v>46012</v>
      </c>
      <c r="K74" s="72"/>
      <c r="L74" s="71" t="s">
        <v>125</v>
      </c>
      <c r="M74" s="60"/>
      <c r="N74" s="60"/>
      <c r="O74" s="61"/>
      <c r="P74" s="62"/>
    </row>
    <row r="75" spans="1:16" hidden="1">
      <c r="A75" s="45">
        <v>45997</v>
      </c>
      <c r="B75" s="70" t="s">
        <v>121</v>
      </c>
      <c r="C75" s="71" t="s">
        <v>127</v>
      </c>
      <c r="D75" s="71" t="s">
        <v>37</v>
      </c>
      <c r="E75" s="71" t="s">
        <v>123</v>
      </c>
      <c r="F75" s="71" t="s">
        <v>124</v>
      </c>
      <c r="G75" s="71">
        <v>200</v>
      </c>
      <c r="H75" s="71"/>
      <c r="I75" s="71"/>
      <c r="J75" s="60">
        <v>46012</v>
      </c>
      <c r="K75" s="72"/>
      <c r="L75" s="71" t="s">
        <v>125</v>
      </c>
      <c r="M75" s="60"/>
      <c r="N75" s="60"/>
      <c r="O75" s="61"/>
      <c r="P75" s="62"/>
    </row>
    <row r="76" spans="1:16" hidden="1">
      <c r="A76" s="45">
        <v>45997</v>
      </c>
      <c r="B76" s="70" t="s">
        <v>121</v>
      </c>
      <c r="C76" s="71" t="s">
        <v>128</v>
      </c>
      <c r="D76" s="71" t="s">
        <v>17</v>
      </c>
      <c r="E76" s="71" t="s">
        <v>123</v>
      </c>
      <c r="F76" s="71" t="s">
        <v>124</v>
      </c>
      <c r="G76" s="71">
        <v>135</v>
      </c>
      <c r="H76" s="71"/>
      <c r="I76" s="71"/>
      <c r="J76" s="60">
        <v>46012</v>
      </c>
      <c r="K76" s="72"/>
      <c r="L76" s="71" t="s">
        <v>125</v>
      </c>
      <c r="M76" s="61"/>
      <c r="N76" s="61"/>
      <c r="O76" s="61"/>
      <c r="P76" s="62"/>
    </row>
    <row r="77" spans="1:16" hidden="1">
      <c r="A77" s="45">
        <v>45997</v>
      </c>
      <c r="B77" s="70" t="s">
        <v>121</v>
      </c>
      <c r="C77" s="71" t="s">
        <v>129</v>
      </c>
      <c r="D77" s="71" t="s">
        <v>23</v>
      </c>
      <c r="E77" s="71" t="s">
        <v>123</v>
      </c>
      <c r="F77" s="71" t="s">
        <v>124</v>
      </c>
      <c r="G77" s="71">
        <v>198</v>
      </c>
      <c r="H77" s="71"/>
      <c r="I77" s="71"/>
      <c r="J77" s="60">
        <v>46012</v>
      </c>
      <c r="K77" s="72"/>
      <c r="L77" s="71" t="s">
        <v>125</v>
      </c>
      <c r="M77" s="61"/>
      <c r="N77" s="61"/>
      <c r="O77" s="61"/>
      <c r="P77" s="62"/>
    </row>
    <row r="78" spans="1:16" hidden="1">
      <c r="A78" s="45">
        <v>45997</v>
      </c>
      <c r="B78" s="70" t="s">
        <v>121</v>
      </c>
      <c r="C78" s="71" t="s">
        <v>130</v>
      </c>
      <c r="D78" s="71" t="s">
        <v>63</v>
      </c>
      <c r="E78" s="71" t="s">
        <v>123</v>
      </c>
      <c r="F78" s="71" t="s">
        <v>124</v>
      </c>
      <c r="G78" s="71">
        <v>202</v>
      </c>
      <c r="H78" s="71"/>
      <c r="I78" s="71"/>
      <c r="J78" s="60">
        <v>46012</v>
      </c>
      <c r="K78" s="72"/>
      <c r="L78" s="71" t="s">
        <v>125</v>
      </c>
      <c r="M78" s="61"/>
      <c r="N78" s="61"/>
      <c r="O78" s="61"/>
      <c r="P78" s="62"/>
    </row>
    <row r="79" spans="1:16" hidden="1">
      <c r="A79" s="28"/>
      <c r="B79" s="70" t="s">
        <v>131</v>
      </c>
      <c r="C79" s="71" t="s">
        <v>132</v>
      </c>
      <c r="D79" s="71" t="s">
        <v>17</v>
      </c>
      <c r="E79" s="71" t="s">
        <v>133</v>
      </c>
      <c r="F79" s="71" t="s">
        <v>134</v>
      </c>
      <c r="G79" s="71">
        <v>135</v>
      </c>
      <c r="H79" s="71"/>
      <c r="I79" s="71"/>
      <c r="J79" s="60">
        <v>46012</v>
      </c>
      <c r="K79" s="72"/>
      <c r="L79" s="71"/>
      <c r="M79" s="61"/>
      <c r="N79" s="61"/>
      <c r="O79" s="61"/>
      <c r="P79" s="62"/>
    </row>
    <row r="80" spans="1:16" hidden="1">
      <c r="A80" s="28"/>
      <c r="B80" s="70" t="s">
        <v>131</v>
      </c>
      <c r="C80" s="71" t="s">
        <v>135</v>
      </c>
      <c r="D80" s="71" t="s">
        <v>24</v>
      </c>
      <c r="E80" s="71" t="s">
        <v>133</v>
      </c>
      <c r="F80" s="71" t="s">
        <v>134</v>
      </c>
      <c r="G80" s="71">
        <v>145</v>
      </c>
      <c r="H80" s="71"/>
      <c r="I80" s="71"/>
      <c r="J80" s="60">
        <v>46012</v>
      </c>
      <c r="K80" s="72"/>
      <c r="L80" s="71"/>
      <c r="M80" s="61"/>
      <c r="N80" s="61"/>
      <c r="O80" s="61"/>
      <c r="P80" s="62"/>
    </row>
    <row r="81" spans="1:16" hidden="1">
      <c r="A81" s="28"/>
      <c r="B81" s="70" t="s">
        <v>131</v>
      </c>
      <c r="C81" s="71" t="s">
        <v>136</v>
      </c>
      <c r="D81" s="71" t="s">
        <v>63</v>
      </c>
      <c r="E81" s="71" t="s">
        <v>133</v>
      </c>
      <c r="F81" s="71" t="s">
        <v>134</v>
      </c>
      <c r="G81" s="71">
        <v>230</v>
      </c>
      <c r="H81" s="71"/>
      <c r="I81" s="71"/>
      <c r="J81" s="60">
        <v>46012</v>
      </c>
      <c r="K81" s="72"/>
      <c r="L81" s="71"/>
      <c r="M81" s="61"/>
      <c r="N81" s="61"/>
      <c r="O81" s="61"/>
      <c r="P81" s="62"/>
    </row>
    <row r="82" spans="1:16" hidden="1">
      <c r="A82" s="28"/>
      <c r="B82" s="70" t="s">
        <v>131</v>
      </c>
      <c r="C82" s="71" t="s">
        <v>137</v>
      </c>
      <c r="D82" s="71" t="s">
        <v>63</v>
      </c>
      <c r="E82" s="71" t="s">
        <v>133</v>
      </c>
      <c r="F82" s="71" t="s">
        <v>134</v>
      </c>
      <c r="G82" s="71">
        <v>200</v>
      </c>
      <c r="H82" s="71"/>
      <c r="I82" s="71"/>
      <c r="J82" s="60">
        <v>46012</v>
      </c>
      <c r="K82" s="72"/>
      <c r="L82" s="71"/>
      <c r="M82" s="61"/>
      <c r="N82" s="61"/>
      <c r="O82" s="61"/>
      <c r="P82" s="62"/>
    </row>
    <row r="83" spans="1:16" hidden="1">
      <c r="A83" s="28"/>
      <c r="B83" s="70" t="s">
        <v>131</v>
      </c>
      <c r="C83" s="71" t="s">
        <v>138</v>
      </c>
      <c r="D83" s="71" t="s">
        <v>23</v>
      </c>
      <c r="E83" s="71" t="s">
        <v>133</v>
      </c>
      <c r="F83" s="71" t="s">
        <v>134</v>
      </c>
      <c r="G83" s="71">
        <v>177</v>
      </c>
      <c r="H83" s="71"/>
      <c r="I83" s="71"/>
      <c r="J83" s="60">
        <v>46012</v>
      </c>
      <c r="K83" s="72"/>
      <c r="L83" s="71"/>
      <c r="M83" s="61"/>
      <c r="N83" s="61"/>
      <c r="O83" s="61"/>
      <c r="P83" s="62"/>
    </row>
    <row r="84" spans="1:16" hidden="1">
      <c r="A84" s="28"/>
      <c r="B84" s="70" t="s">
        <v>131</v>
      </c>
      <c r="C84" s="71" t="s">
        <v>139</v>
      </c>
      <c r="D84" s="71" t="s">
        <v>37</v>
      </c>
      <c r="E84" s="71" t="s">
        <v>133</v>
      </c>
      <c r="F84" s="71" t="s">
        <v>134</v>
      </c>
      <c r="G84" s="71">
        <v>109</v>
      </c>
      <c r="H84" s="71"/>
      <c r="I84" s="71"/>
      <c r="J84" s="60">
        <v>46012</v>
      </c>
      <c r="K84" s="72"/>
      <c r="L84" s="71"/>
      <c r="M84" s="61"/>
      <c r="N84" s="61"/>
      <c r="O84" s="61"/>
      <c r="P84" s="62"/>
    </row>
    <row r="85" spans="1:16" hidden="1">
      <c r="A85" s="28"/>
      <c r="B85" s="70" t="s">
        <v>110</v>
      </c>
      <c r="C85" s="71" t="s">
        <v>140</v>
      </c>
      <c r="D85" s="71" t="s">
        <v>23</v>
      </c>
      <c r="E85" s="71" t="s">
        <v>111</v>
      </c>
      <c r="F85" s="71" t="s">
        <v>112</v>
      </c>
      <c r="G85" s="71">
        <v>150</v>
      </c>
      <c r="H85" s="71"/>
      <c r="I85" s="71"/>
      <c r="J85" s="60">
        <v>46012</v>
      </c>
      <c r="K85" s="72"/>
      <c r="L85" s="71"/>
      <c r="M85" s="61"/>
      <c r="N85" s="61"/>
      <c r="O85" s="61"/>
      <c r="P85" s="62"/>
    </row>
    <row r="86" spans="1:16" hidden="1">
      <c r="A86" s="28"/>
      <c r="B86" s="73" t="s">
        <v>141</v>
      </c>
      <c r="C86" s="74" t="s">
        <v>142</v>
      </c>
      <c r="D86" s="74" t="s">
        <v>23</v>
      </c>
      <c r="E86" s="74" t="s">
        <v>143</v>
      </c>
      <c r="F86" s="74" t="s">
        <v>144</v>
      </c>
      <c r="G86" s="74">
        <v>20</v>
      </c>
      <c r="H86" s="74">
        <v>20</v>
      </c>
      <c r="I86" s="74">
        <v>1</v>
      </c>
      <c r="J86" s="75">
        <v>46012</v>
      </c>
      <c r="K86" s="76">
        <f>H86/G86</f>
        <v>1</v>
      </c>
      <c r="L86" s="77" t="s">
        <v>145</v>
      </c>
      <c r="M86" s="61"/>
      <c r="N86" s="61"/>
      <c r="O86" s="61"/>
      <c r="P86" s="62" t="s">
        <v>22</v>
      </c>
    </row>
    <row r="87" spans="1:16">
      <c r="A87" s="28"/>
      <c r="B87" s="78" t="s">
        <v>116</v>
      </c>
      <c r="C87" s="79">
        <v>4702048421</v>
      </c>
      <c r="D87" s="79" t="s">
        <v>17</v>
      </c>
      <c r="E87" s="79">
        <v>710966292032</v>
      </c>
      <c r="F87" s="79" t="s">
        <v>68</v>
      </c>
      <c r="G87" s="79">
        <v>2800</v>
      </c>
      <c r="H87" s="79">
        <v>2877</v>
      </c>
      <c r="I87" s="79">
        <v>163</v>
      </c>
      <c r="J87" s="80">
        <v>46019</v>
      </c>
      <c r="K87" s="81">
        <f>H87/G87</f>
        <v>1.0275000000000001</v>
      </c>
      <c r="L87" s="79" t="s">
        <v>146</v>
      </c>
      <c r="M87" s="60"/>
      <c r="N87" s="60"/>
      <c r="O87" s="61"/>
      <c r="P87" s="62" t="s">
        <v>22</v>
      </c>
    </row>
    <row r="88" spans="1:16" s="59" customFormat="1">
      <c r="A88" s="20"/>
      <c r="B88" s="34" t="s">
        <v>109</v>
      </c>
      <c r="C88" s="23">
        <v>4702048426</v>
      </c>
      <c r="D88" s="22" t="s">
        <v>17</v>
      </c>
      <c r="E88" s="22">
        <v>710966293026</v>
      </c>
      <c r="F88" s="22" t="s">
        <v>68</v>
      </c>
      <c r="G88" s="22">
        <v>300</v>
      </c>
      <c r="H88" s="22">
        <v>300</v>
      </c>
      <c r="I88" s="22">
        <v>17</v>
      </c>
      <c r="J88" s="40">
        <v>46019</v>
      </c>
      <c r="K88" s="41">
        <f>H88/G88</f>
        <v>1</v>
      </c>
      <c r="L88" s="22" t="s">
        <v>117</v>
      </c>
      <c r="M88" s="82"/>
      <c r="N88" s="82"/>
      <c r="O88" s="83"/>
      <c r="P88" s="84" t="s">
        <v>22</v>
      </c>
    </row>
    <row r="89" spans="1:16">
      <c r="A89" s="28"/>
      <c r="B89" s="21" t="s">
        <v>118</v>
      </c>
      <c r="C89" s="23">
        <v>4702043038</v>
      </c>
      <c r="D89" s="23" t="s">
        <v>17</v>
      </c>
      <c r="E89" s="23" t="s">
        <v>119</v>
      </c>
      <c r="F89" s="23" t="s">
        <v>120</v>
      </c>
      <c r="G89" s="23">
        <v>50</v>
      </c>
      <c r="H89" s="23">
        <v>50</v>
      </c>
      <c r="I89" s="23">
        <v>2</v>
      </c>
      <c r="J89" s="24">
        <v>46019</v>
      </c>
      <c r="K89" s="25">
        <f>H89/G89</f>
        <v>1</v>
      </c>
      <c r="L89" s="22" t="s">
        <v>117</v>
      </c>
      <c r="M89" s="60"/>
      <c r="N89" s="60"/>
      <c r="O89" s="61"/>
      <c r="P89" s="62" t="s">
        <v>22</v>
      </c>
    </row>
    <row r="90" spans="1:16">
      <c r="A90" s="28"/>
      <c r="B90" s="70" t="s">
        <v>147</v>
      </c>
      <c r="C90" s="71" t="s">
        <v>148</v>
      </c>
      <c r="D90" s="71" t="s">
        <v>17</v>
      </c>
      <c r="E90" s="71" t="s">
        <v>149</v>
      </c>
      <c r="F90" s="71" t="s">
        <v>150</v>
      </c>
      <c r="G90" s="71">
        <v>700</v>
      </c>
      <c r="H90" s="71"/>
      <c r="I90" s="71"/>
      <c r="J90" s="60">
        <v>46019</v>
      </c>
      <c r="K90" s="72">
        <f>H90/G90</f>
        <v>0</v>
      </c>
      <c r="L90" s="71" t="s">
        <v>151</v>
      </c>
      <c r="M90" s="61"/>
      <c r="N90" s="61"/>
      <c r="O90" s="61"/>
      <c r="P90" s="62"/>
    </row>
    <row r="91" spans="1:16">
      <c r="A91" s="28"/>
      <c r="B91" s="73" t="s">
        <v>152</v>
      </c>
      <c r="C91" s="74" t="s">
        <v>153</v>
      </c>
      <c r="D91" s="74" t="s">
        <v>86</v>
      </c>
      <c r="E91" s="74" t="s">
        <v>154</v>
      </c>
      <c r="F91" s="74" t="s">
        <v>38</v>
      </c>
      <c r="G91" s="74">
        <v>216</v>
      </c>
      <c r="H91" s="74">
        <v>216</v>
      </c>
      <c r="I91" s="74">
        <v>14</v>
      </c>
      <c r="J91" s="75">
        <v>46019</v>
      </c>
      <c r="K91" s="76"/>
      <c r="L91" s="77" t="s">
        <v>146</v>
      </c>
      <c r="M91" s="61"/>
      <c r="N91" s="61"/>
      <c r="O91" s="61"/>
      <c r="P91" s="62"/>
    </row>
    <row r="92" spans="1:16">
      <c r="A92" s="28"/>
      <c r="B92" s="70" t="s">
        <v>155</v>
      </c>
      <c r="C92" s="71" t="s">
        <v>153</v>
      </c>
      <c r="D92" s="71" t="s">
        <v>86</v>
      </c>
      <c r="E92" s="71" t="s">
        <v>156</v>
      </c>
      <c r="F92" s="71" t="s">
        <v>73</v>
      </c>
      <c r="G92" s="71">
        <v>120</v>
      </c>
      <c r="H92" s="71"/>
      <c r="I92" s="71"/>
      <c r="J92" s="60">
        <v>46019</v>
      </c>
      <c r="K92" s="72">
        <f>H92/G92</f>
        <v>0</v>
      </c>
      <c r="L92" s="71" t="s">
        <v>157</v>
      </c>
      <c r="M92" s="61"/>
      <c r="N92" s="61"/>
      <c r="O92" s="61"/>
      <c r="P92" s="62"/>
    </row>
    <row r="93" spans="1:16" s="59" customFormat="1">
      <c r="A93" s="20"/>
      <c r="B93" s="85" t="s">
        <v>109</v>
      </c>
      <c r="C93" s="86">
        <v>4702048424</v>
      </c>
      <c r="D93" s="86" t="s">
        <v>24</v>
      </c>
      <c r="E93" s="86">
        <v>710966293026</v>
      </c>
      <c r="F93" s="86" t="s">
        <v>68</v>
      </c>
      <c r="G93" s="86">
        <v>320</v>
      </c>
      <c r="H93" s="86">
        <v>326</v>
      </c>
      <c r="I93" s="86">
        <v>17</v>
      </c>
      <c r="J93" s="87">
        <v>46026</v>
      </c>
      <c r="K93" s="88">
        <f t="shared" ref="K93:K133" si="2">H93/G93</f>
        <v>1.01875</v>
      </c>
      <c r="L93" s="86" t="s">
        <v>158</v>
      </c>
      <c r="M93" s="82"/>
      <c r="N93" s="89"/>
      <c r="O93" s="83"/>
      <c r="P93" s="90"/>
    </row>
    <row r="94" spans="1:16" s="59" customFormat="1">
      <c r="A94" s="20"/>
      <c r="B94" s="85" t="s">
        <v>109</v>
      </c>
      <c r="C94" s="86">
        <v>4702048425</v>
      </c>
      <c r="D94" s="86" t="s">
        <v>24</v>
      </c>
      <c r="E94" s="86">
        <v>710966293026</v>
      </c>
      <c r="F94" s="86" t="s">
        <v>68</v>
      </c>
      <c r="G94" s="86">
        <v>1095</v>
      </c>
      <c r="H94" s="86">
        <v>1123</v>
      </c>
      <c r="I94" s="86">
        <v>58</v>
      </c>
      <c r="J94" s="87">
        <v>46026</v>
      </c>
      <c r="K94" s="88">
        <f t="shared" si="2"/>
        <v>1.0255707762557078</v>
      </c>
      <c r="L94" s="86" t="s">
        <v>158</v>
      </c>
      <c r="M94" s="82"/>
      <c r="N94" s="82"/>
      <c r="O94" s="91" t="s">
        <v>159</v>
      </c>
      <c r="P94" s="57" t="s">
        <v>22</v>
      </c>
    </row>
    <row r="95" spans="1:16" s="59" customFormat="1">
      <c r="A95" s="20"/>
      <c r="B95" s="92" t="s">
        <v>160</v>
      </c>
      <c r="C95" s="82">
        <v>4702043040</v>
      </c>
      <c r="D95" s="82" t="s">
        <v>37</v>
      </c>
      <c r="E95" s="82" t="s">
        <v>161</v>
      </c>
      <c r="F95" s="82" t="s">
        <v>73</v>
      </c>
      <c r="G95" s="82">
        <v>4100</v>
      </c>
      <c r="H95" s="82">
        <v>2592</v>
      </c>
      <c r="I95" s="82">
        <f>125+25</f>
        <v>150</v>
      </c>
      <c r="J95" s="60">
        <v>46026</v>
      </c>
      <c r="K95" s="72">
        <f>H95/G95</f>
        <v>0.63219512195121952</v>
      </c>
      <c r="L95" s="82" t="s">
        <v>162</v>
      </c>
      <c r="M95" s="82"/>
      <c r="N95" s="53"/>
      <c r="O95" s="91" t="s">
        <v>163</v>
      </c>
      <c r="P95" s="57" t="s">
        <v>22</v>
      </c>
    </row>
    <row r="96" spans="1:16" s="59" customFormat="1">
      <c r="A96" s="20"/>
      <c r="B96" s="92" t="s">
        <v>164</v>
      </c>
      <c r="C96" s="82">
        <v>4702043040</v>
      </c>
      <c r="D96" s="82" t="s">
        <v>37</v>
      </c>
      <c r="E96" s="82" t="s">
        <v>165</v>
      </c>
      <c r="F96" s="82" t="s">
        <v>38</v>
      </c>
      <c r="G96" s="82">
        <v>4500</v>
      </c>
      <c r="H96" s="82">
        <v>1557</v>
      </c>
      <c r="I96" s="82">
        <v>90</v>
      </c>
      <c r="J96" s="60">
        <v>46026</v>
      </c>
      <c r="K96" s="72">
        <f>H96/G96</f>
        <v>0.34599999999999997</v>
      </c>
      <c r="L96" s="82" t="s">
        <v>162</v>
      </c>
      <c r="M96" s="82"/>
      <c r="N96" s="53"/>
      <c r="O96" s="83"/>
      <c r="P96" s="90"/>
    </row>
    <row r="97" spans="1:17" s="59" customFormat="1">
      <c r="A97" s="20"/>
      <c r="B97" s="93" t="s">
        <v>36</v>
      </c>
      <c r="C97" s="77">
        <v>4702043054</v>
      </c>
      <c r="D97" s="77" t="s">
        <v>24</v>
      </c>
      <c r="E97" s="77">
        <v>711978098003</v>
      </c>
      <c r="F97" s="77" t="s">
        <v>38</v>
      </c>
      <c r="G97" s="77">
        <v>9</v>
      </c>
      <c r="H97" s="77">
        <v>9</v>
      </c>
      <c r="I97" s="77">
        <v>1</v>
      </c>
      <c r="J97" s="94">
        <v>46026</v>
      </c>
      <c r="K97" s="95">
        <f t="shared" si="2"/>
        <v>1</v>
      </c>
      <c r="L97" s="77" t="s">
        <v>146</v>
      </c>
      <c r="M97" s="82"/>
      <c r="N97" s="89"/>
      <c r="O97" s="83"/>
      <c r="P97" s="90"/>
    </row>
    <row r="98" spans="1:17" s="59" customFormat="1">
      <c r="A98" s="20"/>
      <c r="B98" s="93" t="s">
        <v>43</v>
      </c>
      <c r="C98" s="77">
        <v>4702043054</v>
      </c>
      <c r="D98" s="77" t="s">
        <v>24</v>
      </c>
      <c r="E98" s="77">
        <v>711978098001</v>
      </c>
      <c r="F98" s="77" t="s">
        <v>44</v>
      </c>
      <c r="G98" s="77">
        <v>55</v>
      </c>
      <c r="H98" s="77">
        <v>55</v>
      </c>
      <c r="I98" s="77">
        <v>4</v>
      </c>
      <c r="J98" s="94">
        <v>46026</v>
      </c>
      <c r="K98" s="95">
        <f t="shared" si="2"/>
        <v>1</v>
      </c>
      <c r="L98" s="77" t="s">
        <v>146</v>
      </c>
      <c r="M98" s="82"/>
      <c r="N98" s="82"/>
      <c r="O98" s="83"/>
      <c r="P98" s="90"/>
    </row>
    <row r="99" spans="1:17">
      <c r="A99" s="28"/>
      <c r="B99" s="93" t="s">
        <v>72</v>
      </c>
      <c r="C99" s="74">
        <v>4702043054</v>
      </c>
      <c r="D99" s="74" t="s">
        <v>24</v>
      </c>
      <c r="E99" s="74">
        <v>711978098002</v>
      </c>
      <c r="F99" s="74" t="s">
        <v>73</v>
      </c>
      <c r="G99" s="74">
        <v>14</v>
      </c>
      <c r="H99" s="74">
        <v>14</v>
      </c>
      <c r="I99" s="74">
        <v>1</v>
      </c>
      <c r="J99" s="75">
        <v>46026</v>
      </c>
      <c r="K99" s="76">
        <f t="shared" si="2"/>
        <v>1</v>
      </c>
      <c r="L99" s="77" t="s">
        <v>146</v>
      </c>
      <c r="M99" s="82"/>
      <c r="N99" s="82"/>
      <c r="O99" s="71"/>
      <c r="P99" s="57"/>
      <c r="Q99" s="2"/>
    </row>
    <row r="100" spans="1:17">
      <c r="A100" s="45"/>
      <c r="B100" s="78" t="s">
        <v>116</v>
      </c>
      <c r="C100" s="79">
        <v>4702048419</v>
      </c>
      <c r="D100" s="79" t="s">
        <v>24</v>
      </c>
      <c r="E100" s="79">
        <v>710966292032</v>
      </c>
      <c r="F100" s="79" t="s">
        <v>68</v>
      </c>
      <c r="G100" s="79">
        <v>935</v>
      </c>
      <c r="H100" s="79">
        <v>960</v>
      </c>
      <c r="I100" s="79">
        <v>55</v>
      </c>
      <c r="J100" s="80">
        <v>46026</v>
      </c>
      <c r="K100" s="81">
        <f t="shared" si="2"/>
        <v>1.0267379679144386</v>
      </c>
      <c r="L100" s="79" t="s">
        <v>146</v>
      </c>
      <c r="M100" s="60"/>
      <c r="N100" s="60"/>
      <c r="O100" s="61"/>
      <c r="P100" s="62"/>
    </row>
    <row r="101" spans="1:17">
      <c r="A101" s="28"/>
      <c r="B101" s="70" t="s">
        <v>116</v>
      </c>
      <c r="C101" s="71">
        <v>4702048420</v>
      </c>
      <c r="D101" s="71" t="s">
        <v>24</v>
      </c>
      <c r="E101" s="71">
        <v>710966292032</v>
      </c>
      <c r="F101" s="71" t="s">
        <v>68</v>
      </c>
      <c r="G101" s="71">
        <v>1720</v>
      </c>
      <c r="H101" s="71">
        <v>1590</v>
      </c>
      <c r="I101" s="71">
        <v>89</v>
      </c>
      <c r="J101" s="60">
        <v>46026</v>
      </c>
      <c r="K101" s="72">
        <f t="shared" si="2"/>
        <v>0.92441860465116277</v>
      </c>
      <c r="L101" s="71" t="s">
        <v>162</v>
      </c>
      <c r="M101" s="60"/>
      <c r="N101" s="60"/>
      <c r="O101" s="61"/>
      <c r="P101" s="62"/>
    </row>
    <row r="102" spans="1:17">
      <c r="A102" s="28"/>
      <c r="B102" s="96" t="s">
        <v>166</v>
      </c>
      <c r="C102" s="97">
        <v>4702043048</v>
      </c>
      <c r="D102" s="97" t="s">
        <v>24</v>
      </c>
      <c r="E102" s="97" t="s">
        <v>149</v>
      </c>
      <c r="F102" s="97" t="s">
        <v>150</v>
      </c>
      <c r="G102" s="97">
        <v>449</v>
      </c>
      <c r="H102" s="97">
        <v>449</v>
      </c>
      <c r="I102" s="97">
        <v>28</v>
      </c>
      <c r="J102" s="98">
        <v>46026</v>
      </c>
      <c r="K102" s="99">
        <f t="shared" si="2"/>
        <v>1</v>
      </c>
      <c r="L102" s="86" t="s">
        <v>158</v>
      </c>
      <c r="M102" s="60"/>
      <c r="N102" s="60"/>
      <c r="O102" s="61"/>
      <c r="P102" s="62"/>
    </row>
    <row r="103" spans="1:17">
      <c r="A103" s="28"/>
      <c r="B103" s="70" t="s">
        <v>110</v>
      </c>
      <c r="C103" s="71">
        <v>4702032003</v>
      </c>
      <c r="D103" s="71" t="s">
        <v>24</v>
      </c>
      <c r="E103" s="71" t="s">
        <v>111</v>
      </c>
      <c r="F103" s="71" t="s">
        <v>112</v>
      </c>
      <c r="G103" s="71">
        <v>185</v>
      </c>
      <c r="H103" s="71"/>
      <c r="I103" s="71"/>
      <c r="J103" s="60">
        <v>46026</v>
      </c>
      <c r="K103" s="72">
        <f t="shared" si="2"/>
        <v>0</v>
      </c>
      <c r="L103" s="71" t="s">
        <v>125</v>
      </c>
      <c r="M103" s="60"/>
      <c r="N103" s="60"/>
      <c r="O103" s="61"/>
      <c r="P103" s="62"/>
    </row>
    <row r="104" spans="1:17">
      <c r="A104" s="28"/>
      <c r="B104" s="70" t="s">
        <v>110</v>
      </c>
      <c r="C104" s="71">
        <v>4702032002</v>
      </c>
      <c r="D104" s="71" t="s">
        <v>24</v>
      </c>
      <c r="E104" s="71" t="s">
        <v>111</v>
      </c>
      <c r="F104" s="71" t="s">
        <v>112</v>
      </c>
      <c r="G104" s="71">
        <v>370</v>
      </c>
      <c r="H104" s="71"/>
      <c r="I104" s="71"/>
      <c r="J104" s="60">
        <v>46026</v>
      </c>
      <c r="K104" s="72">
        <f t="shared" si="2"/>
        <v>0</v>
      </c>
      <c r="L104" s="71" t="s">
        <v>125</v>
      </c>
      <c r="M104" s="60"/>
      <c r="N104" s="60"/>
      <c r="O104" s="61"/>
      <c r="P104" s="62"/>
    </row>
    <row r="105" spans="1:17">
      <c r="A105" s="28"/>
      <c r="B105" s="96" t="s">
        <v>118</v>
      </c>
      <c r="C105" s="97">
        <v>4702043037</v>
      </c>
      <c r="D105" s="97" t="s">
        <v>24</v>
      </c>
      <c r="E105" s="97" t="s">
        <v>119</v>
      </c>
      <c r="F105" s="97" t="s">
        <v>120</v>
      </c>
      <c r="G105" s="97">
        <v>35</v>
      </c>
      <c r="H105" s="97">
        <v>35</v>
      </c>
      <c r="I105" s="97">
        <v>2</v>
      </c>
      <c r="J105" s="98">
        <v>46026</v>
      </c>
      <c r="K105" s="99">
        <f t="shared" si="2"/>
        <v>1</v>
      </c>
      <c r="L105" s="86" t="s">
        <v>158</v>
      </c>
      <c r="M105" s="60"/>
      <c r="N105" s="60"/>
      <c r="O105" s="61"/>
      <c r="P105" s="62"/>
    </row>
    <row r="106" spans="1:17">
      <c r="A106" s="28"/>
      <c r="B106" s="96" t="s">
        <v>118</v>
      </c>
      <c r="C106" s="97">
        <v>4702043036</v>
      </c>
      <c r="D106" s="97" t="s">
        <v>24</v>
      </c>
      <c r="E106" s="97" t="s">
        <v>119</v>
      </c>
      <c r="F106" s="97" t="s">
        <v>120</v>
      </c>
      <c r="G106" s="97">
        <v>24</v>
      </c>
      <c r="H106" s="97">
        <v>24</v>
      </c>
      <c r="I106" s="97">
        <v>1</v>
      </c>
      <c r="J106" s="98">
        <v>46026</v>
      </c>
      <c r="K106" s="99">
        <f t="shared" si="2"/>
        <v>1</v>
      </c>
      <c r="L106" s="86" t="s">
        <v>158</v>
      </c>
      <c r="M106" s="60"/>
      <c r="N106" s="60"/>
      <c r="O106" s="61"/>
      <c r="P106" s="62"/>
    </row>
    <row r="107" spans="1:17">
      <c r="A107" s="28"/>
      <c r="B107" s="100" t="s">
        <v>141</v>
      </c>
      <c r="C107" s="101" t="s">
        <v>167</v>
      </c>
      <c r="D107" s="101" t="s">
        <v>24</v>
      </c>
      <c r="E107" s="101" t="s">
        <v>143</v>
      </c>
      <c r="F107" s="101" t="s">
        <v>144</v>
      </c>
      <c r="G107" s="101">
        <v>186</v>
      </c>
      <c r="H107" s="101">
        <v>186</v>
      </c>
      <c r="I107" s="101">
        <v>11</v>
      </c>
      <c r="J107" s="75">
        <v>46026</v>
      </c>
      <c r="K107" s="76">
        <f t="shared" si="2"/>
        <v>1</v>
      </c>
      <c r="L107" s="77" t="s">
        <v>146</v>
      </c>
      <c r="M107" s="60"/>
      <c r="N107" s="60"/>
      <c r="O107" s="61"/>
      <c r="P107" s="62"/>
    </row>
    <row r="108" spans="1:17">
      <c r="A108" s="28"/>
      <c r="B108" s="102" t="s">
        <v>168</v>
      </c>
      <c r="C108" s="103" t="s">
        <v>169</v>
      </c>
      <c r="D108" s="103" t="s">
        <v>37</v>
      </c>
      <c r="E108" s="103" t="s">
        <v>143</v>
      </c>
      <c r="F108" s="103" t="s">
        <v>144</v>
      </c>
      <c r="G108" s="103">
        <v>4554</v>
      </c>
      <c r="H108" s="103">
        <v>4685</v>
      </c>
      <c r="I108" s="103">
        <v>270</v>
      </c>
      <c r="J108" s="24">
        <v>46026</v>
      </c>
      <c r="K108" s="25">
        <f t="shared" si="2"/>
        <v>1.0287659200702679</v>
      </c>
      <c r="L108" s="22" t="s">
        <v>117</v>
      </c>
      <c r="M108" s="60"/>
      <c r="N108" s="60"/>
      <c r="O108" s="61"/>
      <c r="P108" s="62"/>
    </row>
    <row r="109" spans="1:17" s="108" customFormat="1">
      <c r="A109" s="104">
        <v>45992</v>
      </c>
      <c r="B109" s="100" t="s">
        <v>170</v>
      </c>
      <c r="C109" s="101" t="s">
        <v>171</v>
      </c>
      <c r="D109" s="101" t="s">
        <v>63</v>
      </c>
      <c r="E109" s="101" t="s">
        <v>172</v>
      </c>
      <c r="F109" s="101" t="s">
        <v>173</v>
      </c>
      <c r="G109" s="101">
        <v>564</v>
      </c>
      <c r="H109" s="101">
        <v>576</v>
      </c>
      <c r="I109" s="101">
        <v>34</v>
      </c>
      <c r="J109" s="75">
        <v>46026</v>
      </c>
      <c r="K109" s="76">
        <f t="shared" si="2"/>
        <v>1.0212765957446808</v>
      </c>
      <c r="L109" s="75" t="s">
        <v>146</v>
      </c>
      <c r="M109" s="105"/>
      <c r="N109" s="105"/>
      <c r="O109" s="106"/>
      <c r="P109" s="107" t="s">
        <v>22</v>
      </c>
    </row>
    <row r="110" spans="1:17" s="108" customFormat="1">
      <c r="A110" s="104">
        <v>45992</v>
      </c>
      <c r="B110" s="100" t="s">
        <v>170</v>
      </c>
      <c r="C110" s="101" t="s">
        <v>174</v>
      </c>
      <c r="D110" s="101" t="s">
        <v>63</v>
      </c>
      <c r="E110" s="101" t="s">
        <v>172</v>
      </c>
      <c r="F110" s="101" t="s">
        <v>173</v>
      </c>
      <c r="G110" s="101">
        <v>390</v>
      </c>
      <c r="H110" s="101">
        <v>399</v>
      </c>
      <c r="I110" s="101">
        <v>24</v>
      </c>
      <c r="J110" s="75">
        <v>46026</v>
      </c>
      <c r="K110" s="76">
        <f t="shared" si="2"/>
        <v>1.023076923076923</v>
      </c>
      <c r="L110" s="75" t="s">
        <v>146</v>
      </c>
      <c r="M110" s="105"/>
      <c r="N110" s="105"/>
      <c r="O110" s="106"/>
      <c r="P110" s="107" t="s">
        <v>22</v>
      </c>
    </row>
    <row r="111" spans="1:17" s="108" customFormat="1">
      <c r="A111" s="104">
        <v>45992</v>
      </c>
      <c r="B111" s="100" t="s">
        <v>170</v>
      </c>
      <c r="C111" s="101" t="s">
        <v>175</v>
      </c>
      <c r="D111" s="101" t="s">
        <v>86</v>
      </c>
      <c r="E111" s="101" t="s">
        <v>172</v>
      </c>
      <c r="F111" s="101" t="s">
        <v>173</v>
      </c>
      <c r="G111" s="101">
        <v>36</v>
      </c>
      <c r="H111" s="101">
        <v>36</v>
      </c>
      <c r="I111" s="101">
        <v>4</v>
      </c>
      <c r="J111" s="75">
        <v>46026</v>
      </c>
      <c r="K111" s="76">
        <f t="shared" si="2"/>
        <v>1</v>
      </c>
      <c r="L111" s="75" t="s">
        <v>146</v>
      </c>
      <c r="M111" s="105"/>
      <c r="N111" s="105"/>
      <c r="O111" s="106"/>
      <c r="P111" s="107" t="s">
        <v>22</v>
      </c>
    </row>
    <row r="112" spans="1:17">
      <c r="A112" s="28"/>
      <c r="B112" s="109" t="s">
        <v>152</v>
      </c>
      <c r="C112" s="110" t="s">
        <v>174</v>
      </c>
      <c r="D112" s="110" t="s">
        <v>63</v>
      </c>
      <c r="E112" s="110" t="s">
        <v>154</v>
      </c>
      <c r="F112" s="110" t="s">
        <v>38</v>
      </c>
      <c r="G112" s="110">
        <v>538</v>
      </c>
      <c r="H112" s="110">
        <v>452</v>
      </c>
      <c r="I112" s="110">
        <v>26</v>
      </c>
      <c r="J112" s="60">
        <v>46026</v>
      </c>
      <c r="K112" s="72">
        <f t="shared" si="2"/>
        <v>0.8401486988847584</v>
      </c>
      <c r="L112" s="60" t="s">
        <v>162</v>
      </c>
      <c r="M112" s="60"/>
      <c r="N112" s="60"/>
      <c r="O112" s="61"/>
      <c r="P112" s="62"/>
    </row>
    <row r="113" spans="1:16">
      <c r="A113" s="28"/>
      <c r="B113" s="109" t="s">
        <v>155</v>
      </c>
      <c r="C113" s="110" t="s">
        <v>174</v>
      </c>
      <c r="D113" s="110" t="s">
        <v>63</v>
      </c>
      <c r="E113" s="110" t="s">
        <v>156</v>
      </c>
      <c r="F113" s="110" t="s">
        <v>73</v>
      </c>
      <c r="G113" s="110">
        <v>2549</v>
      </c>
      <c r="H113" s="110"/>
      <c r="I113" s="110"/>
      <c r="J113" s="60">
        <v>46026</v>
      </c>
      <c r="K113" s="72">
        <f t="shared" si="2"/>
        <v>0</v>
      </c>
      <c r="L113" s="71" t="s">
        <v>157</v>
      </c>
      <c r="M113" s="60"/>
      <c r="N113" s="60"/>
      <c r="O113" s="61"/>
      <c r="P113" s="62"/>
    </row>
    <row r="114" spans="1:16">
      <c r="A114" s="28"/>
      <c r="B114" s="109" t="s">
        <v>155</v>
      </c>
      <c r="C114" s="110" t="s">
        <v>171</v>
      </c>
      <c r="D114" s="110" t="s">
        <v>63</v>
      </c>
      <c r="E114" s="110" t="s">
        <v>156</v>
      </c>
      <c r="F114" s="110" t="s">
        <v>73</v>
      </c>
      <c r="G114" s="110">
        <v>752</v>
      </c>
      <c r="H114" s="110">
        <v>680</v>
      </c>
      <c r="I114" s="110">
        <v>39</v>
      </c>
      <c r="J114" s="60">
        <v>46026</v>
      </c>
      <c r="K114" s="72">
        <f t="shared" si="2"/>
        <v>0.9042553191489362</v>
      </c>
      <c r="L114" s="71" t="s">
        <v>162</v>
      </c>
      <c r="M114" s="60"/>
      <c r="N114" s="60"/>
      <c r="O114" s="61"/>
      <c r="P114" s="62"/>
    </row>
    <row r="115" spans="1:16">
      <c r="A115" s="28"/>
      <c r="B115" s="111" t="s">
        <v>155</v>
      </c>
      <c r="C115" s="112" t="s">
        <v>175</v>
      </c>
      <c r="D115" s="112" t="s">
        <v>86</v>
      </c>
      <c r="E115" s="112" t="s">
        <v>156</v>
      </c>
      <c r="F115" s="112" t="s">
        <v>73</v>
      </c>
      <c r="G115" s="112">
        <v>48</v>
      </c>
      <c r="H115" s="112">
        <v>48</v>
      </c>
      <c r="I115" s="112">
        <v>3</v>
      </c>
      <c r="J115" s="80">
        <v>46026</v>
      </c>
      <c r="K115" s="81">
        <f t="shared" si="2"/>
        <v>1</v>
      </c>
      <c r="L115" s="79" t="s">
        <v>146</v>
      </c>
      <c r="M115" s="60"/>
      <c r="N115" s="60"/>
      <c r="O115" s="61"/>
      <c r="P115" s="62"/>
    </row>
    <row r="116" spans="1:16">
      <c r="A116" s="28"/>
      <c r="B116" s="109" t="s">
        <v>176</v>
      </c>
      <c r="C116" s="110" t="s">
        <v>171</v>
      </c>
      <c r="D116" s="110" t="s">
        <v>63</v>
      </c>
      <c r="E116" s="110" t="s">
        <v>177</v>
      </c>
      <c r="F116" s="110" t="s">
        <v>44</v>
      </c>
      <c r="G116" s="110">
        <v>658</v>
      </c>
      <c r="H116" s="110"/>
      <c r="I116" s="110"/>
      <c r="J116" s="60">
        <v>46026</v>
      </c>
      <c r="K116" s="72">
        <f t="shared" si="2"/>
        <v>0</v>
      </c>
      <c r="L116" s="60" t="s">
        <v>151</v>
      </c>
      <c r="M116" s="60"/>
      <c r="N116" s="60"/>
      <c r="O116" s="61"/>
      <c r="P116" s="62"/>
    </row>
    <row r="117" spans="1:16">
      <c r="A117" s="28"/>
      <c r="B117" s="109" t="s">
        <v>176</v>
      </c>
      <c r="C117" s="110" t="s">
        <v>175</v>
      </c>
      <c r="D117" s="110" t="s">
        <v>86</v>
      </c>
      <c r="E117" s="110" t="s">
        <v>177</v>
      </c>
      <c r="F117" s="110" t="s">
        <v>44</v>
      </c>
      <c r="G117" s="110">
        <v>42</v>
      </c>
      <c r="H117" s="110"/>
      <c r="I117" s="110"/>
      <c r="J117" s="60">
        <v>46026</v>
      </c>
      <c r="K117" s="72">
        <f t="shared" si="2"/>
        <v>0</v>
      </c>
      <c r="L117" s="60" t="s">
        <v>151</v>
      </c>
      <c r="M117" s="60"/>
      <c r="N117" s="60"/>
      <c r="O117" s="61"/>
      <c r="P117" s="62"/>
    </row>
    <row r="118" spans="1:16">
      <c r="A118" s="45">
        <v>45999</v>
      </c>
      <c r="B118" s="102" t="s">
        <v>178</v>
      </c>
      <c r="C118" s="103" t="s">
        <v>175</v>
      </c>
      <c r="D118" s="103" t="s">
        <v>86</v>
      </c>
      <c r="E118" s="103" t="s">
        <v>179</v>
      </c>
      <c r="F118" s="103" t="s">
        <v>180</v>
      </c>
      <c r="G118" s="103">
        <v>42</v>
      </c>
      <c r="H118" s="103">
        <v>42</v>
      </c>
      <c r="I118" s="103">
        <v>3</v>
      </c>
      <c r="J118" s="24">
        <v>46026</v>
      </c>
      <c r="K118" s="25">
        <f t="shared" si="2"/>
        <v>1</v>
      </c>
      <c r="L118" s="22" t="s">
        <v>117</v>
      </c>
      <c r="M118" s="60"/>
      <c r="N118" s="60"/>
      <c r="O118" s="61"/>
      <c r="P118" s="62" t="s">
        <v>84</v>
      </c>
    </row>
    <row r="119" spans="1:16">
      <c r="A119" s="45">
        <v>45999</v>
      </c>
      <c r="B119" s="102" t="s">
        <v>178</v>
      </c>
      <c r="C119" s="103" t="s">
        <v>171</v>
      </c>
      <c r="D119" s="103" t="s">
        <v>63</v>
      </c>
      <c r="E119" s="103" t="s">
        <v>179</v>
      </c>
      <c r="F119" s="103" t="s">
        <v>180</v>
      </c>
      <c r="G119" s="103">
        <v>658</v>
      </c>
      <c r="H119" s="103">
        <v>673</v>
      </c>
      <c r="I119" s="103">
        <v>39</v>
      </c>
      <c r="J119" s="24">
        <v>46026</v>
      </c>
      <c r="K119" s="25">
        <f t="shared" si="2"/>
        <v>1.0227963525835866</v>
      </c>
      <c r="L119" s="22" t="s">
        <v>117</v>
      </c>
      <c r="M119" s="60"/>
      <c r="N119" s="60"/>
      <c r="O119" s="61"/>
      <c r="P119" s="62" t="s">
        <v>84</v>
      </c>
    </row>
    <row r="120" spans="1:16">
      <c r="A120" s="28"/>
      <c r="B120" s="109" t="s">
        <v>181</v>
      </c>
      <c r="C120" s="110" t="s">
        <v>182</v>
      </c>
      <c r="D120" s="110" t="s">
        <v>37</v>
      </c>
      <c r="E120" s="110" t="s">
        <v>161</v>
      </c>
      <c r="F120" s="110" t="s">
        <v>73</v>
      </c>
      <c r="G120" s="110">
        <v>2100</v>
      </c>
      <c r="H120" s="110"/>
      <c r="I120" s="110"/>
      <c r="J120" s="60">
        <v>46026</v>
      </c>
      <c r="K120" s="72">
        <f t="shared" si="2"/>
        <v>0</v>
      </c>
      <c r="L120" s="60" t="s">
        <v>183</v>
      </c>
      <c r="M120" s="60"/>
      <c r="N120" s="60"/>
      <c r="O120" s="61"/>
      <c r="P120" s="62"/>
    </row>
    <row r="121" spans="1:16">
      <c r="A121" s="28"/>
      <c r="B121" s="109" t="s">
        <v>184</v>
      </c>
      <c r="C121" s="110" t="s">
        <v>182</v>
      </c>
      <c r="D121" s="110" t="s">
        <v>37</v>
      </c>
      <c r="E121" s="110" t="s">
        <v>185</v>
      </c>
      <c r="F121" s="110" t="s">
        <v>44</v>
      </c>
      <c r="G121" s="110">
        <v>1985</v>
      </c>
      <c r="H121" s="110"/>
      <c r="I121" s="110"/>
      <c r="J121" s="60">
        <v>46026</v>
      </c>
      <c r="K121" s="72">
        <f t="shared" si="2"/>
        <v>0</v>
      </c>
      <c r="L121" s="60" t="s">
        <v>151</v>
      </c>
      <c r="M121" s="60"/>
      <c r="N121" s="60"/>
      <c r="O121" s="61"/>
      <c r="P121" s="62"/>
    </row>
    <row r="122" spans="1:16">
      <c r="A122" s="28"/>
      <c r="B122" s="111" t="s">
        <v>186</v>
      </c>
      <c r="C122" s="112" t="s">
        <v>182</v>
      </c>
      <c r="D122" s="112" t="s">
        <v>37</v>
      </c>
      <c r="E122" s="112" t="s">
        <v>165</v>
      </c>
      <c r="F122" s="112" t="s">
        <v>38</v>
      </c>
      <c r="G122" s="112">
        <v>545</v>
      </c>
      <c r="H122" s="112">
        <v>560</v>
      </c>
      <c r="I122" s="112">
        <v>33</v>
      </c>
      <c r="J122" s="80">
        <v>46026</v>
      </c>
      <c r="K122" s="81">
        <f t="shared" si="2"/>
        <v>1.0275229357798166</v>
      </c>
      <c r="L122" s="80" t="s">
        <v>146</v>
      </c>
      <c r="M122" s="60"/>
      <c r="N122" s="60"/>
      <c r="O122" s="61"/>
      <c r="P122" s="62"/>
    </row>
    <row r="123" spans="1:16">
      <c r="A123" s="28"/>
      <c r="B123" s="109" t="s">
        <v>187</v>
      </c>
      <c r="C123" s="110" t="s">
        <v>188</v>
      </c>
      <c r="D123" s="110" t="s">
        <v>37</v>
      </c>
      <c r="E123" s="110" t="s">
        <v>82</v>
      </c>
      <c r="F123" s="110" t="s">
        <v>83</v>
      </c>
      <c r="G123" s="110">
        <v>780</v>
      </c>
      <c r="H123" s="110"/>
      <c r="I123" s="110"/>
      <c r="J123" s="60">
        <v>46026</v>
      </c>
      <c r="K123" s="72">
        <f t="shared" si="2"/>
        <v>0</v>
      </c>
      <c r="L123" s="60" t="s">
        <v>151</v>
      </c>
      <c r="M123" s="60"/>
      <c r="N123" s="60"/>
      <c r="O123" s="61"/>
      <c r="P123" s="62"/>
    </row>
    <row r="124" spans="1:16">
      <c r="A124" s="28"/>
      <c r="B124" s="109" t="s">
        <v>189</v>
      </c>
      <c r="C124" s="110" t="s">
        <v>190</v>
      </c>
      <c r="D124" s="110" t="s">
        <v>63</v>
      </c>
      <c r="E124" s="110" t="s">
        <v>191</v>
      </c>
      <c r="F124" s="110" t="s">
        <v>192</v>
      </c>
      <c r="G124" s="110">
        <v>100</v>
      </c>
      <c r="H124" s="110"/>
      <c r="I124" s="110"/>
      <c r="J124" s="60">
        <v>46026</v>
      </c>
      <c r="K124" s="72">
        <f t="shared" si="2"/>
        <v>0</v>
      </c>
      <c r="L124" s="60" t="s">
        <v>151</v>
      </c>
      <c r="M124" s="60"/>
      <c r="N124" s="60"/>
      <c r="O124" s="61"/>
      <c r="P124" s="62"/>
    </row>
    <row r="125" spans="1:16">
      <c r="A125" s="28"/>
      <c r="B125" s="109" t="s">
        <v>193</v>
      </c>
      <c r="C125" s="110" t="s">
        <v>194</v>
      </c>
      <c r="D125" s="110" t="s">
        <v>63</v>
      </c>
      <c r="E125" s="110" t="s">
        <v>195</v>
      </c>
      <c r="F125" s="110" t="s">
        <v>192</v>
      </c>
      <c r="G125" s="110">
        <v>400</v>
      </c>
      <c r="H125" s="110"/>
      <c r="I125" s="110"/>
      <c r="J125" s="60">
        <v>46026</v>
      </c>
      <c r="K125" s="72">
        <f t="shared" si="2"/>
        <v>0</v>
      </c>
      <c r="L125" s="60" t="s">
        <v>196</v>
      </c>
      <c r="M125" s="60"/>
      <c r="N125" s="60"/>
      <c r="O125" s="61"/>
      <c r="P125" s="62"/>
    </row>
    <row r="126" spans="1:16">
      <c r="A126" s="28"/>
      <c r="B126" s="109" t="s">
        <v>193</v>
      </c>
      <c r="C126" s="110" t="s">
        <v>197</v>
      </c>
      <c r="D126" s="110" t="s">
        <v>63</v>
      </c>
      <c r="E126" s="110" t="s">
        <v>195</v>
      </c>
      <c r="F126" s="110" t="s">
        <v>192</v>
      </c>
      <c r="G126" s="110">
        <v>100</v>
      </c>
      <c r="H126" s="110"/>
      <c r="I126" s="110"/>
      <c r="J126" s="60">
        <v>46026</v>
      </c>
      <c r="K126" s="72">
        <f t="shared" si="2"/>
        <v>0</v>
      </c>
      <c r="L126" s="60" t="s">
        <v>196</v>
      </c>
      <c r="M126" s="60"/>
      <c r="N126" s="60"/>
      <c r="O126" s="61"/>
      <c r="P126" s="62"/>
    </row>
    <row r="127" spans="1:16">
      <c r="A127" s="28"/>
      <c r="B127" s="109" t="s">
        <v>189</v>
      </c>
      <c r="C127" s="110" t="s">
        <v>198</v>
      </c>
      <c r="D127" s="110" t="s">
        <v>63</v>
      </c>
      <c r="E127" s="110" t="s">
        <v>191</v>
      </c>
      <c r="F127" s="110" t="s">
        <v>192</v>
      </c>
      <c r="G127" s="110">
        <v>2476</v>
      </c>
      <c r="H127" s="110"/>
      <c r="I127" s="110"/>
      <c r="J127" s="60">
        <v>46026</v>
      </c>
      <c r="K127" s="72">
        <f t="shared" si="2"/>
        <v>0</v>
      </c>
      <c r="L127" s="60" t="s">
        <v>151</v>
      </c>
      <c r="M127" s="60"/>
      <c r="N127" s="60"/>
      <c r="O127" s="61"/>
      <c r="P127" s="62"/>
    </row>
    <row r="128" spans="1:16">
      <c r="A128" s="28"/>
      <c r="B128" s="109" t="s">
        <v>189</v>
      </c>
      <c r="C128" s="110" t="s">
        <v>199</v>
      </c>
      <c r="D128" s="110" t="s">
        <v>86</v>
      </c>
      <c r="E128" s="110" t="s">
        <v>191</v>
      </c>
      <c r="F128" s="110" t="s">
        <v>192</v>
      </c>
      <c r="G128" s="110">
        <v>224</v>
      </c>
      <c r="H128" s="110"/>
      <c r="I128" s="110"/>
      <c r="J128" s="60">
        <v>46026</v>
      </c>
      <c r="K128" s="72">
        <f t="shared" si="2"/>
        <v>0</v>
      </c>
      <c r="L128" s="60" t="s">
        <v>151</v>
      </c>
      <c r="M128" s="60"/>
      <c r="N128" s="60"/>
      <c r="O128" s="61"/>
      <c r="P128" s="62"/>
    </row>
    <row r="129" spans="1:16">
      <c r="A129" s="28"/>
      <c r="B129" s="109" t="s">
        <v>200</v>
      </c>
      <c r="C129" s="110" t="s">
        <v>201</v>
      </c>
      <c r="D129" s="110" t="s">
        <v>37</v>
      </c>
      <c r="E129" s="110" t="s">
        <v>202</v>
      </c>
      <c r="F129" s="110" t="s">
        <v>203</v>
      </c>
      <c r="G129" s="110">
        <v>30</v>
      </c>
      <c r="H129" s="110"/>
      <c r="I129" s="110"/>
      <c r="J129" s="60">
        <v>46026</v>
      </c>
      <c r="K129" s="72">
        <f t="shared" si="2"/>
        <v>0</v>
      </c>
      <c r="L129" s="60"/>
      <c r="M129" s="60"/>
      <c r="N129" s="60"/>
      <c r="O129" s="61"/>
      <c r="P129" s="62"/>
    </row>
    <row r="130" spans="1:16">
      <c r="A130" s="28"/>
      <c r="B130" s="109" t="s">
        <v>204</v>
      </c>
      <c r="C130" s="110" t="s">
        <v>201</v>
      </c>
      <c r="D130" s="110" t="s">
        <v>37</v>
      </c>
      <c r="E130" s="110" t="s">
        <v>205</v>
      </c>
      <c r="F130" s="110" t="s">
        <v>206</v>
      </c>
      <c r="G130" s="110">
        <v>30</v>
      </c>
      <c r="H130" s="110"/>
      <c r="I130" s="110"/>
      <c r="J130" s="60">
        <v>46026</v>
      </c>
      <c r="K130" s="72">
        <f t="shared" si="2"/>
        <v>0</v>
      </c>
      <c r="L130" s="60"/>
      <c r="M130" s="60"/>
      <c r="N130" s="60"/>
      <c r="O130" s="61"/>
      <c r="P130" s="62"/>
    </row>
    <row r="131" spans="1:16">
      <c r="A131" s="28"/>
      <c r="B131" s="109" t="s">
        <v>207</v>
      </c>
      <c r="C131" s="110" t="s">
        <v>208</v>
      </c>
      <c r="D131" s="110" t="s">
        <v>86</v>
      </c>
      <c r="E131" s="110" t="s">
        <v>209</v>
      </c>
      <c r="F131" s="110" t="s">
        <v>50</v>
      </c>
      <c r="G131" s="110">
        <v>264</v>
      </c>
      <c r="H131" s="110"/>
      <c r="I131" s="110"/>
      <c r="J131" s="60">
        <v>46026</v>
      </c>
      <c r="K131" s="72">
        <f t="shared" si="2"/>
        <v>0</v>
      </c>
      <c r="L131" s="60" t="s">
        <v>196</v>
      </c>
      <c r="M131" s="60"/>
      <c r="N131" s="60"/>
      <c r="O131" s="61"/>
      <c r="P131" s="62"/>
    </row>
    <row r="132" spans="1:16">
      <c r="A132" s="28"/>
      <c r="B132" s="109" t="s">
        <v>210</v>
      </c>
      <c r="C132" s="110" t="s">
        <v>211</v>
      </c>
      <c r="D132" s="110" t="s">
        <v>63</v>
      </c>
      <c r="E132" s="110" t="s">
        <v>212</v>
      </c>
      <c r="F132" s="110" t="s">
        <v>50</v>
      </c>
      <c r="G132" s="110">
        <v>300</v>
      </c>
      <c r="H132" s="110"/>
      <c r="I132" s="110"/>
      <c r="J132" s="60">
        <v>46026</v>
      </c>
      <c r="K132" s="72">
        <f t="shared" si="2"/>
        <v>0</v>
      </c>
      <c r="L132" s="60" t="s">
        <v>151</v>
      </c>
      <c r="M132" s="60"/>
      <c r="N132" s="60"/>
      <c r="O132" s="61"/>
      <c r="P132" s="62"/>
    </row>
    <row r="133" spans="1:16">
      <c r="A133" s="28"/>
      <c r="B133" s="109" t="s">
        <v>213</v>
      </c>
      <c r="C133" s="110">
        <v>4702054119</v>
      </c>
      <c r="D133" s="110" t="s">
        <v>37</v>
      </c>
      <c r="E133" s="110" t="s">
        <v>214</v>
      </c>
      <c r="F133" s="110" t="s">
        <v>215</v>
      </c>
      <c r="G133" s="110">
        <v>30</v>
      </c>
      <c r="H133" s="110"/>
      <c r="I133" s="110"/>
      <c r="J133" s="60">
        <v>46026</v>
      </c>
      <c r="K133" s="72">
        <f t="shared" si="2"/>
        <v>0</v>
      </c>
      <c r="L133" s="60"/>
      <c r="M133" s="60"/>
      <c r="N133" s="60"/>
      <c r="O133" s="61"/>
      <c r="P133" s="62"/>
    </row>
    <row r="134" spans="1:16">
      <c r="A134" s="28"/>
      <c r="B134" s="70" t="s">
        <v>216</v>
      </c>
      <c r="C134" s="110">
        <v>4702056847</v>
      </c>
      <c r="D134" s="71" t="s">
        <v>17</v>
      </c>
      <c r="E134" s="71">
        <v>710966294009</v>
      </c>
      <c r="F134" s="71" t="s">
        <v>50</v>
      </c>
      <c r="G134" s="71">
        <v>29</v>
      </c>
      <c r="H134" s="71"/>
      <c r="I134" s="71"/>
      <c r="J134" s="60">
        <v>46019</v>
      </c>
      <c r="K134" s="72">
        <f>H134/G134</f>
        <v>0</v>
      </c>
      <c r="L134" s="60"/>
      <c r="M134" s="60"/>
      <c r="N134" s="60"/>
      <c r="O134" s="61"/>
      <c r="P134" s="62"/>
    </row>
    <row r="135" spans="1:16">
      <c r="A135" s="28"/>
      <c r="B135" s="70" t="s">
        <v>216</v>
      </c>
      <c r="C135" s="110">
        <v>4702056846</v>
      </c>
      <c r="D135" s="71" t="s">
        <v>24</v>
      </c>
      <c r="E135" s="71">
        <v>710966294009</v>
      </c>
      <c r="F135" s="71" t="s">
        <v>50</v>
      </c>
      <c r="G135" s="71">
        <v>42</v>
      </c>
      <c r="H135" s="71"/>
      <c r="I135" s="71"/>
      <c r="J135" s="60">
        <v>46026</v>
      </c>
      <c r="K135" s="72">
        <f t="shared" ref="K135:K150" si="3">H135/G135</f>
        <v>0</v>
      </c>
      <c r="L135" s="60"/>
      <c r="M135" s="60"/>
      <c r="N135" s="60"/>
      <c r="O135" s="61"/>
      <c r="P135" s="62"/>
    </row>
    <row r="136" spans="1:16">
      <c r="A136" s="28"/>
      <c r="B136" s="70" t="s">
        <v>217</v>
      </c>
      <c r="C136" s="110">
        <v>4702056849</v>
      </c>
      <c r="D136" s="71" t="s">
        <v>37</v>
      </c>
      <c r="E136" s="71" t="s">
        <v>218</v>
      </c>
      <c r="F136" s="71" t="s">
        <v>219</v>
      </c>
      <c r="G136" s="71">
        <v>271</v>
      </c>
      <c r="H136" s="71"/>
      <c r="I136" s="71"/>
      <c r="J136" s="60">
        <v>46026</v>
      </c>
      <c r="K136" s="72">
        <f t="shared" si="3"/>
        <v>0</v>
      </c>
      <c r="L136" s="60"/>
      <c r="M136" s="60"/>
      <c r="N136" s="60"/>
      <c r="O136" s="61"/>
      <c r="P136" s="62"/>
    </row>
    <row r="137" spans="1:16">
      <c r="A137" s="28"/>
      <c r="B137" s="70" t="s">
        <v>220</v>
      </c>
      <c r="C137" s="110">
        <v>4702048581</v>
      </c>
      <c r="D137" s="71" t="s">
        <v>24</v>
      </c>
      <c r="E137" s="71">
        <v>323967600001</v>
      </c>
      <c r="F137" s="71" t="s">
        <v>215</v>
      </c>
      <c r="G137" s="71">
        <v>206</v>
      </c>
      <c r="H137" s="71"/>
      <c r="I137" s="71"/>
      <c r="J137" s="60">
        <v>46026</v>
      </c>
      <c r="K137" s="72">
        <f t="shared" si="3"/>
        <v>0</v>
      </c>
      <c r="L137" s="60"/>
      <c r="M137" s="60"/>
      <c r="N137" s="60"/>
      <c r="O137" s="61"/>
      <c r="P137" s="62"/>
    </row>
    <row r="138" spans="1:16">
      <c r="A138" s="28"/>
      <c r="B138" s="70" t="s">
        <v>221</v>
      </c>
      <c r="C138" s="110">
        <v>4702049437</v>
      </c>
      <c r="D138" s="71" t="s">
        <v>24</v>
      </c>
      <c r="E138" s="71">
        <v>322967600001</v>
      </c>
      <c r="F138" s="71" t="s">
        <v>215</v>
      </c>
      <c r="G138" s="71">
        <v>12</v>
      </c>
      <c r="H138" s="71"/>
      <c r="I138" s="71"/>
      <c r="J138" s="60">
        <v>46026</v>
      </c>
      <c r="K138" s="72">
        <f t="shared" si="3"/>
        <v>0</v>
      </c>
      <c r="L138" s="60"/>
      <c r="M138" s="60"/>
      <c r="N138" s="60"/>
      <c r="O138" s="61"/>
      <c r="P138" s="62"/>
    </row>
    <row r="139" spans="1:16">
      <c r="A139" s="28"/>
      <c r="B139" s="70" t="s">
        <v>222</v>
      </c>
      <c r="C139" s="110">
        <v>4702049437</v>
      </c>
      <c r="D139" s="71" t="s">
        <v>24</v>
      </c>
      <c r="E139" s="71">
        <v>322967600003</v>
      </c>
      <c r="F139" s="71" t="s">
        <v>95</v>
      </c>
      <c r="G139" s="71">
        <v>20</v>
      </c>
      <c r="H139" s="71"/>
      <c r="I139" s="71"/>
      <c r="J139" s="60">
        <v>46026</v>
      </c>
      <c r="K139" s="72">
        <f t="shared" si="3"/>
        <v>0</v>
      </c>
      <c r="L139" s="60"/>
      <c r="M139" s="60"/>
      <c r="N139" s="60"/>
      <c r="O139" s="61"/>
      <c r="P139" s="62"/>
    </row>
    <row r="140" spans="1:16">
      <c r="A140" s="28"/>
      <c r="B140" s="70" t="s">
        <v>223</v>
      </c>
      <c r="C140" s="110">
        <v>4702050048</v>
      </c>
      <c r="D140" s="71" t="s">
        <v>24</v>
      </c>
      <c r="E140" s="71">
        <v>323967600003</v>
      </c>
      <c r="F140" s="71" t="s">
        <v>95</v>
      </c>
      <c r="G140" s="71">
        <v>21</v>
      </c>
      <c r="H140" s="71"/>
      <c r="I140" s="71"/>
      <c r="J140" s="60">
        <v>46026</v>
      </c>
      <c r="K140" s="72">
        <f t="shared" si="3"/>
        <v>0</v>
      </c>
      <c r="L140" s="60"/>
      <c r="M140" s="60"/>
      <c r="N140" s="60"/>
      <c r="O140" s="61"/>
      <c r="P140" s="62"/>
    </row>
    <row r="141" spans="1:16">
      <c r="A141" s="28"/>
      <c r="B141" s="70" t="s">
        <v>224</v>
      </c>
      <c r="C141" s="110">
        <v>4702053681</v>
      </c>
      <c r="D141" s="71" t="s">
        <v>63</v>
      </c>
      <c r="E141" s="71" t="s">
        <v>225</v>
      </c>
      <c r="F141" s="71" t="s">
        <v>226</v>
      </c>
      <c r="G141" s="71">
        <v>998</v>
      </c>
      <c r="H141" s="71"/>
      <c r="I141" s="71"/>
      <c r="J141" s="60">
        <v>46026</v>
      </c>
      <c r="K141" s="72">
        <f t="shared" si="3"/>
        <v>0</v>
      </c>
      <c r="L141" s="60"/>
      <c r="M141" s="60"/>
      <c r="N141" s="60"/>
      <c r="O141" s="61"/>
      <c r="P141" s="62"/>
    </row>
    <row r="142" spans="1:16">
      <c r="A142" s="28"/>
      <c r="B142" s="70" t="s">
        <v>227</v>
      </c>
      <c r="C142" s="110">
        <v>4702053681</v>
      </c>
      <c r="D142" s="71" t="s">
        <v>63</v>
      </c>
      <c r="E142" s="71" t="s">
        <v>228</v>
      </c>
      <c r="F142" s="71" t="s">
        <v>229</v>
      </c>
      <c r="G142" s="71">
        <v>1043</v>
      </c>
      <c r="H142" s="71"/>
      <c r="I142" s="71"/>
      <c r="J142" s="60">
        <v>46026</v>
      </c>
      <c r="K142" s="72">
        <f t="shared" si="3"/>
        <v>0</v>
      </c>
      <c r="L142" s="60"/>
      <c r="M142" s="60"/>
      <c r="N142" s="60"/>
      <c r="O142" s="61"/>
      <c r="P142" s="62"/>
    </row>
    <row r="143" spans="1:16">
      <c r="A143" s="28"/>
      <c r="B143" s="70" t="s">
        <v>230</v>
      </c>
      <c r="C143" s="110">
        <v>4702053682</v>
      </c>
      <c r="D143" s="71" t="s">
        <v>63</v>
      </c>
      <c r="E143" s="71" t="s">
        <v>231</v>
      </c>
      <c r="F143" s="71" t="s">
        <v>229</v>
      </c>
      <c r="G143" s="71">
        <v>844</v>
      </c>
      <c r="H143" s="71"/>
      <c r="I143" s="71"/>
      <c r="J143" s="60">
        <v>46026</v>
      </c>
      <c r="K143" s="72">
        <f t="shared" si="3"/>
        <v>0</v>
      </c>
      <c r="L143" s="60"/>
      <c r="M143" s="60"/>
      <c r="N143" s="60"/>
      <c r="O143" s="61"/>
      <c r="P143" s="62"/>
    </row>
    <row r="144" spans="1:16">
      <c r="A144" s="28"/>
      <c r="B144" s="70" t="s">
        <v>232</v>
      </c>
      <c r="C144" s="110">
        <v>4702072470</v>
      </c>
      <c r="D144" s="71" t="s">
        <v>63</v>
      </c>
      <c r="E144" s="71">
        <v>712870508001</v>
      </c>
      <c r="F144" s="71" t="s">
        <v>233</v>
      </c>
      <c r="G144" s="71">
        <v>344</v>
      </c>
      <c r="H144" s="71"/>
      <c r="I144" s="71"/>
      <c r="J144" s="60">
        <v>46026</v>
      </c>
      <c r="K144" s="72">
        <f t="shared" si="3"/>
        <v>0</v>
      </c>
      <c r="L144" s="60"/>
      <c r="M144" s="60"/>
      <c r="N144" s="60"/>
      <c r="O144" s="61"/>
      <c r="P144" s="62"/>
    </row>
    <row r="145" spans="1:16">
      <c r="A145" s="28"/>
      <c r="B145" s="70" t="s">
        <v>234</v>
      </c>
      <c r="C145" s="110">
        <v>4702072470</v>
      </c>
      <c r="D145" s="71" t="s">
        <v>63</v>
      </c>
      <c r="E145" s="71">
        <v>712870508003</v>
      </c>
      <c r="F145" s="71" t="s">
        <v>235</v>
      </c>
      <c r="G145" s="71">
        <v>300</v>
      </c>
      <c r="H145" s="71"/>
      <c r="I145" s="71"/>
      <c r="J145" s="60">
        <v>46026</v>
      </c>
      <c r="K145" s="72">
        <f t="shared" si="3"/>
        <v>0</v>
      </c>
      <c r="L145" s="60"/>
      <c r="M145" s="60"/>
      <c r="N145" s="60"/>
      <c r="O145" s="61"/>
      <c r="P145" s="62"/>
    </row>
    <row r="146" spans="1:16">
      <c r="A146" s="28"/>
      <c r="B146" s="70" t="s">
        <v>236</v>
      </c>
      <c r="C146" s="110">
        <v>4702072471</v>
      </c>
      <c r="D146" s="71" t="s">
        <v>63</v>
      </c>
      <c r="E146" s="71">
        <v>712870509001</v>
      </c>
      <c r="F146" s="71" t="s">
        <v>233</v>
      </c>
      <c r="G146" s="71">
        <v>300</v>
      </c>
      <c r="H146" s="71"/>
      <c r="I146" s="71"/>
      <c r="J146" s="60">
        <v>46026</v>
      </c>
      <c r="K146" s="72">
        <f t="shared" si="3"/>
        <v>0</v>
      </c>
      <c r="L146" s="60"/>
      <c r="M146" s="60"/>
      <c r="N146" s="60"/>
      <c r="O146" s="61"/>
      <c r="P146" s="62"/>
    </row>
    <row r="147" spans="1:16">
      <c r="A147" s="28"/>
      <c r="B147" s="70" t="s">
        <v>237</v>
      </c>
      <c r="C147" s="110">
        <v>4702056844</v>
      </c>
      <c r="D147" s="71" t="s">
        <v>37</v>
      </c>
      <c r="E147" s="71" t="s">
        <v>185</v>
      </c>
      <c r="F147" s="71" t="s">
        <v>44</v>
      </c>
      <c r="G147" s="71">
        <v>6100</v>
      </c>
      <c r="H147" s="71"/>
      <c r="I147" s="71"/>
      <c r="J147" s="60">
        <v>46026</v>
      </c>
      <c r="K147" s="72">
        <f t="shared" si="3"/>
        <v>0</v>
      </c>
      <c r="L147" s="60"/>
      <c r="M147" s="60"/>
      <c r="N147" s="60"/>
      <c r="O147" s="61"/>
      <c r="P147" s="62"/>
    </row>
    <row r="148" spans="1:16">
      <c r="A148" s="28"/>
      <c r="B148" s="78" t="s">
        <v>186</v>
      </c>
      <c r="C148" s="112">
        <v>4702043045</v>
      </c>
      <c r="D148" s="79" t="s">
        <v>23</v>
      </c>
      <c r="E148" s="79" t="s">
        <v>165</v>
      </c>
      <c r="F148" s="79" t="s">
        <v>38</v>
      </c>
      <c r="G148" s="79">
        <v>508</v>
      </c>
      <c r="H148" s="79">
        <v>522</v>
      </c>
      <c r="I148" s="79">
        <v>29</v>
      </c>
      <c r="J148" s="80">
        <v>46040</v>
      </c>
      <c r="K148" s="81">
        <f t="shared" si="3"/>
        <v>1.0275590551181102</v>
      </c>
      <c r="L148" s="80" t="s">
        <v>146</v>
      </c>
      <c r="M148" s="60"/>
      <c r="N148" s="60"/>
      <c r="O148" s="61"/>
      <c r="P148" s="62"/>
    </row>
    <row r="149" spans="1:16">
      <c r="A149" s="28"/>
      <c r="B149" s="78" t="s">
        <v>186</v>
      </c>
      <c r="C149" s="112">
        <v>4702043043</v>
      </c>
      <c r="D149" s="79" t="s">
        <v>24</v>
      </c>
      <c r="E149" s="79" t="s">
        <v>165</v>
      </c>
      <c r="F149" s="79" t="s">
        <v>38</v>
      </c>
      <c r="G149" s="79">
        <v>477</v>
      </c>
      <c r="H149" s="79">
        <v>488</v>
      </c>
      <c r="I149" s="79">
        <v>28</v>
      </c>
      <c r="J149" s="80">
        <v>46054</v>
      </c>
      <c r="K149" s="81">
        <f t="shared" si="3"/>
        <v>1.0230607966457024</v>
      </c>
      <c r="L149" s="80" t="s">
        <v>146</v>
      </c>
      <c r="M149" s="60"/>
      <c r="N149" s="60"/>
      <c r="O149" s="61"/>
      <c r="P149" s="62"/>
    </row>
    <row r="150" spans="1:16">
      <c r="A150" s="28"/>
      <c r="B150" s="70" t="s">
        <v>181</v>
      </c>
      <c r="C150" s="110">
        <v>4702043043</v>
      </c>
      <c r="D150" s="71" t="s">
        <v>24</v>
      </c>
      <c r="E150" s="71" t="s">
        <v>161</v>
      </c>
      <c r="F150" s="71" t="s">
        <v>73</v>
      </c>
      <c r="G150" s="71">
        <v>435</v>
      </c>
      <c r="H150" s="71">
        <v>316</v>
      </c>
      <c r="I150" s="71">
        <v>18</v>
      </c>
      <c r="J150" s="60">
        <v>46054</v>
      </c>
      <c r="K150" s="72">
        <f t="shared" si="3"/>
        <v>0.72643678160919545</v>
      </c>
      <c r="L150" s="60" t="s">
        <v>162</v>
      </c>
      <c r="M150" s="60"/>
      <c r="N150" s="60"/>
      <c r="O150" s="61"/>
      <c r="P150" s="62"/>
    </row>
    <row r="151" spans="1:16">
      <c r="A151" s="28"/>
      <c r="B151" s="70"/>
      <c r="C151" s="110"/>
      <c r="D151" s="71"/>
      <c r="E151" s="71"/>
      <c r="F151" s="71"/>
      <c r="G151" s="71"/>
      <c r="H151" s="71"/>
      <c r="I151" s="71"/>
      <c r="J151" s="60"/>
      <c r="K151" s="72"/>
      <c r="L151" s="60"/>
      <c r="M151" s="60"/>
      <c r="N151" s="60"/>
      <c r="O151" s="61"/>
      <c r="P151" s="62"/>
    </row>
    <row r="152" spans="1:16">
      <c r="A152" s="28"/>
      <c r="B152" s="70"/>
      <c r="C152" s="110"/>
      <c r="D152" s="71"/>
      <c r="E152" s="71"/>
      <c r="F152" s="71"/>
      <c r="G152" s="71"/>
      <c r="H152" s="71"/>
      <c r="I152" s="71"/>
      <c r="J152" s="60"/>
      <c r="K152" s="72"/>
      <c r="L152" s="60"/>
      <c r="M152" s="60"/>
      <c r="N152" s="60"/>
      <c r="O152" s="61"/>
      <c r="P152" s="62"/>
    </row>
    <row r="153" spans="1:16">
      <c r="A153" s="28"/>
      <c r="B153" s="70"/>
      <c r="C153" s="110"/>
      <c r="D153" s="71"/>
      <c r="E153" s="71"/>
      <c r="F153" s="71"/>
      <c r="G153" s="71"/>
      <c r="H153" s="71"/>
      <c r="I153" s="71"/>
      <c r="J153" s="60"/>
      <c r="K153" s="72"/>
      <c r="L153" s="60"/>
      <c r="M153" s="60"/>
      <c r="N153" s="60"/>
      <c r="O153" s="61"/>
      <c r="P153" s="62"/>
    </row>
    <row r="154" spans="1:16">
      <c r="A154" s="28"/>
      <c r="B154" s="70"/>
      <c r="C154" s="110"/>
      <c r="D154" s="71"/>
      <c r="E154" s="71"/>
      <c r="F154" s="71"/>
      <c r="G154" s="71"/>
      <c r="H154" s="71"/>
      <c r="I154" s="71"/>
      <c r="J154" s="60"/>
      <c r="K154" s="72"/>
      <c r="L154" s="60"/>
      <c r="M154" s="60"/>
      <c r="N154" s="60"/>
      <c r="O154" s="61"/>
      <c r="P154" s="62"/>
    </row>
    <row r="155" spans="1:16">
      <c r="A155" s="28"/>
      <c r="B155" s="70"/>
      <c r="C155" s="110"/>
      <c r="D155" s="71"/>
      <c r="E155" s="71"/>
      <c r="F155" s="71"/>
      <c r="G155" s="71"/>
      <c r="H155" s="71"/>
      <c r="I155" s="71"/>
      <c r="J155" s="60"/>
      <c r="K155" s="72"/>
      <c r="L155" s="60"/>
      <c r="M155" s="60"/>
      <c r="N155" s="60"/>
      <c r="O155" s="61"/>
      <c r="P155" s="62"/>
    </row>
    <row r="156" spans="1:16">
      <c r="A156" s="28"/>
      <c r="B156" s="70"/>
      <c r="C156" s="110"/>
      <c r="D156" s="71"/>
      <c r="E156" s="71"/>
      <c r="F156" s="71"/>
      <c r="G156" s="71"/>
      <c r="H156" s="71"/>
      <c r="I156" s="71"/>
      <c r="J156" s="60"/>
      <c r="K156" s="72"/>
      <c r="L156" s="60"/>
      <c r="M156" s="60"/>
      <c r="N156" s="60"/>
      <c r="O156" s="61"/>
      <c r="P156" s="62"/>
    </row>
    <row r="157" spans="1:16">
      <c r="A157" s="28"/>
      <c r="B157" s="70"/>
      <c r="C157" s="110"/>
      <c r="D157" s="71"/>
      <c r="E157" s="71"/>
      <c r="F157" s="71"/>
      <c r="G157" s="71"/>
      <c r="H157" s="71"/>
      <c r="I157" s="71"/>
      <c r="J157" s="60"/>
      <c r="K157" s="72"/>
      <c r="L157" s="60"/>
      <c r="M157" s="60"/>
      <c r="N157" s="60"/>
      <c r="O157" s="61"/>
      <c r="P157" s="62"/>
    </row>
    <row r="158" spans="1:16">
      <c r="A158" s="28"/>
      <c r="B158" s="70"/>
      <c r="C158" s="110"/>
      <c r="D158" s="71"/>
      <c r="E158" s="71"/>
      <c r="F158" s="71"/>
      <c r="G158" s="71"/>
      <c r="H158" s="71"/>
      <c r="I158" s="71"/>
      <c r="J158" s="60"/>
      <c r="K158" s="72"/>
      <c r="L158" s="60"/>
      <c r="M158" s="60"/>
      <c r="N158" s="60"/>
      <c r="O158" s="61"/>
      <c r="P158" s="62"/>
    </row>
    <row r="159" spans="1:16">
      <c r="A159" s="28"/>
      <c r="B159" s="70"/>
      <c r="C159" s="110"/>
      <c r="D159" s="71"/>
      <c r="E159" s="71"/>
      <c r="F159" s="71"/>
      <c r="G159" s="71"/>
      <c r="H159" s="71"/>
      <c r="I159" s="71"/>
      <c r="J159" s="60"/>
      <c r="K159" s="72"/>
      <c r="L159" s="60"/>
      <c r="M159" s="60"/>
      <c r="N159" s="60"/>
      <c r="O159" s="61"/>
      <c r="P159" s="62"/>
    </row>
    <row r="160" spans="1:16">
      <c r="A160" s="28"/>
      <c r="B160" s="70"/>
      <c r="C160" s="110"/>
      <c r="D160" s="71"/>
      <c r="E160" s="71"/>
      <c r="F160" s="71"/>
      <c r="G160" s="71"/>
      <c r="H160" s="71"/>
      <c r="I160" s="71"/>
      <c r="J160" s="60"/>
      <c r="K160" s="72"/>
      <c r="L160" s="60"/>
      <c r="M160" s="60"/>
      <c r="N160" s="60"/>
      <c r="O160" s="61"/>
      <c r="P160" s="62"/>
    </row>
    <row r="161" spans="1:16">
      <c r="A161" s="28"/>
      <c r="B161" s="70"/>
      <c r="C161" s="110"/>
      <c r="D161" s="71"/>
      <c r="E161" s="71"/>
      <c r="F161" s="71"/>
      <c r="G161" s="71"/>
      <c r="H161" s="71"/>
      <c r="I161" s="71"/>
      <c r="J161" s="60"/>
      <c r="K161" s="72"/>
      <c r="L161" s="60"/>
      <c r="M161" s="60"/>
      <c r="N161" s="60"/>
      <c r="O161" s="61"/>
      <c r="P161" s="62"/>
    </row>
    <row r="162" spans="1:16" ht="12" thickBot="1">
      <c r="A162" s="28"/>
      <c r="B162" s="113"/>
      <c r="C162" s="114"/>
      <c r="D162" s="114"/>
      <c r="E162" s="114"/>
      <c r="F162" s="114"/>
      <c r="G162" s="114"/>
      <c r="H162" s="115"/>
      <c r="I162" s="115"/>
      <c r="J162" s="116"/>
      <c r="K162" s="117"/>
      <c r="L162" s="115"/>
      <c r="M162" s="115"/>
      <c r="N162" s="115"/>
      <c r="O162" s="115"/>
      <c r="P162" s="118"/>
    </row>
    <row r="163" spans="1:16" s="129" customFormat="1" ht="21.75" thickBot="1">
      <c r="A163" s="119"/>
      <c r="B163" s="120"/>
      <c r="C163" s="121"/>
      <c r="D163" s="121"/>
      <c r="E163" s="122" t="s">
        <v>238</v>
      </c>
      <c r="F163" s="123"/>
      <c r="G163" s="121">
        <f>SUM(G4:G162)</f>
        <v>104287</v>
      </c>
      <c r="H163" s="121">
        <f>SUM(H4:H162)</f>
        <v>69789</v>
      </c>
      <c r="I163" s="121">
        <f>SUM(I4:I162)</f>
        <v>4086</v>
      </c>
      <c r="J163" s="124"/>
      <c r="K163" s="125"/>
      <c r="L163" s="126"/>
      <c r="M163" s="127"/>
      <c r="N163" s="126"/>
      <c r="O163" s="126"/>
      <c r="P163" s="128"/>
    </row>
    <row r="164" spans="1:16">
      <c r="A164" s="28"/>
      <c r="B164" s="130"/>
      <c r="C164" s="131"/>
      <c r="D164" s="131"/>
      <c r="E164" s="131"/>
      <c r="F164" s="131"/>
      <c r="G164" s="131"/>
      <c r="H164" s="132"/>
      <c r="I164" s="132"/>
      <c r="J164" s="133"/>
      <c r="K164" s="134"/>
      <c r="L164" s="132"/>
      <c r="M164" s="132"/>
      <c r="N164" s="132"/>
      <c r="O164" s="132"/>
      <c r="P164" s="135"/>
    </row>
    <row r="165" spans="1:16" ht="12" thickBot="1">
      <c r="A165" s="28"/>
      <c r="B165" s="113"/>
      <c r="C165" s="114"/>
      <c r="D165" s="114"/>
      <c r="E165" s="114"/>
      <c r="F165" s="114"/>
      <c r="G165" s="114"/>
      <c r="H165" s="115"/>
      <c r="I165" s="115"/>
      <c r="J165" s="116"/>
      <c r="K165" s="117"/>
      <c r="L165" s="115"/>
      <c r="M165" s="115"/>
      <c r="N165" s="115"/>
      <c r="O165" s="115"/>
      <c r="P165" s="118"/>
    </row>
    <row r="166" spans="1:16">
      <c r="B166" s="2"/>
      <c r="C166" s="2"/>
      <c r="D166" s="2"/>
      <c r="E166" s="2"/>
      <c r="F166" s="2"/>
      <c r="G166" s="2"/>
      <c r="H166" s="2"/>
      <c r="I166" s="2"/>
      <c r="J166" s="136"/>
      <c r="K166" s="136"/>
      <c r="L166" s="2"/>
    </row>
    <row r="167" spans="1:16">
      <c r="B167" s="2"/>
      <c r="C167" s="2"/>
      <c r="D167" s="2"/>
      <c r="E167" s="2"/>
      <c r="F167" s="2"/>
      <c r="G167" s="2"/>
      <c r="H167" s="2"/>
      <c r="I167" s="2"/>
      <c r="J167" s="136"/>
      <c r="K167" s="136"/>
      <c r="L167" s="2"/>
    </row>
    <row r="168" spans="1:16">
      <c r="B168" s="2"/>
      <c r="C168" s="2"/>
      <c r="D168" s="2"/>
      <c r="E168" s="2"/>
      <c r="F168" s="2"/>
      <c r="G168" s="2"/>
      <c r="H168" s="2"/>
      <c r="I168" s="2"/>
      <c r="J168" s="137"/>
      <c r="K168" s="136"/>
      <c r="L168" s="2"/>
    </row>
    <row r="169" spans="1:16">
      <c r="B169" s="2"/>
      <c r="C169" s="2"/>
      <c r="D169" s="2"/>
      <c r="E169" s="2"/>
      <c r="F169" s="2"/>
      <c r="G169" s="2"/>
      <c r="H169" s="2"/>
      <c r="I169" s="2"/>
      <c r="J169" s="136"/>
      <c r="K169" s="138"/>
      <c r="L169" s="2"/>
    </row>
    <row r="170" spans="1:16" ht="15">
      <c r="B170" s="139">
        <v>4901808054</v>
      </c>
      <c r="C170" s="2"/>
      <c r="D170" s="2"/>
      <c r="E170" s="2"/>
      <c r="F170" s="2"/>
      <c r="G170" s="2"/>
      <c r="H170"/>
      <c r="I170" s="2"/>
      <c r="J170"/>
      <c r="K170"/>
      <c r="L170" s="2"/>
    </row>
    <row r="171" spans="1:16" ht="15">
      <c r="A171" s="2"/>
      <c r="B171" s="139">
        <v>4901811825</v>
      </c>
      <c r="C171" s="2"/>
      <c r="D171" s="2"/>
      <c r="E171" s="2"/>
      <c r="F171" s="2"/>
      <c r="G171" s="2"/>
      <c r="H171"/>
      <c r="J171"/>
      <c r="K171"/>
      <c r="L171" s="2"/>
    </row>
    <row r="172" spans="1:16" ht="15">
      <c r="A172" s="2"/>
      <c r="B172" s="139">
        <v>4901811858</v>
      </c>
      <c r="C172" s="2"/>
      <c r="D172" s="2"/>
      <c r="E172" s="2"/>
      <c r="F172" s="2"/>
      <c r="G172" s="2"/>
      <c r="H172"/>
      <c r="J172"/>
      <c r="K172"/>
      <c r="L172" s="2"/>
    </row>
    <row r="173" spans="1:16" ht="15">
      <c r="A173"/>
      <c r="B173" s="139">
        <v>4901811838</v>
      </c>
      <c r="C173"/>
      <c r="D173"/>
      <c r="E173"/>
      <c r="F173"/>
      <c r="G173"/>
      <c r="H173"/>
      <c r="J173"/>
      <c r="K173"/>
      <c r="L173" s="2"/>
      <c r="M173"/>
    </row>
    <row r="174" spans="1:16" ht="15">
      <c r="A174"/>
      <c r="B174" s="139">
        <v>4901811867</v>
      </c>
      <c r="C174"/>
      <c r="D174"/>
      <c r="E174"/>
      <c r="F174"/>
      <c r="G174"/>
      <c r="H174"/>
      <c r="I174"/>
      <c r="J174"/>
      <c r="K174"/>
      <c r="L174" s="2"/>
      <c r="M174"/>
    </row>
    <row r="175" spans="1:16" ht="15">
      <c r="A175"/>
      <c r="B175" s="139" t="s">
        <v>239</v>
      </c>
      <c r="C175"/>
      <c r="D175"/>
      <c r="E175"/>
      <c r="F175"/>
      <c r="G175"/>
      <c r="H175"/>
      <c r="I175"/>
      <c r="J175"/>
      <c r="K175"/>
      <c r="L175" s="2"/>
      <c r="M175"/>
    </row>
    <row r="176" spans="1:16" ht="15">
      <c r="A176"/>
      <c r="B176" s="139">
        <v>4901808044</v>
      </c>
      <c r="C176"/>
      <c r="D176"/>
      <c r="E176"/>
      <c r="F176"/>
      <c r="G176"/>
      <c r="H176"/>
      <c r="I176"/>
      <c r="J176"/>
      <c r="K176"/>
      <c r="L176" s="2"/>
      <c r="M176"/>
    </row>
    <row r="177" spans="1:13" ht="15">
      <c r="A177"/>
      <c r="B177" s="139">
        <v>4901808050</v>
      </c>
      <c r="C177"/>
      <c r="D177"/>
      <c r="E177"/>
      <c r="F177"/>
      <c r="G177"/>
      <c r="H177"/>
      <c r="I177"/>
      <c r="J177"/>
      <c r="K177"/>
      <c r="L177" s="2"/>
      <c r="M177"/>
    </row>
    <row r="178" spans="1:13" ht="15">
      <c r="A178"/>
      <c r="B178" s="139">
        <v>4901811068</v>
      </c>
      <c r="C178"/>
      <c r="D178"/>
      <c r="E178"/>
      <c r="F178"/>
      <c r="G178"/>
      <c r="H178"/>
      <c r="I178"/>
      <c r="J178"/>
      <c r="K178"/>
      <c r="L178" s="2"/>
      <c r="M178"/>
    </row>
    <row r="179" spans="1:13" ht="15">
      <c r="A179"/>
      <c r="B179" s="139">
        <v>4901811069</v>
      </c>
      <c r="C179"/>
      <c r="D179"/>
      <c r="E179"/>
      <c r="F179"/>
      <c r="G179"/>
      <c r="H179"/>
      <c r="I179"/>
      <c r="J179" s="136"/>
      <c r="K179" s="136"/>
      <c r="L179" s="2"/>
      <c r="M179"/>
    </row>
    <row r="180" spans="1:13" ht="15">
      <c r="B180" s="139">
        <v>4901811070</v>
      </c>
      <c r="C180" s="2"/>
      <c r="D180" s="2"/>
      <c r="E180" s="2"/>
      <c r="F180" s="2"/>
      <c r="G180"/>
      <c r="H180" s="2"/>
      <c r="I180" s="2"/>
      <c r="J180" s="136"/>
      <c r="K180" s="136"/>
      <c r="L180" s="2"/>
    </row>
    <row r="181" spans="1:13" ht="15">
      <c r="B181" s="139">
        <v>4901811835</v>
      </c>
      <c r="C181" s="2"/>
      <c r="D181" s="2"/>
      <c r="E181" s="2"/>
      <c r="F181" s="2"/>
      <c r="G181"/>
      <c r="H181" s="2"/>
      <c r="I181" s="2"/>
      <c r="J181" s="136"/>
      <c r="K181" s="136"/>
      <c r="L181" s="2"/>
    </row>
    <row r="182" spans="1:13" ht="12.75">
      <c r="B182" s="139">
        <v>4901807848</v>
      </c>
      <c r="C182" s="2"/>
      <c r="D182" s="2"/>
      <c r="E182" s="2"/>
      <c r="F182" s="2"/>
      <c r="G182" s="2"/>
      <c r="H182" s="2"/>
      <c r="I182" s="2"/>
      <c r="J182" s="136"/>
      <c r="K182" s="136"/>
      <c r="L182" s="2"/>
    </row>
    <row r="183" spans="1:13" ht="12.75">
      <c r="B183" s="139">
        <v>4901808010</v>
      </c>
      <c r="C183" s="2"/>
      <c r="D183" s="2"/>
      <c r="E183" s="2"/>
      <c r="F183" s="2"/>
      <c r="G183" s="2"/>
      <c r="H183" s="2"/>
      <c r="I183" s="2"/>
      <c r="J183" s="136"/>
      <c r="K183" s="136"/>
      <c r="L183" s="2"/>
    </row>
    <row r="184" spans="1:13" ht="12.75">
      <c r="B184" s="139">
        <v>4901812172</v>
      </c>
      <c r="C184" s="2"/>
      <c r="D184" s="2"/>
      <c r="E184" s="2"/>
      <c r="F184" s="2"/>
      <c r="G184" s="2"/>
      <c r="H184" s="2"/>
      <c r="I184" s="2"/>
      <c r="J184" s="136"/>
      <c r="K184" s="136"/>
      <c r="L184" s="2"/>
    </row>
    <row r="185" spans="1:13" ht="12.75">
      <c r="B185" s="139">
        <v>4901812173</v>
      </c>
      <c r="C185" s="2"/>
      <c r="D185" s="2"/>
      <c r="E185" s="2"/>
      <c r="F185" s="2"/>
      <c r="G185" s="2"/>
      <c r="H185" s="2"/>
      <c r="I185" s="2"/>
      <c r="J185" s="136"/>
      <c r="K185" s="136"/>
      <c r="L185" s="2"/>
    </row>
    <row r="186" spans="1:13" ht="12.75">
      <c r="B186" s="139">
        <v>4901812175</v>
      </c>
      <c r="C186" s="2"/>
      <c r="D186" s="2"/>
      <c r="E186" s="2"/>
      <c r="F186" s="2"/>
      <c r="G186" s="2"/>
      <c r="H186" s="2"/>
      <c r="I186" s="2"/>
      <c r="J186" s="136"/>
      <c r="K186" s="136"/>
      <c r="L186" s="2"/>
    </row>
    <row r="187" spans="1:13" ht="12.75">
      <c r="B187" s="139">
        <v>4901812179</v>
      </c>
      <c r="C187" s="2"/>
      <c r="D187" s="2"/>
      <c r="E187" s="2"/>
      <c r="F187" s="2"/>
      <c r="G187" s="2"/>
      <c r="H187" s="2"/>
      <c r="I187" s="2"/>
      <c r="J187" s="136"/>
      <c r="K187" s="136"/>
      <c r="L187" s="2"/>
    </row>
    <row r="188" spans="1:13" ht="12.75">
      <c r="B188" s="139">
        <v>4901812184</v>
      </c>
      <c r="C188" s="2"/>
      <c r="D188" s="2"/>
      <c r="E188" s="2"/>
      <c r="F188" s="2"/>
      <c r="G188" s="2"/>
      <c r="H188" s="2"/>
      <c r="I188" s="2"/>
      <c r="J188" s="136"/>
      <c r="K188" s="136"/>
      <c r="L188" s="2"/>
    </row>
    <row r="189" spans="1:13" ht="12.75">
      <c r="B189" s="139">
        <v>4901803046</v>
      </c>
      <c r="C189" s="2"/>
      <c r="D189" s="2"/>
      <c r="E189" s="2"/>
      <c r="F189" s="2"/>
      <c r="G189" s="2"/>
      <c r="H189" s="2"/>
      <c r="I189" s="2"/>
      <c r="J189" s="136"/>
      <c r="K189" s="136"/>
      <c r="L189" s="2"/>
    </row>
    <row r="190" spans="1:13" ht="12.75">
      <c r="B190" s="139">
        <v>4901803053</v>
      </c>
      <c r="C190" s="2"/>
      <c r="D190" s="2"/>
      <c r="E190" s="2"/>
      <c r="F190" s="2"/>
      <c r="G190" s="2"/>
      <c r="H190" s="2"/>
      <c r="I190" s="2"/>
      <c r="J190" s="136"/>
      <c r="K190" s="136"/>
      <c r="L190" s="2"/>
    </row>
    <row r="191" spans="1:13" ht="12.75">
      <c r="B191" s="139" t="s">
        <v>240</v>
      </c>
      <c r="C191" s="2"/>
      <c r="D191" s="2"/>
      <c r="E191" s="2"/>
      <c r="F191" s="2"/>
      <c r="G191" s="2"/>
      <c r="H191" s="2"/>
      <c r="I191" s="2"/>
      <c r="J191" s="136"/>
      <c r="K191" s="136"/>
      <c r="L191" s="2"/>
    </row>
    <row r="192" spans="1:13" ht="12.75">
      <c r="B192" s="139" t="s">
        <v>241</v>
      </c>
      <c r="C192" s="2"/>
      <c r="D192" s="2"/>
      <c r="E192" s="2"/>
      <c r="F192" s="2"/>
      <c r="G192" s="2"/>
      <c r="H192" s="2"/>
      <c r="I192" s="2"/>
      <c r="J192" s="136"/>
      <c r="K192" s="136"/>
      <c r="L192" s="2"/>
    </row>
    <row r="193" spans="2:12" ht="12.75">
      <c r="B193" s="139" t="s">
        <v>242</v>
      </c>
      <c r="C193" s="2"/>
      <c r="D193" s="2"/>
      <c r="E193" s="2"/>
      <c r="F193" s="2"/>
      <c r="G193" s="2"/>
      <c r="H193" s="2"/>
      <c r="I193" s="2"/>
      <c r="J193" s="136"/>
      <c r="K193" s="136"/>
      <c r="L193" s="2"/>
    </row>
    <row r="194" spans="2:12" ht="12.75">
      <c r="B194" s="139" t="s">
        <v>243</v>
      </c>
      <c r="C194" s="2"/>
      <c r="D194" s="2"/>
      <c r="E194" s="2"/>
      <c r="F194" s="2"/>
      <c r="G194" s="2"/>
      <c r="H194" s="2"/>
      <c r="I194" s="2"/>
      <c r="J194" s="136"/>
      <c r="K194" s="136"/>
      <c r="L194" s="2"/>
    </row>
    <row r="195" spans="2:12" ht="12.75">
      <c r="B195" s="139">
        <v>4901808020</v>
      </c>
      <c r="C195" s="2"/>
      <c r="D195" s="2"/>
      <c r="E195" s="2"/>
      <c r="F195" s="2"/>
      <c r="G195" s="2"/>
      <c r="H195" s="2"/>
      <c r="I195" s="2"/>
      <c r="J195" s="136"/>
      <c r="K195" s="136"/>
      <c r="L195" s="2"/>
    </row>
    <row r="196" spans="2:12" ht="12.75">
      <c r="B196" s="139">
        <v>4901808024</v>
      </c>
      <c r="C196" s="2"/>
      <c r="D196" s="2"/>
      <c r="E196" s="2"/>
      <c r="F196" s="2"/>
      <c r="G196" s="2"/>
      <c r="H196" s="2"/>
      <c r="I196" s="2"/>
      <c r="J196" s="136"/>
      <c r="K196" s="136"/>
      <c r="L196" s="2"/>
    </row>
    <row r="197" spans="2:12" ht="12.75">
      <c r="B197" s="139" t="s">
        <v>244</v>
      </c>
      <c r="C197" s="2"/>
      <c r="D197" s="2"/>
      <c r="E197" s="2"/>
      <c r="F197" s="2"/>
      <c r="G197" s="2"/>
      <c r="H197" s="2"/>
      <c r="I197" s="2"/>
      <c r="J197" s="136"/>
      <c r="K197" s="136"/>
      <c r="L197" s="2"/>
    </row>
    <row r="198" spans="2:12" ht="12.75">
      <c r="B198" s="139" t="s">
        <v>245</v>
      </c>
      <c r="C198" s="2"/>
      <c r="D198" s="2"/>
      <c r="E198" s="2"/>
      <c r="F198" s="2"/>
      <c r="G198" s="2"/>
      <c r="H198" s="2"/>
      <c r="I198" s="2"/>
      <c r="J198" s="136"/>
      <c r="K198" s="136"/>
      <c r="L198" s="2"/>
    </row>
    <row r="199" spans="2:12" ht="12.75">
      <c r="B199" s="139" t="s">
        <v>246</v>
      </c>
      <c r="C199" s="2"/>
      <c r="D199" s="2"/>
      <c r="E199" s="2"/>
      <c r="F199" s="2"/>
      <c r="G199" s="2"/>
      <c r="H199" s="2"/>
      <c r="I199" s="2"/>
      <c r="J199" s="136"/>
      <c r="K199" s="136"/>
      <c r="L199" s="2"/>
    </row>
    <row r="200" spans="2:12" ht="12.75">
      <c r="B200" s="139" t="s">
        <v>247</v>
      </c>
      <c r="C200" s="2"/>
      <c r="D200" s="2"/>
      <c r="E200" s="2"/>
      <c r="F200" s="2"/>
      <c r="G200" s="2"/>
      <c r="H200" s="2"/>
      <c r="I200" s="2"/>
      <c r="J200" s="136"/>
      <c r="K200" s="136"/>
      <c r="L200" s="2"/>
    </row>
    <row r="201" spans="2:12" ht="12.75">
      <c r="B201" s="139" t="s">
        <v>248</v>
      </c>
      <c r="C201" s="2"/>
      <c r="D201" s="2"/>
      <c r="E201" s="2"/>
      <c r="F201" s="2"/>
      <c r="G201" s="2"/>
      <c r="H201" s="2"/>
      <c r="I201" s="2"/>
      <c r="J201" s="136"/>
      <c r="K201" s="136"/>
      <c r="L201" s="2"/>
    </row>
    <row r="202" spans="2:12" ht="12.75">
      <c r="B202" s="139" t="s">
        <v>249</v>
      </c>
      <c r="C202" s="2"/>
      <c r="D202" s="2"/>
      <c r="E202" s="2"/>
      <c r="F202" s="2"/>
      <c r="G202" s="2"/>
      <c r="H202" s="2"/>
      <c r="I202" s="2"/>
      <c r="J202" s="136"/>
      <c r="K202" s="136"/>
      <c r="L202" s="2"/>
    </row>
    <row r="203" spans="2:12" ht="12.75">
      <c r="B203" s="139" t="s">
        <v>239</v>
      </c>
      <c r="C203" s="2"/>
      <c r="D203" s="2"/>
      <c r="E203" s="2"/>
      <c r="F203" s="2"/>
      <c r="G203" s="2"/>
      <c r="H203" s="2"/>
      <c r="I203" s="2"/>
      <c r="J203" s="136"/>
      <c r="K203" s="136"/>
      <c r="L203" s="2"/>
    </row>
    <row r="204" spans="2:12" ht="12.75">
      <c r="B204" s="139" t="s">
        <v>250</v>
      </c>
      <c r="C204" s="2"/>
      <c r="D204" s="2"/>
      <c r="E204" s="2"/>
      <c r="F204" s="2"/>
      <c r="G204" s="2"/>
      <c r="H204" s="2"/>
      <c r="I204" s="2"/>
      <c r="J204" s="136"/>
      <c r="K204" s="136"/>
      <c r="L204" s="2"/>
    </row>
    <row r="205" spans="2:12">
      <c r="B205" s="2"/>
      <c r="C205" s="2"/>
      <c r="D205" s="2"/>
      <c r="E205" s="2"/>
      <c r="F205" s="2"/>
      <c r="G205" s="2"/>
      <c r="H205" s="2"/>
      <c r="I205" s="2"/>
      <c r="J205" s="136"/>
      <c r="K205" s="136"/>
      <c r="L205" s="2"/>
    </row>
    <row r="206" spans="2:12">
      <c r="B206" s="2"/>
      <c r="C206" s="2"/>
      <c r="D206" s="2"/>
      <c r="E206" s="2"/>
      <c r="F206" s="2"/>
      <c r="G206" s="2"/>
      <c r="H206" s="2"/>
      <c r="I206" s="2"/>
      <c r="J206" s="136"/>
      <c r="K206" s="136"/>
      <c r="L206" s="2"/>
    </row>
    <row r="207" spans="2:12">
      <c r="B207" s="2"/>
      <c r="C207" s="2"/>
      <c r="D207" s="2"/>
      <c r="E207" s="2"/>
      <c r="F207" s="2"/>
      <c r="G207" s="2"/>
      <c r="H207" s="2"/>
      <c r="I207" s="2"/>
      <c r="J207" s="136"/>
      <c r="K207" s="136"/>
      <c r="L207" s="2"/>
    </row>
    <row r="208" spans="2:12">
      <c r="B208" s="2"/>
      <c r="C208" s="2"/>
      <c r="D208" s="2"/>
      <c r="E208" s="2"/>
      <c r="F208" s="2"/>
      <c r="G208" s="2"/>
      <c r="H208" s="2"/>
      <c r="I208" s="2"/>
      <c r="J208" s="136"/>
      <c r="K208" s="136"/>
      <c r="L208" s="2"/>
    </row>
    <row r="209" spans="2:12">
      <c r="B209" s="2"/>
      <c r="C209" s="2"/>
      <c r="D209" s="2"/>
      <c r="E209" s="2"/>
      <c r="F209" s="2"/>
      <c r="G209" s="2"/>
      <c r="H209" s="2"/>
      <c r="I209" s="2"/>
      <c r="J209" s="136"/>
      <c r="K209" s="136"/>
      <c r="L209" s="2"/>
    </row>
    <row r="210" spans="2:12">
      <c r="B210" s="2"/>
      <c r="C210" s="2"/>
      <c r="D210" s="2"/>
      <c r="E210" s="2"/>
      <c r="F210" s="2"/>
      <c r="G210" s="2"/>
      <c r="H210" s="2"/>
      <c r="I210" s="2"/>
      <c r="J210" s="136"/>
      <c r="K210" s="136"/>
      <c r="L210" s="2"/>
    </row>
    <row r="211" spans="2:12">
      <c r="B211" s="2"/>
      <c r="C211" s="2"/>
      <c r="D211" s="2"/>
      <c r="E211" s="2"/>
      <c r="F211" s="2"/>
      <c r="G211" s="2"/>
      <c r="H211" s="2"/>
      <c r="I211" s="2"/>
      <c r="K211" s="136"/>
      <c r="L211" s="2"/>
    </row>
    <row r="212" spans="2:12">
      <c r="B212" s="2"/>
      <c r="C212" s="2"/>
      <c r="D212" s="2"/>
      <c r="E212" s="2"/>
      <c r="F212" s="2"/>
      <c r="G212" s="2"/>
      <c r="H212" s="136"/>
      <c r="I212" s="2"/>
      <c r="J212" s="136"/>
      <c r="K212" s="136"/>
      <c r="L212" s="2"/>
    </row>
    <row r="213" spans="2:12">
      <c r="L213" s="2"/>
    </row>
    <row r="214" spans="2:12">
      <c r="L214" s="2"/>
    </row>
    <row r="215" spans="2:12">
      <c r="L215" s="2"/>
    </row>
    <row r="216" spans="2:12">
      <c r="L216" s="2"/>
    </row>
    <row r="217" spans="2:12">
      <c r="L217" s="2"/>
    </row>
    <row r="218" spans="2:12">
      <c r="L218" s="2"/>
    </row>
    <row r="219" spans="2:12">
      <c r="L219" s="2"/>
    </row>
    <row r="220" spans="2:12">
      <c r="L220" s="2"/>
    </row>
    <row r="221" spans="2:12">
      <c r="L221" s="2"/>
    </row>
    <row r="222" spans="2:12">
      <c r="L222" s="2"/>
    </row>
    <row r="238" spans="1:9">
      <c r="A238" s="140" t="s">
        <v>100</v>
      </c>
      <c r="B238" s="141">
        <v>4702024306</v>
      </c>
      <c r="C238" s="142" t="s">
        <v>251</v>
      </c>
      <c r="D238" s="143" t="s">
        <v>252</v>
      </c>
      <c r="E238" s="143" t="s">
        <v>253</v>
      </c>
      <c r="F238" s="143" t="s">
        <v>254</v>
      </c>
      <c r="G238" s="143" t="s">
        <v>255</v>
      </c>
      <c r="H238" s="143" t="s">
        <v>256</v>
      </c>
      <c r="I238" s="144" t="s">
        <v>238</v>
      </c>
    </row>
    <row r="239" spans="1:9">
      <c r="A239" s="140"/>
      <c r="B239" s="145" t="s">
        <v>257</v>
      </c>
      <c r="C239" s="145">
        <v>23</v>
      </c>
      <c r="D239" s="145">
        <v>1013</v>
      </c>
      <c r="E239" s="145">
        <v>1953</v>
      </c>
      <c r="F239" s="145">
        <v>2072</v>
      </c>
      <c r="G239" s="145">
        <v>1134</v>
      </c>
      <c r="H239" s="145">
        <v>621</v>
      </c>
      <c r="I239" s="144">
        <f t="shared" ref="I239:I242" si="4">SUM(C239:H239)</f>
        <v>6816</v>
      </c>
    </row>
    <row r="240" spans="1:9" ht="15">
      <c r="A240" s="140"/>
      <c r="B240" s="146" t="s">
        <v>258</v>
      </c>
      <c r="C240" s="147">
        <v>20</v>
      </c>
      <c r="D240" s="147">
        <v>969</v>
      </c>
      <c r="E240" s="147">
        <v>1859</v>
      </c>
      <c r="F240" s="147">
        <v>1974</v>
      </c>
      <c r="G240" s="147">
        <v>1086</v>
      </c>
      <c r="H240" s="147">
        <v>592</v>
      </c>
      <c r="I240" s="144">
        <f t="shared" si="4"/>
        <v>6500</v>
      </c>
    </row>
    <row r="241" spans="1:9" ht="15">
      <c r="A241" s="140"/>
      <c r="B241" s="148" t="s">
        <v>259</v>
      </c>
      <c r="C241" s="149">
        <v>12</v>
      </c>
      <c r="D241" s="149">
        <v>618</v>
      </c>
      <c r="E241" s="149">
        <v>1186</v>
      </c>
      <c r="F241" s="149">
        <v>1259</v>
      </c>
      <c r="G241" s="149">
        <v>693</v>
      </c>
      <c r="H241" s="149">
        <v>378</v>
      </c>
      <c r="I241" s="150">
        <f t="shared" si="4"/>
        <v>4146</v>
      </c>
    </row>
    <row r="242" spans="1:9">
      <c r="A242" s="140"/>
      <c r="B242" s="151" t="s">
        <v>260</v>
      </c>
      <c r="C242" s="147">
        <f>C240-C241</f>
        <v>8</v>
      </c>
      <c r="D242" s="147">
        <f t="shared" ref="D242:H242" si="5">D240-D241</f>
        <v>351</v>
      </c>
      <c r="E242" s="147">
        <f t="shared" si="5"/>
        <v>673</v>
      </c>
      <c r="F242" s="147">
        <f t="shared" si="5"/>
        <v>715</v>
      </c>
      <c r="G242" s="147">
        <f t="shared" si="5"/>
        <v>393</v>
      </c>
      <c r="H242" s="147">
        <f t="shared" si="5"/>
        <v>214</v>
      </c>
      <c r="I242" s="144">
        <f t="shared" si="4"/>
        <v>2354</v>
      </c>
    </row>
  </sheetData>
  <autoFilter ref="B3:P209">
    <filterColumn colId="8">
      <filters blank="1">
        <dateGroupItem year="2026" dateTimeGrouping="year"/>
        <dateGroupItem year="2025" month="12" day="28" dateTimeGrouping="day"/>
      </filters>
    </filterColumn>
  </autoFilter>
  <mergeCells count="2">
    <mergeCell ref="E163:F163"/>
    <mergeCell ref="A238:A242"/>
  </mergeCells>
  <conditionalFormatting sqref="B242">
    <cfRule type="duplicateValues" dxfId="1" priority="2"/>
  </conditionalFormatting>
  <conditionalFormatting sqref="B238">
    <cfRule type="duplicateValues" dxfId="0" priority="1"/>
  </conditionalFormatting>
  <pageMargins left="0.39" right="0.2" top="0.74803149606299213" bottom="0.74803149606299213" header="0.31496062992125984" footer="0.31496062992125984"/>
  <pageSetup paperSize="9" scale="2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Finishing DEO4</dc:creator>
  <cp:lastModifiedBy>Finishing DEO4</cp:lastModifiedBy>
  <dcterms:created xsi:type="dcterms:W3CDTF">2025-12-10T11:17:44Z</dcterms:created>
  <dcterms:modified xsi:type="dcterms:W3CDTF">2025-12-10T11:26:19Z</dcterms:modified>
</cp:coreProperties>
</file>