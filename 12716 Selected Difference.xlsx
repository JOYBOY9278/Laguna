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ashwanthk\Desktop\Yash\"/>
    </mc:Choice>
  </mc:AlternateContent>
  <bookViews>
    <workbookView xWindow="0" yWindow="0" windowWidth="28800" windowHeight="12300"/>
  </bookViews>
  <sheets>
    <sheet name="Egret Pattern " sheetId="1" r:id="rId1"/>
    <sheet name="Bracken Pattern " sheetId="2" r:id="rId2"/>
    <sheet name="Sheet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2" l="1"/>
  <c r="I24" i="1"/>
  <c r="AA106" i="3" l="1"/>
  <c r="Z106" i="3"/>
  <c r="Y106" i="3"/>
  <c r="X106" i="3"/>
  <c r="W106" i="3"/>
  <c r="V106" i="3"/>
  <c r="AB105" i="3"/>
  <c r="AB104" i="3"/>
  <c r="AB103" i="3"/>
  <c r="AB102" i="3"/>
  <c r="AB101" i="3"/>
  <c r="AB100" i="3"/>
  <c r="AB99" i="3"/>
  <c r="AB98" i="3"/>
  <c r="AB97" i="3"/>
  <c r="AB96" i="3"/>
  <c r="AB95" i="3"/>
  <c r="AB94" i="3"/>
  <c r="AB93" i="3"/>
  <c r="AB92" i="3"/>
  <c r="AB91" i="3"/>
  <c r="AB90" i="3"/>
  <c r="AB89" i="3"/>
  <c r="AB88" i="3"/>
  <c r="AB87" i="3"/>
  <c r="AB86" i="3"/>
  <c r="AB85" i="3"/>
  <c r="AB84" i="3"/>
  <c r="AB83" i="3"/>
  <c r="AB82" i="3"/>
  <c r="AB81" i="3"/>
  <c r="AB80" i="3"/>
  <c r="AB79" i="3"/>
  <c r="AA75" i="3"/>
  <c r="Z75" i="3"/>
  <c r="Y75" i="3"/>
  <c r="X75" i="3"/>
  <c r="W75" i="3"/>
  <c r="V75" i="3"/>
  <c r="AB74" i="3"/>
  <c r="AB73" i="3"/>
  <c r="AB72" i="3"/>
  <c r="AB71" i="3"/>
  <c r="AB70" i="3"/>
  <c r="AB69" i="3"/>
  <c r="AB68" i="3"/>
  <c r="AB67" i="3"/>
  <c r="AB66" i="3"/>
  <c r="AB65" i="3"/>
  <c r="AB64" i="3"/>
  <c r="AB63" i="3"/>
  <c r="AB62" i="3"/>
  <c r="AB61" i="3"/>
  <c r="AB60" i="3"/>
  <c r="AB59" i="3"/>
  <c r="AB58" i="3"/>
  <c r="AB57" i="3"/>
  <c r="AB56" i="3"/>
  <c r="AB55" i="3"/>
  <c r="AB54" i="3"/>
  <c r="AB53" i="3"/>
  <c r="AB52" i="3"/>
  <c r="AB51" i="3"/>
  <c r="AB50" i="3"/>
  <c r="AB49" i="3"/>
  <c r="AA48" i="3"/>
  <c r="Z48" i="3"/>
  <c r="Y48" i="3"/>
  <c r="X48" i="3"/>
  <c r="W48" i="3"/>
  <c r="AB47" i="3"/>
  <c r="AB46" i="3"/>
  <c r="AB45" i="3"/>
  <c r="AB44" i="3"/>
  <c r="AB43" i="3"/>
  <c r="AA42" i="3"/>
  <c r="Z42" i="3"/>
  <c r="Y42" i="3"/>
  <c r="X42" i="3"/>
  <c r="W42" i="3"/>
  <c r="AB41" i="3"/>
  <c r="AB40" i="3"/>
  <c r="AB39" i="3"/>
  <c r="AB38" i="3"/>
  <c r="AB37" i="3"/>
  <c r="L106" i="3"/>
  <c r="K106" i="3"/>
  <c r="J106" i="3"/>
  <c r="I106" i="3"/>
  <c r="H106" i="3"/>
  <c r="G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L75" i="3"/>
  <c r="K75" i="3"/>
  <c r="J75" i="3"/>
  <c r="I75" i="3"/>
  <c r="H75" i="3"/>
  <c r="G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L48" i="3"/>
  <c r="K48" i="3"/>
  <c r="J48" i="3"/>
  <c r="I48" i="3"/>
  <c r="H48" i="3"/>
  <c r="M47" i="3"/>
  <c r="M46" i="3"/>
  <c r="M45" i="3"/>
  <c r="M44" i="3"/>
  <c r="M43" i="3"/>
  <c r="L42" i="3"/>
  <c r="K42" i="3"/>
  <c r="J42" i="3"/>
  <c r="I42" i="3"/>
  <c r="H42" i="3"/>
  <c r="M41" i="3"/>
  <c r="M40" i="3"/>
  <c r="M39" i="3"/>
  <c r="M38" i="3"/>
  <c r="M37" i="3"/>
  <c r="K32" i="3"/>
  <c r="I32" i="3"/>
  <c r="H32" i="3"/>
  <c r="M31" i="3"/>
  <c r="M30" i="3"/>
  <c r="I29" i="3"/>
  <c r="H29" i="3"/>
  <c r="M28" i="3"/>
  <c r="M27" i="3"/>
  <c r="M26" i="3"/>
  <c r="M25" i="3"/>
  <c r="L21" i="3"/>
  <c r="K21" i="3"/>
  <c r="J21" i="3"/>
  <c r="I21" i="3"/>
  <c r="H21" i="3"/>
  <c r="M20" i="3"/>
  <c r="M19" i="3"/>
  <c r="L18" i="3"/>
  <c r="K18" i="3"/>
  <c r="J18" i="3"/>
  <c r="I18" i="3"/>
  <c r="H18" i="3"/>
  <c r="M17" i="3"/>
  <c r="M16" i="3"/>
  <c r="M15" i="3"/>
  <c r="M14" i="3"/>
  <c r="K13" i="3"/>
  <c r="J13" i="3"/>
  <c r="I13" i="3"/>
  <c r="H13" i="3"/>
  <c r="M12" i="3"/>
  <c r="M11" i="3"/>
  <c r="K10" i="3"/>
  <c r="J10" i="3"/>
  <c r="I10" i="3"/>
  <c r="H10" i="3"/>
  <c r="M9" i="3"/>
  <c r="M8" i="3"/>
  <c r="M7" i="3"/>
  <c r="M6" i="3"/>
  <c r="J70" i="2"/>
  <c r="K70" i="2"/>
  <c r="L70" i="2"/>
  <c r="M70" i="2"/>
  <c r="N70" i="2"/>
  <c r="I70" i="2"/>
  <c r="J69" i="2"/>
  <c r="K69" i="2"/>
  <c r="L69" i="2"/>
  <c r="M69" i="2"/>
  <c r="N69" i="2"/>
  <c r="I69" i="2"/>
  <c r="H68" i="2"/>
  <c r="M68" i="2"/>
  <c r="L68" i="2"/>
  <c r="K68" i="2"/>
  <c r="J68" i="2"/>
  <c r="I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68" i="2" s="1"/>
  <c r="N46" i="2"/>
  <c r="N45" i="2"/>
  <c r="N44" i="2"/>
  <c r="N43" i="2"/>
  <c r="M42" i="2"/>
  <c r="L42" i="2"/>
  <c r="K42" i="2"/>
  <c r="J42" i="2"/>
  <c r="I42" i="2"/>
  <c r="H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2" i="2"/>
  <c r="L12" i="2"/>
  <c r="K12" i="2"/>
  <c r="J12" i="2"/>
  <c r="N11" i="2"/>
  <c r="N10" i="2"/>
  <c r="N6" i="2"/>
  <c r="N5" i="2"/>
  <c r="I39" i="1"/>
  <c r="J39" i="1"/>
  <c r="K39" i="1"/>
  <c r="L39" i="1"/>
  <c r="M39" i="1"/>
  <c r="N39" i="1"/>
  <c r="J24" i="1"/>
  <c r="K24" i="1"/>
  <c r="L24" i="1"/>
  <c r="M96" i="1"/>
  <c r="L96" i="1"/>
  <c r="K96" i="1"/>
  <c r="J96" i="1"/>
  <c r="I96" i="1"/>
  <c r="H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96" i="1" s="1"/>
  <c r="M69" i="1"/>
  <c r="L69" i="1"/>
  <c r="K69" i="1"/>
  <c r="J69" i="1"/>
  <c r="I69" i="1"/>
  <c r="H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69" i="1" s="1"/>
  <c r="I38" i="1"/>
  <c r="M38" i="1"/>
  <c r="L38" i="1"/>
  <c r="K38" i="1"/>
  <c r="J38" i="1"/>
  <c r="N37" i="1"/>
  <c r="N36" i="1"/>
  <c r="N35" i="1"/>
  <c r="N38" i="1" s="1"/>
  <c r="M34" i="1"/>
  <c r="L34" i="1"/>
  <c r="K34" i="1"/>
  <c r="J34" i="1"/>
  <c r="I34" i="1"/>
  <c r="N33" i="1"/>
  <c r="N32" i="1"/>
  <c r="N31" i="1"/>
  <c r="N34" i="1" s="1"/>
  <c r="N28" i="1"/>
  <c r="N27" i="1"/>
  <c r="N23" i="1"/>
  <c r="N24" i="1" s="1"/>
  <c r="N22" i="1"/>
  <c r="M19" i="1"/>
  <c r="L19" i="1"/>
  <c r="K19" i="1"/>
  <c r="J19" i="1"/>
  <c r="I19" i="1"/>
  <c r="N18" i="1"/>
  <c r="N17" i="1"/>
  <c r="N16" i="1"/>
  <c r="N15" i="1"/>
  <c r="M14" i="1"/>
  <c r="L14" i="1"/>
  <c r="K14" i="1"/>
  <c r="J14" i="1"/>
  <c r="I14" i="1"/>
  <c r="N13" i="1"/>
  <c r="N12" i="1"/>
  <c r="N11" i="1"/>
  <c r="N10" i="1"/>
  <c r="N7" i="1"/>
  <c r="N6" i="1"/>
  <c r="N31" i="3" l="1"/>
  <c r="M48" i="3"/>
  <c r="N15" i="3"/>
  <c r="N26" i="3"/>
  <c r="AB48" i="3"/>
  <c r="AB75" i="3"/>
  <c r="M75" i="3"/>
  <c r="AB106" i="3"/>
  <c r="N20" i="3"/>
  <c r="M106" i="3"/>
  <c r="AB42" i="3"/>
  <c r="N17" i="3"/>
  <c r="M42" i="3"/>
  <c r="N7" i="3"/>
  <c r="N28" i="3"/>
  <c r="N9" i="3"/>
  <c r="N12" i="3"/>
  <c r="N42" i="2"/>
  <c r="N19" i="1"/>
  <c r="N14" i="1"/>
</calcChain>
</file>

<file path=xl/sharedStrings.xml><?xml version="1.0" encoding="utf-8"?>
<sst xmlns="http://schemas.openxmlformats.org/spreadsheetml/2006/main" count="574" uniqueCount="105">
  <si>
    <t>PL SHARED</t>
  </si>
  <si>
    <t>PO#</t>
  </si>
  <si>
    <t>Egret Pattern:Embroidery Tiles</t>
  </si>
  <si>
    <t>XS</t>
  </si>
  <si>
    <t>S</t>
  </si>
  <si>
    <t>M</t>
  </si>
  <si>
    <t>L</t>
  </si>
  <si>
    <t>XL</t>
  </si>
  <si>
    <t>XXL</t>
  </si>
  <si>
    <t>Total</t>
  </si>
  <si>
    <t>Different</t>
  </si>
  <si>
    <t>#No</t>
  </si>
  <si>
    <t>Ctns</t>
  </si>
  <si>
    <t>LAGFWZ4488025</t>
  </si>
  <si>
    <t>LC/SLTD/25/12716.1-KEY ACCOUNT</t>
  </si>
  <si>
    <t>#1</t>
  </si>
  <si>
    <t>LAGFWZ4488026</t>
  </si>
  <si>
    <t>LC/SLTD/25/12716.2.3</t>
  </si>
  <si>
    <t>#3</t>
  </si>
  <si>
    <t>#4</t>
  </si>
  <si>
    <t>#5</t>
  </si>
  <si>
    <t>TOTAL</t>
  </si>
  <si>
    <t>LAGFWZ4488029</t>
  </si>
  <si>
    <t>LC/SLTD/25/12716.4.5</t>
  </si>
  <si>
    <t>#2</t>
  </si>
  <si>
    <t>LAGFWZ4488035</t>
  </si>
  <si>
    <t>LC/SLTD/25/12716.6</t>
  </si>
  <si>
    <t>LAGFWZ4488036</t>
  </si>
  <si>
    <t>LC/SLTD/25/12716.7</t>
  </si>
  <si>
    <t>LAGFWZ4488037</t>
  </si>
  <si>
    <t>LC/SLTD/25/12716.8.9</t>
  </si>
  <si>
    <t>#7</t>
  </si>
  <si>
    <t>#9</t>
  </si>
  <si>
    <t>#10</t>
  </si>
  <si>
    <t>#11</t>
  </si>
  <si>
    <t>#14</t>
  </si>
  <si>
    <t>#15</t>
  </si>
  <si>
    <t>#17</t>
  </si>
  <si>
    <t>#19</t>
  </si>
  <si>
    <t>#21</t>
  </si>
  <si>
    <t>#23</t>
  </si>
  <si>
    <t>#25</t>
  </si>
  <si>
    <t>#26</t>
  </si>
  <si>
    <t>#29</t>
  </si>
  <si>
    <t>#30</t>
  </si>
  <si>
    <t>#34</t>
  </si>
  <si>
    <t>#35</t>
  </si>
  <si>
    <t>#37</t>
  </si>
  <si>
    <t>#38</t>
  </si>
  <si>
    <t>#39</t>
  </si>
  <si>
    <t>#40</t>
  </si>
  <si>
    <t>#41</t>
  </si>
  <si>
    <t>#42</t>
  </si>
  <si>
    <t>#44</t>
  </si>
  <si>
    <t>#45</t>
  </si>
  <si>
    <t>DIFFERENCE</t>
  </si>
  <si>
    <t>#2 DIFFERENCE</t>
  </si>
  <si>
    <t>Bracken Pattern:Embroidery Tiles</t>
  </si>
  <si>
    <t>#6</t>
  </si>
  <si>
    <t>#8</t>
  </si>
  <si>
    <t>#12</t>
  </si>
  <si>
    <t>#13</t>
  </si>
  <si>
    <t>#16</t>
  </si>
  <si>
    <t>#18 - A</t>
  </si>
  <si>
    <t>#18 - B</t>
  </si>
  <si>
    <t>#18 - C</t>
  </si>
  <si>
    <t>#18 - D</t>
  </si>
  <si>
    <t>#18 - E</t>
  </si>
  <si>
    <t>#18 - F</t>
  </si>
  <si>
    <t>#18 - G</t>
  </si>
  <si>
    <t>#20</t>
  </si>
  <si>
    <t>#22</t>
  </si>
  <si>
    <t>#24</t>
  </si>
  <si>
    <t>#27</t>
  </si>
  <si>
    <t>#28</t>
  </si>
  <si>
    <t>#31</t>
  </si>
  <si>
    <t>#32</t>
  </si>
  <si>
    <t>#33</t>
  </si>
  <si>
    <t>#36</t>
  </si>
  <si>
    <t>#43</t>
  </si>
  <si>
    <t>#3 DIFFERENCE</t>
  </si>
  <si>
    <t>#6 DIFFERENCE</t>
  </si>
  <si>
    <t xml:space="preserve">PL SHARED </t>
  </si>
  <si>
    <t>Reduce Ctns</t>
  </si>
  <si>
    <t>12716.1 - Order Qty  - Key Account</t>
  </si>
  <si>
    <t>12716.1 - Cut Qty</t>
  </si>
  <si>
    <t>12716.3 - Order Qty</t>
  </si>
  <si>
    <t>12716.3 - Cut Qty</t>
  </si>
  <si>
    <t># Size Wise ( Cut -) Need to 2 box Reduce</t>
  </si>
  <si>
    <t>12716.5 - Order Qty</t>
  </si>
  <si>
    <t>12716.5 - Cut Qty</t>
  </si>
  <si>
    <t># Size Wise ( Cut -) Need to 1 box Reduce</t>
  </si>
  <si>
    <t>12716.6 - Order Qty</t>
  </si>
  <si>
    <t>12716.6 - Cut Qty</t>
  </si>
  <si>
    <t>12716.7 - Order Qty - Key Account</t>
  </si>
  <si>
    <t>12716.7 - Cut Qty</t>
  </si>
  <si>
    <t>12716.9 - Order Qty</t>
  </si>
  <si>
    <t>12716.9 - Cut Qty</t>
  </si>
  <si>
    <t># Size Wise ( Cut -) Need to 9 Box Reduce</t>
  </si>
  <si>
    <t>12716.2- Order Qty  - Key Account</t>
  </si>
  <si>
    <t>12716.2 - Cut Qty</t>
  </si>
  <si>
    <t>12716.4 - Order Qty</t>
  </si>
  <si>
    <t>12716.4 - Cut Qty</t>
  </si>
  <si>
    <t>12716.8 - Order Qty</t>
  </si>
  <si>
    <t>12716.8 - Cut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</si>
</sst>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1"/>
      <color theme="0"/>
      <name val="Arial Black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16" xfId="0" applyNumberForma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24" xfId="0" applyNumberFormat="1" applyBorder="1" applyAlignment="1">
      <alignment horizontal="center"/>
    </xf>
    <xf numFmtId="14" fontId="0" fillId="0" borderId="25" xfId="0" applyNumberFormat="1" applyBorder="1" applyAlignment="1">
      <alignment horizontal="center"/>
    </xf>
    <xf numFmtId="0" fontId="0" fillId="3" borderId="18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14" fontId="0" fillId="0" borderId="18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1" fillId="2" borderId="13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/>
    </xf>
    <xf numFmtId="0" fontId="0" fillId="0" borderId="0" xfId="0" applyFill="1"/>
    <xf numFmtId="0" fontId="0" fillId="3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0" xfId="0" applyNumberFormat="1"/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14" xfId="0" applyBorder="1"/>
    <xf numFmtId="0" fontId="3" fillId="0" borderId="2" xfId="0" applyFont="1" applyBorder="1"/>
    <xf numFmtId="0" fontId="2" fillId="0" borderId="30" xfId="0" applyFont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0" fillId="0" borderId="15" xfId="0" applyBorder="1"/>
    <xf numFmtId="0" fontId="3" fillId="0" borderId="7" xfId="0" applyFont="1" applyBorder="1"/>
    <xf numFmtId="0" fontId="6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4" fillId="0" borderId="33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8" fillId="6" borderId="31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2" fillId="0" borderId="14" xfId="0" applyFont="1" applyFill="1" applyBorder="1" applyAlignment="1">
      <alignment horizontal="center"/>
    </xf>
    <xf numFmtId="0" fontId="2" fillId="0" borderId="29" xfId="0" applyFont="1" applyFill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6" fillId="0" borderId="34" xfId="0" applyFont="1" applyBorder="1" applyAlignment="1">
      <alignment vertical="center"/>
    </xf>
    <xf numFmtId="0" fontId="7" fillId="0" borderId="35" xfId="0" applyFont="1" applyBorder="1" applyAlignment="1">
      <alignment vertical="center"/>
    </xf>
    <xf numFmtId="0" fontId="0" fillId="0" borderId="3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Q96"/>
  <sheetViews>
    <sheetView tabSelected="1" topLeftCell="A31" workbookViewId="0">
      <selection activeCell="S35" sqref="S35"/>
    </sheetView>
  </sheetViews>
  <sheetFormatPr defaultRowHeight="15"/>
  <cols>
    <col min="6" max="6" width="15.42578125" bestFit="1" customWidth="1"/>
    <col min="7" max="7" width="38.85546875" bestFit="1" customWidth="1"/>
    <col min="8" max="8" width="4.5703125" customWidth="1"/>
    <col min="9" max="9" width="2.85546875" customWidth="1"/>
    <col min="10" max="11" width="4" bestFit="1" customWidth="1"/>
    <col min="12" max="12" width="4.42578125" customWidth="1"/>
    <col min="13" max="13" width="6.140625" customWidth="1"/>
    <col min="14" max="14" width="7.42578125" customWidth="1"/>
    <col min="15" max="15" width="11.7109375" bestFit="1" customWidth="1"/>
    <col min="16" max="16" width="6" customWidth="1"/>
    <col min="17" max="17" width="6.7109375" customWidth="1"/>
  </cols>
  <sheetData>
    <row r="4" spans="4:17" ht="15.75" thickBot="1"/>
    <row r="5" spans="4:17" ht="19.5" thickBot="1">
      <c r="D5" s="24" t="s">
        <v>0</v>
      </c>
      <c r="E5" s="25"/>
      <c r="F5" s="12" t="s">
        <v>1</v>
      </c>
      <c r="G5" s="13" t="s">
        <v>2</v>
      </c>
      <c r="H5" s="13" t="s">
        <v>3</v>
      </c>
      <c r="I5" s="13" t="s">
        <v>4</v>
      </c>
      <c r="J5" s="13" t="s">
        <v>5</v>
      </c>
      <c r="K5" s="13" t="s">
        <v>6</v>
      </c>
      <c r="L5" s="13" t="s">
        <v>7</v>
      </c>
      <c r="M5" s="13" t="s">
        <v>8</v>
      </c>
      <c r="N5" s="13" t="s">
        <v>9</v>
      </c>
      <c r="O5" s="13" t="s">
        <v>10</v>
      </c>
      <c r="P5" s="13" t="s">
        <v>11</v>
      </c>
      <c r="Q5" s="14" t="s">
        <v>12</v>
      </c>
    </row>
    <row r="6" spans="4:17" ht="15.75" thickBot="1">
      <c r="D6" s="22">
        <v>46084</v>
      </c>
      <c r="E6" s="23"/>
      <c r="F6" s="16" t="s">
        <v>13</v>
      </c>
      <c r="G6" s="17" t="s">
        <v>14</v>
      </c>
      <c r="H6" s="17"/>
      <c r="I6" s="17">
        <v>6</v>
      </c>
      <c r="J6" s="17">
        <v>12</v>
      </c>
      <c r="K6" s="17">
        <v>12</v>
      </c>
      <c r="L6" s="17">
        <v>6</v>
      </c>
      <c r="M6" s="17"/>
      <c r="N6" s="17">
        <f>SUM(H6:M6)</f>
        <v>36</v>
      </c>
      <c r="O6" s="17"/>
      <c r="P6" s="17" t="s">
        <v>15</v>
      </c>
      <c r="Q6" s="18"/>
    </row>
    <row r="7" spans="4:17" ht="15.75" thickBot="1">
      <c r="D7" s="34">
        <v>46088</v>
      </c>
      <c r="E7" s="35"/>
      <c r="F7" s="19" t="s">
        <v>13</v>
      </c>
      <c r="G7" s="20" t="s">
        <v>14</v>
      </c>
      <c r="H7" s="20"/>
      <c r="I7" s="20">
        <v>6</v>
      </c>
      <c r="J7" s="20">
        <v>12</v>
      </c>
      <c r="K7" s="20">
        <v>12</v>
      </c>
      <c r="L7" s="20">
        <v>6</v>
      </c>
      <c r="M7" s="20"/>
      <c r="N7" s="20">
        <f>SUM(H7:M7)</f>
        <v>36</v>
      </c>
      <c r="O7" s="20"/>
      <c r="P7" s="20" t="s">
        <v>15</v>
      </c>
      <c r="Q7" s="21"/>
    </row>
    <row r="8" spans="4:17" ht="15.75" thickBot="1"/>
    <row r="9" spans="4:17" ht="19.5" thickBot="1">
      <c r="F9" s="42" t="s">
        <v>1</v>
      </c>
      <c r="G9" s="12" t="s">
        <v>2</v>
      </c>
      <c r="H9" s="13" t="s">
        <v>3</v>
      </c>
      <c r="I9" s="13" t="s">
        <v>4</v>
      </c>
      <c r="J9" s="13" t="s">
        <v>5</v>
      </c>
      <c r="K9" s="13" t="s">
        <v>6</v>
      </c>
      <c r="L9" s="13" t="s">
        <v>7</v>
      </c>
      <c r="M9" s="13" t="s">
        <v>8</v>
      </c>
      <c r="N9" s="13" t="s">
        <v>9</v>
      </c>
      <c r="O9" s="13" t="s">
        <v>10</v>
      </c>
      <c r="P9" s="13" t="s">
        <v>11</v>
      </c>
      <c r="Q9" s="14" t="s">
        <v>12</v>
      </c>
    </row>
    <row r="10" spans="4:17" ht="15.75" thickBot="1">
      <c r="D10" s="24" t="s">
        <v>0</v>
      </c>
      <c r="E10" s="25"/>
      <c r="F10" s="16" t="s">
        <v>16</v>
      </c>
      <c r="G10" s="17" t="s">
        <v>17</v>
      </c>
      <c r="H10" s="17"/>
      <c r="I10" s="17">
        <v>4</v>
      </c>
      <c r="J10" s="17">
        <v>8</v>
      </c>
      <c r="K10" s="17">
        <v>8</v>
      </c>
      <c r="L10" s="17">
        <v>4</v>
      </c>
      <c r="M10" s="17"/>
      <c r="N10" s="17">
        <f t="shared" ref="N10:N13" si="0">SUM(H10:M10)</f>
        <v>24</v>
      </c>
      <c r="O10" s="17"/>
      <c r="P10" s="17" t="s">
        <v>15</v>
      </c>
      <c r="Q10" s="18"/>
    </row>
    <row r="11" spans="4:17" ht="15.75" thickBot="1">
      <c r="D11" s="22">
        <v>46084</v>
      </c>
      <c r="E11" s="23"/>
      <c r="F11" s="26"/>
      <c r="G11" s="15"/>
      <c r="H11" s="15"/>
      <c r="I11" s="15">
        <v>2</v>
      </c>
      <c r="J11" s="15">
        <v>3</v>
      </c>
      <c r="K11" s="15">
        <v>3</v>
      </c>
      <c r="L11" s="15">
        <v>1</v>
      </c>
      <c r="M11" s="15"/>
      <c r="N11" s="15">
        <f t="shared" si="0"/>
        <v>9</v>
      </c>
      <c r="O11" s="15"/>
      <c r="P11" s="15" t="s">
        <v>18</v>
      </c>
      <c r="Q11" s="27"/>
    </row>
    <row r="12" spans="4:17">
      <c r="F12" s="26"/>
      <c r="G12" s="15"/>
      <c r="H12" s="15"/>
      <c r="I12" s="15">
        <v>3</v>
      </c>
      <c r="J12" s="15">
        <v>9</v>
      </c>
      <c r="K12" s="15">
        <v>12</v>
      </c>
      <c r="L12" s="15">
        <v>9</v>
      </c>
      <c r="M12" s="15">
        <v>3</v>
      </c>
      <c r="N12" s="15">
        <f t="shared" si="0"/>
        <v>36</v>
      </c>
      <c r="O12" s="15"/>
      <c r="P12" s="15" t="s">
        <v>19</v>
      </c>
      <c r="Q12" s="27"/>
    </row>
    <row r="13" spans="4:17" ht="15.75" thickBot="1">
      <c r="F13" s="28"/>
      <c r="G13" s="29"/>
      <c r="H13" s="29"/>
      <c r="I13" s="29">
        <v>1</v>
      </c>
      <c r="J13" s="29">
        <v>2</v>
      </c>
      <c r="K13" s="29">
        <v>3</v>
      </c>
      <c r="L13" s="29">
        <v>2</v>
      </c>
      <c r="M13" s="29">
        <v>1</v>
      </c>
      <c r="N13" s="29">
        <f t="shared" si="0"/>
        <v>9</v>
      </c>
      <c r="O13" s="29"/>
      <c r="P13" s="29" t="s">
        <v>20</v>
      </c>
      <c r="Q13" s="30"/>
    </row>
    <row r="14" spans="4:17" ht="15.75" thickBot="1">
      <c r="F14" s="31"/>
      <c r="G14" s="32" t="s">
        <v>21</v>
      </c>
      <c r="H14" s="32"/>
      <c r="I14" s="32">
        <f>SUM(I10:I13)</f>
        <v>10</v>
      </c>
      <c r="J14" s="32">
        <f t="shared" ref="J14:M14" si="1">SUM(J10:J13)</f>
        <v>22</v>
      </c>
      <c r="K14" s="32">
        <f t="shared" si="1"/>
        <v>26</v>
      </c>
      <c r="L14" s="32">
        <f t="shared" si="1"/>
        <v>16</v>
      </c>
      <c r="M14" s="32">
        <f t="shared" si="1"/>
        <v>4</v>
      </c>
      <c r="N14" s="32">
        <f>SUM(N10:N13)</f>
        <v>78</v>
      </c>
      <c r="O14" s="32"/>
      <c r="P14" s="32"/>
      <c r="Q14" s="33"/>
    </row>
    <row r="15" spans="4:17" ht="15.75" thickBot="1">
      <c r="D15" s="34">
        <v>46088</v>
      </c>
      <c r="E15" s="35"/>
      <c r="F15" s="16" t="s">
        <v>16</v>
      </c>
      <c r="G15" s="17" t="s">
        <v>17</v>
      </c>
      <c r="H15" s="17"/>
      <c r="I15" s="17">
        <v>4</v>
      </c>
      <c r="J15" s="17">
        <v>8</v>
      </c>
      <c r="K15" s="17">
        <v>8</v>
      </c>
      <c r="L15" s="17">
        <v>4</v>
      </c>
      <c r="M15" s="17"/>
      <c r="N15" s="17">
        <f t="shared" ref="N15:N18" si="2">SUM(H15:M15)</f>
        <v>24</v>
      </c>
      <c r="O15" s="17"/>
      <c r="P15" s="17" t="s">
        <v>15</v>
      </c>
      <c r="Q15" s="18"/>
    </row>
    <row r="16" spans="4:17">
      <c r="F16" s="26"/>
      <c r="G16" s="15"/>
      <c r="H16" s="15"/>
      <c r="I16" s="15">
        <v>2</v>
      </c>
      <c r="J16" s="15">
        <v>3</v>
      </c>
      <c r="K16" s="15">
        <v>3</v>
      </c>
      <c r="L16" s="15">
        <v>1</v>
      </c>
      <c r="M16" s="15"/>
      <c r="N16" s="15">
        <f t="shared" si="2"/>
        <v>9</v>
      </c>
      <c r="O16" s="15"/>
      <c r="P16" s="15" t="s">
        <v>18</v>
      </c>
      <c r="Q16" s="27"/>
    </row>
    <row r="17" spans="4:17">
      <c r="F17" s="26"/>
      <c r="G17" s="15"/>
      <c r="H17" s="15"/>
      <c r="I17" s="15">
        <v>3</v>
      </c>
      <c r="J17" s="15">
        <v>9</v>
      </c>
      <c r="K17" s="15">
        <v>12</v>
      </c>
      <c r="L17" s="15">
        <v>9</v>
      </c>
      <c r="M17" s="15">
        <v>3</v>
      </c>
      <c r="N17" s="15">
        <f t="shared" si="2"/>
        <v>36</v>
      </c>
      <c r="O17" s="15"/>
      <c r="P17" s="15" t="s">
        <v>19</v>
      </c>
      <c r="Q17" s="27"/>
    </row>
    <row r="18" spans="4:17" ht="15.75" thickBot="1">
      <c r="F18" s="28"/>
      <c r="G18" s="29"/>
      <c r="H18" s="29"/>
      <c r="I18" s="29">
        <v>1</v>
      </c>
      <c r="J18" s="29">
        <v>2</v>
      </c>
      <c r="K18" s="29">
        <v>3</v>
      </c>
      <c r="L18" s="29">
        <v>2</v>
      </c>
      <c r="M18" s="29">
        <v>1</v>
      </c>
      <c r="N18" s="29">
        <f t="shared" si="2"/>
        <v>9</v>
      </c>
      <c r="O18" s="29"/>
      <c r="P18" s="29" t="s">
        <v>20</v>
      </c>
      <c r="Q18" s="30"/>
    </row>
    <row r="19" spans="4:17" ht="15.75" thickBot="1">
      <c r="F19" s="31"/>
      <c r="G19" s="32" t="s">
        <v>21</v>
      </c>
      <c r="H19" s="32"/>
      <c r="I19" s="32">
        <f>SUM(I15:I18)</f>
        <v>10</v>
      </c>
      <c r="J19" s="32">
        <f t="shared" ref="J19:N19" si="3">SUM(J15:J18)</f>
        <v>22</v>
      </c>
      <c r="K19" s="32">
        <f t="shared" si="3"/>
        <v>26</v>
      </c>
      <c r="L19" s="32">
        <f t="shared" si="3"/>
        <v>16</v>
      </c>
      <c r="M19" s="32">
        <f t="shared" si="3"/>
        <v>4</v>
      </c>
      <c r="N19" s="32">
        <f t="shared" si="3"/>
        <v>78</v>
      </c>
      <c r="O19" s="32"/>
      <c r="P19" s="32"/>
      <c r="Q19" s="33"/>
    </row>
    <row r="20" spans="4:17" ht="15.75" thickBot="1"/>
    <row r="21" spans="4:17" ht="19.5" thickBot="1">
      <c r="F21" s="43" t="s">
        <v>1</v>
      </c>
      <c r="G21" s="4" t="s">
        <v>2</v>
      </c>
      <c r="H21" s="4" t="s">
        <v>3</v>
      </c>
      <c r="I21" s="4" t="s">
        <v>4</v>
      </c>
      <c r="J21" s="4" t="s">
        <v>5</v>
      </c>
      <c r="K21" s="4" t="s">
        <v>6</v>
      </c>
      <c r="L21" s="4" t="s">
        <v>7</v>
      </c>
      <c r="M21" s="4" t="s">
        <v>8</v>
      </c>
      <c r="N21" s="4" t="s">
        <v>9</v>
      </c>
      <c r="O21" s="4" t="s">
        <v>10</v>
      </c>
      <c r="P21" s="4" t="s">
        <v>11</v>
      </c>
      <c r="Q21" s="5" t="s">
        <v>12</v>
      </c>
    </row>
    <row r="22" spans="4:17" ht="15.75" thickBot="1">
      <c r="D22" s="40">
        <v>46084</v>
      </c>
      <c r="E22" s="41"/>
      <c r="F22" s="36" t="s">
        <v>22</v>
      </c>
      <c r="G22" s="37" t="s">
        <v>23</v>
      </c>
      <c r="H22" s="37"/>
      <c r="I22" s="37">
        <v>20</v>
      </c>
      <c r="J22" s="37">
        <v>40</v>
      </c>
      <c r="K22" s="37">
        <v>40</v>
      </c>
      <c r="L22" s="37">
        <v>20</v>
      </c>
      <c r="M22" s="37"/>
      <c r="N22" s="37">
        <f t="shared" ref="N22:N23" si="4">SUM(H22:M22)</f>
        <v>120</v>
      </c>
      <c r="O22" s="37"/>
      <c r="P22" s="37" t="s">
        <v>24</v>
      </c>
      <c r="Q22" s="33"/>
    </row>
    <row r="23" spans="4:17" ht="15.75" thickBot="1">
      <c r="D23" s="6">
        <v>46088</v>
      </c>
      <c r="E23" s="7"/>
      <c r="F23" s="47" t="s">
        <v>22</v>
      </c>
      <c r="G23" s="44" t="s">
        <v>23</v>
      </c>
      <c r="H23" s="44"/>
      <c r="I23" s="44">
        <v>22</v>
      </c>
      <c r="J23" s="44">
        <v>44</v>
      </c>
      <c r="K23" s="44">
        <v>44</v>
      </c>
      <c r="L23" s="44">
        <v>22</v>
      </c>
      <c r="M23" s="44"/>
      <c r="N23" s="44">
        <f t="shared" si="4"/>
        <v>132</v>
      </c>
      <c r="O23" s="44"/>
      <c r="P23" s="44" t="s">
        <v>24</v>
      </c>
      <c r="Q23" s="10"/>
    </row>
    <row r="24" spans="4:17" s="46" customFormat="1">
      <c r="D24" s="45"/>
      <c r="E24" s="45"/>
      <c r="F24" s="48"/>
      <c r="G24" s="48" t="s">
        <v>55</v>
      </c>
      <c r="H24" s="48"/>
      <c r="I24" s="48">
        <f>ABS(I22-I23)</f>
        <v>2</v>
      </c>
      <c r="J24" s="48">
        <f t="shared" ref="J24:N24" si="5">ABS(J22-J23)</f>
        <v>4</v>
      </c>
      <c r="K24" s="48">
        <f t="shared" si="5"/>
        <v>4</v>
      </c>
      <c r="L24" s="48">
        <f t="shared" si="5"/>
        <v>2</v>
      </c>
      <c r="M24" s="48"/>
      <c r="N24" s="48">
        <f t="shared" si="5"/>
        <v>12</v>
      </c>
      <c r="O24" s="48"/>
      <c r="P24" s="48"/>
      <c r="Q24" s="48"/>
    </row>
    <row r="25" spans="4:17" s="46" customFormat="1" ht="15.75" thickBot="1">
      <c r="D25" s="45"/>
      <c r="E25" s="45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</row>
    <row r="26" spans="4:17" ht="19.5" thickBot="1">
      <c r="F26" s="43" t="s">
        <v>1</v>
      </c>
      <c r="G26" s="4" t="s">
        <v>2</v>
      </c>
      <c r="H26" s="4" t="s">
        <v>3</v>
      </c>
      <c r="I26" s="4" t="s">
        <v>4</v>
      </c>
      <c r="J26" s="4" t="s">
        <v>5</v>
      </c>
      <c r="K26" s="4" t="s">
        <v>6</v>
      </c>
      <c r="L26" s="4" t="s">
        <v>7</v>
      </c>
      <c r="M26" s="4" t="s">
        <v>8</v>
      </c>
      <c r="N26" s="4" t="s">
        <v>9</v>
      </c>
      <c r="O26" s="4" t="s">
        <v>10</v>
      </c>
      <c r="P26" s="4" t="s">
        <v>11</v>
      </c>
      <c r="Q26" s="5" t="s">
        <v>12</v>
      </c>
    </row>
    <row r="27" spans="4:17" ht="15.75" thickBot="1">
      <c r="D27" s="40">
        <v>46084</v>
      </c>
      <c r="E27" s="41"/>
      <c r="F27" s="31" t="s">
        <v>25</v>
      </c>
      <c r="G27" s="32" t="s">
        <v>26</v>
      </c>
      <c r="H27" s="32"/>
      <c r="I27" s="32">
        <v>2</v>
      </c>
      <c r="J27" s="32">
        <v>3</v>
      </c>
      <c r="K27" s="32">
        <v>3</v>
      </c>
      <c r="L27" s="32">
        <v>1</v>
      </c>
      <c r="M27" s="32"/>
      <c r="N27" s="32">
        <f t="shared" ref="N27:N28" si="6">SUM(H27:M27)</f>
        <v>9</v>
      </c>
      <c r="O27" s="32"/>
      <c r="P27" s="32" t="s">
        <v>15</v>
      </c>
      <c r="Q27" s="33"/>
    </row>
    <row r="28" spans="4:17" ht="15.75" thickBot="1">
      <c r="D28" s="6">
        <v>46088</v>
      </c>
      <c r="E28" s="7"/>
      <c r="F28" s="31" t="s">
        <v>25</v>
      </c>
      <c r="G28" s="32" t="s">
        <v>26</v>
      </c>
      <c r="H28" s="32"/>
      <c r="I28" s="32">
        <v>2</v>
      </c>
      <c r="J28" s="32">
        <v>3</v>
      </c>
      <c r="K28" s="32">
        <v>3</v>
      </c>
      <c r="L28" s="32">
        <v>1</v>
      </c>
      <c r="M28" s="32"/>
      <c r="N28" s="32">
        <f t="shared" si="6"/>
        <v>9</v>
      </c>
      <c r="O28" s="32"/>
      <c r="P28" s="32" t="s">
        <v>15</v>
      </c>
      <c r="Q28" s="33"/>
    </row>
    <row r="29" spans="4:17" ht="15.75" thickBot="1"/>
    <row r="30" spans="4:17" ht="19.5" thickBot="1">
      <c r="F30" s="43" t="s">
        <v>1</v>
      </c>
      <c r="G30" s="4" t="s">
        <v>2</v>
      </c>
      <c r="H30" s="4" t="s">
        <v>3</v>
      </c>
      <c r="I30" s="4" t="s">
        <v>4</v>
      </c>
      <c r="J30" s="4" t="s">
        <v>5</v>
      </c>
      <c r="K30" s="4" t="s">
        <v>6</v>
      </c>
      <c r="L30" s="4" t="s">
        <v>7</v>
      </c>
      <c r="M30" s="4" t="s">
        <v>8</v>
      </c>
      <c r="N30" s="4" t="s">
        <v>9</v>
      </c>
      <c r="O30" s="4" t="s">
        <v>10</v>
      </c>
      <c r="P30" s="4" t="s">
        <v>11</v>
      </c>
      <c r="Q30" s="5" t="s">
        <v>12</v>
      </c>
    </row>
    <row r="31" spans="4:17" ht="15.75" thickBot="1">
      <c r="D31" s="40">
        <v>46084</v>
      </c>
      <c r="E31" s="41"/>
      <c r="F31" s="16" t="s">
        <v>27</v>
      </c>
      <c r="G31" s="17" t="s">
        <v>28</v>
      </c>
      <c r="H31" s="17"/>
      <c r="I31" s="17">
        <v>5</v>
      </c>
      <c r="J31" s="17">
        <v>15</v>
      </c>
      <c r="K31" s="17">
        <v>20</v>
      </c>
      <c r="L31" s="17">
        <v>15</v>
      </c>
      <c r="M31" s="17">
        <v>5</v>
      </c>
      <c r="N31" s="17">
        <f t="shared" ref="N31:N33" si="7">SUM(H31:M31)</f>
        <v>60</v>
      </c>
      <c r="O31" s="17"/>
      <c r="P31" s="17" t="s">
        <v>15</v>
      </c>
      <c r="Q31" s="18"/>
    </row>
    <row r="32" spans="4:17">
      <c r="F32" s="38"/>
      <c r="G32" s="39"/>
      <c r="H32" s="39"/>
      <c r="I32" s="39">
        <v>13</v>
      </c>
      <c r="J32" s="39">
        <v>26</v>
      </c>
      <c r="K32" s="39">
        <v>39</v>
      </c>
      <c r="L32" s="39">
        <v>26</v>
      </c>
      <c r="M32" s="39">
        <v>13</v>
      </c>
      <c r="N32" s="39">
        <f t="shared" si="7"/>
        <v>117</v>
      </c>
      <c r="O32" s="39"/>
      <c r="P32" s="39" t="s">
        <v>24</v>
      </c>
      <c r="Q32" s="27"/>
    </row>
    <row r="33" spans="4:17" ht="15.75" thickBot="1">
      <c r="F33" s="26"/>
      <c r="G33" s="15"/>
      <c r="H33" s="15"/>
      <c r="I33" s="15">
        <v>2</v>
      </c>
      <c r="J33" s="15">
        <v>6</v>
      </c>
      <c r="K33" s="15">
        <v>8</v>
      </c>
      <c r="L33" s="15">
        <v>6</v>
      </c>
      <c r="M33" s="15">
        <v>2</v>
      </c>
      <c r="N33" s="15">
        <f t="shared" si="7"/>
        <v>24</v>
      </c>
      <c r="O33" s="15"/>
      <c r="P33" s="15" t="s">
        <v>18</v>
      </c>
      <c r="Q33" s="27"/>
    </row>
    <row r="34" spans="4:17" ht="15.75" thickBot="1">
      <c r="F34" s="31"/>
      <c r="G34" s="32" t="s">
        <v>21</v>
      </c>
      <c r="H34" s="32"/>
      <c r="I34" s="32">
        <f>SUM(I31:I33)</f>
        <v>20</v>
      </c>
      <c r="J34" s="32">
        <f t="shared" ref="J34:M34" si="8">SUM(J31:J33)</f>
        <v>47</v>
      </c>
      <c r="K34" s="32">
        <f t="shared" si="8"/>
        <v>67</v>
      </c>
      <c r="L34" s="32">
        <f t="shared" si="8"/>
        <v>47</v>
      </c>
      <c r="M34" s="32">
        <f t="shared" si="8"/>
        <v>20</v>
      </c>
      <c r="N34" s="32">
        <f>SUM(N31:N33)</f>
        <v>201</v>
      </c>
      <c r="O34" s="32"/>
      <c r="P34" s="32"/>
      <c r="Q34" s="33"/>
    </row>
    <row r="35" spans="4:17" ht="15.75" thickBot="1">
      <c r="D35" s="40">
        <v>46088</v>
      </c>
      <c r="E35" s="41"/>
      <c r="F35" s="16" t="s">
        <v>27</v>
      </c>
      <c r="G35" s="17" t="s">
        <v>28</v>
      </c>
      <c r="H35" s="17"/>
      <c r="I35" s="17">
        <v>5</v>
      </c>
      <c r="J35" s="17">
        <v>15</v>
      </c>
      <c r="K35" s="17">
        <v>20</v>
      </c>
      <c r="L35" s="17">
        <v>15</v>
      </c>
      <c r="M35" s="17">
        <v>5</v>
      </c>
      <c r="N35" s="17">
        <f t="shared" ref="N35:N37" si="9">SUM(H35:M35)</f>
        <v>60</v>
      </c>
      <c r="O35" s="17"/>
      <c r="P35" s="17" t="s">
        <v>15</v>
      </c>
      <c r="Q35" s="18"/>
    </row>
    <row r="36" spans="4:17">
      <c r="F36" s="38"/>
      <c r="G36" s="39"/>
      <c r="H36" s="39"/>
      <c r="I36" s="39">
        <v>15</v>
      </c>
      <c r="J36" s="39">
        <v>30</v>
      </c>
      <c r="K36" s="39">
        <v>45</v>
      </c>
      <c r="L36" s="39">
        <v>30</v>
      </c>
      <c r="M36" s="39">
        <v>15</v>
      </c>
      <c r="N36" s="39">
        <f t="shared" si="9"/>
        <v>135</v>
      </c>
      <c r="O36" s="39"/>
      <c r="P36" s="39" t="s">
        <v>24</v>
      </c>
      <c r="Q36" s="27"/>
    </row>
    <row r="37" spans="4:17" ht="15.75" thickBot="1">
      <c r="F37" s="26"/>
      <c r="G37" s="15"/>
      <c r="H37" s="15"/>
      <c r="I37" s="15">
        <v>2</v>
      </c>
      <c r="J37" s="15">
        <v>6</v>
      </c>
      <c r="K37" s="15">
        <v>8</v>
      </c>
      <c r="L37" s="15">
        <v>6</v>
      </c>
      <c r="M37" s="15">
        <v>2</v>
      </c>
      <c r="N37" s="15">
        <f t="shared" si="9"/>
        <v>24</v>
      </c>
      <c r="O37" s="15"/>
      <c r="P37" s="15" t="s">
        <v>18</v>
      </c>
      <c r="Q37" s="27"/>
    </row>
    <row r="38" spans="4:17" ht="15.75" thickBot="1">
      <c r="F38" s="31"/>
      <c r="G38" s="32" t="s">
        <v>21</v>
      </c>
      <c r="H38" s="32"/>
      <c r="I38" s="32">
        <f>SUM(I35:I37)</f>
        <v>22</v>
      </c>
      <c r="J38" s="32">
        <f t="shared" ref="J38:N38" si="10">SUM(J35:J37)</f>
        <v>51</v>
      </c>
      <c r="K38" s="32">
        <f t="shared" si="10"/>
        <v>73</v>
      </c>
      <c r="L38" s="32">
        <f t="shared" si="10"/>
        <v>51</v>
      </c>
      <c r="M38" s="32">
        <f t="shared" si="10"/>
        <v>22</v>
      </c>
      <c r="N38" s="32">
        <f t="shared" si="10"/>
        <v>219</v>
      </c>
      <c r="O38" s="32"/>
      <c r="P38" s="32"/>
      <c r="Q38" s="33"/>
    </row>
    <row r="39" spans="4:17" s="46" customFormat="1">
      <c r="D39" s="45"/>
      <c r="E39" s="45"/>
      <c r="F39" s="48"/>
      <c r="G39" s="48" t="s">
        <v>56</v>
      </c>
      <c r="H39" s="48"/>
      <c r="I39" s="48">
        <f>ABS(I32-I36)</f>
        <v>2</v>
      </c>
      <c r="J39" s="48">
        <f t="shared" ref="J39:N39" si="11">ABS(J32-J36)</f>
        <v>4</v>
      </c>
      <c r="K39" s="48">
        <f t="shared" si="11"/>
        <v>6</v>
      </c>
      <c r="L39" s="48">
        <f t="shared" si="11"/>
        <v>4</v>
      </c>
      <c r="M39" s="48">
        <f t="shared" si="11"/>
        <v>2</v>
      </c>
      <c r="N39" s="48">
        <f t="shared" si="11"/>
        <v>18</v>
      </c>
      <c r="O39" s="48"/>
      <c r="P39" s="48"/>
      <c r="Q39" s="48"/>
    </row>
    <row r="40" spans="4:17"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</row>
    <row r="41" spans="4:17" ht="15.75" thickBot="1"/>
    <row r="42" spans="4:17" ht="19.5" thickBot="1">
      <c r="F42" s="43" t="s">
        <v>1</v>
      </c>
      <c r="G42" s="4" t="s">
        <v>2</v>
      </c>
      <c r="H42" s="4" t="s">
        <v>3</v>
      </c>
      <c r="I42" s="4" t="s">
        <v>4</v>
      </c>
      <c r="J42" s="4" t="s">
        <v>5</v>
      </c>
      <c r="K42" s="4" t="s">
        <v>6</v>
      </c>
      <c r="L42" s="4" t="s">
        <v>7</v>
      </c>
      <c r="M42" s="4" t="s">
        <v>8</v>
      </c>
      <c r="N42" s="4" t="s">
        <v>9</v>
      </c>
      <c r="O42" s="4" t="s">
        <v>10</v>
      </c>
      <c r="P42" s="4" t="s">
        <v>11</v>
      </c>
      <c r="Q42" s="5" t="s">
        <v>12</v>
      </c>
    </row>
    <row r="43" spans="4:17" ht="15.75" thickBot="1">
      <c r="D43" s="40">
        <v>46084</v>
      </c>
      <c r="E43" s="41"/>
      <c r="F43" s="16" t="s">
        <v>29</v>
      </c>
      <c r="G43" s="17" t="s">
        <v>30</v>
      </c>
      <c r="H43" s="17"/>
      <c r="I43" s="17">
        <v>4</v>
      </c>
      <c r="J43" s="17">
        <v>8</v>
      </c>
      <c r="K43" s="17">
        <v>8</v>
      </c>
      <c r="L43" s="17">
        <v>4</v>
      </c>
      <c r="M43" s="17">
        <v>0</v>
      </c>
      <c r="N43" s="17">
        <f t="shared" ref="N43:N48" si="12">SUM(H43:M43)</f>
        <v>24</v>
      </c>
      <c r="O43" s="17"/>
      <c r="P43" s="17" t="s">
        <v>24</v>
      </c>
      <c r="Q43" s="18"/>
    </row>
    <row r="44" spans="4:17">
      <c r="F44" s="38"/>
      <c r="G44" s="39"/>
      <c r="H44" s="39"/>
      <c r="I44" s="39">
        <v>2</v>
      </c>
      <c r="J44" s="39">
        <v>6</v>
      </c>
      <c r="K44" s="39">
        <v>8</v>
      </c>
      <c r="L44" s="39">
        <v>6</v>
      </c>
      <c r="M44" s="39">
        <v>2</v>
      </c>
      <c r="N44" s="39">
        <f t="shared" si="12"/>
        <v>24</v>
      </c>
      <c r="O44" s="39"/>
      <c r="P44" s="39" t="s">
        <v>19</v>
      </c>
      <c r="Q44" s="27"/>
    </row>
    <row r="45" spans="4:17">
      <c r="F45" s="38"/>
      <c r="G45" s="39"/>
      <c r="H45" s="39"/>
      <c r="I45" s="39">
        <v>6</v>
      </c>
      <c r="J45" s="39">
        <v>9</v>
      </c>
      <c r="K45" s="39">
        <v>9</v>
      </c>
      <c r="L45" s="39">
        <v>3</v>
      </c>
      <c r="M45" s="39">
        <v>0</v>
      </c>
      <c r="N45" s="39">
        <f t="shared" si="12"/>
        <v>27</v>
      </c>
      <c r="O45" s="39"/>
      <c r="P45" s="39" t="s">
        <v>31</v>
      </c>
      <c r="Q45" s="27"/>
    </row>
    <row r="46" spans="4:17">
      <c r="F46" s="26"/>
      <c r="G46" s="15"/>
      <c r="H46" s="15"/>
      <c r="I46" s="15">
        <v>20</v>
      </c>
      <c r="J46" s="15">
        <v>60</v>
      </c>
      <c r="K46" s="15">
        <v>80</v>
      </c>
      <c r="L46" s="15">
        <v>60</v>
      </c>
      <c r="M46" s="15">
        <v>20</v>
      </c>
      <c r="N46" s="15">
        <f t="shared" si="12"/>
        <v>240</v>
      </c>
      <c r="O46" s="15"/>
      <c r="P46" s="15" t="s">
        <v>32</v>
      </c>
      <c r="Q46" s="27"/>
    </row>
    <row r="47" spans="4:17">
      <c r="F47" s="38"/>
      <c r="G47" s="39"/>
      <c r="H47" s="39"/>
      <c r="I47" s="39">
        <v>9</v>
      </c>
      <c r="J47" s="39">
        <v>18</v>
      </c>
      <c r="K47" s="39">
        <v>27</v>
      </c>
      <c r="L47" s="39">
        <v>18</v>
      </c>
      <c r="M47" s="39">
        <v>9</v>
      </c>
      <c r="N47" s="39">
        <f t="shared" si="12"/>
        <v>81</v>
      </c>
      <c r="O47" s="39"/>
      <c r="P47" s="39" t="s">
        <v>33</v>
      </c>
      <c r="Q47" s="27"/>
    </row>
    <row r="48" spans="4:17">
      <c r="F48" s="26"/>
      <c r="G48" s="15"/>
      <c r="H48" s="15"/>
      <c r="I48" s="15">
        <v>6</v>
      </c>
      <c r="J48" s="15">
        <v>12</v>
      </c>
      <c r="K48" s="15">
        <v>12</v>
      </c>
      <c r="L48" s="15">
        <v>6</v>
      </c>
      <c r="M48" s="15">
        <v>0</v>
      </c>
      <c r="N48" s="15">
        <f t="shared" si="12"/>
        <v>36</v>
      </c>
      <c r="O48" s="15"/>
      <c r="P48" s="15" t="s">
        <v>34</v>
      </c>
      <c r="Q48" s="27"/>
    </row>
    <row r="49" spans="6:17">
      <c r="F49" s="38"/>
      <c r="G49" s="39"/>
      <c r="H49" s="39"/>
      <c r="I49" s="39">
        <v>2</v>
      </c>
      <c r="J49" s="39">
        <v>4</v>
      </c>
      <c r="K49" s="39">
        <v>4</v>
      </c>
      <c r="L49" s="39">
        <v>2</v>
      </c>
      <c r="M49" s="39">
        <v>0</v>
      </c>
      <c r="N49" s="39">
        <f>SUM(H49:M49)</f>
        <v>12</v>
      </c>
      <c r="O49" s="39"/>
      <c r="P49" s="39" t="s">
        <v>35</v>
      </c>
      <c r="Q49" s="27"/>
    </row>
    <row r="50" spans="6:17">
      <c r="F50" s="26"/>
      <c r="G50" s="15"/>
      <c r="H50" s="15"/>
      <c r="I50" s="15">
        <v>2</v>
      </c>
      <c r="J50" s="15">
        <v>3</v>
      </c>
      <c r="K50" s="15">
        <v>3</v>
      </c>
      <c r="L50" s="15">
        <v>1</v>
      </c>
      <c r="M50" s="15">
        <v>0</v>
      </c>
      <c r="N50" s="15">
        <f t="shared" ref="N50:N68" si="13">SUM(H50:M50)</f>
        <v>9</v>
      </c>
      <c r="O50" s="15"/>
      <c r="P50" s="15" t="s">
        <v>36</v>
      </c>
      <c r="Q50" s="27"/>
    </row>
    <row r="51" spans="6:17">
      <c r="F51" s="26"/>
      <c r="G51" s="15"/>
      <c r="H51" s="15"/>
      <c r="I51" s="15">
        <v>5</v>
      </c>
      <c r="J51" s="15">
        <v>10</v>
      </c>
      <c r="K51" s="15">
        <v>15</v>
      </c>
      <c r="L51" s="15">
        <v>10</v>
      </c>
      <c r="M51" s="15">
        <v>5</v>
      </c>
      <c r="N51" s="15">
        <f t="shared" si="13"/>
        <v>45</v>
      </c>
      <c r="O51" s="15"/>
      <c r="P51" s="15" t="s">
        <v>37</v>
      </c>
      <c r="Q51" s="27"/>
    </row>
    <row r="52" spans="6:17">
      <c r="F52" s="26"/>
      <c r="G52" s="15"/>
      <c r="H52" s="15"/>
      <c r="I52" s="15">
        <v>2</v>
      </c>
      <c r="J52" s="15">
        <v>3</v>
      </c>
      <c r="K52" s="15">
        <v>3</v>
      </c>
      <c r="L52" s="15">
        <v>1</v>
      </c>
      <c r="M52" s="15">
        <v>0</v>
      </c>
      <c r="N52" s="15">
        <f t="shared" si="13"/>
        <v>9</v>
      </c>
      <c r="O52" s="15"/>
      <c r="P52" s="15" t="s">
        <v>38</v>
      </c>
      <c r="Q52" s="27"/>
    </row>
    <row r="53" spans="6:17">
      <c r="F53" s="26"/>
      <c r="G53" s="15"/>
      <c r="H53" s="15"/>
      <c r="I53" s="15">
        <v>2</v>
      </c>
      <c r="J53" s="15">
        <v>4</v>
      </c>
      <c r="K53" s="15">
        <v>4</v>
      </c>
      <c r="L53" s="15">
        <v>2</v>
      </c>
      <c r="M53" s="15">
        <v>0</v>
      </c>
      <c r="N53" s="15">
        <f t="shared" si="13"/>
        <v>12</v>
      </c>
      <c r="O53" s="15"/>
      <c r="P53" s="15" t="s">
        <v>39</v>
      </c>
      <c r="Q53" s="27"/>
    </row>
    <row r="54" spans="6:17">
      <c r="F54" s="26"/>
      <c r="G54" s="15"/>
      <c r="H54" s="15"/>
      <c r="I54" s="15">
        <v>4</v>
      </c>
      <c r="J54" s="15">
        <v>6</v>
      </c>
      <c r="K54" s="15">
        <v>6</v>
      </c>
      <c r="L54" s="15">
        <v>2</v>
      </c>
      <c r="M54" s="15">
        <v>0</v>
      </c>
      <c r="N54" s="15">
        <f t="shared" si="13"/>
        <v>18</v>
      </c>
      <c r="O54" s="15"/>
      <c r="P54" s="15" t="s">
        <v>40</v>
      </c>
      <c r="Q54" s="27"/>
    </row>
    <row r="55" spans="6:17">
      <c r="F55" s="26"/>
      <c r="G55" s="15"/>
      <c r="H55" s="15"/>
      <c r="I55" s="15">
        <v>1</v>
      </c>
      <c r="J55" s="15">
        <v>3</v>
      </c>
      <c r="K55" s="15">
        <v>4</v>
      </c>
      <c r="L55" s="15">
        <v>3</v>
      </c>
      <c r="M55" s="15">
        <v>1</v>
      </c>
      <c r="N55" s="15">
        <f t="shared" si="13"/>
        <v>12</v>
      </c>
      <c r="O55" s="15"/>
      <c r="P55" s="15" t="s">
        <v>41</v>
      </c>
      <c r="Q55" s="27"/>
    </row>
    <row r="56" spans="6:17">
      <c r="F56" s="26"/>
      <c r="G56" s="15"/>
      <c r="H56" s="15"/>
      <c r="I56" s="15">
        <v>1</v>
      </c>
      <c r="J56" s="15">
        <v>2</v>
      </c>
      <c r="K56" s="15">
        <v>3</v>
      </c>
      <c r="L56" s="15">
        <v>2</v>
      </c>
      <c r="M56" s="15">
        <v>1</v>
      </c>
      <c r="N56" s="15">
        <f t="shared" si="13"/>
        <v>9</v>
      </c>
      <c r="O56" s="15"/>
      <c r="P56" s="15" t="s">
        <v>42</v>
      </c>
      <c r="Q56" s="27"/>
    </row>
    <row r="57" spans="6:17">
      <c r="F57" s="38"/>
      <c r="G57" s="39"/>
      <c r="H57" s="39"/>
      <c r="I57" s="39">
        <v>4</v>
      </c>
      <c r="J57" s="39">
        <v>6</v>
      </c>
      <c r="K57" s="39">
        <v>6</v>
      </c>
      <c r="L57" s="39">
        <v>2</v>
      </c>
      <c r="M57" s="39">
        <v>0</v>
      </c>
      <c r="N57" s="39">
        <f t="shared" si="13"/>
        <v>18</v>
      </c>
      <c r="O57" s="39"/>
      <c r="P57" s="39" t="s">
        <v>43</v>
      </c>
      <c r="Q57" s="27"/>
    </row>
    <row r="58" spans="6:17">
      <c r="F58" s="26"/>
      <c r="G58" s="15"/>
      <c r="H58" s="15"/>
      <c r="I58" s="15">
        <v>2</v>
      </c>
      <c r="J58" s="15">
        <v>6</v>
      </c>
      <c r="K58" s="15">
        <v>8</v>
      </c>
      <c r="L58" s="15">
        <v>6</v>
      </c>
      <c r="M58" s="15">
        <v>2</v>
      </c>
      <c r="N58" s="15">
        <f t="shared" si="13"/>
        <v>24</v>
      </c>
      <c r="O58" s="15"/>
      <c r="P58" s="15" t="s">
        <v>44</v>
      </c>
      <c r="Q58" s="27"/>
    </row>
    <row r="59" spans="6:17">
      <c r="F59" s="26"/>
      <c r="G59" s="15"/>
      <c r="H59" s="15"/>
      <c r="I59" s="15">
        <v>2</v>
      </c>
      <c r="J59" s="15">
        <v>3</v>
      </c>
      <c r="K59" s="15">
        <v>3</v>
      </c>
      <c r="L59" s="15">
        <v>1</v>
      </c>
      <c r="M59" s="15">
        <v>0</v>
      </c>
      <c r="N59" s="15">
        <f t="shared" si="13"/>
        <v>9</v>
      </c>
      <c r="O59" s="15"/>
      <c r="P59" s="15" t="s">
        <v>45</v>
      </c>
      <c r="Q59" s="27"/>
    </row>
    <row r="60" spans="6:17">
      <c r="F60" s="26"/>
      <c r="G60" s="15"/>
      <c r="H60" s="15">
        <v>1</v>
      </c>
      <c r="I60" s="15">
        <v>2</v>
      </c>
      <c r="J60" s="15">
        <v>3</v>
      </c>
      <c r="K60" s="15">
        <v>2</v>
      </c>
      <c r="L60" s="15">
        <v>1</v>
      </c>
      <c r="M60" s="15">
        <v>0</v>
      </c>
      <c r="N60" s="15">
        <f t="shared" si="13"/>
        <v>9</v>
      </c>
      <c r="O60" s="15"/>
      <c r="P60" s="15" t="s">
        <v>46</v>
      </c>
      <c r="Q60" s="27"/>
    </row>
    <row r="61" spans="6:17">
      <c r="F61" s="26"/>
      <c r="G61" s="15"/>
      <c r="H61" s="15"/>
      <c r="I61" s="15">
        <v>4</v>
      </c>
      <c r="J61" s="15">
        <v>8</v>
      </c>
      <c r="K61" s="15">
        <v>8</v>
      </c>
      <c r="L61" s="15">
        <v>4</v>
      </c>
      <c r="M61" s="15">
        <v>0</v>
      </c>
      <c r="N61" s="15">
        <f t="shared" si="13"/>
        <v>24</v>
      </c>
      <c r="O61" s="15"/>
      <c r="P61" s="15" t="s">
        <v>47</v>
      </c>
      <c r="Q61" s="27"/>
    </row>
    <row r="62" spans="6:17">
      <c r="F62" s="26"/>
      <c r="G62" s="15"/>
      <c r="H62" s="15"/>
      <c r="I62" s="15">
        <v>2</v>
      </c>
      <c r="J62" s="15">
        <v>3</v>
      </c>
      <c r="K62" s="15">
        <v>3</v>
      </c>
      <c r="L62" s="15">
        <v>1</v>
      </c>
      <c r="M62" s="15">
        <v>0</v>
      </c>
      <c r="N62" s="15">
        <f t="shared" si="13"/>
        <v>9</v>
      </c>
      <c r="O62" s="15"/>
      <c r="P62" s="15" t="s">
        <v>48</v>
      </c>
      <c r="Q62" s="27"/>
    </row>
    <row r="63" spans="6:17">
      <c r="F63" s="26"/>
      <c r="G63" s="15"/>
      <c r="H63" s="15"/>
      <c r="I63" s="15">
        <v>4</v>
      </c>
      <c r="J63" s="15">
        <v>12</v>
      </c>
      <c r="K63" s="15">
        <v>16</v>
      </c>
      <c r="L63" s="15">
        <v>12</v>
      </c>
      <c r="M63" s="15">
        <v>4</v>
      </c>
      <c r="N63" s="15">
        <f t="shared" si="13"/>
        <v>48</v>
      </c>
      <c r="O63" s="15"/>
      <c r="P63" s="15" t="s">
        <v>49</v>
      </c>
      <c r="Q63" s="27"/>
    </row>
    <row r="64" spans="6:17">
      <c r="F64" s="26"/>
      <c r="G64" s="15"/>
      <c r="H64" s="15"/>
      <c r="I64" s="15">
        <v>1</v>
      </c>
      <c r="J64" s="15">
        <v>2</v>
      </c>
      <c r="K64" s="15">
        <v>3</v>
      </c>
      <c r="L64" s="15">
        <v>2</v>
      </c>
      <c r="M64" s="15">
        <v>1</v>
      </c>
      <c r="N64" s="15">
        <f t="shared" si="13"/>
        <v>9</v>
      </c>
      <c r="O64" s="15"/>
      <c r="P64" s="15" t="s">
        <v>50</v>
      </c>
      <c r="Q64" s="27"/>
    </row>
    <row r="65" spans="4:17">
      <c r="F65" s="26"/>
      <c r="G65" s="15"/>
      <c r="H65" s="15"/>
      <c r="I65" s="15">
        <v>4</v>
      </c>
      <c r="J65" s="15">
        <v>8</v>
      </c>
      <c r="K65" s="15">
        <v>8</v>
      </c>
      <c r="L65" s="15">
        <v>4</v>
      </c>
      <c r="M65" s="15">
        <v>0</v>
      </c>
      <c r="N65" s="15">
        <f t="shared" si="13"/>
        <v>24</v>
      </c>
      <c r="O65" s="15"/>
      <c r="P65" s="15" t="s">
        <v>51</v>
      </c>
      <c r="Q65" s="27"/>
    </row>
    <row r="66" spans="4:17">
      <c r="F66" s="26"/>
      <c r="G66" s="15"/>
      <c r="H66" s="15"/>
      <c r="I66" s="15">
        <v>4</v>
      </c>
      <c r="J66" s="15">
        <v>12</v>
      </c>
      <c r="K66" s="15">
        <v>16</v>
      </c>
      <c r="L66" s="15">
        <v>12</v>
      </c>
      <c r="M66" s="15">
        <v>4</v>
      </c>
      <c r="N66" s="15">
        <f t="shared" si="13"/>
        <v>48</v>
      </c>
      <c r="O66" s="15"/>
      <c r="P66" s="15" t="s">
        <v>52</v>
      </c>
      <c r="Q66" s="27"/>
    </row>
    <row r="67" spans="4:17">
      <c r="F67" s="38"/>
      <c r="G67" s="39"/>
      <c r="H67" s="39"/>
      <c r="I67" s="39">
        <v>2</v>
      </c>
      <c r="J67" s="39">
        <v>6</v>
      </c>
      <c r="K67" s="39">
        <v>8</v>
      </c>
      <c r="L67" s="39">
        <v>6</v>
      </c>
      <c r="M67" s="39">
        <v>2</v>
      </c>
      <c r="N67" s="39">
        <f t="shared" si="13"/>
        <v>24</v>
      </c>
      <c r="O67" s="39"/>
      <c r="P67" s="39" t="s">
        <v>53</v>
      </c>
      <c r="Q67" s="27"/>
    </row>
    <row r="68" spans="4:17" ht="15.75" thickBot="1">
      <c r="F68" s="26"/>
      <c r="G68" s="15"/>
      <c r="H68" s="15"/>
      <c r="I68" s="15">
        <v>2</v>
      </c>
      <c r="J68" s="15">
        <v>3</v>
      </c>
      <c r="K68" s="15">
        <v>3</v>
      </c>
      <c r="L68" s="15">
        <v>1</v>
      </c>
      <c r="M68" s="15">
        <v>0</v>
      </c>
      <c r="N68" s="15">
        <f t="shared" si="13"/>
        <v>9</v>
      </c>
      <c r="O68" s="15"/>
      <c r="P68" s="15" t="s">
        <v>54</v>
      </c>
      <c r="Q68" s="27"/>
    </row>
    <row r="69" spans="4:17" ht="15.75" thickBot="1">
      <c r="F69" s="31"/>
      <c r="G69" s="32" t="s">
        <v>21</v>
      </c>
      <c r="H69" s="32">
        <f>SUM(H43:H68)</f>
        <v>1</v>
      </c>
      <c r="I69" s="32">
        <f>SUM(I43:I68)</f>
        <v>99</v>
      </c>
      <c r="J69" s="32">
        <f t="shared" ref="J69:M69" si="14">SUM(J43:J68)</f>
        <v>220</v>
      </c>
      <c r="K69" s="32">
        <f t="shared" si="14"/>
        <v>270</v>
      </c>
      <c r="L69" s="32">
        <f t="shared" si="14"/>
        <v>172</v>
      </c>
      <c r="M69" s="32">
        <f t="shared" si="14"/>
        <v>51</v>
      </c>
      <c r="N69" s="32">
        <f>SUM(N43:N68)</f>
        <v>813</v>
      </c>
      <c r="O69" s="32"/>
      <c r="P69" s="32"/>
      <c r="Q69" s="33"/>
    </row>
    <row r="70" spans="4:17" ht="15.75" thickBot="1">
      <c r="D70" s="40">
        <v>46088</v>
      </c>
      <c r="E70" s="41"/>
      <c r="F70" s="16" t="s">
        <v>29</v>
      </c>
      <c r="G70" s="17" t="s">
        <v>30</v>
      </c>
      <c r="H70" s="17"/>
      <c r="I70" s="17">
        <v>4</v>
      </c>
      <c r="J70" s="17">
        <v>8</v>
      </c>
      <c r="K70" s="17">
        <v>8</v>
      </c>
      <c r="L70" s="17">
        <v>4</v>
      </c>
      <c r="M70" s="17">
        <v>0</v>
      </c>
      <c r="N70" s="17">
        <f t="shared" ref="N70:N95" si="15">SUM(H70:M70)</f>
        <v>24</v>
      </c>
      <c r="O70" s="17"/>
      <c r="P70" s="17" t="s">
        <v>24</v>
      </c>
      <c r="Q70" s="18"/>
    </row>
    <row r="71" spans="4:17">
      <c r="F71" s="38"/>
      <c r="G71" s="39"/>
      <c r="H71" s="39"/>
      <c r="I71" s="39">
        <v>3</v>
      </c>
      <c r="J71" s="39">
        <v>9</v>
      </c>
      <c r="K71" s="39">
        <v>12</v>
      </c>
      <c r="L71" s="39">
        <v>9</v>
      </c>
      <c r="M71" s="39">
        <v>3</v>
      </c>
      <c r="N71" s="39">
        <f t="shared" si="15"/>
        <v>36</v>
      </c>
      <c r="O71" s="39"/>
      <c r="P71" s="39" t="s">
        <v>19</v>
      </c>
      <c r="Q71" s="27"/>
    </row>
    <row r="72" spans="4:17">
      <c r="F72" s="38"/>
      <c r="G72" s="39"/>
      <c r="H72" s="39"/>
      <c r="I72" s="39">
        <v>8</v>
      </c>
      <c r="J72" s="39">
        <v>12</v>
      </c>
      <c r="K72" s="39">
        <v>12</v>
      </c>
      <c r="L72" s="39">
        <v>4</v>
      </c>
      <c r="M72" s="39">
        <v>0</v>
      </c>
      <c r="N72" s="39">
        <f t="shared" si="15"/>
        <v>36</v>
      </c>
      <c r="O72" s="39"/>
      <c r="P72" s="39" t="s">
        <v>31</v>
      </c>
      <c r="Q72" s="27"/>
    </row>
    <row r="73" spans="4:17">
      <c r="F73" s="26"/>
      <c r="G73" s="15"/>
      <c r="H73" s="15"/>
      <c r="I73" s="15">
        <v>20</v>
      </c>
      <c r="J73" s="15">
        <v>60</v>
      </c>
      <c r="K73" s="15">
        <v>80</v>
      </c>
      <c r="L73" s="15">
        <v>60</v>
      </c>
      <c r="M73" s="15">
        <v>20</v>
      </c>
      <c r="N73" s="15">
        <f t="shared" si="15"/>
        <v>240</v>
      </c>
      <c r="O73" s="15"/>
      <c r="P73" s="15" t="s">
        <v>32</v>
      </c>
      <c r="Q73" s="27"/>
    </row>
    <row r="74" spans="4:17">
      <c r="F74" s="38"/>
      <c r="G74" s="39"/>
      <c r="H74" s="39"/>
      <c r="I74" s="39">
        <v>7</v>
      </c>
      <c r="J74" s="39">
        <v>14</v>
      </c>
      <c r="K74" s="39">
        <v>21</v>
      </c>
      <c r="L74" s="39">
        <v>14</v>
      </c>
      <c r="M74" s="39">
        <v>7</v>
      </c>
      <c r="N74" s="39">
        <f t="shared" si="15"/>
        <v>63</v>
      </c>
      <c r="O74" s="39"/>
      <c r="P74" s="39" t="s">
        <v>33</v>
      </c>
      <c r="Q74" s="27"/>
    </row>
    <row r="75" spans="4:17">
      <c r="F75" s="26"/>
      <c r="G75" s="15"/>
      <c r="H75" s="15"/>
      <c r="I75" s="15">
        <v>6</v>
      </c>
      <c r="J75" s="15">
        <v>12</v>
      </c>
      <c r="K75" s="15">
        <v>12</v>
      </c>
      <c r="L75" s="15">
        <v>6</v>
      </c>
      <c r="M75" s="15">
        <v>0</v>
      </c>
      <c r="N75" s="15">
        <f t="shared" si="15"/>
        <v>36</v>
      </c>
      <c r="O75" s="15"/>
      <c r="P75" s="15" t="s">
        <v>34</v>
      </c>
      <c r="Q75" s="27"/>
    </row>
    <row r="76" spans="4:17">
      <c r="F76" s="38"/>
      <c r="G76" s="39"/>
      <c r="H76" s="39"/>
      <c r="I76" s="39">
        <v>0</v>
      </c>
      <c r="J76" s="39">
        <v>0</v>
      </c>
      <c r="K76" s="39">
        <v>0</v>
      </c>
      <c r="L76" s="39">
        <v>0</v>
      </c>
      <c r="M76" s="39">
        <v>0</v>
      </c>
      <c r="N76" s="39">
        <f>SUM(H76:M76)</f>
        <v>0</v>
      </c>
      <c r="O76" s="39"/>
      <c r="P76" s="39" t="s">
        <v>35</v>
      </c>
      <c r="Q76" s="27"/>
    </row>
    <row r="77" spans="4:17">
      <c r="F77" s="26"/>
      <c r="G77" s="15"/>
      <c r="H77" s="15"/>
      <c r="I77" s="15">
        <v>2</v>
      </c>
      <c r="J77" s="15">
        <v>3</v>
      </c>
      <c r="K77" s="15">
        <v>3</v>
      </c>
      <c r="L77" s="15">
        <v>1</v>
      </c>
      <c r="M77" s="15">
        <v>0</v>
      </c>
      <c r="N77" s="15">
        <f t="shared" ref="N77" si="16">SUM(H77:M77)</f>
        <v>9</v>
      </c>
      <c r="O77" s="15"/>
      <c r="P77" s="15" t="s">
        <v>36</v>
      </c>
      <c r="Q77" s="27"/>
    </row>
    <row r="78" spans="4:17">
      <c r="F78" s="26"/>
      <c r="G78" s="15"/>
      <c r="H78" s="15"/>
      <c r="I78" s="15">
        <v>5</v>
      </c>
      <c r="J78" s="15">
        <v>10</v>
      </c>
      <c r="K78" s="15">
        <v>15</v>
      </c>
      <c r="L78" s="15">
        <v>10</v>
      </c>
      <c r="M78" s="15">
        <v>5</v>
      </c>
      <c r="N78" s="15">
        <f t="shared" si="15"/>
        <v>45</v>
      </c>
      <c r="O78" s="15"/>
      <c r="P78" s="15" t="s">
        <v>37</v>
      </c>
      <c r="Q78" s="27"/>
    </row>
    <row r="79" spans="4:17">
      <c r="F79" s="26"/>
      <c r="G79" s="15"/>
      <c r="H79" s="15"/>
      <c r="I79" s="15">
        <v>2</v>
      </c>
      <c r="J79" s="15">
        <v>3</v>
      </c>
      <c r="K79" s="15">
        <v>3</v>
      </c>
      <c r="L79" s="15">
        <v>1</v>
      </c>
      <c r="M79" s="15">
        <v>0</v>
      </c>
      <c r="N79" s="15">
        <f t="shared" si="15"/>
        <v>9</v>
      </c>
      <c r="O79" s="15"/>
      <c r="P79" s="15" t="s">
        <v>38</v>
      </c>
      <c r="Q79" s="27"/>
    </row>
    <row r="80" spans="4:17">
      <c r="F80" s="26"/>
      <c r="G80" s="15"/>
      <c r="H80" s="15"/>
      <c r="I80" s="15">
        <v>2</v>
      </c>
      <c r="J80" s="15">
        <v>4</v>
      </c>
      <c r="K80" s="15">
        <v>4</v>
      </c>
      <c r="L80" s="15">
        <v>2</v>
      </c>
      <c r="M80" s="15">
        <v>0</v>
      </c>
      <c r="N80" s="15">
        <f t="shared" si="15"/>
        <v>12</v>
      </c>
      <c r="O80" s="15"/>
      <c r="P80" s="15" t="s">
        <v>39</v>
      </c>
      <c r="Q80" s="27"/>
    </row>
    <row r="81" spans="6:17">
      <c r="F81" s="26"/>
      <c r="G81" s="15"/>
      <c r="H81" s="15"/>
      <c r="I81" s="15">
        <v>4</v>
      </c>
      <c r="J81" s="15">
        <v>6</v>
      </c>
      <c r="K81" s="15">
        <v>6</v>
      </c>
      <c r="L81" s="15">
        <v>2</v>
      </c>
      <c r="M81" s="15">
        <v>0</v>
      </c>
      <c r="N81" s="15">
        <f t="shared" si="15"/>
        <v>18</v>
      </c>
      <c r="O81" s="15"/>
      <c r="P81" s="15" t="s">
        <v>40</v>
      </c>
      <c r="Q81" s="27"/>
    </row>
    <row r="82" spans="6:17">
      <c r="F82" s="26"/>
      <c r="G82" s="15"/>
      <c r="H82" s="15"/>
      <c r="I82" s="15">
        <v>1</v>
      </c>
      <c r="J82" s="15">
        <v>3</v>
      </c>
      <c r="K82" s="15">
        <v>4</v>
      </c>
      <c r="L82" s="15">
        <v>3</v>
      </c>
      <c r="M82" s="15">
        <v>1</v>
      </c>
      <c r="N82" s="15">
        <f t="shared" si="15"/>
        <v>12</v>
      </c>
      <c r="O82" s="15"/>
      <c r="P82" s="15" t="s">
        <v>41</v>
      </c>
      <c r="Q82" s="27"/>
    </row>
    <row r="83" spans="6:17">
      <c r="F83" s="26"/>
      <c r="G83" s="15"/>
      <c r="H83" s="15"/>
      <c r="I83" s="15">
        <v>1</v>
      </c>
      <c r="J83" s="15">
        <v>2</v>
      </c>
      <c r="K83" s="15">
        <v>3</v>
      </c>
      <c r="L83" s="15">
        <v>2</v>
      </c>
      <c r="M83" s="15">
        <v>1</v>
      </c>
      <c r="N83" s="15">
        <f t="shared" si="15"/>
        <v>9</v>
      </c>
      <c r="O83" s="15"/>
      <c r="P83" s="15" t="s">
        <v>42</v>
      </c>
      <c r="Q83" s="27"/>
    </row>
    <row r="84" spans="6:17">
      <c r="F84" s="38"/>
      <c r="G84" s="39"/>
      <c r="H84" s="39"/>
      <c r="I84" s="39">
        <v>2</v>
      </c>
      <c r="J84" s="39">
        <v>3</v>
      </c>
      <c r="K84" s="39">
        <v>3</v>
      </c>
      <c r="L84" s="39">
        <v>1</v>
      </c>
      <c r="M84" s="39">
        <v>0</v>
      </c>
      <c r="N84" s="39">
        <f t="shared" si="15"/>
        <v>9</v>
      </c>
      <c r="O84" s="39"/>
      <c r="P84" s="39" t="s">
        <v>43</v>
      </c>
      <c r="Q84" s="27"/>
    </row>
    <row r="85" spans="6:17">
      <c r="F85" s="26"/>
      <c r="G85" s="15"/>
      <c r="H85" s="15"/>
      <c r="I85" s="15">
        <v>2</v>
      </c>
      <c r="J85" s="15">
        <v>6</v>
      </c>
      <c r="K85" s="15">
        <v>8</v>
      </c>
      <c r="L85" s="15">
        <v>6</v>
      </c>
      <c r="M85" s="15">
        <v>2</v>
      </c>
      <c r="N85" s="15">
        <f t="shared" si="15"/>
        <v>24</v>
      </c>
      <c r="O85" s="15"/>
      <c r="P85" s="15" t="s">
        <v>44</v>
      </c>
      <c r="Q85" s="27"/>
    </row>
    <row r="86" spans="6:17">
      <c r="F86" s="26"/>
      <c r="G86" s="15"/>
      <c r="H86" s="15"/>
      <c r="I86" s="15">
        <v>2</v>
      </c>
      <c r="J86" s="15">
        <v>3</v>
      </c>
      <c r="K86" s="15">
        <v>3</v>
      </c>
      <c r="L86" s="15">
        <v>1</v>
      </c>
      <c r="M86" s="15">
        <v>0</v>
      </c>
      <c r="N86" s="15">
        <f t="shared" si="15"/>
        <v>9</v>
      </c>
      <c r="O86" s="15"/>
      <c r="P86" s="15" t="s">
        <v>45</v>
      </c>
      <c r="Q86" s="27"/>
    </row>
    <row r="87" spans="6:17">
      <c r="F87" s="26"/>
      <c r="G87" s="15"/>
      <c r="H87" s="15">
        <v>1</v>
      </c>
      <c r="I87" s="15">
        <v>2</v>
      </c>
      <c r="J87" s="15">
        <v>3</v>
      </c>
      <c r="K87" s="15">
        <v>2</v>
      </c>
      <c r="L87" s="15">
        <v>1</v>
      </c>
      <c r="M87" s="15">
        <v>0</v>
      </c>
      <c r="N87" s="15">
        <f t="shared" si="15"/>
        <v>9</v>
      </c>
      <c r="O87" s="15"/>
      <c r="P87" s="15" t="s">
        <v>46</v>
      </c>
      <c r="Q87" s="27"/>
    </row>
    <row r="88" spans="6:17">
      <c r="F88" s="26"/>
      <c r="G88" s="15"/>
      <c r="H88" s="15"/>
      <c r="I88" s="15">
        <v>4</v>
      </c>
      <c r="J88" s="15">
        <v>8</v>
      </c>
      <c r="K88" s="15">
        <v>8</v>
      </c>
      <c r="L88" s="15">
        <v>4</v>
      </c>
      <c r="M88" s="15">
        <v>0</v>
      </c>
      <c r="N88" s="15">
        <f t="shared" si="15"/>
        <v>24</v>
      </c>
      <c r="O88" s="15"/>
      <c r="P88" s="15" t="s">
        <v>47</v>
      </c>
      <c r="Q88" s="27"/>
    </row>
    <row r="89" spans="6:17">
      <c r="F89" s="26"/>
      <c r="G89" s="15"/>
      <c r="H89" s="15"/>
      <c r="I89" s="15">
        <v>2</v>
      </c>
      <c r="J89" s="15">
        <v>3</v>
      </c>
      <c r="K89" s="15">
        <v>3</v>
      </c>
      <c r="L89" s="15">
        <v>1</v>
      </c>
      <c r="M89" s="15">
        <v>0</v>
      </c>
      <c r="N89" s="15">
        <f t="shared" si="15"/>
        <v>9</v>
      </c>
      <c r="O89" s="15"/>
      <c r="P89" s="15" t="s">
        <v>48</v>
      </c>
      <c r="Q89" s="27"/>
    </row>
    <row r="90" spans="6:17">
      <c r="F90" s="26"/>
      <c r="G90" s="15"/>
      <c r="H90" s="15"/>
      <c r="I90" s="15">
        <v>4</v>
      </c>
      <c r="J90" s="15">
        <v>12</v>
      </c>
      <c r="K90" s="15">
        <v>16</v>
      </c>
      <c r="L90" s="15">
        <v>12</v>
      </c>
      <c r="M90" s="15">
        <v>4</v>
      </c>
      <c r="N90" s="15">
        <f t="shared" si="15"/>
        <v>48</v>
      </c>
      <c r="O90" s="15"/>
      <c r="P90" s="15" t="s">
        <v>49</v>
      </c>
      <c r="Q90" s="27"/>
    </row>
    <row r="91" spans="6:17">
      <c r="F91" s="26"/>
      <c r="G91" s="15"/>
      <c r="H91" s="15"/>
      <c r="I91" s="15">
        <v>1</v>
      </c>
      <c r="J91" s="15">
        <v>2</v>
      </c>
      <c r="K91" s="15">
        <v>3</v>
      </c>
      <c r="L91" s="15">
        <v>2</v>
      </c>
      <c r="M91" s="15">
        <v>1</v>
      </c>
      <c r="N91" s="15">
        <f t="shared" si="15"/>
        <v>9</v>
      </c>
      <c r="O91" s="15"/>
      <c r="P91" s="15" t="s">
        <v>50</v>
      </c>
      <c r="Q91" s="27"/>
    </row>
    <row r="92" spans="6:17">
      <c r="F92" s="26"/>
      <c r="G92" s="15"/>
      <c r="H92" s="15"/>
      <c r="I92" s="15">
        <v>4</v>
      </c>
      <c r="J92" s="15">
        <v>8</v>
      </c>
      <c r="K92" s="15">
        <v>8</v>
      </c>
      <c r="L92" s="15">
        <v>4</v>
      </c>
      <c r="M92" s="15">
        <v>0</v>
      </c>
      <c r="N92" s="15">
        <f t="shared" si="15"/>
        <v>24</v>
      </c>
      <c r="O92" s="15"/>
      <c r="P92" s="15" t="s">
        <v>51</v>
      </c>
      <c r="Q92" s="27"/>
    </row>
    <row r="93" spans="6:17">
      <c r="F93" s="26"/>
      <c r="G93" s="15"/>
      <c r="H93" s="15"/>
      <c r="I93" s="15">
        <v>4</v>
      </c>
      <c r="J93" s="15">
        <v>12</v>
      </c>
      <c r="K93" s="15">
        <v>16</v>
      </c>
      <c r="L93" s="15">
        <v>12</v>
      </c>
      <c r="M93" s="15">
        <v>4</v>
      </c>
      <c r="N93" s="15">
        <f t="shared" si="15"/>
        <v>48</v>
      </c>
      <c r="O93" s="15"/>
      <c r="P93" s="15" t="s">
        <v>52</v>
      </c>
      <c r="Q93" s="27"/>
    </row>
    <row r="94" spans="6:17">
      <c r="F94" s="38"/>
      <c r="G94" s="39"/>
      <c r="H94" s="39"/>
      <c r="I94" s="39">
        <v>1</v>
      </c>
      <c r="J94" s="39">
        <v>3</v>
      </c>
      <c r="K94" s="39">
        <v>4</v>
      </c>
      <c r="L94" s="39">
        <v>3</v>
      </c>
      <c r="M94" s="39">
        <v>1</v>
      </c>
      <c r="N94" s="39">
        <f t="shared" si="15"/>
        <v>12</v>
      </c>
      <c r="O94" s="39"/>
      <c r="P94" s="39" t="s">
        <v>53</v>
      </c>
      <c r="Q94" s="27"/>
    </row>
    <row r="95" spans="6:17" ht="15.75" thickBot="1">
      <c r="F95" s="26"/>
      <c r="G95" s="15"/>
      <c r="H95" s="15"/>
      <c r="I95" s="15">
        <v>2</v>
      </c>
      <c r="J95" s="15">
        <v>3</v>
      </c>
      <c r="K95" s="15">
        <v>3</v>
      </c>
      <c r="L95" s="15">
        <v>1</v>
      </c>
      <c r="M95" s="15">
        <v>0</v>
      </c>
      <c r="N95" s="15">
        <f t="shared" si="15"/>
        <v>9</v>
      </c>
      <c r="O95" s="15"/>
      <c r="P95" s="15" t="s">
        <v>54</v>
      </c>
      <c r="Q95" s="27"/>
    </row>
    <row r="96" spans="6:17" ht="15.75" thickBot="1">
      <c r="F96" s="31"/>
      <c r="G96" s="32" t="s">
        <v>21</v>
      </c>
      <c r="H96" s="32">
        <f>SUM(H70:H95)</f>
        <v>1</v>
      </c>
      <c r="I96" s="32">
        <f>SUM(I70:I95)</f>
        <v>95</v>
      </c>
      <c r="J96" s="32">
        <f t="shared" ref="J96:M96" si="17">SUM(J70:J95)</f>
        <v>212</v>
      </c>
      <c r="K96" s="32">
        <f t="shared" si="17"/>
        <v>260</v>
      </c>
      <c r="L96" s="32">
        <f t="shared" si="17"/>
        <v>166</v>
      </c>
      <c r="M96" s="32">
        <f t="shared" si="17"/>
        <v>49</v>
      </c>
      <c r="N96" s="32">
        <f>SUM(N70:N95)</f>
        <v>783</v>
      </c>
      <c r="O96" s="32"/>
      <c r="P96" s="32"/>
      <c r="Q96" s="33"/>
    </row>
  </sheetData>
  <mergeCells count="14">
    <mergeCell ref="D31:E31"/>
    <mergeCell ref="D35:E35"/>
    <mergeCell ref="D43:E43"/>
    <mergeCell ref="D70:E70"/>
    <mergeCell ref="D15:E15"/>
    <mergeCell ref="D22:E22"/>
    <mergeCell ref="D23:E23"/>
    <mergeCell ref="D27:E27"/>
    <mergeCell ref="D28:E28"/>
    <mergeCell ref="D5:E5"/>
    <mergeCell ref="D6:E6"/>
    <mergeCell ref="D7:E7"/>
    <mergeCell ref="D10:E10"/>
    <mergeCell ref="D11:E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Q70"/>
  <sheetViews>
    <sheetView topLeftCell="A37" workbookViewId="0">
      <selection activeCell="J13" sqref="J13"/>
    </sheetView>
  </sheetViews>
  <sheetFormatPr defaultRowHeight="15"/>
  <cols>
    <col min="6" max="6" width="15.42578125" bestFit="1" customWidth="1"/>
    <col min="7" max="7" width="42.42578125" bestFit="1" customWidth="1"/>
    <col min="8" max="8" width="4.5703125" customWidth="1"/>
    <col min="9" max="9" width="3.7109375" bestFit="1" customWidth="1"/>
    <col min="10" max="11" width="4" bestFit="1" customWidth="1"/>
    <col min="12" max="12" width="4.42578125" customWidth="1"/>
    <col min="13" max="13" width="6.140625" customWidth="1"/>
    <col min="14" max="14" width="7.42578125" customWidth="1"/>
    <col min="15" max="15" width="11.7109375" bestFit="1" customWidth="1"/>
    <col min="16" max="16" width="6.85546875" bestFit="1" customWidth="1"/>
    <col min="17" max="17" width="6.7109375" customWidth="1"/>
  </cols>
  <sheetData>
    <row r="3" spans="4:17" ht="15.75" thickBot="1"/>
    <row r="4" spans="4:17" ht="19.5" thickBot="1">
      <c r="D4" s="1" t="s">
        <v>0</v>
      </c>
      <c r="E4" s="2"/>
      <c r="F4" s="43" t="s">
        <v>1</v>
      </c>
      <c r="G4" s="4" t="s">
        <v>57</v>
      </c>
      <c r="H4" s="4" t="s">
        <v>3</v>
      </c>
      <c r="I4" s="4" t="s">
        <v>4</v>
      </c>
      <c r="J4" s="4" t="s">
        <v>5</v>
      </c>
      <c r="K4" s="4" t="s">
        <v>6</v>
      </c>
      <c r="L4" s="4" t="s">
        <v>7</v>
      </c>
      <c r="M4" s="4" t="s">
        <v>8</v>
      </c>
      <c r="N4" s="4" t="s">
        <v>9</v>
      </c>
      <c r="O4" s="4" t="s">
        <v>10</v>
      </c>
      <c r="P4" s="4" t="s">
        <v>11</v>
      </c>
      <c r="Q4" s="5" t="s">
        <v>12</v>
      </c>
    </row>
    <row r="5" spans="4:17" ht="15.75" thickBot="1">
      <c r="D5" s="6">
        <v>46088</v>
      </c>
      <c r="E5" s="7"/>
      <c r="F5" s="31" t="s">
        <v>16</v>
      </c>
      <c r="G5" s="32" t="s">
        <v>17</v>
      </c>
      <c r="H5" s="32"/>
      <c r="I5" s="32">
        <v>2</v>
      </c>
      <c r="J5" s="32">
        <v>3</v>
      </c>
      <c r="K5" s="32">
        <v>3</v>
      </c>
      <c r="L5" s="32">
        <v>1</v>
      </c>
      <c r="M5" s="32"/>
      <c r="N5" s="32">
        <f>SUM(H5:M5)</f>
        <v>9</v>
      </c>
      <c r="O5" s="32"/>
      <c r="P5" s="32" t="s">
        <v>24</v>
      </c>
      <c r="Q5" s="33"/>
    </row>
    <row r="6" spans="4:17" ht="15.75" thickBot="1">
      <c r="D6" s="6">
        <v>46084</v>
      </c>
      <c r="E6" s="7"/>
      <c r="F6" s="31" t="s">
        <v>16</v>
      </c>
      <c r="G6" s="32" t="s">
        <v>17</v>
      </c>
      <c r="H6" s="32"/>
      <c r="I6" s="32">
        <v>2</v>
      </c>
      <c r="J6" s="32">
        <v>3</v>
      </c>
      <c r="K6" s="32">
        <v>3</v>
      </c>
      <c r="L6" s="32">
        <v>1</v>
      </c>
      <c r="M6" s="32"/>
      <c r="N6" s="32">
        <f>SUM(H6:M6)</f>
        <v>9</v>
      </c>
      <c r="O6" s="32"/>
      <c r="P6" s="32" t="s">
        <v>24</v>
      </c>
      <c r="Q6" s="33"/>
    </row>
    <row r="8" spans="4:17" ht="15.75" thickBot="1"/>
    <row r="9" spans="4:17" ht="19.5" thickBot="1">
      <c r="D9" s="1" t="s">
        <v>0</v>
      </c>
      <c r="E9" s="2"/>
      <c r="F9" s="43" t="s">
        <v>1</v>
      </c>
      <c r="G9" s="4" t="s">
        <v>57</v>
      </c>
      <c r="H9" s="4" t="s">
        <v>3</v>
      </c>
      <c r="I9" s="4" t="s">
        <v>4</v>
      </c>
      <c r="J9" s="4" t="s">
        <v>5</v>
      </c>
      <c r="K9" s="4" t="s">
        <v>6</v>
      </c>
      <c r="L9" s="4" t="s">
        <v>7</v>
      </c>
      <c r="M9" s="4" t="s">
        <v>8</v>
      </c>
      <c r="N9" s="4" t="s">
        <v>9</v>
      </c>
      <c r="O9" s="4" t="s">
        <v>10</v>
      </c>
      <c r="P9" s="4" t="s">
        <v>11</v>
      </c>
      <c r="Q9" s="5" t="s">
        <v>12</v>
      </c>
    </row>
    <row r="10" spans="4:17" ht="15.75" thickBot="1">
      <c r="D10" s="6">
        <v>46088</v>
      </c>
      <c r="E10" s="7"/>
      <c r="F10" s="36" t="s">
        <v>22</v>
      </c>
      <c r="G10" s="37" t="s">
        <v>23</v>
      </c>
      <c r="H10" s="37"/>
      <c r="I10" s="37">
        <v>4</v>
      </c>
      <c r="J10" s="37">
        <v>8</v>
      </c>
      <c r="K10" s="37">
        <v>8</v>
      </c>
      <c r="L10" s="37">
        <v>4</v>
      </c>
      <c r="M10" s="37"/>
      <c r="N10" s="37">
        <f t="shared" ref="N10:N11" si="0">SUM(H10:M10)</f>
        <v>24</v>
      </c>
      <c r="O10" s="37"/>
      <c r="P10" s="37" t="s">
        <v>15</v>
      </c>
      <c r="Q10" s="33"/>
    </row>
    <row r="11" spans="4:17" ht="15.75" thickBot="1">
      <c r="D11" s="6">
        <v>46084</v>
      </c>
      <c r="E11" s="7"/>
      <c r="F11" s="36" t="s">
        <v>22</v>
      </c>
      <c r="G11" s="37" t="s">
        <v>23</v>
      </c>
      <c r="H11" s="37"/>
      <c r="I11" s="37">
        <v>16</v>
      </c>
      <c r="J11" s="37">
        <v>32</v>
      </c>
      <c r="K11" s="37">
        <v>32</v>
      </c>
      <c r="L11" s="37">
        <v>16</v>
      </c>
      <c r="M11" s="37"/>
      <c r="N11" s="37">
        <f t="shared" si="0"/>
        <v>96</v>
      </c>
      <c r="O11" s="37"/>
      <c r="P11" s="37" t="s">
        <v>15</v>
      </c>
      <c r="Q11" s="33"/>
    </row>
    <row r="12" spans="4:17" s="46" customFormat="1">
      <c r="D12" s="45"/>
      <c r="E12" s="45"/>
      <c r="F12" s="48"/>
      <c r="G12" s="48" t="s">
        <v>55</v>
      </c>
      <c r="H12" s="48"/>
      <c r="I12" s="48">
        <f>ABS(I10-I11)</f>
        <v>12</v>
      </c>
      <c r="J12" s="48">
        <f t="shared" ref="J12:N12" si="1">ABS(J10-J11)</f>
        <v>24</v>
      </c>
      <c r="K12" s="48">
        <f t="shared" si="1"/>
        <v>24</v>
      </c>
      <c r="L12" s="48">
        <f t="shared" si="1"/>
        <v>12</v>
      </c>
      <c r="M12" s="48"/>
      <c r="N12" s="48">
        <f t="shared" si="1"/>
        <v>72</v>
      </c>
      <c r="O12" s="48"/>
      <c r="P12" s="48"/>
      <c r="Q12" s="48"/>
    </row>
    <row r="15" spans="4:17" ht="15.75" thickBot="1"/>
    <row r="16" spans="4:17" ht="19.5" thickBot="1">
      <c r="D16" s="1" t="s">
        <v>0</v>
      </c>
      <c r="E16" s="2"/>
      <c r="F16" s="43" t="s">
        <v>1</v>
      </c>
      <c r="G16" s="4" t="s">
        <v>57</v>
      </c>
      <c r="H16" s="4" t="s">
        <v>3</v>
      </c>
      <c r="I16" s="4" t="s">
        <v>4</v>
      </c>
      <c r="J16" s="4" t="s">
        <v>5</v>
      </c>
      <c r="K16" s="4" t="s">
        <v>6</v>
      </c>
      <c r="L16" s="4" t="s">
        <v>7</v>
      </c>
      <c r="M16" s="4" t="s">
        <v>8</v>
      </c>
      <c r="N16" s="4" t="s">
        <v>9</v>
      </c>
      <c r="O16" s="4" t="s">
        <v>10</v>
      </c>
      <c r="P16" s="4" t="s">
        <v>11</v>
      </c>
      <c r="Q16" s="5" t="s">
        <v>12</v>
      </c>
    </row>
    <row r="17" spans="4:17" ht="15.75" thickBot="1">
      <c r="D17" s="6">
        <v>46088</v>
      </c>
      <c r="E17" s="7"/>
      <c r="F17" s="16" t="s">
        <v>29</v>
      </c>
      <c r="G17" s="17" t="s">
        <v>30</v>
      </c>
      <c r="H17" s="17"/>
      <c r="I17" s="17">
        <v>4</v>
      </c>
      <c r="J17" s="17">
        <v>8</v>
      </c>
      <c r="K17" s="17">
        <v>8</v>
      </c>
      <c r="L17" s="17">
        <v>4</v>
      </c>
      <c r="M17" s="17">
        <v>0</v>
      </c>
      <c r="N17" s="17">
        <f t="shared" ref="N17:N41" si="2">SUM(H17:M17)</f>
        <v>24</v>
      </c>
      <c r="O17" s="17"/>
      <c r="P17" s="17" t="s">
        <v>15</v>
      </c>
      <c r="Q17" s="18"/>
    </row>
    <row r="18" spans="4:17">
      <c r="F18" s="38"/>
      <c r="G18" s="39"/>
      <c r="H18" s="39"/>
      <c r="I18" s="39">
        <v>6</v>
      </c>
      <c r="J18" s="39">
        <v>18</v>
      </c>
      <c r="K18" s="39">
        <v>24</v>
      </c>
      <c r="L18" s="39">
        <v>18</v>
      </c>
      <c r="M18" s="39">
        <v>6</v>
      </c>
      <c r="N18" s="39">
        <f t="shared" si="2"/>
        <v>72</v>
      </c>
      <c r="O18" s="39"/>
      <c r="P18" s="39" t="s">
        <v>18</v>
      </c>
      <c r="Q18" s="27"/>
    </row>
    <row r="19" spans="4:17">
      <c r="F19" s="26"/>
      <c r="G19" s="15"/>
      <c r="H19" s="15"/>
      <c r="I19" s="15">
        <v>0</v>
      </c>
      <c r="J19" s="15">
        <v>2</v>
      </c>
      <c r="K19" s="15">
        <v>3</v>
      </c>
      <c r="L19" s="15">
        <v>2</v>
      </c>
      <c r="M19" s="15">
        <v>2</v>
      </c>
      <c r="N19" s="15">
        <f t="shared" si="2"/>
        <v>9</v>
      </c>
      <c r="O19" s="15"/>
      <c r="P19" s="15" t="s">
        <v>20</v>
      </c>
      <c r="Q19" s="27"/>
    </row>
    <row r="20" spans="4:17">
      <c r="F20" s="38"/>
      <c r="G20" s="39"/>
      <c r="H20" s="39"/>
      <c r="I20" s="39">
        <v>4</v>
      </c>
      <c r="J20" s="39">
        <v>6</v>
      </c>
      <c r="K20" s="39">
        <v>6</v>
      </c>
      <c r="L20" s="39">
        <v>2</v>
      </c>
      <c r="M20" s="39">
        <v>0</v>
      </c>
      <c r="N20" s="39">
        <f t="shared" si="2"/>
        <v>18</v>
      </c>
      <c r="O20" s="39"/>
      <c r="P20" s="39" t="s">
        <v>58</v>
      </c>
      <c r="Q20" s="27"/>
    </row>
    <row r="21" spans="4:17">
      <c r="F21" s="26"/>
      <c r="G21" s="15"/>
      <c r="H21" s="15"/>
      <c r="I21" s="15">
        <v>1</v>
      </c>
      <c r="J21" s="15">
        <v>3</v>
      </c>
      <c r="K21" s="15">
        <v>4</v>
      </c>
      <c r="L21" s="15">
        <v>3</v>
      </c>
      <c r="M21" s="15">
        <v>1</v>
      </c>
      <c r="N21" s="15">
        <f t="shared" si="2"/>
        <v>12</v>
      </c>
      <c r="O21" s="15"/>
      <c r="P21" s="15" t="s">
        <v>59</v>
      </c>
      <c r="Q21" s="27"/>
    </row>
    <row r="22" spans="4:17">
      <c r="F22" s="26"/>
      <c r="G22" s="15"/>
      <c r="H22" s="15"/>
      <c r="I22" s="15">
        <v>2</v>
      </c>
      <c r="J22" s="15">
        <v>3</v>
      </c>
      <c r="K22" s="15">
        <v>3</v>
      </c>
      <c r="L22" s="15">
        <v>1</v>
      </c>
      <c r="M22" s="15">
        <v>0</v>
      </c>
      <c r="N22" s="15">
        <f t="shared" si="2"/>
        <v>9</v>
      </c>
      <c r="O22" s="15"/>
      <c r="P22" s="15" t="s">
        <v>60</v>
      </c>
      <c r="Q22" s="27"/>
    </row>
    <row r="23" spans="4:17">
      <c r="F23" s="26"/>
      <c r="G23" s="15"/>
      <c r="H23" s="15"/>
      <c r="I23" s="15">
        <v>2</v>
      </c>
      <c r="J23" s="15">
        <v>4</v>
      </c>
      <c r="K23" s="15">
        <v>4</v>
      </c>
      <c r="L23" s="15">
        <v>2</v>
      </c>
      <c r="M23" s="15">
        <v>0</v>
      </c>
      <c r="N23" s="15">
        <f t="shared" si="2"/>
        <v>12</v>
      </c>
      <c r="O23" s="15"/>
      <c r="P23" s="15" t="s">
        <v>61</v>
      </c>
      <c r="Q23" s="27"/>
    </row>
    <row r="24" spans="4:17">
      <c r="F24" s="26"/>
      <c r="G24" s="15"/>
      <c r="H24" s="15"/>
      <c r="I24" s="15">
        <v>8</v>
      </c>
      <c r="J24" s="15">
        <v>16</v>
      </c>
      <c r="K24" s="15">
        <v>24</v>
      </c>
      <c r="L24" s="15">
        <v>16</v>
      </c>
      <c r="M24" s="15">
        <v>8</v>
      </c>
      <c r="N24" s="15">
        <f t="shared" si="2"/>
        <v>72</v>
      </c>
      <c r="O24" s="15"/>
      <c r="P24" s="15" t="s">
        <v>62</v>
      </c>
      <c r="Q24" s="27"/>
    </row>
    <row r="25" spans="4:17">
      <c r="F25" s="26"/>
      <c r="G25" s="15"/>
      <c r="H25" s="15"/>
      <c r="I25" s="15">
        <v>4</v>
      </c>
      <c r="J25" s="15">
        <v>5</v>
      </c>
      <c r="K25" s="15">
        <v>0</v>
      </c>
      <c r="L25" s="15">
        <v>0</v>
      </c>
      <c r="M25" s="15">
        <v>0</v>
      </c>
      <c r="N25" s="15">
        <f t="shared" si="2"/>
        <v>9</v>
      </c>
      <c r="O25" s="15"/>
      <c r="P25" s="15" t="s">
        <v>63</v>
      </c>
      <c r="Q25" s="27"/>
    </row>
    <row r="26" spans="4:17">
      <c r="F26" s="26"/>
      <c r="G26" s="15"/>
      <c r="H26" s="15"/>
      <c r="I26" s="15">
        <v>0</v>
      </c>
      <c r="J26" s="15">
        <v>0</v>
      </c>
      <c r="K26" s="15">
        <v>8</v>
      </c>
      <c r="L26" s="15">
        <v>2</v>
      </c>
      <c r="M26" s="15">
        <v>0</v>
      </c>
      <c r="N26" s="15">
        <f t="shared" si="2"/>
        <v>10</v>
      </c>
      <c r="O26" s="15"/>
      <c r="P26" s="15" t="s">
        <v>64</v>
      </c>
      <c r="Q26" s="27"/>
    </row>
    <row r="27" spans="4:17">
      <c r="F27" s="26"/>
      <c r="G27" s="15"/>
      <c r="H27" s="15"/>
      <c r="I27" s="15">
        <v>20</v>
      </c>
      <c r="J27" s="15">
        <v>0</v>
      </c>
      <c r="K27" s="15">
        <v>0</v>
      </c>
      <c r="L27" s="15">
        <v>0</v>
      </c>
      <c r="M27" s="15">
        <v>0</v>
      </c>
      <c r="N27" s="15">
        <f t="shared" si="2"/>
        <v>20</v>
      </c>
      <c r="O27" s="15"/>
      <c r="P27" s="15" t="s">
        <v>65</v>
      </c>
      <c r="Q27" s="27"/>
    </row>
    <row r="28" spans="4:17">
      <c r="F28" s="26"/>
      <c r="G28" s="15"/>
      <c r="H28" s="15"/>
      <c r="I28" s="15">
        <v>0</v>
      </c>
      <c r="J28" s="15">
        <v>40</v>
      </c>
      <c r="K28" s="15">
        <v>0</v>
      </c>
      <c r="L28" s="15">
        <v>0</v>
      </c>
      <c r="M28" s="15">
        <v>0</v>
      </c>
      <c r="N28" s="15">
        <f t="shared" si="2"/>
        <v>40</v>
      </c>
      <c r="O28" s="15"/>
      <c r="P28" s="15" t="s">
        <v>66</v>
      </c>
      <c r="Q28" s="27"/>
    </row>
    <row r="29" spans="4:17">
      <c r="F29" s="26"/>
      <c r="G29" s="15"/>
      <c r="H29" s="15"/>
      <c r="I29" s="15">
        <v>0</v>
      </c>
      <c r="J29" s="15">
        <v>0</v>
      </c>
      <c r="K29" s="15">
        <v>40</v>
      </c>
      <c r="L29" s="15">
        <v>0</v>
      </c>
      <c r="M29" s="15">
        <v>0</v>
      </c>
      <c r="N29" s="15">
        <f t="shared" si="2"/>
        <v>40</v>
      </c>
      <c r="O29" s="15"/>
      <c r="P29" s="15" t="s">
        <v>67</v>
      </c>
      <c r="Q29" s="27"/>
    </row>
    <row r="30" spans="4:17">
      <c r="F30" s="26"/>
      <c r="G30" s="15"/>
      <c r="H30" s="15"/>
      <c r="I30" s="15">
        <v>0</v>
      </c>
      <c r="J30" s="15">
        <v>0</v>
      </c>
      <c r="K30" s="15">
        <v>0</v>
      </c>
      <c r="L30" s="15">
        <v>20</v>
      </c>
      <c r="M30" s="15">
        <v>0</v>
      </c>
      <c r="N30" s="15">
        <f t="shared" si="2"/>
        <v>20</v>
      </c>
      <c r="O30" s="15"/>
      <c r="P30" s="15" t="s">
        <v>68</v>
      </c>
      <c r="Q30" s="27"/>
    </row>
    <row r="31" spans="4:17">
      <c r="F31" s="26"/>
      <c r="G31" s="15"/>
      <c r="H31" s="15"/>
      <c r="I31" s="15">
        <v>0</v>
      </c>
      <c r="J31" s="15">
        <v>0</v>
      </c>
      <c r="K31" s="15">
        <v>0</v>
      </c>
      <c r="L31" s="15">
        <v>0</v>
      </c>
      <c r="M31" s="15">
        <v>10</v>
      </c>
      <c r="N31" s="15">
        <f t="shared" si="2"/>
        <v>10</v>
      </c>
      <c r="O31" s="15"/>
      <c r="P31" s="15" t="s">
        <v>69</v>
      </c>
      <c r="Q31" s="27"/>
    </row>
    <row r="32" spans="4:17">
      <c r="F32" s="26"/>
      <c r="G32" s="15"/>
      <c r="H32" s="15"/>
      <c r="I32" s="15">
        <v>2</v>
      </c>
      <c r="J32" s="15">
        <v>4</v>
      </c>
      <c r="K32" s="15">
        <v>4</v>
      </c>
      <c r="L32" s="15">
        <v>2</v>
      </c>
      <c r="M32" s="15">
        <v>0</v>
      </c>
      <c r="N32" s="15">
        <f t="shared" si="2"/>
        <v>12</v>
      </c>
      <c r="O32" s="15"/>
      <c r="P32" s="15" t="s">
        <v>70</v>
      </c>
      <c r="Q32" s="27"/>
    </row>
    <row r="33" spans="4:17">
      <c r="F33" s="26"/>
      <c r="G33" s="15"/>
      <c r="H33" s="15"/>
      <c r="I33" s="15">
        <v>2</v>
      </c>
      <c r="J33" s="15">
        <v>3</v>
      </c>
      <c r="K33" s="15">
        <v>3</v>
      </c>
      <c r="L33" s="15">
        <v>1</v>
      </c>
      <c r="M33" s="15">
        <v>0</v>
      </c>
      <c r="N33" s="15">
        <f t="shared" si="2"/>
        <v>9</v>
      </c>
      <c r="O33" s="15"/>
      <c r="P33" s="15" t="s">
        <v>71</v>
      </c>
      <c r="Q33" s="27"/>
    </row>
    <row r="34" spans="4:17">
      <c r="F34" s="26"/>
      <c r="G34" s="15"/>
      <c r="H34" s="15"/>
      <c r="I34" s="15">
        <v>1</v>
      </c>
      <c r="J34" s="15">
        <v>3</v>
      </c>
      <c r="K34" s="15">
        <v>4</v>
      </c>
      <c r="L34" s="15">
        <v>3</v>
      </c>
      <c r="M34" s="15">
        <v>1</v>
      </c>
      <c r="N34" s="15">
        <f t="shared" si="2"/>
        <v>12</v>
      </c>
      <c r="O34" s="15"/>
      <c r="P34" s="15" t="s">
        <v>72</v>
      </c>
      <c r="Q34" s="27"/>
    </row>
    <row r="35" spans="4:17">
      <c r="F35" s="26"/>
      <c r="G35" s="15"/>
      <c r="H35" s="15">
        <v>1</v>
      </c>
      <c r="I35" s="15">
        <v>2</v>
      </c>
      <c r="J35" s="15">
        <v>3</v>
      </c>
      <c r="K35" s="15">
        <v>2</v>
      </c>
      <c r="L35" s="15">
        <v>1</v>
      </c>
      <c r="M35" s="15">
        <v>0</v>
      </c>
      <c r="N35" s="15">
        <f t="shared" si="2"/>
        <v>9</v>
      </c>
      <c r="O35" s="15"/>
      <c r="P35" s="15" t="s">
        <v>73</v>
      </c>
      <c r="Q35" s="27"/>
    </row>
    <row r="36" spans="4:17">
      <c r="F36" s="26"/>
      <c r="G36" s="15"/>
      <c r="H36" s="15"/>
      <c r="I36" s="15">
        <v>4</v>
      </c>
      <c r="J36" s="15">
        <v>8</v>
      </c>
      <c r="K36" s="15">
        <v>8</v>
      </c>
      <c r="L36" s="15">
        <v>4</v>
      </c>
      <c r="M36" s="15">
        <v>0</v>
      </c>
      <c r="N36" s="15">
        <f t="shared" si="2"/>
        <v>24</v>
      </c>
      <c r="O36" s="15"/>
      <c r="P36" s="15" t="s">
        <v>74</v>
      </c>
      <c r="Q36" s="27"/>
    </row>
    <row r="37" spans="4:17">
      <c r="F37" s="26"/>
      <c r="G37" s="15"/>
      <c r="H37" s="15"/>
      <c r="I37" s="15">
        <v>2</v>
      </c>
      <c r="J37" s="15">
        <v>6</v>
      </c>
      <c r="K37" s="15">
        <v>8</v>
      </c>
      <c r="L37" s="15">
        <v>6</v>
      </c>
      <c r="M37" s="15">
        <v>2</v>
      </c>
      <c r="N37" s="15">
        <f t="shared" si="2"/>
        <v>24</v>
      </c>
      <c r="O37" s="15"/>
      <c r="P37" s="15" t="s">
        <v>75</v>
      </c>
      <c r="Q37" s="27"/>
    </row>
    <row r="38" spans="4:17">
      <c r="F38" s="26"/>
      <c r="G38" s="15"/>
      <c r="H38" s="15"/>
      <c r="I38" s="15">
        <v>15</v>
      </c>
      <c r="J38" s="15">
        <v>30</v>
      </c>
      <c r="K38" s="15">
        <v>45</v>
      </c>
      <c r="L38" s="15">
        <v>30</v>
      </c>
      <c r="M38" s="15">
        <v>15</v>
      </c>
      <c r="N38" s="15">
        <f t="shared" si="2"/>
        <v>135</v>
      </c>
      <c r="O38" s="15"/>
      <c r="P38" s="15" t="s">
        <v>76</v>
      </c>
      <c r="Q38" s="27"/>
    </row>
    <row r="39" spans="4:17">
      <c r="F39" s="26"/>
      <c r="G39" s="15"/>
      <c r="H39" s="15"/>
      <c r="I39" s="15">
        <v>4</v>
      </c>
      <c r="J39" s="15">
        <v>6</v>
      </c>
      <c r="K39" s="15">
        <v>6</v>
      </c>
      <c r="L39" s="15">
        <v>2</v>
      </c>
      <c r="M39" s="15">
        <v>0</v>
      </c>
      <c r="N39" s="15">
        <f t="shared" si="2"/>
        <v>18</v>
      </c>
      <c r="O39" s="15"/>
      <c r="P39" s="15" t="s">
        <v>77</v>
      </c>
      <c r="Q39" s="27"/>
    </row>
    <row r="40" spans="4:17">
      <c r="F40" s="26"/>
      <c r="G40" s="15"/>
      <c r="H40" s="15"/>
      <c r="I40" s="15">
        <v>2</v>
      </c>
      <c r="J40" s="15">
        <v>4</v>
      </c>
      <c r="K40" s="15">
        <v>4</v>
      </c>
      <c r="L40" s="15">
        <v>2</v>
      </c>
      <c r="M40" s="15">
        <v>0</v>
      </c>
      <c r="N40" s="15">
        <f t="shared" si="2"/>
        <v>12</v>
      </c>
      <c r="O40" s="15"/>
      <c r="P40" s="15" t="s">
        <v>78</v>
      </c>
      <c r="Q40" s="27"/>
    </row>
    <row r="41" spans="4:17" ht="15.75" thickBot="1">
      <c r="F41" s="26"/>
      <c r="G41" s="15"/>
      <c r="H41" s="15"/>
      <c r="I41" s="15">
        <v>2</v>
      </c>
      <c r="J41" s="15">
        <v>6</v>
      </c>
      <c r="K41" s="15">
        <v>8</v>
      </c>
      <c r="L41" s="15">
        <v>6</v>
      </c>
      <c r="M41" s="15">
        <v>2</v>
      </c>
      <c r="N41" s="15">
        <f t="shared" si="2"/>
        <v>24</v>
      </c>
      <c r="O41" s="15"/>
      <c r="P41" s="15" t="s">
        <v>79</v>
      </c>
      <c r="Q41" s="27"/>
    </row>
    <row r="42" spans="4:17" ht="15.75" thickBot="1">
      <c r="F42" s="31"/>
      <c r="G42" s="32" t="s">
        <v>21</v>
      </c>
      <c r="H42" s="32">
        <f>SUM(H17:H41)</f>
        <v>1</v>
      </c>
      <c r="I42" s="32">
        <f t="shared" ref="I42:M42" si="3">SUM(I17:I41)</f>
        <v>87</v>
      </c>
      <c r="J42" s="32">
        <f t="shared" si="3"/>
        <v>178</v>
      </c>
      <c r="K42" s="32">
        <f t="shared" si="3"/>
        <v>216</v>
      </c>
      <c r="L42" s="32">
        <f t="shared" si="3"/>
        <v>127</v>
      </c>
      <c r="M42" s="32">
        <f t="shared" si="3"/>
        <v>47</v>
      </c>
      <c r="N42" s="32">
        <f>SUM(N17:N41)</f>
        <v>656</v>
      </c>
      <c r="O42" s="32"/>
      <c r="P42" s="32"/>
      <c r="Q42" s="33"/>
    </row>
    <row r="43" spans="4:17" ht="15.75" thickBot="1">
      <c r="D43" s="6">
        <v>46084</v>
      </c>
      <c r="E43" s="7"/>
      <c r="F43" s="16" t="s">
        <v>29</v>
      </c>
      <c r="G43" s="17" t="s">
        <v>30</v>
      </c>
      <c r="H43" s="17"/>
      <c r="I43" s="17">
        <v>4</v>
      </c>
      <c r="J43" s="17">
        <v>8</v>
      </c>
      <c r="K43" s="17">
        <v>8</v>
      </c>
      <c r="L43" s="17">
        <v>4</v>
      </c>
      <c r="M43" s="17">
        <v>0</v>
      </c>
      <c r="N43" s="17">
        <f t="shared" ref="N43:N67" si="4">SUM(H43:M43)</f>
        <v>24</v>
      </c>
      <c r="O43" s="17"/>
      <c r="P43" s="17" t="s">
        <v>15</v>
      </c>
      <c r="Q43" s="18"/>
    </row>
    <row r="44" spans="4:17">
      <c r="F44" s="38"/>
      <c r="G44" s="39"/>
      <c r="H44" s="39"/>
      <c r="I44" s="39">
        <v>1</v>
      </c>
      <c r="J44" s="39">
        <v>3</v>
      </c>
      <c r="K44" s="39">
        <v>4</v>
      </c>
      <c r="L44" s="39">
        <v>3</v>
      </c>
      <c r="M44" s="39">
        <v>1</v>
      </c>
      <c r="N44" s="39">
        <f t="shared" si="4"/>
        <v>12</v>
      </c>
      <c r="O44" s="39"/>
      <c r="P44" s="39" t="s">
        <v>18</v>
      </c>
      <c r="Q44" s="27"/>
    </row>
    <row r="45" spans="4:17">
      <c r="F45" s="26"/>
      <c r="G45" s="15"/>
      <c r="H45" s="15"/>
      <c r="I45" s="15">
        <v>0</v>
      </c>
      <c r="J45" s="15">
        <v>2</v>
      </c>
      <c r="K45" s="15">
        <v>3</v>
      </c>
      <c r="L45" s="15">
        <v>2</v>
      </c>
      <c r="M45" s="15">
        <v>2</v>
      </c>
      <c r="N45" s="15">
        <f t="shared" si="4"/>
        <v>9</v>
      </c>
      <c r="O45" s="15"/>
      <c r="P45" s="15" t="s">
        <v>20</v>
      </c>
      <c r="Q45" s="27"/>
    </row>
    <row r="46" spans="4:17">
      <c r="F46" s="38"/>
      <c r="G46" s="39"/>
      <c r="H46" s="39"/>
      <c r="I46" s="39">
        <v>2</v>
      </c>
      <c r="J46" s="39">
        <v>3</v>
      </c>
      <c r="K46" s="39">
        <v>3</v>
      </c>
      <c r="L46" s="39">
        <v>1</v>
      </c>
      <c r="M46" s="39">
        <v>0</v>
      </c>
      <c r="N46" s="39">
        <f t="shared" si="4"/>
        <v>9</v>
      </c>
      <c r="O46" s="39"/>
      <c r="P46" s="39" t="s">
        <v>58</v>
      </c>
      <c r="Q46" s="27"/>
    </row>
    <row r="47" spans="4:17">
      <c r="F47" s="26"/>
      <c r="G47" s="15"/>
      <c r="H47" s="15"/>
      <c r="I47" s="15">
        <v>1</v>
      </c>
      <c r="J47" s="15">
        <v>3</v>
      </c>
      <c r="K47" s="15">
        <v>4</v>
      </c>
      <c r="L47" s="15">
        <v>3</v>
      </c>
      <c r="M47" s="15">
        <v>1</v>
      </c>
      <c r="N47" s="15">
        <f t="shared" si="4"/>
        <v>12</v>
      </c>
      <c r="O47" s="15"/>
      <c r="P47" s="15" t="s">
        <v>59</v>
      </c>
      <c r="Q47" s="27"/>
    </row>
    <row r="48" spans="4:17">
      <c r="F48" s="26"/>
      <c r="G48" s="15"/>
      <c r="H48" s="15"/>
      <c r="I48" s="15">
        <v>2</v>
      </c>
      <c r="J48" s="15">
        <v>3</v>
      </c>
      <c r="K48" s="15">
        <v>3</v>
      </c>
      <c r="L48" s="15">
        <v>1</v>
      </c>
      <c r="M48" s="15">
        <v>0</v>
      </c>
      <c r="N48" s="15">
        <f t="shared" si="4"/>
        <v>9</v>
      </c>
      <c r="O48" s="15"/>
      <c r="P48" s="15" t="s">
        <v>60</v>
      </c>
      <c r="Q48" s="27"/>
    </row>
    <row r="49" spans="6:17">
      <c r="F49" s="26"/>
      <c r="G49" s="15"/>
      <c r="H49" s="15"/>
      <c r="I49" s="15">
        <v>2</v>
      </c>
      <c r="J49" s="15">
        <v>4</v>
      </c>
      <c r="K49" s="15">
        <v>4</v>
      </c>
      <c r="L49" s="15">
        <v>2</v>
      </c>
      <c r="M49" s="15">
        <v>0</v>
      </c>
      <c r="N49" s="15">
        <f t="shared" si="4"/>
        <v>12</v>
      </c>
      <c r="O49" s="15"/>
      <c r="P49" s="15" t="s">
        <v>61</v>
      </c>
      <c r="Q49" s="27"/>
    </row>
    <row r="50" spans="6:17">
      <c r="F50" s="26"/>
      <c r="G50" s="15"/>
      <c r="H50" s="15"/>
      <c r="I50" s="15">
        <v>8</v>
      </c>
      <c r="J50" s="15">
        <v>16</v>
      </c>
      <c r="K50" s="15">
        <v>24</v>
      </c>
      <c r="L50" s="15">
        <v>16</v>
      </c>
      <c r="M50" s="15">
        <v>8</v>
      </c>
      <c r="N50" s="15">
        <f t="shared" si="4"/>
        <v>72</v>
      </c>
      <c r="O50" s="15"/>
      <c r="P50" s="15" t="s">
        <v>62</v>
      </c>
      <c r="Q50" s="27"/>
    </row>
    <row r="51" spans="6:17">
      <c r="F51" s="26"/>
      <c r="G51" s="15"/>
      <c r="H51" s="15"/>
      <c r="I51" s="15">
        <v>4</v>
      </c>
      <c r="J51" s="15">
        <v>5</v>
      </c>
      <c r="K51" s="15">
        <v>0</v>
      </c>
      <c r="L51" s="15">
        <v>0</v>
      </c>
      <c r="M51" s="15">
        <v>0</v>
      </c>
      <c r="N51" s="15">
        <f t="shared" si="4"/>
        <v>9</v>
      </c>
      <c r="O51" s="15"/>
      <c r="P51" s="15" t="s">
        <v>63</v>
      </c>
      <c r="Q51" s="27"/>
    </row>
    <row r="52" spans="6:17">
      <c r="F52" s="26"/>
      <c r="G52" s="15"/>
      <c r="H52" s="15"/>
      <c r="I52" s="15">
        <v>0</v>
      </c>
      <c r="J52" s="15">
        <v>0</v>
      </c>
      <c r="K52" s="15">
        <v>8</v>
      </c>
      <c r="L52" s="15">
        <v>2</v>
      </c>
      <c r="M52" s="15">
        <v>0</v>
      </c>
      <c r="N52" s="15">
        <f t="shared" si="4"/>
        <v>10</v>
      </c>
      <c r="O52" s="15"/>
      <c r="P52" s="15" t="s">
        <v>64</v>
      </c>
      <c r="Q52" s="27"/>
    </row>
    <row r="53" spans="6:17">
      <c r="F53" s="26"/>
      <c r="G53" s="15"/>
      <c r="H53" s="15"/>
      <c r="I53" s="15">
        <v>20</v>
      </c>
      <c r="J53" s="15">
        <v>0</v>
      </c>
      <c r="K53" s="15">
        <v>0</v>
      </c>
      <c r="L53" s="15">
        <v>0</v>
      </c>
      <c r="M53" s="15">
        <v>0</v>
      </c>
      <c r="N53" s="15">
        <f t="shared" si="4"/>
        <v>20</v>
      </c>
      <c r="O53" s="15"/>
      <c r="P53" s="15" t="s">
        <v>65</v>
      </c>
      <c r="Q53" s="27"/>
    </row>
    <row r="54" spans="6:17">
      <c r="F54" s="26"/>
      <c r="G54" s="15"/>
      <c r="H54" s="15"/>
      <c r="I54" s="15">
        <v>0</v>
      </c>
      <c r="J54" s="15">
        <v>40</v>
      </c>
      <c r="K54" s="15">
        <v>0</v>
      </c>
      <c r="L54" s="15">
        <v>0</v>
      </c>
      <c r="M54" s="15">
        <v>0</v>
      </c>
      <c r="N54" s="15">
        <f t="shared" si="4"/>
        <v>40</v>
      </c>
      <c r="O54" s="15"/>
      <c r="P54" s="15" t="s">
        <v>66</v>
      </c>
      <c r="Q54" s="27"/>
    </row>
    <row r="55" spans="6:17">
      <c r="F55" s="26"/>
      <c r="G55" s="15"/>
      <c r="H55" s="15"/>
      <c r="I55" s="15">
        <v>0</v>
      </c>
      <c r="J55" s="15">
        <v>0</v>
      </c>
      <c r="K55" s="15">
        <v>40</v>
      </c>
      <c r="L55" s="15">
        <v>0</v>
      </c>
      <c r="M55" s="15">
        <v>0</v>
      </c>
      <c r="N55" s="15">
        <f t="shared" si="4"/>
        <v>40</v>
      </c>
      <c r="O55" s="15"/>
      <c r="P55" s="15" t="s">
        <v>67</v>
      </c>
      <c r="Q55" s="27"/>
    </row>
    <row r="56" spans="6:17">
      <c r="F56" s="26"/>
      <c r="G56" s="15"/>
      <c r="H56" s="15"/>
      <c r="I56" s="15">
        <v>0</v>
      </c>
      <c r="J56" s="15">
        <v>0</v>
      </c>
      <c r="K56" s="15">
        <v>0</v>
      </c>
      <c r="L56" s="15">
        <v>20</v>
      </c>
      <c r="M56" s="15">
        <v>0</v>
      </c>
      <c r="N56" s="15">
        <f t="shared" si="4"/>
        <v>20</v>
      </c>
      <c r="O56" s="15"/>
      <c r="P56" s="15" t="s">
        <v>68</v>
      </c>
      <c r="Q56" s="27"/>
    </row>
    <row r="57" spans="6:17">
      <c r="F57" s="26"/>
      <c r="G57" s="15"/>
      <c r="H57" s="15"/>
      <c r="I57" s="15">
        <v>0</v>
      </c>
      <c r="J57" s="15">
        <v>0</v>
      </c>
      <c r="K57" s="15">
        <v>0</v>
      </c>
      <c r="L57" s="15">
        <v>0</v>
      </c>
      <c r="M57" s="15">
        <v>10</v>
      </c>
      <c r="N57" s="15">
        <f t="shared" si="4"/>
        <v>10</v>
      </c>
      <c r="O57" s="15"/>
      <c r="P57" s="15" t="s">
        <v>69</v>
      </c>
      <c r="Q57" s="27"/>
    </row>
    <row r="58" spans="6:17">
      <c r="F58" s="26"/>
      <c r="G58" s="15"/>
      <c r="H58" s="15"/>
      <c r="I58" s="15">
        <v>2</v>
      </c>
      <c r="J58" s="15">
        <v>4</v>
      </c>
      <c r="K58" s="15">
        <v>4</v>
      </c>
      <c r="L58" s="15">
        <v>2</v>
      </c>
      <c r="M58" s="15">
        <v>0</v>
      </c>
      <c r="N58" s="15">
        <f t="shared" si="4"/>
        <v>12</v>
      </c>
      <c r="O58" s="15"/>
      <c r="P58" s="15" t="s">
        <v>70</v>
      </c>
      <c r="Q58" s="27"/>
    </row>
    <row r="59" spans="6:17">
      <c r="F59" s="26"/>
      <c r="G59" s="15"/>
      <c r="H59" s="15"/>
      <c r="I59" s="15">
        <v>2</v>
      </c>
      <c r="J59" s="15">
        <v>3</v>
      </c>
      <c r="K59" s="15">
        <v>3</v>
      </c>
      <c r="L59" s="15">
        <v>1</v>
      </c>
      <c r="M59" s="15">
        <v>0</v>
      </c>
      <c r="N59" s="15">
        <f t="shared" si="4"/>
        <v>9</v>
      </c>
      <c r="O59" s="15"/>
      <c r="P59" s="15" t="s">
        <v>71</v>
      </c>
      <c r="Q59" s="27"/>
    </row>
    <row r="60" spans="6:17">
      <c r="F60" s="26"/>
      <c r="G60" s="15"/>
      <c r="H60" s="15"/>
      <c r="I60" s="15">
        <v>1</v>
      </c>
      <c r="J60" s="15">
        <v>3</v>
      </c>
      <c r="K60" s="15">
        <v>4</v>
      </c>
      <c r="L60" s="15">
        <v>3</v>
      </c>
      <c r="M60" s="15">
        <v>1</v>
      </c>
      <c r="N60" s="15">
        <f t="shared" si="4"/>
        <v>12</v>
      </c>
      <c r="O60" s="15"/>
      <c r="P60" s="15" t="s">
        <v>72</v>
      </c>
      <c r="Q60" s="27"/>
    </row>
    <row r="61" spans="6:17">
      <c r="F61" s="26"/>
      <c r="G61" s="15"/>
      <c r="H61" s="15">
        <v>1</v>
      </c>
      <c r="I61" s="15">
        <v>2</v>
      </c>
      <c r="J61" s="15">
        <v>3</v>
      </c>
      <c r="K61" s="15">
        <v>2</v>
      </c>
      <c r="L61" s="15">
        <v>1</v>
      </c>
      <c r="M61" s="15">
        <v>0</v>
      </c>
      <c r="N61" s="15">
        <f t="shared" si="4"/>
        <v>9</v>
      </c>
      <c r="O61" s="15"/>
      <c r="P61" s="15" t="s">
        <v>73</v>
      </c>
      <c r="Q61" s="27"/>
    </row>
    <row r="62" spans="6:17">
      <c r="F62" s="26"/>
      <c r="G62" s="15"/>
      <c r="H62" s="15"/>
      <c r="I62" s="15">
        <v>4</v>
      </c>
      <c r="J62" s="15">
        <v>8</v>
      </c>
      <c r="K62" s="15">
        <v>8</v>
      </c>
      <c r="L62" s="15">
        <v>4</v>
      </c>
      <c r="M62" s="15">
        <v>0</v>
      </c>
      <c r="N62" s="15">
        <f t="shared" si="4"/>
        <v>24</v>
      </c>
      <c r="O62" s="15"/>
      <c r="P62" s="15" t="s">
        <v>74</v>
      </c>
      <c r="Q62" s="27"/>
    </row>
    <row r="63" spans="6:17">
      <c r="F63" s="26"/>
      <c r="G63" s="15"/>
      <c r="H63" s="15"/>
      <c r="I63" s="15">
        <v>2</v>
      </c>
      <c r="J63" s="15">
        <v>6</v>
      </c>
      <c r="K63" s="15">
        <v>8</v>
      </c>
      <c r="L63" s="15">
        <v>6</v>
      </c>
      <c r="M63" s="15">
        <v>2</v>
      </c>
      <c r="N63" s="15">
        <f t="shared" si="4"/>
        <v>24</v>
      </c>
      <c r="O63" s="15"/>
      <c r="P63" s="15" t="s">
        <v>75</v>
      </c>
      <c r="Q63" s="27"/>
    </row>
    <row r="64" spans="6:17">
      <c r="F64" s="26"/>
      <c r="G64" s="15"/>
      <c r="H64" s="15"/>
      <c r="I64" s="15">
        <v>15</v>
      </c>
      <c r="J64" s="15">
        <v>30</v>
      </c>
      <c r="K64" s="15">
        <v>45</v>
      </c>
      <c r="L64" s="15">
        <v>30</v>
      </c>
      <c r="M64" s="15">
        <v>15</v>
      </c>
      <c r="N64" s="15">
        <f t="shared" si="4"/>
        <v>135</v>
      </c>
      <c r="O64" s="15"/>
      <c r="P64" s="15" t="s">
        <v>76</v>
      </c>
      <c r="Q64" s="27"/>
    </row>
    <row r="65" spans="4:17">
      <c r="F65" s="26"/>
      <c r="G65" s="15"/>
      <c r="H65" s="15"/>
      <c r="I65" s="15">
        <v>4</v>
      </c>
      <c r="J65" s="15">
        <v>6</v>
      </c>
      <c r="K65" s="15">
        <v>6</v>
      </c>
      <c r="L65" s="15">
        <v>2</v>
      </c>
      <c r="M65" s="15">
        <v>0</v>
      </c>
      <c r="N65" s="15">
        <f t="shared" si="4"/>
        <v>18</v>
      </c>
      <c r="O65" s="15"/>
      <c r="P65" s="15" t="s">
        <v>77</v>
      </c>
      <c r="Q65" s="27"/>
    </row>
    <row r="66" spans="4:17">
      <c r="F66" s="26"/>
      <c r="G66" s="15"/>
      <c r="H66" s="15"/>
      <c r="I66" s="15">
        <v>2</v>
      </c>
      <c r="J66" s="15">
        <v>4</v>
      </c>
      <c r="K66" s="15">
        <v>4</v>
      </c>
      <c r="L66" s="15">
        <v>2</v>
      </c>
      <c r="M66" s="15">
        <v>0</v>
      </c>
      <c r="N66" s="15">
        <f t="shared" si="4"/>
        <v>12</v>
      </c>
      <c r="O66" s="15"/>
      <c r="P66" s="15" t="s">
        <v>78</v>
      </c>
      <c r="Q66" s="27"/>
    </row>
    <row r="67" spans="4:17" ht="15.75" thickBot="1">
      <c r="F67" s="26"/>
      <c r="G67" s="15"/>
      <c r="H67" s="15"/>
      <c r="I67" s="15">
        <v>2</v>
      </c>
      <c r="J67" s="15">
        <v>6</v>
      </c>
      <c r="K67" s="15">
        <v>8</v>
      </c>
      <c r="L67" s="15">
        <v>6</v>
      </c>
      <c r="M67" s="15">
        <v>2</v>
      </c>
      <c r="N67" s="15">
        <f t="shared" si="4"/>
        <v>24</v>
      </c>
      <c r="O67" s="15"/>
      <c r="P67" s="15" t="s">
        <v>79</v>
      </c>
      <c r="Q67" s="27"/>
    </row>
    <row r="68" spans="4:17" ht="15.75" thickBot="1">
      <c r="F68" s="31"/>
      <c r="G68" s="32" t="s">
        <v>21</v>
      </c>
      <c r="H68" s="32">
        <f>SUM(H43:H67)</f>
        <v>1</v>
      </c>
      <c r="I68" s="32">
        <f t="shared" ref="I68:M68" si="5">SUM(I43:I67)</f>
        <v>80</v>
      </c>
      <c r="J68" s="32">
        <f t="shared" si="5"/>
        <v>160</v>
      </c>
      <c r="K68" s="32">
        <f t="shared" si="5"/>
        <v>193</v>
      </c>
      <c r="L68" s="32">
        <f t="shared" si="5"/>
        <v>111</v>
      </c>
      <c r="M68" s="32">
        <f t="shared" si="5"/>
        <v>42</v>
      </c>
      <c r="N68" s="32">
        <f>SUM(N43:N67)</f>
        <v>587</v>
      </c>
      <c r="O68" s="32"/>
      <c r="P68" s="32"/>
      <c r="Q68" s="33"/>
    </row>
    <row r="69" spans="4:17" s="46" customFormat="1">
      <c r="D69" s="45"/>
      <c r="E69" s="45"/>
      <c r="F69" s="48"/>
      <c r="G69" s="48" t="s">
        <v>80</v>
      </c>
      <c r="H69" s="48"/>
      <c r="I69" s="48">
        <f>ABS(I18-I44)</f>
        <v>5</v>
      </c>
      <c r="J69" s="48">
        <f t="shared" ref="J69:N69" si="6">ABS(J18-J44)</f>
        <v>15</v>
      </c>
      <c r="K69" s="48">
        <f t="shared" si="6"/>
        <v>20</v>
      </c>
      <c r="L69" s="48">
        <f t="shared" si="6"/>
        <v>15</v>
      </c>
      <c r="M69" s="48">
        <f t="shared" si="6"/>
        <v>5</v>
      </c>
      <c r="N69" s="48">
        <f t="shared" si="6"/>
        <v>60</v>
      </c>
      <c r="O69" s="48"/>
      <c r="P69" s="48"/>
      <c r="Q69" s="48"/>
    </row>
    <row r="70" spans="4:17" s="46" customFormat="1">
      <c r="D70" s="45"/>
      <c r="E70" s="45"/>
      <c r="F70" s="48"/>
      <c r="G70" s="48" t="s">
        <v>81</v>
      </c>
      <c r="H70" s="48"/>
      <c r="I70" s="48">
        <f>ABS(I20-I46)</f>
        <v>2</v>
      </c>
      <c r="J70" s="48">
        <f t="shared" ref="J70:N70" si="7">ABS(J20-J46)</f>
        <v>3</v>
      </c>
      <c r="K70" s="48">
        <f t="shared" si="7"/>
        <v>3</v>
      </c>
      <c r="L70" s="48">
        <f t="shared" si="7"/>
        <v>1</v>
      </c>
      <c r="M70" s="48">
        <f t="shared" si="7"/>
        <v>0</v>
      </c>
      <c r="N70" s="48">
        <f t="shared" si="7"/>
        <v>9</v>
      </c>
      <c r="O70" s="48"/>
      <c r="P70" s="48"/>
      <c r="Q70" s="48"/>
    </row>
  </sheetData>
  <mergeCells count="9">
    <mergeCell ref="D43:E43"/>
    <mergeCell ref="D9:E9"/>
    <mergeCell ref="D10:E10"/>
    <mergeCell ref="D11:E11"/>
    <mergeCell ref="D16:E16"/>
    <mergeCell ref="D17:E17"/>
    <mergeCell ref="D4:E4"/>
    <mergeCell ref="D5:E5"/>
    <mergeCell ref="D6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AE106"/>
  <sheetViews>
    <sheetView topLeftCell="B1" zoomScale="85" zoomScaleNormal="85" workbookViewId="0">
      <selection activeCell="S42" sqref="S42"/>
    </sheetView>
  </sheetViews>
  <sheetFormatPr defaultRowHeight="15"/>
  <cols>
    <col min="3" max="3" width="10.42578125" bestFit="1" customWidth="1"/>
    <col min="5" max="5" width="15.7109375" bestFit="1" customWidth="1"/>
    <col min="6" max="6" width="42.42578125" bestFit="1" customWidth="1"/>
    <col min="7" max="7" width="4.5703125" customWidth="1"/>
    <col min="8" max="8" width="3" customWidth="1"/>
    <col min="9" max="10" width="4" customWidth="1"/>
    <col min="11" max="11" width="4.42578125" customWidth="1"/>
    <col min="12" max="12" width="6.140625" customWidth="1"/>
    <col min="13" max="13" width="7.42578125" customWidth="1"/>
    <col min="14" max="14" width="11.7109375" bestFit="1" customWidth="1"/>
    <col min="15" max="15" width="6.85546875" bestFit="1" customWidth="1"/>
    <col min="16" max="16" width="16.42578125" bestFit="1" customWidth="1"/>
    <col min="20" max="20" width="15.5703125" bestFit="1" customWidth="1"/>
    <col min="21" max="21" width="42.42578125" bestFit="1" customWidth="1"/>
    <col min="22" max="22" width="4.5703125" customWidth="1"/>
    <col min="23" max="23" width="3.140625" customWidth="1"/>
    <col min="24" max="25" width="4.140625" customWidth="1"/>
    <col min="26" max="26" width="4.42578125" customWidth="1"/>
    <col min="27" max="27" width="6.140625" customWidth="1"/>
    <col min="28" max="28" width="7.42578125" customWidth="1"/>
    <col min="29" max="29" width="11.7109375" bestFit="1" customWidth="1"/>
    <col min="30" max="30" width="7.140625" customWidth="1"/>
    <col min="31" max="31" width="6.7109375" customWidth="1"/>
  </cols>
  <sheetData>
    <row r="4" spans="3:16" hidden="1">
      <c r="C4" t="s">
        <v>82</v>
      </c>
    </row>
    <row r="5" spans="3:16" ht="19.5" hidden="1" thickBot="1">
      <c r="C5" s="51">
        <v>46084</v>
      </c>
      <c r="E5" s="43" t="s">
        <v>1</v>
      </c>
      <c r="F5" s="4" t="s">
        <v>2</v>
      </c>
      <c r="G5" s="4" t="s">
        <v>3</v>
      </c>
      <c r="H5" s="4" t="s">
        <v>4</v>
      </c>
      <c r="I5" s="4" t="s">
        <v>5</v>
      </c>
      <c r="J5" s="4" t="s">
        <v>6</v>
      </c>
      <c r="K5" s="4" t="s">
        <v>7</v>
      </c>
      <c r="L5" s="4" t="s">
        <v>8</v>
      </c>
      <c r="M5" s="4" t="s">
        <v>9</v>
      </c>
      <c r="N5" s="4" t="s">
        <v>10</v>
      </c>
      <c r="O5" s="4" t="s">
        <v>11</v>
      </c>
      <c r="P5" s="5" t="s">
        <v>83</v>
      </c>
    </row>
    <row r="6" spans="3:16" hidden="1">
      <c r="E6" s="52" t="s">
        <v>13</v>
      </c>
      <c r="F6" s="53" t="s">
        <v>84</v>
      </c>
      <c r="G6" s="54"/>
      <c r="H6" s="54">
        <v>6</v>
      </c>
      <c r="I6" s="54">
        <v>12</v>
      </c>
      <c r="J6" s="54">
        <v>12</v>
      </c>
      <c r="K6" s="54">
        <v>6</v>
      </c>
      <c r="L6" s="54"/>
      <c r="M6" s="54">
        <f>SUM(G6:L6)</f>
        <v>36</v>
      </c>
      <c r="N6" s="54"/>
      <c r="O6" s="55"/>
      <c r="P6" s="56"/>
    </row>
    <row r="7" spans="3:16" ht="15.75" hidden="1" thickBot="1">
      <c r="E7" s="57"/>
      <c r="F7" s="58" t="s">
        <v>85</v>
      </c>
      <c r="G7" s="59"/>
      <c r="H7" s="60">
        <v>7</v>
      </c>
      <c r="I7" s="59">
        <v>12</v>
      </c>
      <c r="J7" s="59">
        <v>12</v>
      </c>
      <c r="K7" s="60">
        <v>7</v>
      </c>
      <c r="L7" s="59"/>
      <c r="M7" s="59">
        <f>SUM(G7:L7)</f>
        <v>38</v>
      </c>
      <c r="N7" s="61">
        <f>M7-M6</f>
        <v>2</v>
      </c>
      <c r="O7" s="62"/>
      <c r="P7" s="63"/>
    </row>
    <row r="8" spans="3:16" hidden="1">
      <c r="E8" s="52" t="s">
        <v>16</v>
      </c>
      <c r="F8" s="53" t="s">
        <v>86</v>
      </c>
      <c r="G8" s="54"/>
      <c r="H8" s="54">
        <v>14</v>
      </c>
      <c r="I8" s="54">
        <v>28</v>
      </c>
      <c r="J8" s="54">
        <v>32</v>
      </c>
      <c r="K8" s="54">
        <v>18</v>
      </c>
      <c r="L8" s="54">
        <v>4</v>
      </c>
      <c r="M8" s="54">
        <f>SUM(G8:L8)</f>
        <v>96</v>
      </c>
      <c r="N8" s="54"/>
      <c r="O8" s="64" t="s">
        <v>18</v>
      </c>
      <c r="P8" s="65">
        <v>2</v>
      </c>
    </row>
    <row r="9" spans="3:16" hidden="1">
      <c r="E9" s="66"/>
      <c r="F9" s="67" t="s">
        <v>87</v>
      </c>
      <c r="G9" s="68"/>
      <c r="H9" s="68">
        <v>13</v>
      </c>
      <c r="I9" s="68">
        <v>27</v>
      </c>
      <c r="J9" s="68">
        <v>30</v>
      </c>
      <c r="K9" s="68">
        <v>16</v>
      </c>
      <c r="L9" s="68">
        <v>4</v>
      </c>
      <c r="M9" s="68">
        <f t="shared" ref="M9:M20" si="0">SUM(G9:L9)</f>
        <v>90</v>
      </c>
      <c r="N9" s="69">
        <f>M9-M8</f>
        <v>-6</v>
      </c>
      <c r="O9" s="70"/>
      <c r="P9" s="71"/>
    </row>
    <row r="10" spans="3:16" ht="15.75" hidden="1" thickBot="1">
      <c r="E10" s="57"/>
      <c r="F10" s="72" t="s">
        <v>88</v>
      </c>
      <c r="G10" s="59"/>
      <c r="H10" s="73">
        <f>H8-H9</f>
        <v>1</v>
      </c>
      <c r="I10" s="73">
        <f t="shared" ref="I10:K10" si="1">I8-I9</f>
        <v>1</v>
      </c>
      <c r="J10" s="73">
        <f t="shared" si="1"/>
        <v>2</v>
      </c>
      <c r="K10" s="73">
        <f t="shared" si="1"/>
        <v>2</v>
      </c>
      <c r="L10" s="74"/>
      <c r="M10" s="59"/>
      <c r="N10" s="59"/>
      <c r="O10" s="75"/>
      <c r="P10" s="76"/>
    </row>
    <row r="11" spans="3:16" hidden="1">
      <c r="E11" s="52" t="s">
        <v>22</v>
      </c>
      <c r="F11" s="53" t="s">
        <v>89</v>
      </c>
      <c r="G11" s="54"/>
      <c r="H11" s="54">
        <v>22</v>
      </c>
      <c r="I11" s="77">
        <v>44</v>
      </c>
      <c r="J11" s="77">
        <v>44</v>
      </c>
      <c r="K11" s="54">
        <v>22</v>
      </c>
      <c r="L11" s="54"/>
      <c r="M11" s="54">
        <f>SUM(G11:L11)</f>
        <v>132</v>
      </c>
      <c r="N11" s="54"/>
      <c r="O11" s="64" t="s">
        <v>24</v>
      </c>
      <c r="P11" s="65">
        <v>1</v>
      </c>
    </row>
    <row r="12" spans="3:16" hidden="1">
      <c r="E12" s="66"/>
      <c r="F12" s="67" t="s">
        <v>90</v>
      </c>
      <c r="G12" s="68"/>
      <c r="H12" s="68">
        <v>21</v>
      </c>
      <c r="I12" s="68">
        <v>42</v>
      </c>
      <c r="J12" s="68">
        <v>42</v>
      </c>
      <c r="K12" s="68">
        <v>21</v>
      </c>
      <c r="L12" s="68"/>
      <c r="M12" s="68">
        <f t="shared" si="0"/>
        <v>126</v>
      </c>
      <c r="N12" s="69">
        <f>M12-M11</f>
        <v>-6</v>
      </c>
      <c r="O12" s="70"/>
      <c r="P12" s="71"/>
    </row>
    <row r="13" spans="3:16" ht="15.75" hidden="1" thickBot="1">
      <c r="E13" s="57"/>
      <c r="F13" s="72" t="s">
        <v>91</v>
      </c>
      <c r="G13" s="59"/>
      <c r="H13" s="73">
        <f>H11-H12</f>
        <v>1</v>
      </c>
      <c r="I13" s="73">
        <f t="shared" ref="I13:K13" si="2">I11-I12</f>
        <v>2</v>
      </c>
      <c r="J13" s="73">
        <f t="shared" si="2"/>
        <v>2</v>
      </c>
      <c r="K13" s="73">
        <f t="shared" si="2"/>
        <v>1</v>
      </c>
      <c r="L13" s="59"/>
      <c r="M13" s="59"/>
      <c r="N13" s="59"/>
      <c r="O13" s="75"/>
      <c r="P13" s="76"/>
    </row>
    <row r="14" spans="3:16" hidden="1">
      <c r="E14" s="52" t="s">
        <v>25</v>
      </c>
      <c r="F14" s="53" t="s">
        <v>92</v>
      </c>
      <c r="G14" s="54"/>
      <c r="H14" s="54">
        <v>2</v>
      </c>
      <c r="I14" s="54">
        <v>3</v>
      </c>
      <c r="J14" s="54">
        <v>3</v>
      </c>
      <c r="K14" s="54">
        <v>1</v>
      </c>
      <c r="L14" s="54"/>
      <c r="M14" s="54">
        <f>SUM(G14:L14)</f>
        <v>9</v>
      </c>
      <c r="N14" s="54"/>
      <c r="O14" s="55"/>
      <c r="P14" s="56"/>
    </row>
    <row r="15" spans="3:16" ht="15.75" hidden="1" thickBot="1">
      <c r="E15" s="57"/>
      <c r="F15" s="58" t="s">
        <v>93</v>
      </c>
      <c r="G15" s="59"/>
      <c r="H15" s="60">
        <v>3</v>
      </c>
      <c r="I15" s="59">
        <v>3</v>
      </c>
      <c r="J15" s="59">
        <v>3</v>
      </c>
      <c r="K15" s="59">
        <v>1</v>
      </c>
      <c r="L15" s="59"/>
      <c r="M15" s="59">
        <f t="shared" si="0"/>
        <v>10</v>
      </c>
      <c r="N15" s="61">
        <f>M15-M14</f>
        <v>1</v>
      </c>
      <c r="O15" s="62"/>
      <c r="P15" s="63"/>
    </row>
    <row r="16" spans="3:16" hidden="1">
      <c r="E16" s="52" t="s">
        <v>27</v>
      </c>
      <c r="F16" s="78" t="s">
        <v>94</v>
      </c>
      <c r="G16" s="54"/>
      <c r="H16" s="54">
        <v>22</v>
      </c>
      <c r="I16" s="54">
        <v>51</v>
      </c>
      <c r="J16" s="54">
        <v>73</v>
      </c>
      <c r="K16" s="54">
        <v>51</v>
      </c>
      <c r="L16" s="54">
        <v>22</v>
      </c>
      <c r="M16" s="54">
        <f t="shared" si="0"/>
        <v>219</v>
      </c>
      <c r="N16" s="54"/>
      <c r="O16" s="64" t="s">
        <v>24</v>
      </c>
      <c r="P16" s="79">
        <v>2</v>
      </c>
    </row>
    <row r="17" spans="5:16" hidden="1">
      <c r="E17" s="66"/>
      <c r="F17" s="67" t="s">
        <v>95</v>
      </c>
      <c r="G17" s="68"/>
      <c r="H17" s="68">
        <v>21</v>
      </c>
      <c r="I17" s="68">
        <v>48</v>
      </c>
      <c r="J17" s="68">
        <v>69</v>
      </c>
      <c r="K17" s="68">
        <v>48</v>
      </c>
      <c r="L17" s="68">
        <v>20</v>
      </c>
      <c r="M17" s="68">
        <f t="shared" si="0"/>
        <v>206</v>
      </c>
      <c r="N17" s="69">
        <f>M17-M16</f>
        <v>-13</v>
      </c>
      <c r="O17" s="70"/>
      <c r="P17" s="80"/>
    </row>
    <row r="18" spans="5:16" ht="15.75" hidden="1" thickBot="1">
      <c r="E18" s="57"/>
      <c r="F18" s="72" t="s">
        <v>88</v>
      </c>
      <c r="G18" s="59"/>
      <c r="H18" s="73">
        <f>H16-H17</f>
        <v>1</v>
      </c>
      <c r="I18" s="73">
        <f t="shared" ref="I18:L18" si="3">I16-I17</f>
        <v>3</v>
      </c>
      <c r="J18" s="73">
        <f t="shared" si="3"/>
        <v>4</v>
      </c>
      <c r="K18" s="73">
        <f t="shared" si="3"/>
        <v>3</v>
      </c>
      <c r="L18" s="73">
        <f t="shared" si="3"/>
        <v>2</v>
      </c>
      <c r="M18" s="59"/>
      <c r="N18" s="59"/>
      <c r="O18" s="75"/>
      <c r="P18" s="81"/>
    </row>
    <row r="19" spans="5:16" ht="18.75" hidden="1">
      <c r="E19" s="52" t="s">
        <v>29</v>
      </c>
      <c r="F19" s="78" t="s">
        <v>96</v>
      </c>
      <c r="G19" s="54">
        <v>1</v>
      </c>
      <c r="H19" s="54">
        <v>111</v>
      </c>
      <c r="I19" s="54">
        <v>247</v>
      </c>
      <c r="J19" s="54">
        <v>303</v>
      </c>
      <c r="K19" s="54">
        <v>193</v>
      </c>
      <c r="L19" s="54">
        <v>57</v>
      </c>
      <c r="M19" s="54">
        <f>SUM(G19:L19)</f>
        <v>912</v>
      </c>
      <c r="N19" s="54"/>
      <c r="O19" s="82" t="s">
        <v>19</v>
      </c>
      <c r="P19" s="83">
        <v>6</v>
      </c>
    </row>
    <row r="20" spans="5:16" ht="18.75" hidden="1">
      <c r="E20" s="66"/>
      <c r="F20" s="67" t="s">
        <v>97</v>
      </c>
      <c r="G20" s="68">
        <v>3</v>
      </c>
      <c r="H20" s="68">
        <v>109</v>
      </c>
      <c r="I20" s="68">
        <v>220</v>
      </c>
      <c r="J20" s="68">
        <v>282</v>
      </c>
      <c r="K20" s="68">
        <v>173</v>
      </c>
      <c r="L20" s="68">
        <v>53</v>
      </c>
      <c r="M20" s="68">
        <f t="shared" si="0"/>
        <v>840</v>
      </c>
      <c r="N20" s="69">
        <f>M20-M19</f>
        <v>-72</v>
      </c>
      <c r="O20" s="84" t="s">
        <v>31</v>
      </c>
      <c r="P20" s="85">
        <v>3</v>
      </c>
    </row>
    <row r="21" spans="5:16" ht="15.75" hidden="1" thickBot="1">
      <c r="E21" s="57"/>
      <c r="F21" s="72" t="s">
        <v>98</v>
      </c>
      <c r="G21" s="59"/>
      <c r="H21" s="73">
        <f>H19-H20</f>
        <v>2</v>
      </c>
      <c r="I21" s="73">
        <f t="shared" ref="I21:L21" si="4">I19-I20</f>
        <v>27</v>
      </c>
      <c r="J21" s="73">
        <f t="shared" si="4"/>
        <v>21</v>
      </c>
      <c r="K21" s="73">
        <f t="shared" si="4"/>
        <v>20</v>
      </c>
      <c r="L21" s="73">
        <f t="shared" si="4"/>
        <v>4</v>
      </c>
      <c r="M21" s="59"/>
      <c r="N21" s="59"/>
      <c r="O21" s="62"/>
      <c r="P21" s="63"/>
    </row>
    <row r="22" spans="5:16" hidden="1"/>
    <row r="23" spans="5:16" hidden="1"/>
    <row r="24" spans="5:16" ht="19.5" hidden="1" thickBot="1">
      <c r="E24" s="43" t="s">
        <v>1</v>
      </c>
      <c r="F24" s="4" t="s">
        <v>57</v>
      </c>
      <c r="G24" s="4" t="s">
        <v>3</v>
      </c>
      <c r="H24" s="4" t="s">
        <v>4</v>
      </c>
      <c r="I24" s="4" t="s">
        <v>5</v>
      </c>
      <c r="J24" s="4" t="s">
        <v>6</v>
      </c>
      <c r="K24" s="4" t="s">
        <v>7</v>
      </c>
      <c r="L24" s="4" t="s">
        <v>8</v>
      </c>
      <c r="M24" s="4" t="s">
        <v>9</v>
      </c>
      <c r="N24" s="4" t="s">
        <v>10</v>
      </c>
      <c r="O24" s="4" t="s">
        <v>11</v>
      </c>
      <c r="P24" s="5" t="s">
        <v>83</v>
      </c>
    </row>
    <row r="25" spans="5:16" hidden="1">
      <c r="E25" s="52" t="s">
        <v>16</v>
      </c>
      <c r="F25" s="53" t="s">
        <v>99</v>
      </c>
      <c r="G25" s="54"/>
      <c r="H25" s="54">
        <v>2</v>
      </c>
      <c r="I25" s="54">
        <v>3</v>
      </c>
      <c r="J25" s="54">
        <v>3</v>
      </c>
      <c r="K25" s="54">
        <v>1</v>
      </c>
      <c r="L25" s="54"/>
      <c r="M25" s="54">
        <f>SUM(G25:L25)</f>
        <v>9</v>
      </c>
      <c r="N25" s="54"/>
      <c r="O25" s="55"/>
      <c r="P25" s="56"/>
    </row>
    <row r="26" spans="5:16" ht="15.75" hidden="1" thickBot="1">
      <c r="E26" s="57"/>
      <c r="F26" s="58" t="s">
        <v>100</v>
      </c>
      <c r="G26" s="59"/>
      <c r="H26" s="59">
        <v>3</v>
      </c>
      <c r="I26" s="59">
        <v>4</v>
      </c>
      <c r="J26" s="59">
        <v>4</v>
      </c>
      <c r="K26" s="59">
        <v>2</v>
      </c>
      <c r="L26" s="59"/>
      <c r="M26" s="59">
        <f>SUM(G26:L26)</f>
        <v>13</v>
      </c>
      <c r="N26" s="61">
        <f>M26-M25</f>
        <v>4</v>
      </c>
      <c r="O26" s="62"/>
      <c r="P26" s="63"/>
    </row>
    <row r="27" spans="5:16" hidden="1">
      <c r="E27" s="52" t="s">
        <v>22</v>
      </c>
      <c r="F27" s="53" t="s">
        <v>101</v>
      </c>
      <c r="G27" s="54"/>
      <c r="H27" s="54">
        <v>22</v>
      </c>
      <c r="I27" s="54">
        <v>44</v>
      </c>
      <c r="J27" s="54">
        <v>44</v>
      </c>
      <c r="K27" s="54">
        <v>22</v>
      </c>
      <c r="L27" s="54"/>
      <c r="M27" s="54">
        <f>SUM(G27:L27)</f>
        <v>132</v>
      </c>
      <c r="N27" s="54"/>
      <c r="O27" s="64" t="s">
        <v>15</v>
      </c>
      <c r="P27" s="65">
        <v>3</v>
      </c>
    </row>
    <row r="28" spans="5:16" hidden="1">
      <c r="E28" s="66"/>
      <c r="F28" s="67" t="s">
        <v>102</v>
      </c>
      <c r="G28" s="68"/>
      <c r="H28" s="68">
        <v>17</v>
      </c>
      <c r="I28" s="68">
        <v>37</v>
      </c>
      <c r="J28" s="68">
        <v>46</v>
      </c>
      <c r="K28" s="68">
        <v>23</v>
      </c>
      <c r="L28" s="68"/>
      <c r="M28" s="68">
        <f t="shared" ref="M28" si="5">SUM(G28:L28)</f>
        <v>123</v>
      </c>
      <c r="N28" s="69">
        <f>M28-M27</f>
        <v>-9</v>
      </c>
      <c r="O28" s="70"/>
      <c r="P28" s="71"/>
    </row>
    <row r="29" spans="5:16" ht="15.75" hidden="1" thickBot="1">
      <c r="E29" s="57"/>
      <c r="F29" s="72" t="s">
        <v>88</v>
      </c>
      <c r="G29" s="59"/>
      <c r="H29" s="73">
        <f>H27-H28</f>
        <v>5</v>
      </c>
      <c r="I29" s="73">
        <f t="shared" ref="I29" si="6">I27-I28</f>
        <v>7</v>
      </c>
      <c r="J29" s="74"/>
      <c r="K29" s="74"/>
      <c r="L29" s="74"/>
      <c r="M29" s="59"/>
      <c r="N29" s="59"/>
      <c r="O29" s="75"/>
      <c r="P29" s="76"/>
    </row>
    <row r="30" spans="5:16" ht="18.75" hidden="1">
      <c r="E30" s="52" t="s">
        <v>29</v>
      </c>
      <c r="F30" s="53" t="s">
        <v>103</v>
      </c>
      <c r="G30" s="54">
        <v>1</v>
      </c>
      <c r="H30" s="54">
        <v>88</v>
      </c>
      <c r="I30" s="77">
        <v>181</v>
      </c>
      <c r="J30" s="77">
        <v>220</v>
      </c>
      <c r="K30" s="54">
        <v>130</v>
      </c>
      <c r="L30" s="54">
        <v>48</v>
      </c>
      <c r="M30" s="54">
        <f>SUM(G30:L30)</f>
        <v>668</v>
      </c>
      <c r="N30" s="54"/>
      <c r="O30" s="86" t="s">
        <v>18</v>
      </c>
      <c r="P30" s="87">
        <v>6</v>
      </c>
    </row>
    <row r="31" spans="5:16" ht="18.75" hidden="1">
      <c r="E31" s="66"/>
      <c r="F31" s="67" t="s">
        <v>104</v>
      </c>
      <c r="G31" s="68">
        <v>3</v>
      </c>
      <c r="H31" s="68">
        <v>84</v>
      </c>
      <c r="I31" s="68">
        <v>160</v>
      </c>
      <c r="J31" s="68">
        <v>226</v>
      </c>
      <c r="K31" s="68">
        <v>113</v>
      </c>
      <c r="L31" s="68">
        <v>50</v>
      </c>
      <c r="M31" s="68">
        <f t="shared" ref="M31" si="7">SUM(G31:L31)</f>
        <v>636</v>
      </c>
      <c r="N31" s="69">
        <f>M31-M30</f>
        <v>-32</v>
      </c>
      <c r="O31" s="88" t="s">
        <v>58</v>
      </c>
      <c r="P31" s="89">
        <v>1</v>
      </c>
    </row>
    <row r="32" spans="5:16" ht="19.5" hidden="1" thickBot="1">
      <c r="E32" s="57"/>
      <c r="F32" s="72" t="s">
        <v>91</v>
      </c>
      <c r="G32" s="59"/>
      <c r="H32" s="73">
        <f>H30-H31</f>
        <v>4</v>
      </c>
      <c r="I32" s="73">
        <f>I30-I31</f>
        <v>21</v>
      </c>
      <c r="J32" s="74"/>
      <c r="K32" s="73">
        <f t="shared" ref="K32" si="8">K30-K31</f>
        <v>17</v>
      </c>
      <c r="L32" s="74"/>
      <c r="M32" s="59"/>
      <c r="N32" s="59"/>
      <c r="O32" s="90"/>
      <c r="P32" s="91"/>
    </row>
    <row r="33" spans="3:31" hidden="1"/>
    <row r="34" spans="3:31" s="92" customFormat="1" ht="15.75" hidden="1" thickBot="1"/>
    <row r="35" spans="3:31" ht="15.75" thickBot="1"/>
    <row r="36" spans="3:31" ht="19.5" thickBot="1">
      <c r="C36" s="1" t="s">
        <v>0</v>
      </c>
      <c r="D36" s="2"/>
      <c r="E36" s="43" t="s">
        <v>1</v>
      </c>
      <c r="F36" s="4" t="s">
        <v>2</v>
      </c>
      <c r="G36" s="4" t="s">
        <v>3</v>
      </c>
      <c r="H36" s="4" t="s">
        <v>4</v>
      </c>
      <c r="I36" s="4" t="s">
        <v>5</v>
      </c>
      <c r="J36" s="4" t="s">
        <v>6</v>
      </c>
      <c r="K36" s="4" t="s">
        <v>7</v>
      </c>
      <c r="L36" s="4" t="s">
        <v>8</v>
      </c>
      <c r="M36" s="4" t="s">
        <v>9</v>
      </c>
      <c r="N36" s="4" t="s">
        <v>10</v>
      </c>
      <c r="O36" s="4" t="s">
        <v>11</v>
      </c>
      <c r="P36" s="5" t="s">
        <v>12</v>
      </c>
      <c r="R36" s="1" t="s">
        <v>0</v>
      </c>
      <c r="S36" s="2"/>
      <c r="T36" s="3" t="s">
        <v>1</v>
      </c>
      <c r="U36" s="4" t="s">
        <v>2</v>
      </c>
      <c r="V36" s="4" t="s">
        <v>3</v>
      </c>
      <c r="W36" s="4" t="s">
        <v>4</v>
      </c>
      <c r="X36" s="4" t="s">
        <v>5</v>
      </c>
      <c r="Y36" s="4" t="s">
        <v>6</v>
      </c>
      <c r="Z36" s="4" t="s">
        <v>7</v>
      </c>
      <c r="AA36" s="4" t="s">
        <v>8</v>
      </c>
      <c r="AB36" s="4" t="s">
        <v>9</v>
      </c>
      <c r="AC36" s="4" t="s">
        <v>10</v>
      </c>
      <c r="AD36" s="4" t="s">
        <v>11</v>
      </c>
      <c r="AE36" s="5" t="s">
        <v>12</v>
      </c>
    </row>
    <row r="37" spans="3:31" ht="15.75" thickBot="1">
      <c r="C37" s="6">
        <v>46088</v>
      </c>
      <c r="D37" s="7"/>
      <c r="E37" s="11" t="s">
        <v>13</v>
      </c>
      <c r="F37" s="9" t="s">
        <v>14</v>
      </c>
      <c r="G37" s="9"/>
      <c r="H37" s="9">
        <v>6</v>
      </c>
      <c r="I37" s="9">
        <v>12</v>
      </c>
      <c r="J37" s="9">
        <v>12</v>
      </c>
      <c r="K37" s="9">
        <v>6</v>
      </c>
      <c r="L37" s="9"/>
      <c r="M37" s="9">
        <f>SUM(G37:L37)</f>
        <v>36</v>
      </c>
      <c r="N37" s="9"/>
      <c r="O37" s="9" t="s">
        <v>15</v>
      </c>
      <c r="P37" s="10"/>
      <c r="R37" s="6">
        <v>46084</v>
      </c>
      <c r="S37" s="7"/>
      <c r="T37" s="8" t="s">
        <v>13</v>
      </c>
      <c r="U37" s="9" t="s">
        <v>14</v>
      </c>
      <c r="V37" s="9"/>
      <c r="W37" s="9">
        <v>6</v>
      </c>
      <c r="X37" s="9">
        <v>12</v>
      </c>
      <c r="Y37" s="9">
        <v>12</v>
      </c>
      <c r="Z37" s="9">
        <v>6</v>
      </c>
      <c r="AA37" s="9"/>
      <c r="AB37" s="9">
        <f>SUM(V37:AA37)</f>
        <v>36</v>
      </c>
      <c r="AC37" s="9"/>
      <c r="AD37" s="9" t="s">
        <v>15</v>
      </c>
      <c r="AE37" s="10"/>
    </row>
    <row r="38" spans="3:31">
      <c r="E38" s="16" t="s">
        <v>16</v>
      </c>
      <c r="F38" s="17" t="s">
        <v>17</v>
      </c>
      <c r="G38" s="17"/>
      <c r="H38" s="17">
        <v>4</v>
      </c>
      <c r="I38" s="17">
        <v>8</v>
      </c>
      <c r="J38" s="17">
        <v>8</v>
      </c>
      <c r="K38" s="17">
        <v>4</v>
      </c>
      <c r="L38" s="17"/>
      <c r="M38" s="17">
        <f t="shared" ref="M38:M74" si="9">SUM(G38:L38)</f>
        <v>24</v>
      </c>
      <c r="N38" s="17"/>
      <c r="O38" s="17" t="s">
        <v>15</v>
      </c>
      <c r="P38" s="18"/>
      <c r="T38" s="16" t="s">
        <v>16</v>
      </c>
      <c r="U38" s="17" t="s">
        <v>17</v>
      </c>
      <c r="V38" s="17"/>
      <c r="W38" s="17">
        <v>4</v>
      </c>
      <c r="X38" s="17">
        <v>8</v>
      </c>
      <c r="Y38" s="17">
        <v>8</v>
      </c>
      <c r="Z38" s="17">
        <v>4</v>
      </c>
      <c r="AA38" s="17"/>
      <c r="AB38" s="17">
        <f t="shared" ref="AB38:AB41" si="10">SUM(V38:AA38)</f>
        <v>24</v>
      </c>
      <c r="AC38" s="17"/>
      <c r="AD38" s="17" t="s">
        <v>15</v>
      </c>
      <c r="AE38" s="18"/>
    </row>
    <row r="39" spans="3:31">
      <c r="E39" s="26"/>
      <c r="F39" s="15"/>
      <c r="G39" s="15"/>
      <c r="H39" s="15">
        <v>2</v>
      </c>
      <c r="I39" s="15">
        <v>3</v>
      </c>
      <c r="J39" s="15">
        <v>3</v>
      </c>
      <c r="K39" s="15">
        <v>1</v>
      </c>
      <c r="L39" s="15"/>
      <c r="M39" s="15">
        <f t="shared" si="9"/>
        <v>9</v>
      </c>
      <c r="N39" s="15"/>
      <c r="O39" s="15" t="s">
        <v>18</v>
      </c>
      <c r="P39" s="27"/>
      <c r="T39" s="26"/>
      <c r="U39" s="15"/>
      <c r="V39" s="15"/>
      <c r="W39" s="15">
        <v>2</v>
      </c>
      <c r="X39" s="15">
        <v>3</v>
      </c>
      <c r="Y39" s="15">
        <v>3</v>
      </c>
      <c r="Z39" s="15">
        <v>1</v>
      </c>
      <c r="AA39" s="15"/>
      <c r="AB39" s="15">
        <f t="shared" si="10"/>
        <v>9</v>
      </c>
      <c r="AC39" s="15"/>
      <c r="AD39" s="15" t="s">
        <v>18</v>
      </c>
      <c r="AE39" s="27"/>
    </row>
    <row r="40" spans="3:31">
      <c r="E40" s="26"/>
      <c r="F40" s="15"/>
      <c r="G40" s="15"/>
      <c r="H40" s="15">
        <v>3</v>
      </c>
      <c r="I40" s="15">
        <v>9</v>
      </c>
      <c r="J40" s="15">
        <v>12</v>
      </c>
      <c r="K40" s="15">
        <v>9</v>
      </c>
      <c r="L40" s="15">
        <v>3</v>
      </c>
      <c r="M40" s="15">
        <f t="shared" si="9"/>
        <v>36</v>
      </c>
      <c r="N40" s="15"/>
      <c r="O40" s="15" t="s">
        <v>19</v>
      </c>
      <c r="P40" s="27"/>
      <c r="T40" s="26"/>
      <c r="U40" s="15"/>
      <c r="V40" s="15"/>
      <c r="W40" s="15">
        <v>3</v>
      </c>
      <c r="X40" s="15">
        <v>9</v>
      </c>
      <c r="Y40" s="15">
        <v>12</v>
      </c>
      <c r="Z40" s="15">
        <v>9</v>
      </c>
      <c r="AA40" s="15">
        <v>3</v>
      </c>
      <c r="AB40" s="15">
        <f t="shared" si="10"/>
        <v>36</v>
      </c>
      <c r="AC40" s="15"/>
      <c r="AD40" s="15" t="s">
        <v>19</v>
      </c>
      <c r="AE40" s="27"/>
    </row>
    <row r="41" spans="3:31" ht="15.75" thickBot="1">
      <c r="E41" s="28"/>
      <c r="F41" s="29"/>
      <c r="G41" s="29"/>
      <c r="H41" s="29">
        <v>1</v>
      </c>
      <c r="I41" s="29">
        <v>2</v>
      </c>
      <c r="J41" s="29">
        <v>3</v>
      </c>
      <c r="K41" s="29">
        <v>2</v>
      </c>
      <c r="L41" s="29">
        <v>1</v>
      </c>
      <c r="M41" s="29">
        <f t="shared" si="9"/>
        <v>9</v>
      </c>
      <c r="N41" s="29"/>
      <c r="O41" s="29" t="s">
        <v>20</v>
      </c>
      <c r="P41" s="30"/>
      <c r="T41" s="28"/>
      <c r="U41" s="29"/>
      <c r="V41" s="29"/>
      <c r="W41" s="29">
        <v>1</v>
      </c>
      <c r="X41" s="29">
        <v>2</v>
      </c>
      <c r="Y41" s="29">
        <v>3</v>
      </c>
      <c r="Z41" s="29">
        <v>2</v>
      </c>
      <c r="AA41" s="29">
        <v>1</v>
      </c>
      <c r="AB41" s="29">
        <f t="shared" si="10"/>
        <v>9</v>
      </c>
      <c r="AC41" s="29"/>
      <c r="AD41" s="29" t="s">
        <v>20</v>
      </c>
      <c r="AE41" s="30"/>
    </row>
    <row r="42" spans="3:31" ht="15.75" thickBot="1">
      <c r="E42" s="31"/>
      <c r="F42" s="32" t="s">
        <v>21</v>
      </c>
      <c r="G42" s="32"/>
      <c r="H42" s="32">
        <f>SUM(H38:H41)</f>
        <v>10</v>
      </c>
      <c r="I42" s="32">
        <f t="shared" ref="I42:M42" si="11">SUM(I38:I41)</f>
        <v>22</v>
      </c>
      <c r="J42" s="32">
        <f t="shared" si="11"/>
        <v>26</v>
      </c>
      <c r="K42" s="32">
        <f t="shared" si="11"/>
        <v>16</v>
      </c>
      <c r="L42" s="32">
        <f t="shared" si="11"/>
        <v>4</v>
      </c>
      <c r="M42" s="32">
        <f t="shared" si="11"/>
        <v>78</v>
      </c>
      <c r="N42" s="32"/>
      <c r="O42" s="32"/>
      <c r="P42" s="33"/>
      <c r="T42" s="31"/>
      <c r="U42" s="32" t="s">
        <v>21</v>
      </c>
      <c r="V42" s="32"/>
      <c r="W42" s="32">
        <f>SUM(W38:W41)</f>
        <v>10</v>
      </c>
      <c r="X42" s="32">
        <f t="shared" ref="X42" si="12">SUM(X38:X41)</f>
        <v>22</v>
      </c>
      <c r="Y42" s="32">
        <f t="shared" ref="Y42" si="13">SUM(Y38:Y41)</f>
        <v>26</v>
      </c>
      <c r="Z42" s="32">
        <f t="shared" ref="Z42" si="14">SUM(Z38:Z41)</f>
        <v>16</v>
      </c>
      <c r="AA42" s="32">
        <f t="shared" ref="AA42" si="15">SUM(AA38:AA41)</f>
        <v>4</v>
      </c>
      <c r="AB42" s="32">
        <f>SUM(AB38:AB41)</f>
        <v>78</v>
      </c>
      <c r="AC42" s="32"/>
      <c r="AD42" s="32"/>
      <c r="AE42" s="33"/>
    </row>
    <row r="43" spans="3:31" ht="15.75" thickBot="1">
      <c r="E43" s="36" t="s">
        <v>22</v>
      </c>
      <c r="F43" s="37" t="s">
        <v>23</v>
      </c>
      <c r="G43" s="37"/>
      <c r="H43" s="37">
        <v>22</v>
      </c>
      <c r="I43" s="37">
        <v>44</v>
      </c>
      <c r="J43" s="37">
        <v>44</v>
      </c>
      <c r="K43" s="37">
        <v>22</v>
      </c>
      <c r="L43" s="37"/>
      <c r="M43" s="37">
        <f t="shared" si="9"/>
        <v>132</v>
      </c>
      <c r="N43" s="37"/>
      <c r="O43" s="37" t="s">
        <v>24</v>
      </c>
      <c r="P43" s="33"/>
      <c r="T43" s="31" t="s">
        <v>22</v>
      </c>
      <c r="U43" s="32" t="s">
        <v>23</v>
      </c>
      <c r="V43" s="32"/>
      <c r="W43" s="32">
        <v>20</v>
      </c>
      <c r="X43" s="32">
        <v>40</v>
      </c>
      <c r="Y43" s="32">
        <v>40</v>
      </c>
      <c r="Z43" s="32">
        <v>20</v>
      </c>
      <c r="AA43" s="32"/>
      <c r="AB43" s="32">
        <f t="shared" ref="AB43:AB47" si="16">SUM(V43:AA43)</f>
        <v>120</v>
      </c>
      <c r="AC43" s="32"/>
      <c r="AD43" s="32" t="s">
        <v>24</v>
      </c>
      <c r="AE43" s="33"/>
    </row>
    <row r="44" spans="3:31" ht="15.75" thickBot="1">
      <c r="E44" s="31" t="s">
        <v>25</v>
      </c>
      <c r="F44" s="32" t="s">
        <v>26</v>
      </c>
      <c r="G44" s="32"/>
      <c r="H44" s="32">
        <v>2</v>
      </c>
      <c r="I44" s="32">
        <v>3</v>
      </c>
      <c r="J44" s="32">
        <v>3</v>
      </c>
      <c r="K44" s="32">
        <v>1</v>
      </c>
      <c r="L44" s="32"/>
      <c r="M44" s="32">
        <f t="shared" si="9"/>
        <v>9</v>
      </c>
      <c r="N44" s="32"/>
      <c r="O44" s="32" t="s">
        <v>15</v>
      </c>
      <c r="P44" s="33"/>
      <c r="T44" s="31" t="s">
        <v>25</v>
      </c>
      <c r="U44" s="32" t="s">
        <v>26</v>
      </c>
      <c r="V44" s="32"/>
      <c r="W44" s="32">
        <v>2</v>
      </c>
      <c r="X44" s="32">
        <v>3</v>
      </c>
      <c r="Y44" s="32">
        <v>3</v>
      </c>
      <c r="Z44" s="32">
        <v>1</v>
      </c>
      <c r="AA44" s="32"/>
      <c r="AB44" s="32">
        <f t="shared" si="16"/>
        <v>9</v>
      </c>
      <c r="AC44" s="32"/>
      <c r="AD44" s="32" t="s">
        <v>15</v>
      </c>
      <c r="AE44" s="33"/>
    </row>
    <row r="45" spans="3:31">
      <c r="E45" s="16" t="s">
        <v>27</v>
      </c>
      <c r="F45" s="17" t="s">
        <v>28</v>
      </c>
      <c r="G45" s="17"/>
      <c r="H45" s="17">
        <v>5</v>
      </c>
      <c r="I45" s="17">
        <v>15</v>
      </c>
      <c r="J45" s="17">
        <v>20</v>
      </c>
      <c r="K45" s="17">
        <v>15</v>
      </c>
      <c r="L45" s="17">
        <v>5</v>
      </c>
      <c r="M45" s="17">
        <f t="shared" si="9"/>
        <v>60</v>
      </c>
      <c r="N45" s="17"/>
      <c r="O45" s="17" t="s">
        <v>15</v>
      </c>
      <c r="P45" s="18"/>
      <c r="T45" s="16" t="s">
        <v>27</v>
      </c>
      <c r="U45" s="17" t="s">
        <v>28</v>
      </c>
      <c r="V45" s="17"/>
      <c r="W45" s="17">
        <v>5</v>
      </c>
      <c r="X45" s="17">
        <v>15</v>
      </c>
      <c r="Y45" s="17">
        <v>20</v>
      </c>
      <c r="Z45" s="17">
        <v>15</v>
      </c>
      <c r="AA45" s="17">
        <v>5</v>
      </c>
      <c r="AB45" s="17">
        <f t="shared" si="16"/>
        <v>60</v>
      </c>
      <c r="AC45" s="17"/>
      <c r="AD45" s="17" t="s">
        <v>15</v>
      </c>
      <c r="AE45" s="18"/>
    </row>
    <row r="46" spans="3:31">
      <c r="E46" s="38"/>
      <c r="F46" s="39"/>
      <c r="G46" s="39"/>
      <c r="H46" s="39">
        <v>15</v>
      </c>
      <c r="I46" s="39">
        <v>30</v>
      </c>
      <c r="J46" s="39">
        <v>45</v>
      </c>
      <c r="K46" s="39">
        <v>30</v>
      </c>
      <c r="L46" s="39">
        <v>15</v>
      </c>
      <c r="M46" s="39">
        <f t="shared" si="9"/>
        <v>135</v>
      </c>
      <c r="N46" s="39"/>
      <c r="O46" s="39" t="s">
        <v>24</v>
      </c>
      <c r="P46" s="27"/>
      <c r="T46" s="26"/>
      <c r="U46" s="15"/>
      <c r="V46" s="15"/>
      <c r="W46" s="15">
        <v>13</v>
      </c>
      <c r="X46" s="15">
        <v>26</v>
      </c>
      <c r="Y46" s="15">
        <v>39</v>
      </c>
      <c r="Z46" s="15">
        <v>26</v>
      </c>
      <c r="AA46" s="15">
        <v>13</v>
      </c>
      <c r="AB46" s="15">
        <f t="shared" si="16"/>
        <v>117</v>
      </c>
      <c r="AC46" s="15"/>
      <c r="AD46" s="15" t="s">
        <v>24</v>
      </c>
      <c r="AE46" s="27"/>
    </row>
    <row r="47" spans="3:31" ht="15.75" thickBot="1">
      <c r="E47" s="26"/>
      <c r="F47" s="15"/>
      <c r="G47" s="15"/>
      <c r="H47" s="15">
        <v>2</v>
      </c>
      <c r="I47" s="15">
        <v>6</v>
      </c>
      <c r="J47" s="15">
        <v>8</v>
      </c>
      <c r="K47" s="15">
        <v>6</v>
      </c>
      <c r="L47" s="15">
        <v>2</v>
      </c>
      <c r="M47" s="15">
        <f t="shared" si="9"/>
        <v>24</v>
      </c>
      <c r="N47" s="15"/>
      <c r="O47" s="15" t="s">
        <v>18</v>
      </c>
      <c r="P47" s="27"/>
      <c r="T47" s="26"/>
      <c r="U47" s="15"/>
      <c r="V47" s="15"/>
      <c r="W47" s="15">
        <v>2</v>
      </c>
      <c r="X47" s="15">
        <v>6</v>
      </c>
      <c r="Y47" s="15">
        <v>8</v>
      </c>
      <c r="Z47" s="15">
        <v>6</v>
      </c>
      <c r="AA47" s="15">
        <v>2</v>
      </c>
      <c r="AB47" s="15">
        <f t="shared" si="16"/>
        <v>24</v>
      </c>
      <c r="AC47" s="15"/>
      <c r="AD47" s="15" t="s">
        <v>18</v>
      </c>
      <c r="AE47" s="27"/>
    </row>
    <row r="48" spans="3:31" ht="15.75" thickBot="1">
      <c r="E48" s="31"/>
      <c r="F48" s="32" t="s">
        <v>21</v>
      </c>
      <c r="G48" s="32"/>
      <c r="H48" s="32">
        <f>SUM(H45:H47)</f>
        <v>22</v>
      </c>
      <c r="I48" s="32">
        <f t="shared" ref="I48:M48" si="17">SUM(I45:I47)</f>
        <v>51</v>
      </c>
      <c r="J48" s="32">
        <f t="shared" si="17"/>
        <v>73</v>
      </c>
      <c r="K48" s="32">
        <f t="shared" si="17"/>
        <v>51</v>
      </c>
      <c r="L48" s="32">
        <f t="shared" si="17"/>
        <v>22</v>
      </c>
      <c r="M48" s="32">
        <f t="shared" si="17"/>
        <v>219</v>
      </c>
      <c r="N48" s="32"/>
      <c r="O48" s="32"/>
      <c r="P48" s="33"/>
      <c r="T48" s="31"/>
      <c r="U48" s="32" t="s">
        <v>21</v>
      </c>
      <c r="V48" s="32"/>
      <c r="W48" s="32">
        <f>SUM(W45:W47)</f>
        <v>20</v>
      </c>
      <c r="X48" s="32">
        <f t="shared" ref="X48" si="18">SUM(X45:X47)</f>
        <v>47</v>
      </c>
      <c r="Y48" s="32">
        <f t="shared" ref="Y48" si="19">SUM(Y45:Y47)</f>
        <v>67</v>
      </c>
      <c r="Z48" s="32">
        <f t="shared" ref="Z48" si="20">SUM(Z45:Z47)</f>
        <v>47</v>
      </c>
      <c r="AA48" s="32">
        <f t="shared" ref="AA48" si="21">SUM(AA45:AA47)</f>
        <v>20</v>
      </c>
      <c r="AB48" s="32">
        <f>SUM(AB45:AB47)</f>
        <v>201</v>
      </c>
      <c r="AC48" s="32"/>
      <c r="AD48" s="32"/>
      <c r="AE48" s="33"/>
    </row>
    <row r="49" spans="5:31">
      <c r="E49" s="16" t="s">
        <v>29</v>
      </c>
      <c r="F49" s="17" t="s">
        <v>30</v>
      </c>
      <c r="G49" s="17"/>
      <c r="H49" s="17">
        <v>4</v>
      </c>
      <c r="I49" s="17">
        <v>8</v>
      </c>
      <c r="J49" s="17">
        <v>8</v>
      </c>
      <c r="K49" s="17">
        <v>4</v>
      </c>
      <c r="L49" s="17">
        <v>0</v>
      </c>
      <c r="M49" s="17">
        <f t="shared" si="9"/>
        <v>24</v>
      </c>
      <c r="N49" s="17"/>
      <c r="O49" s="17" t="s">
        <v>24</v>
      </c>
      <c r="P49" s="18"/>
      <c r="T49" s="16" t="s">
        <v>29</v>
      </c>
      <c r="U49" s="17" t="s">
        <v>30</v>
      </c>
      <c r="V49" s="17"/>
      <c r="W49" s="17">
        <v>4</v>
      </c>
      <c r="X49" s="17">
        <v>8</v>
      </c>
      <c r="Y49" s="17">
        <v>8</v>
      </c>
      <c r="Z49" s="17">
        <v>4</v>
      </c>
      <c r="AA49" s="17">
        <v>0</v>
      </c>
      <c r="AB49" s="17">
        <f t="shared" ref="AB49:AB54" si="22">SUM(V49:AA49)</f>
        <v>24</v>
      </c>
      <c r="AC49" s="17"/>
      <c r="AD49" s="17" t="s">
        <v>24</v>
      </c>
      <c r="AE49" s="18"/>
    </row>
    <row r="50" spans="5:31">
      <c r="E50" s="38"/>
      <c r="F50" s="39"/>
      <c r="G50" s="39"/>
      <c r="H50" s="39">
        <v>3</v>
      </c>
      <c r="I50" s="39">
        <v>9</v>
      </c>
      <c r="J50" s="39">
        <v>12</v>
      </c>
      <c r="K50" s="39">
        <v>9</v>
      </c>
      <c r="L50" s="39">
        <v>3</v>
      </c>
      <c r="M50" s="39">
        <f t="shared" si="9"/>
        <v>36</v>
      </c>
      <c r="N50" s="39"/>
      <c r="O50" s="39" t="s">
        <v>19</v>
      </c>
      <c r="P50" s="27"/>
      <c r="T50" s="26"/>
      <c r="U50" s="15"/>
      <c r="V50" s="15"/>
      <c r="W50" s="15">
        <v>2</v>
      </c>
      <c r="X50" s="15">
        <v>6</v>
      </c>
      <c r="Y50" s="15">
        <v>8</v>
      </c>
      <c r="Z50" s="15">
        <v>6</v>
      </c>
      <c r="AA50" s="15">
        <v>2</v>
      </c>
      <c r="AB50" s="15">
        <f t="shared" si="22"/>
        <v>24</v>
      </c>
      <c r="AC50" s="15"/>
      <c r="AD50" s="15" t="s">
        <v>19</v>
      </c>
      <c r="AE50" s="27"/>
    </row>
    <row r="51" spans="5:31">
      <c r="E51" s="38"/>
      <c r="F51" s="39"/>
      <c r="G51" s="39"/>
      <c r="H51" s="39">
        <v>8</v>
      </c>
      <c r="I51" s="39">
        <v>12</v>
      </c>
      <c r="J51" s="39">
        <v>12</v>
      </c>
      <c r="K51" s="39">
        <v>4</v>
      </c>
      <c r="L51" s="39">
        <v>0</v>
      </c>
      <c r="M51" s="39">
        <f t="shared" si="9"/>
        <v>36</v>
      </c>
      <c r="N51" s="39"/>
      <c r="O51" s="39" t="s">
        <v>31</v>
      </c>
      <c r="P51" s="27"/>
      <c r="T51" s="26"/>
      <c r="U51" s="15"/>
      <c r="V51" s="15"/>
      <c r="W51" s="15">
        <v>6</v>
      </c>
      <c r="X51" s="15">
        <v>9</v>
      </c>
      <c r="Y51" s="15">
        <v>9</v>
      </c>
      <c r="Z51" s="15">
        <v>3</v>
      </c>
      <c r="AA51" s="15">
        <v>0</v>
      </c>
      <c r="AB51" s="15">
        <f t="shared" si="22"/>
        <v>27</v>
      </c>
      <c r="AC51" s="15"/>
      <c r="AD51" s="15" t="s">
        <v>31</v>
      </c>
      <c r="AE51" s="27"/>
    </row>
    <row r="52" spans="5:31">
      <c r="E52" s="26"/>
      <c r="F52" s="15"/>
      <c r="G52" s="15"/>
      <c r="H52" s="15">
        <v>20</v>
      </c>
      <c r="I52" s="15">
        <v>60</v>
      </c>
      <c r="J52" s="15">
        <v>80</v>
      </c>
      <c r="K52" s="15">
        <v>60</v>
      </c>
      <c r="L52" s="15">
        <v>20</v>
      </c>
      <c r="M52" s="15">
        <f t="shared" si="9"/>
        <v>240</v>
      </c>
      <c r="N52" s="15"/>
      <c r="O52" s="15" t="s">
        <v>32</v>
      </c>
      <c r="P52" s="27"/>
      <c r="T52" s="26"/>
      <c r="U52" s="15"/>
      <c r="V52" s="15"/>
      <c r="W52" s="15">
        <v>20</v>
      </c>
      <c r="X52" s="15">
        <v>60</v>
      </c>
      <c r="Y52" s="15">
        <v>80</v>
      </c>
      <c r="Z52" s="15">
        <v>60</v>
      </c>
      <c r="AA52" s="15">
        <v>20</v>
      </c>
      <c r="AB52" s="15">
        <f t="shared" si="22"/>
        <v>240</v>
      </c>
      <c r="AC52" s="15"/>
      <c r="AD52" s="15" t="s">
        <v>32</v>
      </c>
      <c r="AE52" s="27"/>
    </row>
    <row r="53" spans="5:31">
      <c r="E53" s="38"/>
      <c r="F53" s="39"/>
      <c r="G53" s="39"/>
      <c r="H53" s="39">
        <v>7</v>
      </c>
      <c r="I53" s="39">
        <v>14</v>
      </c>
      <c r="J53" s="39">
        <v>21</v>
      </c>
      <c r="K53" s="39">
        <v>14</v>
      </c>
      <c r="L53" s="39">
        <v>7</v>
      </c>
      <c r="M53" s="39">
        <f t="shared" si="9"/>
        <v>63</v>
      </c>
      <c r="N53" s="39"/>
      <c r="O53" s="39" t="s">
        <v>33</v>
      </c>
      <c r="P53" s="27"/>
      <c r="T53" s="26"/>
      <c r="U53" s="15"/>
      <c r="V53" s="15"/>
      <c r="W53" s="15">
        <v>9</v>
      </c>
      <c r="X53" s="15">
        <v>18</v>
      </c>
      <c r="Y53" s="15">
        <v>27</v>
      </c>
      <c r="Z53" s="15">
        <v>18</v>
      </c>
      <c r="AA53" s="15">
        <v>9</v>
      </c>
      <c r="AB53" s="15">
        <f t="shared" si="22"/>
        <v>81</v>
      </c>
      <c r="AC53" s="15"/>
      <c r="AD53" s="15" t="s">
        <v>33</v>
      </c>
      <c r="AE53" s="27"/>
    </row>
    <row r="54" spans="5:31">
      <c r="E54" s="26"/>
      <c r="F54" s="15"/>
      <c r="G54" s="15"/>
      <c r="H54" s="15">
        <v>6</v>
      </c>
      <c r="I54" s="15">
        <v>12</v>
      </c>
      <c r="J54" s="15">
        <v>12</v>
      </c>
      <c r="K54" s="15">
        <v>6</v>
      </c>
      <c r="L54" s="15">
        <v>0</v>
      </c>
      <c r="M54" s="15">
        <f t="shared" si="9"/>
        <v>36</v>
      </c>
      <c r="N54" s="15"/>
      <c r="O54" s="15" t="s">
        <v>34</v>
      </c>
      <c r="P54" s="27"/>
      <c r="T54" s="26"/>
      <c r="U54" s="15"/>
      <c r="V54" s="15"/>
      <c r="W54" s="15">
        <v>6</v>
      </c>
      <c r="X54" s="15">
        <v>12</v>
      </c>
      <c r="Y54" s="15">
        <v>12</v>
      </c>
      <c r="Z54" s="15">
        <v>6</v>
      </c>
      <c r="AA54" s="15">
        <v>0</v>
      </c>
      <c r="AB54" s="15">
        <f t="shared" si="22"/>
        <v>36</v>
      </c>
      <c r="AC54" s="15"/>
      <c r="AD54" s="15" t="s">
        <v>34</v>
      </c>
      <c r="AE54" s="27"/>
    </row>
    <row r="55" spans="5:31">
      <c r="E55" s="38"/>
      <c r="F55" s="39"/>
      <c r="G55" s="39"/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f>SUM(G55:L55)</f>
        <v>0</v>
      </c>
      <c r="N55" s="39"/>
      <c r="O55" s="39" t="s">
        <v>35</v>
      </c>
      <c r="P55" s="27"/>
      <c r="T55" s="26"/>
      <c r="U55" s="15"/>
      <c r="V55" s="15"/>
      <c r="W55" s="15">
        <v>2</v>
      </c>
      <c r="X55" s="15">
        <v>4</v>
      </c>
      <c r="Y55" s="15">
        <v>4</v>
      </c>
      <c r="Z55" s="15">
        <v>2</v>
      </c>
      <c r="AA55" s="15">
        <v>0</v>
      </c>
      <c r="AB55" s="15">
        <f>SUM(V55:AA55)</f>
        <v>12</v>
      </c>
      <c r="AC55" s="15"/>
      <c r="AD55" s="15" t="s">
        <v>35</v>
      </c>
      <c r="AE55" s="27"/>
    </row>
    <row r="56" spans="5:31">
      <c r="E56" s="26"/>
      <c r="F56" s="15"/>
      <c r="G56" s="15"/>
      <c r="H56" s="15">
        <v>2</v>
      </c>
      <c r="I56" s="15">
        <v>3</v>
      </c>
      <c r="J56" s="15">
        <v>3</v>
      </c>
      <c r="K56" s="15">
        <v>1</v>
      </c>
      <c r="L56" s="15">
        <v>0</v>
      </c>
      <c r="M56" s="15">
        <f t="shared" ref="M56" si="23">SUM(G56:L56)</f>
        <v>9</v>
      </c>
      <c r="N56" s="15"/>
      <c r="O56" s="15" t="s">
        <v>36</v>
      </c>
      <c r="P56" s="27"/>
      <c r="T56" s="26"/>
      <c r="U56" s="15"/>
      <c r="V56" s="15"/>
      <c r="W56" s="15">
        <v>2</v>
      </c>
      <c r="X56" s="15">
        <v>3</v>
      </c>
      <c r="Y56" s="15">
        <v>3</v>
      </c>
      <c r="Z56" s="15">
        <v>1</v>
      </c>
      <c r="AA56" s="15">
        <v>0</v>
      </c>
      <c r="AB56" s="15">
        <f t="shared" ref="AB56:AB74" si="24">SUM(V56:AA56)</f>
        <v>9</v>
      </c>
      <c r="AC56" s="15"/>
      <c r="AD56" s="15" t="s">
        <v>36</v>
      </c>
      <c r="AE56" s="27"/>
    </row>
    <row r="57" spans="5:31">
      <c r="E57" s="26"/>
      <c r="F57" s="15"/>
      <c r="G57" s="15"/>
      <c r="H57" s="15">
        <v>5</v>
      </c>
      <c r="I57" s="15">
        <v>10</v>
      </c>
      <c r="J57" s="15">
        <v>15</v>
      </c>
      <c r="K57" s="15">
        <v>10</v>
      </c>
      <c r="L57" s="15">
        <v>5</v>
      </c>
      <c r="M57" s="15">
        <f t="shared" si="9"/>
        <v>45</v>
      </c>
      <c r="N57" s="15"/>
      <c r="O57" s="15" t="s">
        <v>37</v>
      </c>
      <c r="P57" s="27"/>
      <c r="T57" s="26"/>
      <c r="U57" s="15"/>
      <c r="V57" s="15"/>
      <c r="W57" s="15">
        <v>5</v>
      </c>
      <c r="X57" s="15">
        <v>10</v>
      </c>
      <c r="Y57" s="15">
        <v>15</v>
      </c>
      <c r="Z57" s="15">
        <v>10</v>
      </c>
      <c r="AA57" s="15">
        <v>5</v>
      </c>
      <c r="AB57" s="15">
        <f t="shared" si="24"/>
        <v>45</v>
      </c>
      <c r="AC57" s="15"/>
      <c r="AD57" s="15" t="s">
        <v>37</v>
      </c>
      <c r="AE57" s="27"/>
    </row>
    <row r="58" spans="5:31">
      <c r="E58" s="26"/>
      <c r="F58" s="15"/>
      <c r="G58" s="15"/>
      <c r="H58" s="15">
        <v>2</v>
      </c>
      <c r="I58" s="15">
        <v>3</v>
      </c>
      <c r="J58" s="15">
        <v>3</v>
      </c>
      <c r="K58" s="15">
        <v>1</v>
      </c>
      <c r="L58" s="15">
        <v>0</v>
      </c>
      <c r="M58" s="15">
        <f t="shared" si="9"/>
        <v>9</v>
      </c>
      <c r="N58" s="15"/>
      <c r="O58" s="15" t="s">
        <v>38</v>
      </c>
      <c r="P58" s="27"/>
      <c r="T58" s="26"/>
      <c r="U58" s="15"/>
      <c r="V58" s="15"/>
      <c r="W58" s="15">
        <v>2</v>
      </c>
      <c r="X58" s="15">
        <v>3</v>
      </c>
      <c r="Y58" s="15">
        <v>3</v>
      </c>
      <c r="Z58" s="15">
        <v>1</v>
      </c>
      <c r="AA58" s="15">
        <v>0</v>
      </c>
      <c r="AB58" s="15">
        <f t="shared" si="24"/>
        <v>9</v>
      </c>
      <c r="AC58" s="15"/>
      <c r="AD58" s="15" t="s">
        <v>38</v>
      </c>
      <c r="AE58" s="27"/>
    </row>
    <row r="59" spans="5:31">
      <c r="E59" s="26"/>
      <c r="F59" s="15"/>
      <c r="G59" s="15"/>
      <c r="H59" s="15">
        <v>2</v>
      </c>
      <c r="I59" s="15">
        <v>4</v>
      </c>
      <c r="J59" s="15">
        <v>4</v>
      </c>
      <c r="K59" s="15">
        <v>2</v>
      </c>
      <c r="L59" s="15">
        <v>0</v>
      </c>
      <c r="M59" s="15">
        <f t="shared" si="9"/>
        <v>12</v>
      </c>
      <c r="N59" s="15"/>
      <c r="O59" s="15" t="s">
        <v>39</v>
      </c>
      <c r="P59" s="27"/>
      <c r="T59" s="26"/>
      <c r="U59" s="15"/>
      <c r="V59" s="15"/>
      <c r="W59" s="15">
        <v>2</v>
      </c>
      <c r="X59" s="15">
        <v>4</v>
      </c>
      <c r="Y59" s="15">
        <v>4</v>
      </c>
      <c r="Z59" s="15">
        <v>2</v>
      </c>
      <c r="AA59" s="15">
        <v>0</v>
      </c>
      <c r="AB59" s="15">
        <f t="shared" si="24"/>
        <v>12</v>
      </c>
      <c r="AC59" s="15"/>
      <c r="AD59" s="15" t="s">
        <v>39</v>
      </c>
      <c r="AE59" s="27"/>
    </row>
    <row r="60" spans="5:31">
      <c r="E60" s="26"/>
      <c r="F60" s="15"/>
      <c r="G60" s="15"/>
      <c r="H60" s="15">
        <v>4</v>
      </c>
      <c r="I60" s="15">
        <v>6</v>
      </c>
      <c r="J60" s="15">
        <v>6</v>
      </c>
      <c r="K60" s="15">
        <v>2</v>
      </c>
      <c r="L60" s="15">
        <v>0</v>
      </c>
      <c r="M60" s="15">
        <f t="shared" si="9"/>
        <v>18</v>
      </c>
      <c r="N60" s="15"/>
      <c r="O60" s="15" t="s">
        <v>40</v>
      </c>
      <c r="P60" s="27"/>
      <c r="T60" s="26"/>
      <c r="U60" s="15"/>
      <c r="V60" s="15"/>
      <c r="W60" s="15">
        <v>4</v>
      </c>
      <c r="X60" s="15">
        <v>6</v>
      </c>
      <c r="Y60" s="15">
        <v>6</v>
      </c>
      <c r="Z60" s="15">
        <v>2</v>
      </c>
      <c r="AA60" s="15">
        <v>0</v>
      </c>
      <c r="AB60" s="15">
        <f t="shared" si="24"/>
        <v>18</v>
      </c>
      <c r="AC60" s="15"/>
      <c r="AD60" s="15" t="s">
        <v>40</v>
      </c>
      <c r="AE60" s="27"/>
    </row>
    <row r="61" spans="5:31">
      <c r="E61" s="26"/>
      <c r="F61" s="15"/>
      <c r="G61" s="15"/>
      <c r="H61" s="15">
        <v>1</v>
      </c>
      <c r="I61" s="15">
        <v>3</v>
      </c>
      <c r="J61" s="15">
        <v>4</v>
      </c>
      <c r="K61" s="15">
        <v>3</v>
      </c>
      <c r="L61" s="15">
        <v>1</v>
      </c>
      <c r="M61" s="15">
        <f t="shared" si="9"/>
        <v>12</v>
      </c>
      <c r="N61" s="15"/>
      <c r="O61" s="15" t="s">
        <v>41</v>
      </c>
      <c r="P61" s="27"/>
      <c r="T61" s="26"/>
      <c r="U61" s="15"/>
      <c r="V61" s="15"/>
      <c r="W61" s="15">
        <v>1</v>
      </c>
      <c r="X61" s="15">
        <v>3</v>
      </c>
      <c r="Y61" s="15">
        <v>4</v>
      </c>
      <c r="Z61" s="15">
        <v>3</v>
      </c>
      <c r="AA61" s="15">
        <v>1</v>
      </c>
      <c r="AB61" s="15">
        <f t="shared" si="24"/>
        <v>12</v>
      </c>
      <c r="AC61" s="15"/>
      <c r="AD61" s="15" t="s">
        <v>41</v>
      </c>
      <c r="AE61" s="27"/>
    </row>
    <row r="62" spans="5:31">
      <c r="E62" s="26"/>
      <c r="F62" s="15"/>
      <c r="G62" s="15"/>
      <c r="H62" s="15">
        <v>1</v>
      </c>
      <c r="I62" s="15">
        <v>2</v>
      </c>
      <c r="J62" s="15">
        <v>3</v>
      </c>
      <c r="K62" s="15">
        <v>2</v>
      </c>
      <c r="L62" s="15">
        <v>1</v>
      </c>
      <c r="M62" s="15">
        <f t="shared" si="9"/>
        <v>9</v>
      </c>
      <c r="N62" s="15"/>
      <c r="O62" s="15" t="s">
        <v>42</v>
      </c>
      <c r="P62" s="27"/>
      <c r="T62" s="26"/>
      <c r="U62" s="15"/>
      <c r="V62" s="15"/>
      <c r="W62" s="15">
        <v>1</v>
      </c>
      <c r="X62" s="15">
        <v>2</v>
      </c>
      <c r="Y62" s="15">
        <v>3</v>
      </c>
      <c r="Z62" s="15">
        <v>2</v>
      </c>
      <c r="AA62" s="15">
        <v>1</v>
      </c>
      <c r="AB62" s="15">
        <f t="shared" si="24"/>
        <v>9</v>
      </c>
      <c r="AC62" s="15"/>
      <c r="AD62" s="15" t="s">
        <v>42</v>
      </c>
      <c r="AE62" s="27"/>
    </row>
    <row r="63" spans="5:31">
      <c r="E63" s="38"/>
      <c r="F63" s="39"/>
      <c r="G63" s="39"/>
      <c r="H63" s="39">
        <v>2</v>
      </c>
      <c r="I63" s="39">
        <v>3</v>
      </c>
      <c r="J63" s="39">
        <v>3</v>
      </c>
      <c r="K63" s="39">
        <v>1</v>
      </c>
      <c r="L63" s="39">
        <v>0</v>
      </c>
      <c r="M63" s="39">
        <f t="shared" si="9"/>
        <v>9</v>
      </c>
      <c r="N63" s="39"/>
      <c r="O63" s="39" t="s">
        <v>43</v>
      </c>
      <c r="P63" s="27"/>
      <c r="T63" s="26"/>
      <c r="U63" s="15"/>
      <c r="V63" s="15"/>
      <c r="W63" s="15">
        <v>4</v>
      </c>
      <c r="X63" s="15">
        <v>6</v>
      </c>
      <c r="Y63" s="15">
        <v>6</v>
      </c>
      <c r="Z63" s="15">
        <v>2</v>
      </c>
      <c r="AA63" s="15">
        <v>0</v>
      </c>
      <c r="AB63" s="15">
        <f t="shared" si="24"/>
        <v>18</v>
      </c>
      <c r="AC63" s="15"/>
      <c r="AD63" s="15" t="s">
        <v>43</v>
      </c>
      <c r="AE63" s="27"/>
    </row>
    <row r="64" spans="5:31">
      <c r="E64" s="26"/>
      <c r="F64" s="15"/>
      <c r="G64" s="15"/>
      <c r="H64" s="15">
        <v>2</v>
      </c>
      <c r="I64" s="15">
        <v>6</v>
      </c>
      <c r="J64" s="15">
        <v>8</v>
      </c>
      <c r="K64" s="15">
        <v>6</v>
      </c>
      <c r="L64" s="15">
        <v>2</v>
      </c>
      <c r="M64" s="15">
        <f t="shared" si="9"/>
        <v>24</v>
      </c>
      <c r="N64" s="15"/>
      <c r="O64" s="15" t="s">
        <v>44</v>
      </c>
      <c r="P64" s="27"/>
      <c r="T64" s="26"/>
      <c r="U64" s="15"/>
      <c r="V64" s="15"/>
      <c r="W64" s="15">
        <v>2</v>
      </c>
      <c r="X64" s="15">
        <v>6</v>
      </c>
      <c r="Y64" s="15">
        <v>8</v>
      </c>
      <c r="Z64" s="15">
        <v>6</v>
      </c>
      <c r="AA64" s="15">
        <v>2</v>
      </c>
      <c r="AB64" s="15">
        <f t="shared" si="24"/>
        <v>24</v>
      </c>
      <c r="AC64" s="15"/>
      <c r="AD64" s="15" t="s">
        <v>44</v>
      </c>
      <c r="AE64" s="27"/>
    </row>
    <row r="65" spans="5:31">
      <c r="E65" s="26"/>
      <c r="F65" s="15"/>
      <c r="G65" s="15"/>
      <c r="H65" s="15">
        <v>2</v>
      </c>
      <c r="I65" s="15">
        <v>3</v>
      </c>
      <c r="J65" s="15">
        <v>3</v>
      </c>
      <c r="K65" s="15">
        <v>1</v>
      </c>
      <c r="L65" s="15">
        <v>0</v>
      </c>
      <c r="M65" s="15">
        <f t="shared" si="9"/>
        <v>9</v>
      </c>
      <c r="N65" s="15"/>
      <c r="O65" s="15" t="s">
        <v>45</v>
      </c>
      <c r="P65" s="27"/>
      <c r="T65" s="26"/>
      <c r="U65" s="15"/>
      <c r="V65" s="15"/>
      <c r="W65" s="15">
        <v>2</v>
      </c>
      <c r="X65" s="15">
        <v>3</v>
      </c>
      <c r="Y65" s="15">
        <v>3</v>
      </c>
      <c r="Z65" s="15">
        <v>1</v>
      </c>
      <c r="AA65" s="15">
        <v>0</v>
      </c>
      <c r="AB65" s="15">
        <f t="shared" si="24"/>
        <v>9</v>
      </c>
      <c r="AC65" s="15"/>
      <c r="AD65" s="15" t="s">
        <v>45</v>
      </c>
      <c r="AE65" s="27"/>
    </row>
    <row r="66" spans="5:31">
      <c r="E66" s="26"/>
      <c r="F66" s="15"/>
      <c r="G66" s="15">
        <v>1</v>
      </c>
      <c r="H66" s="15">
        <v>2</v>
      </c>
      <c r="I66" s="15">
        <v>3</v>
      </c>
      <c r="J66" s="15">
        <v>2</v>
      </c>
      <c r="K66" s="15">
        <v>1</v>
      </c>
      <c r="L66" s="15">
        <v>0</v>
      </c>
      <c r="M66" s="15">
        <f t="shared" si="9"/>
        <v>9</v>
      </c>
      <c r="N66" s="15"/>
      <c r="O66" s="15" t="s">
        <v>46</v>
      </c>
      <c r="P66" s="27"/>
      <c r="T66" s="26"/>
      <c r="U66" s="15"/>
      <c r="V66" s="15">
        <v>1</v>
      </c>
      <c r="W66" s="15">
        <v>2</v>
      </c>
      <c r="X66" s="15">
        <v>3</v>
      </c>
      <c r="Y66" s="15">
        <v>2</v>
      </c>
      <c r="Z66" s="15">
        <v>1</v>
      </c>
      <c r="AA66" s="15">
        <v>0</v>
      </c>
      <c r="AB66" s="15">
        <f t="shared" si="24"/>
        <v>9</v>
      </c>
      <c r="AC66" s="15"/>
      <c r="AD66" s="15" t="s">
        <v>46</v>
      </c>
      <c r="AE66" s="27"/>
    </row>
    <row r="67" spans="5:31">
      <c r="E67" s="26"/>
      <c r="F67" s="15"/>
      <c r="G67" s="15"/>
      <c r="H67" s="15">
        <v>4</v>
      </c>
      <c r="I67" s="15">
        <v>8</v>
      </c>
      <c r="J67" s="15">
        <v>8</v>
      </c>
      <c r="K67" s="15">
        <v>4</v>
      </c>
      <c r="L67" s="15">
        <v>0</v>
      </c>
      <c r="M67" s="15">
        <f t="shared" si="9"/>
        <v>24</v>
      </c>
      <c r="N67" s="15"/>
      <c r="O67" s="15" t="s">
        <v>47</v>
      </c>
      <c r="P67" s="27"/>
      <c r="T67" s="26"/>
      <c r="U67" s="15"/>
      <c r="V67" s="15"/>
      <c r="W67" s="15">
        <v>4</v>
      </c>
      <c r="X67" s="15">
        <v>8</v>
      </c>
      <c r="Y67" s="15">
        <v>8</v>
      </c>
      <c r="Z67" s="15">
        <v>4</v>
      </c>
      <c r="AA67" s="15">
        <v>0</v>
      </c>
      <c r="AB67" s="15">
        <f t="shared" si="24"/>
        <v>24</v>
      </c>
      <c r="AC67" s="15"/>
      <c r="AD67" s="15" t="s">
        <v>47</v>
      </c>
      <c r="AE67" s="27"/>
    </row>
    <row r="68" spans="5:31">
      <c r="E68" s="26"/>
      <c r="F68" s="15"/>
      <c r="G68" s="15"/>
      <c r="H68" s="15">
        <v>2</v>
      </c>
      <c r="I68" s="15">
        <v>3</v>
      </c>
      <c r="J68" s="15">
        <v>3</v>
      </c>
      <c r="K68" s="15">
        <v>1</v>
      </c>
      <c r="L68" s="15">
        <v>0</v>
      </c>
      <c r="M68" s="15">
        <f t="shared" si="9"/>
        <v>9</v>
      </c>
      <c r="N68" s="15"/>
      <c r="O68" s="15" t="s">
        <v>48</v>
      </c>
      <c r="P68" s="27"/>
      <c r="T68" s="26"/>
      <c r="U68" s="15"/>
      <c r="V68" s="15"/>
      <c r="W68" s="15">
        <v>2</v>
      </c>
      <c r="X68" s="15">
        <v>3</v>
      </c>
      <c r="Y68" s="15">
        <v>3</v>
      </c>
      <c r="Z68" s="15">
        <v>1</v>
      </c>
      <c r="AA68" s="15">
        <v>0</v>
      </c>
      <c r="AB68" s="15">
        <f t="shared" si="24"/>
        <v>9</v>
      </c>
      <c r="AC68" s="15"/>
      <c r="AD68" s="15" t="s">
        <v>48</v>
      </c>
      <c r="AE68" s="27"/>
    </row>
    <row r="69" spans="5:31">
      <c r="E69" s="26"/>
      <c r="F69" s="15"/>
      <c r="G69" s="15"/>
      <c r="H69" s="15">
        <v>4</v>
      </c>
      <c r="I69" s="15">
        <v>12</v>
      </c>
      <c r="J69" s="15">
        <v>16</v>
      </c>
      <c r="K69" s="15">
        <v>12</v>
      </c>
      <c r="L69" s="15">
        <v>4</v>
      </c>
      <c r="M69" s="15">
        <f t="shared" si="9"/>
        <v>48</v>
      </c>
      <c r="N69" s="15"/>
      <c r="O69" s="15" t="s">
        <v>49</v>
      </c>
      <c r="P69" s="27"/>
      <c r="T69" s="26"/>
      <c r="U69" s="15"/>
      <c r="V69" s="15"/>
      <c r="W69" s="15">
        <v>4</v>
      </c>
      <c r="X69" s="15">
        <v>12</v>
      </c>
      <c r="Y69" s="15">
        <v>16</v>
      </c>
      <c r="Z69" s="15">
        <v>12</v>
      </c>
      <c r="AA69" s="15">
        <v>4</v>
      </c>
      <c r="AB69" s="15">
        <f t="shared" si="24"/>
        <v>48</v>
      </c>
      <c r="AC69" s="15"/>
      <c r="AD69" s="15" t="s">
        <v>49</v>
      </c>
      <c r="AE69" s="27"/>
    </row>
    <row r="70" spans="5:31">
      <c r="E70" s="26"/>
      <c r="F70" s="15"/>
      <c r="G70" s="15"/>
      <c r="H70" s="15">
        <v>1</v>
      </c>
      <c r="I70" s="15">
        <v>2</v>
      </c>
      <c r="J70" s="15">
        <v>3</v>
      </c>
      <c r="K70" s="15">
        <v>2</v>
      </c>
      <c r="L70" s="15">
        <v>1</v>
      </c>
      <c r="M70" s="15">
        <f t="shared" si="9"/>
        <v>9</v>
      </c>
      <c r="N70" s="15"/>
      <c r="O70" s="15" t="s">
        <v>50</v>
      </c>
      <c r="P70" s="27"/>
      <c r="T70" s="26"/>
      <c r="U70" s="15"/>
      <c r="V70" s="15"/>
      <c r="W70" s="15">
        <v>1</v>
      </c>
      <c r="X70" s="15">
        <v>2</v>
      </c>
      <c r="Y70" s="15">
        <v>3</v>
      </c>
      <c r="Z70" s="15">
        <v>2</v>
      </c>
      <c r="AA70" s="15">
        <v>1</v>
      </c>
      <c r="AB70" s="15">
        <f t="shared" si="24"/>
        <v>9</v>
      </c>
      <c r="AC70" s="15"/>
      <c r="AD70" s="15" t="s">
        <v>50</v>
      </c>
      <c r="AE70" s="27"/>
    </row>
    <row r="71" spans="5:31">
      <c r="E71" s="26"/>
      <c r="F71" s="15"/>
      <c r="G71" s="15"/>
      <c r="H71" s="15">
        <v>4</v>
      </c>
      <c r="I71" s="15">
        <v>8</v>
      </c>
      <c r="J71" s="15">
        <v>8</v>
      </c>
      <c r="K71" s="15">
        <v>4</v>
      </c>
      <c r="L71" s="15">
        <v>0</v>
      </c>
      <c r="M71" s="15">
        <f t="shared" si="9"/>
        <v>24</v>
      </c>
      <c r="N71" s="15"/>
      <c r="O71" s="15" t="s">
        <v>51</v>
      </c>
      <c r="P71" s="27"/>
      <c r="T71" s="26"/>
      <c r="U71" s="15"/>
      <c r="V71" s="15"/>
      <c r="W71" s="15">
        <v>4</v>
      </c>
      <c r="X71" s="15">
        <v>8</v>
      </c>
      <c r="Y71" s="15">
        <v>8</v>
      </c>
      <c r="Z71" s="15">
        <v>4</v>
      </c>
      <c r="AA71" s="15">
        <v>0</v>
      </c>
      <c r="AB71" s="15">
        <f t="shared" si="24"/>
        <v>24</v>
      </c>
      <c r="AC71" s="15"/>
      <c r="AD71" s="15" t="s">
        <v>51</v>
      </c>
      <c r="AE71" s="27"/>
    </row>
    <row r="72" spans="5:31">
      <c r="E72" s="26"/>
      <c r="F72" s="15"/>
      <c r="G72" s="15"/>
      <c r="H72" s="15">
        <v>4</v>
      </c>
      <c r="I72" s="15">
        <v>12</v>
      </c>
      <c r="J72" s="15">
        <v>16</v>
      </c>
      <c r="K72" s="15">
        <v>12</v>
      </c>
      <c r="L72" s="15">
        <v>4</v>
      </c>
      <c r="M72" s="15">
        <f t="shared" si="9"/>
        <v>48</v>
      </c>
      <c r="N72" s="15"/>
      <c r="O72" s="15" t="s">
        <v>52</v>
      </c>
      <c r="P72" s="27"/>
      <c r="T72" s="26"/>
      <c r="U72" s="15"/>
      <c r="V72" s="15"/>
      <c r="W72" s="15">
        <v>4</v>
      </c>
      <c r="X72" s="15">
        <v>12</v>
      </c>
      <c r="Y72" s="15">
        <v>16</v>
      </c>
      <c r="Z72" s="15">
        <v>12</v>
      </c>
      <c r="AA72" s="15">
        <v>4</v>
      </c>
      <c r="AB72" s="15">
        <f t="shared" si="24"/>
        <v>48</v>
      </c>
      <c r="AC72" s="15"/>
      <c r="AD72" s="15" t="s">
        <v>52</v>
      </c>
      <c r="AE72" s="27"/>
    </row>
    <row r="73" spans="5:31">
      <c r="E73" s="38"/>
      <c r="F73" s="39"/>
      <c r="G73" s="39"/>
      <c r="H73" s="39">
        <v>1</v>
      </c>
      <c r="I73" s="39">
        <v>3</v>
      </c>
      <c r="J73" s="39">
        <v>4</v>
      </c>
      <c r="K73" s="39">
        <v>3</v>
      </c>
      <c r="L73" s="39">
        <v>1</v>
      </c>
      <c r="M73" s="39">
        <f t="shared" si="9"/>
        <v>12</v>
      </c>
      <c r="N73" s="39"/>
      <c r="O73" s="39" t="s">
        <v>53</v>
      </c>
      <c r="P73" s="27"/>
      <c r="T73" s="26"/>
      <c r="U73" s="15"/>
      <c r="V73" s="15"/>
      <c r="W73" s="15">
        <v>2</v>
      </c>
      <c r="X73" s="15">
        <v>6</v>
      </c>
      <c r="Y73" s="15">
        <v>8</v>
      </c>
      <c r="Z73" s="15">
        <v>6</v>
      </c>
      <c r="AA73" s="15">
        <v>2</v>
      </c>
      <c r="AB73" s="15">
        <f t="shared" si="24"/>
        <v>24</v>
      </c>
      <c r="AC73" s="15"/>
      <c r="AD73" s="15" t="s">
        <v>53</v>
      </c>
      <c r="AE73" s="27"/>
    </row>
    <row r="74" spans="5:31" ht="15.75" thickBot="1">
      <c r="E74" s="26"/>
      <c r="F74" s="15"/>
      <c r="G74" s="15"/>
      <c r="H74" s="15">
        <v>2</v>
      </c>
      <c r="I74" s="15">
        <v>3</v>
      </c>
      <c r="J74" s="15">
        <v>3</v>
      </c>
      <c r="K74" s="15">
        <v>1</v>
      </c>
      <c r="L74" s="15">
        <v>0</v>
      </c>
      <c r="M74" s="15">
        <f t="shared" si="9"/>
        <v>9</v>
      </c>
      <c r="N74" s="15"/>
      <c r="O74" s="15" t="s">
        <v>54</v>
      </c>
      <c r="P74" s="27"/>
      <c r="T74" s="26"/>
      <c r="U74" s="15"/>
      <c r="V74" s="15"/>
      <c r="W74" s="15">
        <v>2</v>
      </c>
      <c r="X74" s="15">
        <v>3</v>
      </c>
      <c r="Y74" s="15">
        <v>3</v>
      </c>
      <c r="Z74" s="15">
        <v>1</v>
      </c>
      <c r="AA74" s="15">
        <v>0</v>
      </c>
      <c r="AB74" s="15">
        <f t="shared" si="24"/>
        <v>9</v>
      </c>
      <c r="AC74" s="15"/>
      <c r="AD74" s="15" t="s">
        <v>54</v>
      </c>
      <c r="AE74" s="27"/>
    </row>
    <row r="75" spans="5:31" ht="15.75" thickBot="1">
      <c r="E75" s="31"/>
      <c r="F75" s="32" t="s">
        <v>21</v>
      </c>
      <c r="G75" s="32">
        <f>SUM(G49:G74)</f>
        <v>1</v>
      </c>
      <c r="H75" s="32">
        <f>SUM(H49:H74)</f>
        <v>95</v>
      </c>
      <c r="I75" s="32">
        <f t="shared" ref="I75:L75" si="25">SUM(I49:I74)</f>
        <v>212</v>
      </c>
      <c r="J75" s="32">
        <f t="shared" si="25"/>
        <v>260</v>
      </c>
      <c r="K75" s="32">
        <f t="shared" si="25"/>
        <v>166</v>
      </c>
      <c r="L75" s="32">
        <f t="shared" si="25"/>
        <v>49</v>
      </c>
      <c r="M75" s="32">
        <f>SUM(M49:M74)</f>
        <v>783</v>
      </c>
      <c r="N75" s="32"/>
      <c r="O75" s="32"/>
      <c r="P75" s="33"/>
      <c r="T75" s="31"/>
      <c r="U75" s="32" t="s">
        <v>21</v>
      </c>
      <c r="V75" s="32">
        <f>SUM(V49:V74)</f>
        <v>1</v>
      </c>
      <c r="W75" s="32">
        <f>SUM(W49:W74)</f>
        <v>99</v>
      </c>
      <c r="X75" s="32">
        <f t="shared" ref="X75" si="26">SUM(X49:X74)</f>
        <v>220</v>
      </c>
      <c r="Y75" s="32">
        <f t="shared" ref="Y75" si="27">SUM(Y49:Y74)</f>
        <v>270</v>
      </c>
      <c r="Z75" s="32">
        <f t="shared" ref="Z75" si="28">SUM(Z49:Z74)</f>
        <v>172</v>
      </c>
      <c r="AA75" s="32">
        <f t="shared" ref="AA75" si="29">SUM(AA49:AA74)</f>
        <v>51</v>
      </c>
      <c r="AB75" s="32">
        <f>SUM(AB49:AB74)</f>
        <v>813</v>
      </c>
      <c r="AC75" s="32"/>
      <c r="AD75" s="32"/>
      <c r="AE75" s="33"/>
    </row>
    <row r="77" spans="5:31" ht="15.75" thickBot="1"/>
    <row r="78" spans="5:31" ht="19.5" thickBot="1">
      <c r="E78" s="43" t="s">
        <v>1</v>
      </c>
      <c r="F78" s="4" t="s">
        <v>57</v>
      </c>
      <c r="G78" s="4" t="s">
        <v>3</v>
      </c>
      <c r="H78" s="4" t="s">
        <v>4</v>
      </c>
      <c r="I78" s="4" t="s">
        <v>5</v>
      </c>
      <c r="J78" s="4" t="s">
        <v>6</v>
      </c>
      <c r="K78" s="4" t="s">
        <v>7</v>
      </c>
      <c r="L78" s="4" t="s">
        <v>8</v>
      </c>
      <c r="M78" s="4" t="s">
        <v>9</v>
      </c>
      <c r="N78" s="4" t="s">
        <v>10</v>
      </c>
      <c r="O78" s="4" t="s">
        <v>11</v>
      </c>
      <c r="P78" s="5" t="s">
        <v>12</v>
      </c>
      <c r="T78" s="43" t="s">
        <v>1</v>
      </c>
      <c r="U78" s="4" t="s">
        <v>57</v>
      </c>
      <c r="V78" s="4" t="s">
        <v>3</v>
      </c>
      <c r="W78" s="4" t="s">
        <v>4</v>
      </c>
      <c r="X78" s="4" t="s">
        <v>5</v>
      </c>
      <c r="Y78" s="4" t="s">
        <v>6</v>
      </c>
      <c r="Z78" s="4" t="s">
        <v>7</v>
      </c>
      <c r="AA78" s="4" t="s">
        <v>8</v>
      </c>
      <c r="AB78" s="4" t="s">
        <v>9</v>
      </c>
      <c r="AC78" s="4" t="s">
        <v>10</v>
      </c>
      <c r="AD78" s="4" t="s">
        <v>11</v>
      </c>
      <c r="AE78" s="5" t="s">
        <v>12</v>
      </c>
    </row>
    <row r="79" spans="5:31" ht="15.75" thickBot="1">
      <c r="E79" s="31" t="s">
        <v>16</v>
      </c>
      <c r="F79" s="32" t="s">
        <v>17</v>
      </c>
      <c r="G79" s="32"/>
      <c r="H79" s="32">
        <v>2</v>
      </c>
      <c r="I79" s="32">
        <v>3</v>
      </c>
      <c r="J79" s="32">
        <v>3</v>
      </c>
      <c r="K79" s="32">
        <v>1</v>
      </c>
      <c r="L79" s="32"/>
      <c r="M79" s="32">
        <f>SUM(G79:L79)</f>
        <v>9</v>
      </c>
      <c r="N79" s="32"/>
      <c r="O79" s="32" t="s">
        <v>24</v>
      </c>
      <c r="P79" s="33"/>
      <c r="T79" s="31" t="s">
        <v>16</v>
      </c>
      <c r="U79" s="32" t="s">
        <v>17</v>
      </c>
      <c r="V79" s="32"/>
      <c r="W79" s="32">
        <v>2</v>
      </c>
      <c r="X79" s="32">
        <v>3</v>
      </c>
      <c r="Y79" s="32">
        <v>3</v>
      </c>
      <c r="Z79" s="32">
        <v>1</v>
      </c>
      <c r="AA79" s="32"/>
      <c r="AB79" s="32">
        <f>SUM(V79:AA79)</f>
        <v>9</v>
      </c>
      <c r="AC79" s="32"/>
      <c r="AD79" s="32" t="s">
        <v>24</v>
      </c>
      <c r="AE79" s="33"/>
    </row>
    <row r="80" spans="5:31" ht="15.75" thickBot="1">
      <c r="E80" s="36" t="s">
        <v>22</v>
      </c>
      <c r="F80" s="37" t="s">
        <v>23</v>
      </c>
      <c r="G80" s="37"/>
      <c r="H80" s="37">
        <v>4</v>
      </c>
      <c r="I80" s="37">
        <v>8</v>
      </c>
      <c r="J80" s="37">
        <v>8</v>
      </c>
      <c r="K80" s="37">
        <v>4</v>
      </c>
      <c r="L80" s="37"/>
      <c r="M80" s="37">
        <f t="shared" ref="M80:M105" si="30">SUM(G80:L80)</f>
        <v>24</v>
      </c>
      <c r="N80" s="37"/>
      <c r="O80" s="37" t="s">
        <v>15</v>
      </c>
      <c r="P80" s="33"/>
      <c r="T80" s="31" t="s">
        <v>22</v>
      </c>
      <c r="U80" s="32" t="s">
        <v>23</v>
      </c>
      <c r="V80" s="32"/>
      <c r="W80" s="32">
        <v>16</v>
      </c>
      <c r="X80" s="32">
        <v>32</v>
      </c>
      <c r="Y80" s="32">
        <v>32</v>
      </c>
      <c r="Z80" s="32">
        <v>16</v>
      </c>
      <c r="AA80" s="32"/>
      <c r="AB80" s="32">
        <f t="shared" ref="AB80:AB105" si="31">SUM(V80:AA80)</f>
        <v>96</v>
      </c>
      <c r="AC80" s="32"/>
      <c r="AD80" s="32" t="s">
        <v>15</v>
      </c>
      <c r="AE80" s="33"/>
    </row>
    <row r="81" spans="5:31">
      <c r="E81" s="16" t="s">
        <v>29</v>
      </c>
      <c r="F81" s="17" t="s">
        <v>30</v>
      </c>
      <c r="G81" s="17"/>
      <c r="H81" s="17">
        <v>4</v>
      </c>
      <c r="I81" s="17">
        <v>8</v>
      </c>
      <c r="J81" s="17">
        <v>8</v>
      </c>
      <c r="K81" s="17">
        <v>4</v>
      </c>
      <c r="L81" s="17">
        <v>0</v>
      </c>
      <c r="M81" s="17">
        <f t="shared" si="30"/>
        <v>24</v>
      </c>
      <c r="N81" s="17"/>
      <c r="O81" s="17" t="s">
        <v>15</v>
      </c>
      <c r="P81" s="18"/>
      <c r="T81" s="16" t="s">
        <v>29</v>
      </c>
      <c r="U81" s="17" t="s">
        <v>30</v>
      </c>
      <c r="V81" s="17"/>
      <c r="W81" s="17">
        <v>4</v>
      </c>
      <c r="X81" s="17">
        <v>8</v>
      </c>
      <c r="Y81" s="17">
        <v>8</v>
      </c>
      <c r="Z81" s="17">
        <v>4</v>
      </c>
      <c r="AA81" s="17">
        <v>0</v>
      </c>
      <c r="AB81" s="17">
        <f t="shared" si="31"/>
        <v>24</v>
      </c>
      <c r="AC81" s="17"/>
      <c r="AD81" s="17" t="s">
        <v>15</v>
      </c>
      <c r="AE81" s="18"/>
    </row>
    <row r="82" spans="5:31">
      <c r="E82" s="38"/>
      <c r="F82" s="39"/>
      <c r="G82" s="39"/>
      <c r="H82" s="39">
        <v>6</v>
      </c>
      <c r="I82" s="39">
        <v>18</v>
      </c>
      <c r="J82" s="39">
        <v>24</v>
      </c>
      <c r="K82" s="39">
        <v>18</v>
      </c>
      <c r="L82" s="39">
        <v>6</v>
      </c>
      <c r="M82" s="39">
        <f t="shared" si="30"/>
        <v>72</v>
      </c>
      <c r="N82" s="39"/>
      <c r="O82" s="39" t="s">
        <v>18</v>
      </c>
      <c r="P82" s="27"/>
      <c r="T82" s="26"/>
      <c r="U82" s="15"/>
      <c r="V82" s="15"/>
      <c r="W82" s="15">
        <v>1</v>
      </c>
      <c r="X82" s="15">
        <v>3</v>
      </c>
      <c r="Y82" s="15">
        <v>4</v>
      </c>
      <c r="Z82" s="15">
        <v>3</v>
      </c>
      <c r="AA82" s="15">
        <v>1</v>
      </c>
      <c r="AB82" s="15">
        <f t="shared" si="31"/>
        <v>12</v>
      </c>
      <c r="AC82" s="15"/>
      <c r="AD82" s="15" t="s">
        <v>18</v>
      </c>
      <c r="AE82" s="27"/>
    </row>
    <row r="83" spans="5:31">
      <c r="E83" s="26"/>
      <c r="F83" s="15"/>
      <c r="G83" s="15"/>
      <c r="H83" s="15">
        <v>0</v>
      </c>
      <c r="I83" s="15">
        <v>2</v>
      </c>
      <c r="J83" s="15">
        <v>3</v>
      </c>
      <c r="K83" s="15">
        <v>2</v>
      </c>
      <c r="L83" s="15">
        <v>2</v>
      </c>
      <c r="M83" s="15">
        <f t="shared" si="30"/>
        <v>9</v>
      </c>
      <c r="N83" s="15"/>
      <c r="O83" s="15" t="s">
        <v>20</v>
      </c>
      <c r="P83" s="27"/>
      <c r="T83" s="26"/>
      <c r="U83" s="15"/>
      <c r="V83" s="15"/>
      <c r="W83" s="15">
        <v>0</v>
      </c>
      <c r="X83" s="15">
        <v>2</v>
      </c>
      <c r="Y83" s="15">
        <v>3</v>
      </c>
      <c r="Z83" s="15">
        <v>2</v>
      </c>
      <c r="AA83" s="15">
        <v>2</v>
      </c>
      <c r="AB83" s="15">
        <f t="shared" si="31"/>
        <v>9</v>
      </c>
      <c r="AC83" s="15"/>
      <c r="AD83" s="15" t="s">
        <v>20</v>
      </c>
      <c r="AE83" s="27"/>
    </row>
    <row r="84" spans="5:31">
      <c r="E84" s="38"/>
      <c r="F84" s="39"/>
      <c r="G84" s="39"/>
      <c r="H84" s="39">
        <v>4</v>
      </c>
      <c r="I84" s="39">
        <v>6</v>
      </c>
      <c r="J84" s="39">
        <v>6</v>
      </c>
      <c r="K84" s="39">
        <v>2</v>
      </c>
      <c r="L84" s="39">
        <v>0</v>
      </c>
      <c r="M84" s="39">
        <f t="shared" si="30"/>
        <v>18</v>
      </c>
      <c r="N84" s="39"/>
      <c r="O84" s="39" t="s">
        <v>58</v>
      </c>
      <c r="P84" s="27"/>
      <c r="T84" s="26"/>
      <c r="U84" s="15"/>
      <c r="V84" s="15"/>
      <c r="W84" s="15">
        <v>2</v>
      </c>
      <c r="X84" s="15">
        <v>3</v>
      </c>
      <c r="Y84" s="15">
        <v>3</v>
      </c>
      <c r="Z84" s="15">
        <v>1</v>
      </c>
      <c r="AA84" s="15">
        <v>0</v>
      </c>
      <c r="AB84" s="15">
        <f t="shared" si="31"/>
        <v>9</v>
      </c>
      <c r="AC84" s="15"/>
      <c r="AD84" s="15" t="s">
        <v>58</v>
      </c>
      <c r="AE84" s="27"/>
    </row>
    <row r="85" spans="5:31">
      <c r="E85" s="26"/>
      <c r="F85" s="15"/>
      <c r="G85" s="15"/>
      <c r="H85" s="15">
        <v>1</v>
      </c>
      <c r="I85" s="15">
        <v>3</v>
      </c>
      <c r="J85" s="15">
        <v>4</v>
      </c>
      <c r="K85" s="15">
        <v>3</v>
      </c>
      <c r="L85" s="15">
        <v>1</v>
      </c>
      <c r="M85" s="15">
        <f t="shared" si="30"/>
        <v>12</v>
      </c>
      <c r="N85" s="15"/>
      <c r="O85" s="15" t="s">
        <v>59</v>
      </c>
      <c r="P85" s="27"/>
      <c r="T85" s="26"/>
      <c r="U85" s="15"/>
      <c r="V85" s="15"/>
      <c r="W85" s="15">
        <v>1</v>
      </c>
      <c r="X85" s="15">
        <v>3</v>
      </c>
      <c r="Y85" s="15">
        <v>4</v>
      </c>
      <c r="Z85" s="15">
        <v>3</v>
      </c>
      <c r="AA85" s="15">
        <v>1</v>
      </c>
      <c r="AB85" s="15">
        <f t="shared" si="31"/>
        <v>12</v>
      </c>
      <c r="AC85" s="15"/>
      <c r="AD85" s="15" t="s">
        <v>59</v>
      </c>
      <c r="AE85" s="27"/>
    </row>
    <row r="86" spans="5:31">
      <c r="E86" s="26"/>
      <c r="F86" s="15"/>
      <c r="G86" s="15"/>
      <c r="H86" s="15">
        <v>2</v>
      </c>
      <c r="I86" s="15">
        <v>3</v>
      </c>
      <c r="J86" s="15">
        <v>3</v>
      </c>
      <c r="K86" s="15">
        <v>1</v>
      </c>
      <c r="L86" s="15">
        <v>0</v>
      </c>
      <c r="M86" s="15">
        <f t="shared" si="30"/>
        <v>9</v>
      </c>
      <c r="N86" s="15"/>
      <c r="O86" s="15" t="s">
        <v>60</v>
      </c>
      <c r="P86" s="27"/>
      <c r="T86" s="26"/>
      <c r="U86" s="15"/>
      <c r="V86" s="15"/>
      <c r="W86" s="15">
        <v>2</v>
      </c>
      <c r="X86" s="15">
        <v>3</v>
      </c>
      <c r="Y86" s="15">
        <v>3</v>
      </c>
      <c r="Z86" s="15">
        <v>1</v>
      </c>
      <c r="AA86" s="15">
        <v>0</v>
      </c>
      <c r="AB86" s="15">
        <f t="shared" si="31"/>
        <v>9</v>
      </c>
      <c r="AC86" s="15"/>
      <c r="AD86" s="15" t="s">
        <v>60</v>
      </c>
      <c r="AE86" s="27"/>
    </row>
    <row r="87" spans="5:31">
      <c r="E87" s="26"/>
      <c r="F87" s="15"/>
      <c r="G87" s="15"/>
      <c r="H87" s="15">
        <v>2</v>
      </c>
      <c r="I87" s="15">
        <v>4</v>
      </c>
      <c r="J87" s="15">
        <v>4</v>
      </c>
      <c r="K87" s="15">
        <v>2</v>
      </c>
      <c r="L87" s="15">
        <v>0</v>
      </c>
      <c r="M87" s="15">
        <f t="shared" si="30"/>
        <v>12</v>
      </c>
      <c r="N87" s="15"/>
      <c r="O87" s="15" t="s">
        <v>61</v>
      </c>
      <c r="P87" s="27"/>
      <c r="T87" s="26"/>
      <c r="U87" s="15"/>
      <c r="V87" s="15"/>
      <c r="W87" s="15">
        <v>2</v>
      </c>
      <c r="X87" s="15">
        <v>4</v>
      </c>
      <c r="Y87" s="15">
        <v>4</v>
      </c>
      <c r="Z87" s="15">
        <v>2</v>
      </c>
      <c r="AA87" s="15">
        <v>0</v>
      </c>
      <c r="AB87" s="15">
        <f t="shared" si="31"/>
        <v>12</v>
      </c>
      <c r="AC87" s="15"/>
      <c r="AD87" s="15" t="s">
        <v>61</v>
      </c>
      <c r="AE87" s="27"/>
    </row>
    <row r="88" spans="5:31">
      <c r="E88" s="26"/>
      <c r="F88" s="15"/>
      <c r="G88" s="15"/>
      <c r="H88" s="15">
        <v>8</v>
      </c>
      <c r="I88" s="15">
        <v>16</v>
      </c>
      <c r="J88" s="15">
        <v>24</v>
      </c>
      <c r="K88" s="15">
        <v>16</v>
      </c>
      <c r="L88" s="15">
        <v>8</v>
      </c>
      <c r="M88" s="15">
        <f t="shared" si="30"/>
        <v>72</v>
      </c>
      <c r="N88" s="15"/>
      <c r="O88" s="15" t="s">
        <v>62</v>
      </c>
      <c r="P88" s="27"/>
      <c r="T88" s="26"/>
      <c r="U88" s="15"/>
      <c r="V88" s="15"/>
      <c r="W88" s="15">
        <v>8</v>
      </c>
      <c r="X88" s="15">
        <v>16</v>
      </c>
      <c r="Y88" s="15">
        <v>24</v>
      </c>
      <c r="Z88" s="15">
        <v>16</v>
      </c>
      <c r="AA88" s="15">
        <v>8</v>
      </c>
      <c r="AB88" s="15">
        <f t="shared" si="31"/>
        <v>72</v>
      </c>
      <c r="AC88" s="15"/>
      <c r="AD88" s="15" t="s">
        <v>62</v>
      </c>
      <c r="AE88" s="27"/>
    </row>
    <row r="89" spans="5:31">
      <c r="E89" s="26"/>
      <c r="F89" s="15"/>
      <c r="G89" s="15"/>
      <c r="H89" s="15">
        <v>4</v>
      </c>
      <c r="I89" s="15">
        <v>5</v>
      </c>
      <c r="J89" s="15">
        <v>0</v>
      </c>
      <c r="K89" s="15">
        <v>0</v>
      </c>
      <c r="L89" s="15">
        <v>0</v>
      </c>
      <c r="M89" s="15">
        <f t="shared" si="30"/>
        <v>9</v>
      </c>
      <c r="N89" s="15"/>
      <c r="O89" s="15" t="s">
        <v>63</v>
      </c>
      <c r="P89" s="27"/>
      <c r="T89" s="26"/>
      <c r="U89" s="15"/>
      <c r="V89" s="15"/>
      <c r="W89" s="15">
        <v>4</v>
      </c>
      <c r="X89" s="15">
        <v>5</v>
      </c>
      <c r="Y89" s="15">
        <v>0</v>
      </c>
      <c r="Z89" s="15">
        <v>0</v>
      </c>
      <c r="AA89" s="15">
        <v>0</v>
      </c>
      <c r="AB89" s="15">
        <f t="shared" si="31"/>
        <v>9</v>
      </c>
      <c r="AC89" s="15"/>
      <c r="AD89" s="15" t="s">
        <v>63</v>
      </c>
      <c r="AE89" s="27"/>
    </row>
    <row r="90" spans="5:31">
      <c r="E90" s="26"/>
      <c r="F90" s="15"/>
      <c r="G90" s="15"/>
      <c r="H90" s="15">
        <v>0</v>
      </c>
      <c r="I90" s="15">
        <v>0</v>
      </c>
      <c r="J90" s="15">
        <v>8</v>
      </c>
      <c r="K90" s="15">
        <v>2</v>
      </c>
      <c r="L90" s="15">
        <v>0</v>
      </c>
      <c r="M90" s="15">
        <f t="shared" si="30"/>
        <v>10</v>
      </c>
      <c r="N90" s="15"/>
      <c r="O90" s="15" t="s">
        <v>64</v>
      </c>
      <c r="P90" s="27"/>
      <c r="T90" s="26"/>
      <c r="U90" s="15"/>
      <c r="V90" s="15"/>
      <c r="W90" s="15">
        <v>0</v>
      </c>
      <c r="X90" s="15">
        <v>0</v>
      </c>
      <c r="Y90" s="15">
        <v>8</v>
      </c>
      <c r="Z90" s="15">
        <v>2</v>
      </c>
      <c r="AA90" s="15">
        <v>0</v>
      </c>
      <c r="AB90" s="15">
        <f t="shared" si="31"/>
        <v>10</v>
      </c>
      <c r="AC90" s="15"/>
      <c r="AD90" s="15" t="s">
        <v>64</v>
      </c>
      <c r="AE90" s="27"/>
    </row>
    <row r="91" spans="5:31">
      <c r="E91" s="26"/>
      <c r="F91" s="15"/>
      <c r="G91" s="15"/>
      <c r="H91" s="15">
        <v>20</v>
      </c>
      <c r="I91" s="15">
        <v>0</v>
      </c>
      <c r="J91" s="15">
        <v>0</v>
      </c>
      <c r="K91" s="15">
        <v>0</v>
      </c>
      <c r="L91" s="15">
        <v>0</v>
      </c>
      <c r="M91" s="15">
        <f t="shared" si="30"/>
        <v>20</v>
      </c>
      <c r="N91" s="15"/>
      <c r="O91" s="15" t="s">
        <v>65</v>
      </c>
      <c r="P91" s="27"/>
      <c r="T91" s="26"/>
      <c r="U91" s="15"/>
      <c r="V91" s="15"/>
      <c r="W91" s="15">
        <v>20</v>
      </c>
      <c r="X91" s="15">
        <v>0</v>
      </c>
      <c r="Y91" s="15">
        <v>0</v>
      </c>
      <c r="Z91" s="15">
        <v>0</v>
      </c>
      <c r="AA91" s="15">
        <v>0</v>
      </c>
      <c r="AB91" s="15">
        <f t="shared" si="31"/>
        <v>20</v>
      </c>
      <c r="AC91" s="15"/>
      <c r="AD91" s="15" t="s">
        <v>65</v>
      </c>
      <c r="AE91" s="27"/>
    </row>
    <row r="92" spans="5:31">
      <c r="E92" s="26"/>
      <c r="F92" s="15"/>
      <c r="G92" s="15"/>
      <c r="H92" s="15">
        <v>0</v>
      </c>
      <c r="I92" s="15">
        <v>40</v>
      </c>
      <c r="J92" s="15">
        <v>0</v>
      </c>
      <c r="K92" s="15">
        <v>0</v>
      </c>
      <c r="L92" s="15">
        <v>0</v>
      </c>
      <c r="M92" s="15">
        <f t="shared" si="30"/>
        <v>40</v>
      </c>
      <c r="N92" s="15"/>
      <c r="O92" s="15" t="s">
        <v>66</v>
      </c>
      <c r="P92" s="27"/>
      <c r="T92" s="26"/>
      <c r="U92" s="15"/>
      <c r="V92" s="15"/>
      <c r="W92" s="15">
        <v>0</v>
      </c>
      <c r="X92" s="15">
        <v>40</v>
      </c>
      <c r="Y92" s="15">
        <v>0</v>
      </c>
      <c r="Z92" s="15">
        <v>0</v>
      </c>
      <c r="AA92" s="15">
        <v>0</v>
      </c>
      <c r="AB92" s="15">
        <f t="shared" si="31"/>
        <v>40</v>
      </c>
      <c r="AC92" s="15"/>
      <c r="AD92" s="15" t="s">
        <v>66</v>
      </c>
      <c r="AE92" s="27"/>
    </row>
    <row r="93" spans="5:31">
      <c r="E93" s="26"/>
      <c r="F93" s="15"/>
      <c r="G93" s="15"/>
      <c r="H93" s="15">
        <v>0</v>
      </c>
      <c r="I93" s="15">
        <v>0</v>
      </c>
      <c r="J93" s="15">
        <v>40</v>
      </c>
      <c r="K93" s="15">
        <v>0</v>
      </c>
      <c r="L93" s="15">
        <v>0</v>
      </c>
      <c r="M93" s="15">
        <f t="shared" si="30"/>
        <v>40</v>
      </c>
      <c r="N93" s="15"/>
      <c r="O93" s="15" t="s">
        <v>67</v>
      </c>
      <c r="P93" s="27"/>
      <c r="T93" s="26"/>
      <c r="U93" s="15"/>
      <c r="V93" s="15"/>
      <c r="W93" s="15">
        <v>0</v>
      </c>
      <c r="X93" s="15">
        <v>0</v>
      </c>
      <c r="Y93" s="15">
        <v>40</v>
      </c>
      <c r="Z93" s="15">
        <v>0</v>
      </c>
      <c r="AA93" s="15">
        <v>0</v>
      </c>
      <c r="AB93" s="15">
        <f t="shared" si="31"/>
        <v>40</v>
      </c>
      <c r="AC93" s="15"/>
      <c r="AD93" s="15" t="s">
        <v>67</v>
      </c>
      <c r="AE93" s="27"/>
    </row>
    <row r="94" spans="5:31">
      <c r="E94" s="26"/>
      <c r="F94" s="15"/>
      <c r="G94" s="15"/>
      <c r="H94" s="15">
        <v>0</v>
      </c>
      <c r="I94" s="15">
        <v>0</v>
      </c>
      <c r="J94" s="15">
        <v>0</v>
      </c>
      <c r="K94" s="15">
        <v>20</v>
      </c>
      <c r="L94" s="15">
        <v>0</v>
      </c>
      <c r="M94" s="15">
        <f t="shared" si="30"/>
        <v>20</v>
      </c>
      <c r="N94" s="15"/>
      <c r="O94" s="15" t="s">
        <v>68</v>
      </c>
      <c r="P94" s="27"/>
      <c r="T94" s="26"/>
      <c r="U94" s="15"/>
      <c r="V94" s="15"/>
      <c r="W94" s="15">
        <v>0</v>
      </c>
      <c r="X94" s="15">
        <v>0</v>
      </c>
      <c r="Y94" s="15">
        <v>0</v>
      </c>
      <c r="Z94" s="15">
        <v>20</v>
      </c>
      <c r="AA94" s="15">
        <v>0</v>
      </c>
      <c r="AB94" s="15">
        <f t="shared" si="31"/>
        <v>20</v>
      </c>
      <c r="AC94" s="15"/>
      <c r="AD94" s="15" t="s">
        <v>68</v>
      </c>
      <c r="AE94" s="27"/>
    </row>
    <row r="95" spans="5:31">
      <c r="E95" s="26"/>
      <c r="F95" s="15"/>
      <c r="G95" s="15"/>
      <c r="H95" s="15">
        <v>0</v>
      </c>
      <c r="I95" s="15">
        <v>0</v>
      </c>
      <c r="J95" s="15">
        <v>0</v>
      </c>
      <c r="K95" s="15">
        <v>0</v>
      </c>
      <c r="L95" s="15">
        <v>10</v>
      </c>
      <c r="M95" s="15">
        <f t="shared" si="30"/>
        <v>10</v>
      </c>
      <c r="N95" s="15"/>
      <c r="O95" s="15" t="s">
        <v>69</v>
      </c>
      <c r="P95" s="27"/>
      <c r="T95" s="26"/>
      <c r="U95" s="15"/>
      <c r="V95" s="15"/>
      <c r="W95" s="15">
        <v>0</v>
      </c>
      <c r="X95" s="15">
        <v>0</v>
      </c>
      <c r="Y95" s="15">
        <v>0</v>
      </c>
      <c r="Z95" s="15">
        <v>0</v>
      </c>
      <c r="AA95" s="15">
        <v>10</v>
      </c>
      <c r="AB95" s="15">
        <f t="shared" si="31"/>
        <v>10</v>
      </c>
      <c r="AC95" s="15"/>
      <c r="AD95" s="15" t="s">
        <v>69</v>
      </c>
      <c r="AE95" s="27"/>
    </row>
    <row r="96" spans="5:31">
      <c r="E96" s="26"/>
      <c r="F96" s="15"/>
      <c r="G96" s="15"/>
      <c r="H96" s="15">
        <v>2</v>
      </c>
      <c r="I96" s="15">
        <v>4</v>
      </c>
      <c r="J96" s="15">
        <v>4</v>
      </c>
      <c r="K96" s="15">
        <v>2</v>
      </c>
      <c r="L96" s="15">
        <v>0</v>
      </c>
      <c r="M96" s="15">
        <f t="shared" si="30"/>
        <v>12</v>
      </c>
      <c r="N96" s="15"/>
      <c r="O96" s="15" t="s">
        <v>70</v>
      </c>
      <c r="P96" s="27"/>
      <c r="T96" s="26"/>
      <c r="U96" s="15"/>
      <c r="V96" s="15"/>
      <c r="W96" s="15">
        <v>2</v>
      </c>
      <c r="X96" s="15">
        <v>4</v>
      </c>
      <c r="Y96" s="15">
        <v>4</v>
      </c>
      <c r="Z96" s="15">
        <v>2</v>
      </c>
      <c r="AA96" s="15">
        <v>0</v>
      </c>
      <c r="AB96" s="15">
        <f t="shared" si="31"/>
        <v>12</v>
      </c>
      <c r="AC96" s="15"/>
      <c r="AD96" s="15" t="s">
        <v>70</v>
      </c>
      <c r="AE96" s="27"/>
    </row>
    <row r="97" spans="5:31">
      <c r="E97" s="26"/>
      <c r="F97" s="15"/>
      <c r="G97" s="15"/>
      <c r="H97" s="15">
        <v>2</v>
      </c>
      <c r="I97" s="15">
        <v>3</v>
      </c>
      <c r="J97" s="15">
        <v>3</v>
      </c>
      <c r="K97" s="15">
        <v>1</v>
      </c>
      <c r="L97" s="15">
        <v>0</v>
      </c>
      <c r="M97" s="15">
        <f t="shared" si="30"/>
        <v>9</v>
      </c>
      <c r="N97" s="15"/>
      <c r="O97" s="15" t="s">
        <v>71</v>
      </c>
      <c r="P97" s="27"/>
      <c r="T97" s="26"/>
      <c r="U97" s="15"/>
      <c r="V97" s="15"/>
      <c r="W97" s="15">
        <v>2</v>
      </c>
      <c r="X97" s="15">
        <v>3</v>
      </c>
      <c r="Y97" s="15">
        <v>3</v>
      </c>
      <c r="Z97" s="15">
        <v>1</v>
      </c>
      <c r="AA97" s="15">
        <v>0</v>
      </c>
      <c r="AB97" s="15">
        <f t="shared" si="31"/>
        <v>9</v>
      </c>
      <c r="AC97" s="15"/>
      <c r="AD97" s="15" t="s">
        <v>71</v>
      </c>
      <c r="AE97" s="27"/>
    </row>
    <row r="98" spans="5:31">
      <c r="E98" s="26"/>
      <c r="F98" s="15"/>
      <c r="G98" s="15"/>
      <c r="H98" s="15">
        <v>1</v>
      </c>
      <c r="I98" s="15">
        <v>3</v>
      </c>
      <c r="J98" s="15">
        <v>4</v>
      </c>
      <c r="K98" s="15">
        <v>3</v>
      </c>
      <c r="L98" s="15">
        <v>1</v>
      </c>
      <c r="M98" s="15">
        <f t="shared" si="30"/>
        <v>12</v>
      </c>
      <c r="N98" s="15"/>
      <c r="O98" s="15" t="s">
        <v>72</v>
      </c>
      <c r="P98" s="27"/>
      <c r="T98" s="26"/>
      <c r="U98" s="15"/>
      <c r="V98" s="15"/>
      <c r="W98" s="15">
        <v>1</v>
      </c>
      <c r="X98" s="15">
        <v>3</v>
      </c>
      <c r="Y98" s="15">
        <v>4</v>
      </c>
      <c r="Z98" s="15">
        <v>3</v>
      </c>
      <c r="AA98" s="15">
        <v>1</v>
      </c>
      <c r="AB98" s="15">
        <f t="shared" si="31"/>
        <v>12</v>
      </c>
      <c r="AC98" s="15"/>
      <c r="AD98" s="15" t="s">
        <v>72</v>
      </c>
      <c r="AE98" s="27"/>
    </row>
    <row r="99" spans="5:31">
      <c r="E99" s="26"/>
      <c r="F99" s="15"/>
      <c r="G99" s="15">
        <v>1</v>
      </c>
      <c r="H99" s="15">
        <v>2</v>
      </c>
      <c r="I99" s="15">
        <v>3</v>
      </c>
      <c r="J99" s="15">
        <v>2</v>
      </c>
      <c r="K99" s="15">
        <v>1</v>
      </c>
      <c r="L99" s="15">
        <v>0</v>
      </c>
      <c r="M99" s="15">
        <f t="shared" si="30"/>
        <v>9</v>
      </c>
      <c r="N99" s="15"/>
      <c r="O99" s="15" t="s">
        <v>73</v>
      </c>
      <c r="P99" s="27"/>
      <c r="T99" s="26"/>
      <c r="U99" s="15"/>
      <c r="V99" s="15">
        <v>1</v>
      </c>
      <c r="W99" s="15">
        <v>2</v>
      </c>
      <c r="X99" s="15">
        <v>3</v>
      </c>
      <c r="Y99" s="15">
        <v>2</v>
      </c>
      <c r="Z99" s="15">
        <v>1</v>
      </c>
      <c r="AA99" s="15">
        <v>0</v>
      </c>
      <c r="AB99" s="15">
        <f t="shared" si="31"/>
        <v>9</v>
      </c>
      <c r="AC99" s="15"/>
      <c r="AD99" s="15" t="s">
        <v>73</v>
      </c>
      <c r="AE99" s="27"/>
    </row>
    <row r="100" spans="5:31">
      <c r="E100" s="26"/>
      <c r="F100" s="15"/>
      <c r="G100" s="15"/>
      <c r="H100" s="15">
        <v>4</v>
      </c>
      <c r="I100" s="15">
        <v>8</v>
      </c>
      <c r="J100" s="15">
        <v>8</v>
      </c>
      <c r="K100" s="15">
        <v>4</v>
      </c>
      <c r="L100" s="15">
        <v>0</v>
      </c>
      <c r="M100" s="15">
        <f t="shared" si="30"/>
        <v>24</v>
      </c>
      <c r="N100" s="15"/>
      <c r="O100" s="15" t="s">
        <v>74</v>
      </c>
      <c r="P100" s="27"/>
      <c r="T100" s="26"/>
      <c r="U100" s="15"/>
      <c r="V100" s="15"/>
      <c r="W100" s="15">
        <v>4</v>
      </c>
      <c r="X100" s="15">
        <v>8</v>
      </c>
      <c r="Y100" s="15">
        <v>8</v>
      </c>
      <c r="Z100" s="15">
        <v>4</v>
      </c>
      <c r="AA100" s="15">
        <v>0</v>
      </c>
      <c r="AB100" s="15">
        <f t="shared" si="31"/>
        <v>24</v>
      </c>
      <c r="AC100" s="15"/>
      <c r="AD100" s="15" t="s">
        <v>74</v>
      </c>
      <c r="AE100" s="27"/>
    </row>
    <row r="101" spans="5:31">
      <c r="E101" s="26"/>
      <c r="F101" s="15"/>
      <c r="G101" s="15"/>
      <c r="H101" s="15">
        <v>2</v>
      </c>
      <c r="I101" s="15">
        <v>6</v>
      </c>
      <c r="J101" s="15">
        <v>8</v>
      </c>
      <c r="K101" s="15">
        <v>6</v>
      </c>
      <c r="L101" s="15">
        <v>2</v>
      </c>
      <c r="M101" s="15">
        <f t="shared" si="30"/>
        <v>24</v>
      </c>
      <c r="N101" s="15"/>
      <c r="O101" s="15" t="s">
        <v>75</v>
      </c>
      <c r="P101" s="27"/>
      <c r="T101" s="26"/>
      <c r="U101" s="15"/>
      <c r="V101" s="15"/>
      <c r="W101" s="15">
        <v>2</v>
      </c>
      <c r="X101" s="15">
        <v>6</v>
      </c>
      <c r="Y101" s="15">
        <v>8</v>
      </c>
      <c r="Z101" s="15">
        <v>6</v>
      </c>
      <c r="AA101" s="15">
        <v>2</v>
      </c>
      <c r="AB101" s="15">
        <f t="shared" si="31"/>
        <v>24</v>
      </c>
      <c r="AC101" s="15"/>
      <c r="AD101" s="15" t="s">
        <v>75</v>
      </c>
      <c r="AE101" s="27"/>
    </row>
    <row r="102" spans="5:31">
      <c r="E102" s="26"/>
      <c r="F102" s="15"/>
      <c r="G102" s="15"/>
      <c r="H102" s="15">
        <v>15</v>
      </c>
      <c r="I102" s="15">
        <v>30</v>
      </c>
      <c r="J102" s="15">
        <v>45</v>
      </c>
      <c r="K102" s="15">
        <v>30</v>
      </c>
      <c r="L102" s="15">
        <v>15</v>
      </c>
      <c r="M102" s="15">
        <f t="shared" si="30"/>
        <v>135</v>
      </c>
      <c r="N102" s="15"/>
      <c r="O102" s="15" t="s">
        <v>76</v>
      </c>
      <c r="P102" s="27"/>
      <c r="T102" s="26"/>
      <c r="U102" s="15"/>
      <c r="V102" s="15"/>
      <c r="W102" s="15">
        <v>15</v>
      </c>
      <c r="X102" s="15">
        <v>30</v>
      </c>
      <c r="Y102" s="15">
        <v>45</v>
      </c>
      <c r="Z102" s="15">
        <v>30</v>
      </c>
      <c r="AA102" s="15">
        <v>15</v>
      </c>
      <c r="AB102" s="15">
        <f t="shared" si="31"/>
        <v>135</v>
      </c>
      <c r="AC102" s="15"/>
      <c r="AD102" s="15" t="s">
        <v>76</v>
      </c>
      <c r="AE102" s="27"/>
    </row>
    <row r="103" spans="5:31">
      <c r="E103" s="26"/>
      <c r="F103" s="15"/>
      <c r="G103" s="15"/>
      <c r="H103" s="15">
        <v>4</v>
      </c>
      <c r="I103" s="15">
        <v>6</v>
      </c>
      <c r="J103" s="15">
        <v>6</v>
      </c>
      <c r="K103" s="15">
        <v>2</v>
      </c>
      <c r="L103" s="15">
        <v>0</v>
      </c>
      <c r="M103" s="15">
        <f t="shared" si="30"/>
        <v>18</v>
      </c>
      <c r="N103" s="15"/>
      <c r="O103" s="15" t="s">
        <v>77</v>
      </c>
      <c r="P103" s="27"/>
      <c r="T103" s="26"/>
      <c r="U103" s="15"/>
      <c r="V103" s="15"/>
      <c r="W103" s="15">
        <v>4</v>
      </c>
      <c r="X103" s="15">
        <v>6</v>
      </c>
      <c r="Y103" s="15">
        <v>6</v>
      </c>
      <c r="Z103" s="15">
        <v>2</v>
      </c>
      <c r="AA103" s="15">
        <v>0</v>
      </c>
      <c r="AB103" s="15">
        <f t="shared" si="31"/>
        <v>18</v>
      </c>
      <c r="AC103" s="15"/>
      <c r="AD103" s="15" t="s">
        <v>77</v>
      </c>
      <c r="AE103" s="27"/>
    </row>
    <row r="104" spans="5:31">
      <c r="E104" s="26"/>
      <c r="F104" s="15"/>
      <c r="G104" s="15"/>
      <c r="H104" s="15">
        <v>2</v>
      </c>
      <c r="I104" s="15">
        <v>4</v>
      </c>
      <c r="J104" s="15">
        <v>4</v>
      </c>
      <c r="K104" s="15">
        <v>2</v>
      </c>
      <c r="L104" s="15">
        <v>0</v>
      </c>
      <c r="M104" s="15">
        <f t="shared" si="30"/>
        <v>12</v>
      </c>
      <c r="N104" s="15"/>
      <c r="O104" s="15" t="s">
        <v>78</v>
      </c>
      <c r="P104" s="27"/>
      <c r="T104" s="26"/>
      <c r="U104" s="15"/>
      <c r="V104" s="15"/>
      <c r="W104" s="15">
        <v>2</v>
      </c>
      <c r="X104" s="15">
        <v>4</v>
      </c>
      <c r="Y104" s="15">
        <v>4</v>
      </c>
      <c r="Z104" s="15">
        <v>2</v>
      </c>
      <c r="AA104" s="15">
        <v>0</v>
      </c>
      <c r="AB104" s="15">
        <f t="shared" si="31"/>
        <v>12</v>
      </c>
      <c r="AC104" s="15"/>
      <c r="AD104" s="15" t="s">
        <v>78</v>
      </c>
      <c r="AE104" s="27"/>
    </row>
    <row r="105" spans="5:31" ht="15.75" thickBot="1">
      <c r="E105" s="26"/>
      <c r="F105" s="15"/>
      <c r="G105" s="15"/>
      <c r="H105" s="15">
        <v>2</v>
      </c>
      <c r="I105" s="15">
        <v>6</v>
      </c>
      <c r="J105" s="15">
        <v>8</v>
      </c>
      <c r="K105" s="15">
        <v>6</v>
      </c>
      <c r="L105" s="15">
        <v>2</v>
      </c>
      <c r="M105" s="15">
        <f t="shared" si="30"/>
        <v>24</v>
      </c>
      <c r="N105" s="15"/>
      <c r="O105" s="15" t="s">
        <v>79</v>
      </c>
      <c r="P105" s="27"/>
      <c r="T105" s="26"/>
      <c r="U105" s="15"/>
      <c r="V105" s="15"/>
      <c r="W105" s="15">
        <v>2</v>
      </c>
      <c r="X105" s="15">
        <v>6</v>
      </c>
      <c r="Y105" s="15">
        <v>8</v>
      </c>
      <c r="Z105" s="15">
        <v>6</v>
      </c>
      <c r="AA105" s="15">
        <v>2</v>
      </c>
      <c r="AB105" s="15">
        <f t="shared" si="31"/>
        <v>24</v>
      </c>
      <c r="AC105" s="15"/>
      <c r="AD105" s="15" t="s">
        <v>79</v>
      </c>
      <c r="AE105" s="27"/>
    </row>
    <row r="106" spans="5:31" ht="15.75" thickBot="1">
      <c r="E106" s="31"/>
      <c r="F106" s="32" t="s">
        <v>21</v>
      </c>
      <c r="G106" s="32">
        <f>SUM(G81:G105)</f>
        <v>1</v>
      </c>
      <c r="H106" s="32">
        <f t="shared" ref="H106:L106" si="32">SUM(H81:H105)</f>
        <v>87</v>
      </c>
      <c r="I106" s="32">
        <f t="shared" si="32"/>
        <v>178</v>
      </c>
      <c r="J106" s="32">
        <f t="shared" si="32"/>
        <v>216</v>
      </c>
      <c r="K106" s="32">
        <f t="shared" si="32"/>
        <v>127</v>
      </c>
      <c r="L106" s="32">
        <f t="shared" si="32"/>
        <v>47</v>
      </c>
      <c r="M106" s="32">
        <f>SUM(M81:M105)</f>
        <v>656</v>
      </c>
      <c r="N106" s="32"/>
      <c r="O106" s="32"/>
      <c r="P106" s="33"/>
      <c r="T106" s="31"/>
      <c r="U106" s="32" t="s">
        <v>21</v>
      </c>
      <c r="V106" s="32">
        <f>SUM(V81:V105)</f>
        <v>1</v>
      </c>
      <c r="W106" s="32">
        <f t="shared" ref="W106" si="33">SUM(W81:W105)</f>
        <v>80</v>
      </c>
      <c r="X106" s="32">
        <f t="shared" ref="X106" si="34">SUM(X81:X105)</f>
        <v>160</v>
      </c>
      <c r="Y106" s="32">
        <f t="shared" ref="Y106" si="35">SUM(Y81:Y105)</f>
        <v>193</v>
      </c>
      <c r="Z106" s="32">
        <f t="shared" ref="Z106" si="36">SUM(Z81:Z105)</f>
        <v>111</v>
      </c>
      <c r="AA106" s="32">
        <f t="shared" ref="AA106" si="37">SUM(AA81:AA105)</f>
        <v>42</v>
      </c>
      <c r="AB106" s="32">
        <f>SUM(AB81:AB105)</f>
        <v>587</v>
      </c>
      <c r="AC106" s="32"/>
      <c r="AD106" s="32"/>
      <c r="AE106" s="33"/>
    </row>
  </sheetData>
  <mergeCells count="21">
    <mergeCell ref="R36:S36"/>
    <mergeCell ref="R37:S37"/>
    <mergeCell ref="E27:E29"/>
    <mergeCell ref="O27:O29"/>
    <mergeCell ref="P27:P29"/>
    <mergeCell ref="E30:E32"/>
    <mergeCell ref="C36:D36"/>
    <mergeCell ref="C37:D37"/>
    <mergeCell ref="E14:E15"/>
    <mergeCell ref="E16:E18"/>
    <mergeCell ref="O16:O18"/>
    <mergeCell ref="P16:P18"/>
    <mergeCell ref="E19:E21"/>
    <mergeCell ref="E25:E26"/>
    <mergeCell ref="E6:E7"/>
    <mergeCell ref="E8:E10"/>
    <mergeCell ref="O8:O10"/>
    <mergeCell ref="P8:P10"/>
    <mergeCell ref="E11:E13"/>
    <mergeCell ref="O11:O13"/>
    <mergeCell ref="P11:P1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Egret Pattern </vt:lpstr>
      <vt:lpstr>Bracken Pattern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Yashwanth KV</dc:creator>
  <cp:lastModifiedBy>Yashwanth KV</cp:lastModifiedBy>
  <dcterms:created xsi:type="dcterms:W3CDTF">2026-03-09T15:24:47Z</dcterms:created>
  <dcterms:modified xsi:type="dcterms:W3CDTF">2026-03-09T16:35:17Z</dcterms:modified>
</cp:coreProperties>
</file>