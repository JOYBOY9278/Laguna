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harts/chart1.xml" ContentType="application/vnd.openxmlformats-officedocument.drawingml.chart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dbsheet="http://web.wps.cn/et/2021/dbsheet">
  <fileVersion appName="xl" lastEdited="3" lowestEdited="5" rupBuild="9302"/>
  <workbookPr codeName="ThisWorkbook"/>
  <bookViews>
    <workbookView windowWidth="27945" windowHeight="12300" firstSheet="3"/>
  </bookViews>
  <sheets>
    <sheet name="HOME" sheetId="1" r:id="rId1"/>
    <sheet name="PO_MASTER" sheetId="2" r:id="rId2"/>
    <sheet name="PACKING_LIST" sheetId="10" r:id="rId3"/>
    <sheet name="MASTER_DATA" sheetId="6" r:id="rId4"/>
    <sheet name="SETTINGS" sheetId="7" r:id="rId5"/>
    <sheet name="DASHBOARD" sheetId="8" r:id="rId6"/>
    <sheet name="EXPORT" sheetId="9" r:id="rId7"/>
  </sheets>
  <definedNames>
    <definedName name="_xlnm._FilterDatabase" localSheetId="1" hidden="1">PO_MASTER!$A$2:$U$59</definedName>
    <definedName name="_xlnm.Print_Area" localSheetId="2">PACKING_LIST!$A$1:$AA$64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<sst xmlns="http://schemas.openxmlformats.org/spreadsheetml/2006/main" count="673" uniqueCount="315">
  <si>
    <t>HUGO BOSS  ·  PACKING LIST MANAGEMENT SYSTEM</t>
  </si>
  <si>
    <t>LAGUNA INDIA PRIVATE LIMITED  ·  Vendor 6094373</t>
  </si>
  <si>
    <t>Current User:</t>
  </si>
  <si>
    <t>finishing</t>
  </si>
  <si>
    <t>Date:</t>
  </si>
  <si>
    <t>Workbook Version:</t>
  </si>
  <si>
    <t>v1.0 – July 2026</t>
  </si>
  <si>
    <t>Total Active POs</t>
  </si>
  <si>
    <t>Total Ordered Qty</t>
  </si>
  <si>
    <t>Total Cartons</t>
  </si>
  <si>
    <t>NAVIGATION &amp; QUICK ACTIONS</t>
  </si>
  <si>
    <t>Button / Action</t>
  </si>
  <si>
    <t>Sheet</t>
  </si>
  <si>
    <t>Description</t>
  </si>
  <si>
    <t>Shortcut</t>
  </si>
  <si>
    <t>Import PO</t>
  </si>
  <si>
    <t>PO_MASTER</t>
  </si>
  <si>
    <t>Read &amp; append new POs – no duplicates</t>
  </si>
  <si>
    <t>Ctrl+I</t>
  </si>
  <si>
    <t>Generate Packing</t>
  </si>
  <si>
    <t>PACKING_LIST</t>
  </si>
  <si>
    <t>One-click packing sheet with dynamic sizes</t>
  </si>
  <si>
    <t>Ctrl+G</t>
  </si>
  <si>
    <t>Auto Allocate</t>
  </si>
  <si>
    <t>CARTON_ALLOCATION</t>
  </si>
  <si>
    <t>Distribute garments into cartons (14 pcs)</t>
  </si>
  <si>
    <t>Ctrl+A</t>
  </si>
  <si>
    <t>Validate</t>
  </si>
  <si>
    <t>Check packed = ordered, weights, blanks</t>
  </si>
  <si>
    <t>Ctrl+V</t>
  </si>
  <si>
    <t>Dashboard</t>
  </si>
  <si>
    <t>DASHBOARD</t>
  </si>
  <si>
    <t>KPI charts and progress summary</t>
  </si>
  <si>
    <t>Ctrl+D</t>
  </si>
  <si>
    <t>Export PDF</t>
  </si>
  <si>
    <t>EXPORT</t>
  </si>
  <si>
    <t>Print-ready A4 landscape PDF</t>
  </si>
  <si>
    <t>Ctrl+P</t>
  </si>
  <si>
    <t>Export XLSX</t>
  </si>
  <si>
    <t>Macro-free values-only workbook</t>
  </si>
  <si>
    <t>Ctrl+E</t>
  </si>
  <si>
    <t>Clear Data</t>
  </si>
  <si>
    <t>HOME</t>
  </si>
  <si>
    <t>Clear working sheets (keeps master data)</t>
  </si>
  <si>
    <t>Ctrl+L</t>
  </si>
  <si>
    <t>⚡  ONE-TIME ACTIVATION – 3 steps to enable all buttons</t>
  </si>
  <si>
    <t>STEP 1</t>
  </si>
  <si>
    <t>Save as Macro-Enabled Workbook</t>
  </si>
  <si>
    <t>File → Save As → choose 'Excel Macro-Enabled Workbook (*.xlsm)'. Close and re-open the .xlsm file.</t>
  </si>
  <si>
    <t>STEP 2</t>
  </si>
  <si>
    <t>Paste VBA source code</t>
  </si>
  <si>
    <t>Press Alt+F11 → right-click VBAProject → Insert Module (×10). Name and paste each section from VBA_Source_Code.txt: Globals · Utilities · ImportPO · CartonAllocator · PackingEngine · Validation · Export · Dashboard · Settings · ClearData. Paste Workbook_Open / Workbook_BeforeSave into ThisWorkbook. Close the editor and save (Ctrl+S).</t>
  </si>
  <si>
    <t>STEP 3</t>
  </si>
  <si>
    <t>Run SetupButtons — macros are assigned automatically</t>
  </si>
  <si>
    <t>Press Alt+F8 → select 'SetupButtons' → click Run. Eight labelled buttons appear on this sheet instantly, each pre-wired to its macro. Done!</t>
  </si>
  <si>
    <t>PO MASTER DATABASE – Hugo Boss Packing System</t>
  </si>
  <si>
    <t>PO Number</t>
  </si>
  <si>
    <t>Season</t>
  </si>
  <si>
    <t>Customer</t>
  </si>
  <si>
    <t>Brand</t>
  </si>
  <si>
    <t>Division</t>
  </si>
  <si>
    <t>Factory</t>
  </si>
  <si>
    <t>Style</t>
  </si>
  <si>
    <t>Form</t>
  </si>
  <si>
    <t>Form Name</t>
  </si>
  <si>
    <t>Quality</t>
  </si>
  <si>
    <t>Color Code</t>
  </si>
  <si>
    <t>Color Description</t>
  </si>
  <si>
    <t>Size Range</t>
  </si>
  <si>
    <t>Ordered Qty</t>
  </si>
  <si>
    <t>Delivery Date</t>
  </si>
  <si>
    <t>Destination</t>
  </si>
  <si>
    <t>Unit Price (USD)</t>
  </si>
  <si>
    <t>Status</t>
  </si>
  <si>
    <t>Packed Qty</t>
  </si>
  <si>
    <t>Balance</t>
  </si>
  <si>
    <t>% Complete</t>
  </si>
  <si>
    <t>4901873568</t>
  </si>
  <si>
    <t>S26 Black</t>
  </si>
  <si>
    <t>Hugo Boss Ticino SA</t>
  </si>
  <si>
    <t>BOSS</t>
  </si>
  <si>
    <t>Shirts</t>
  </si>
  <si>
    <t>Laguna India Pvt Ltd</t>
  </si>
  <si>
    <t>50473265</t>
  </si>
  <si>
    <t>251087</t>
  </si>
  <si>
    <t>H-JOE-kent-C1-214</t>
  </si>
  <si>
    <t>10219212</t>
  </si>
  <si>
    <t>001</t>
  </si>
  <si>
    <t>Black</t>
  </si>
  <si>
    <t>37-50 / 42L-45L</t>
  </si>
  <si>
    <t>17.06.2026</t>
  </si>
  <si>
    <t>DC FPG Filderstadt, Germany</t>
  </si>
  <si>
    <t>Open</t>
  </si>
  <si>
    <t>100</t>
  </si>
  <si>
    <t>White</t>
  </si>
  <si>
    <t>404</t>
  </si>
  <si>
    <t>Dark Blue</t>
  </si>
  <si>
    <t>452</t>
  </si>
  <si>
    <t>Light/Pastel Blue</t>
  </si>
  <si>
    <t>24.06.2026</t>
  </si>
  <si>
    <t>4901893255</t>
  </si>
  <si>
    <t>S27 Bulk</t>
  </si>
  <si>
    <t>Hugo Boss Fashions Inc</t>
  </si>
  <si>
    <t>50576239</t>
  </si>
  <si>
    <t>326565</t>
  </si>
  <si>
    <t>P-LIAM-BD-271</t>
  </si>
  <si>
    <t>10284171</t>
  </si>
  <si>
    <t>118</t>
  </si>
  <si>
    <t>Open White</t>
  </si>
  <si>
    <t>S/M/L/XL/XXL/XXXL</t>
  </si>
  <si>
    <t>21.10.2026</t>
  </si>
  <si>
    <t>DC Savannah, USA</t>
  </si>
  <si>
    <t>923</t>
  </si>
  <si>
    <t>Beige Overflow</t>
  </si>
  <si>
    <t>HUGO BOSS PACKING LIST</t>
  </si>
  <si>
    <t>Delivery address:</t>
  </si>
  <si>
    <t>Supplier name :</t>
  </si>
  <si>
    <t>Laguna Clothing PVT LTD</t>
  </si>
  <si>
    <t>143/2 KALEGOWDANA DODDI</t>
  </si>
  <si>
    <t>BM ROAD, NH 209 KANAKPURA TALUK</t>
  </si>
  <si>
    <t>562117 RAMANAGARA</t>
  </si>
  <si>
    <t>India</t>
  </si>
  <si>
    <t>CON NO:HB/</t>
  </si>
  <si>
    <t>Carton N°</t>
  </si>
  <si>
    <t>PO NO</t>
  </si>
  <si>
    <t>STYLE NO</t>
  </si>
  <si>
    <t>FORM NO</t>
  </si>
  <si>
    <t>FORM NAME</t>
  </si>
  <si>
    <t>QUALITY</t>
  </si>
  <si>
    <t>Colour N°</t>
  </si>
  <si>
    <t xml:space="preserve">Colour   </t>
  </si>
  <si>
    <t>ITEM</t>
  </si>
  <si>
    <t>XS</t>
  </si>
  <si>
    <t>S</t>
  </si>
  <si>
    <t>M</t>
  </si>
  <si>
    <t>L</t>
  </si>
  <si>
    <t>XL</t>
  </si>
  <si>
    <t>XXL</t>
  </si>
  <si>
    <t>XXXL</t>
  </si>
  <si>
    <t>N° Cartons</t>
  </si>
  <si>
    <t>Per CTN Qty</t>
  </si>
  <si>
    <t>Total pieces</t>
  </si>
  <si>
    <t>G.W / carton</t>
  </si>
  <si>
    <t>N.W/ carton</t>
  </si>
  <si>
    <t xml:space="preserve">GW </t>
  </si>
  <si>
    <t>NW</t>
  </si>
  <si>
    <t>Carton Size</t>
  </si>
  <si>
    <t>-</t>
  </si>
  <si>
    <t>00010</t>
  </si>
  <si>
    <t>584X382X312 MM</t>
  </si>
  <si>
    <t xml:space="preserve">S -Total </t>
  </si>
  <si>
    <t>00020</t>
  </si>
  <si>
    <t>00030</t>
  </si>
  <si>
    <t>TOTAL</t>
  </si>
  <si>
    <t>SUMMARY</t>
  </si>
  <si>
    <t>584X382X212 MM</t>
  </si>
  <si>
    <t>COLOUR</t>
  </si>
  <si>
    <t>584X382X105 MM</t>
  </si>
  <si>
    <t>Sizes</t>
  </si>
  <si>
    <t>384X287X105 MM</t>
  </si>
  <si>
    <t>Order</t>
  </si>
  <si>
    <t>CUT QTY</t>
  </si>
  <si>
    <t>Packed</t>
  </si>
  <si>
    <t>+ OR -'</t>
  </si>
  <si>
    <t>%</t>
  </si>
  <si>
    <t>MASTER DATA – Reference Tables</t>
  </si>
  <si>
    <t>COLOR MASTER</t>
  </si>
  <si>
    <t>NUMERIC SIZES</t>
  </si>
  <si>
    <t>CARTON SIZES (cm)</t>
  </si>
  <si>
    <t>WEIGHT MASTER</t>
  </si>
  <si>
    <t>Code</t>
  </si>
  <si>
    <t>Size</t>
  </si>
  <si>
    <t>Type</t>
  </si>
  <si>
    <t>W</t>
  </si>
  <si>
    <t>H</t>
  </si>
  <si>
    <t>CBM</t>
  </si>
  <si>
    <t>Net Wt/pc</t>
  </si>
  <si>
    <t>Ctn Wt</t>
  </si>
  <si>
    <t>37</t>
  </si>
  <si>
    <t>Standard</t>
  </si>
  <si>
    <t>60</t>
  </si>
  <si>
    <t>40</t>
  </si>
  <si>
    <t>30</t>
  </si>
  <si>
    <t>0.072</t>
  </si>
  <si>
    <t>0.340</t>
  </si>
  <si>
    <t>1.200</t>
  </si>
  <si>
    <t>37-50</t>
  </si>
  <si>
    <t>Numeric</t>
  </si>
  <si>
    <t>38</t>
  </si>
  <si>
    <t>Large</t>
  </si>
  <si>
    <t>70</t>
  </si>
  <si>
    <t>50</t>
  </si>
  <si>
    <t>0.140</t>
  </si>
  <si>
    <t>0.350</t>
  </si>
  <si>
    <t>S-XXXL</t>
  </si>
  <si>
    <t>Alpha</t>
  </si>
  <si>
    <t>39</t>
  </si>
  <si>
    <t>Small</t>
  </si>
  <si>
    <t>35</t>
  </si>
  <si>
    <t>25</t>
  </si>
  <si>
    <t>0.044</t>
  </si>
  <si>
    <t>41</t>
  </si>
  <si>
    <t>42</t>
  </si>
  <si>
    <t>43</t>
  </si>
  <si>
    <t>DESTINATIONS</t>
  </si>
  <si>
    <t>44</t>
  </si>
  <si>
    <t>Country</t>
  </si>
  <si>
    <t>Address</t>
  </si>
  <si>
    <t>45</t>
  </si>
  <si>
    <t>Germany</t>
  </si>
  <si>
    <t>DC FPG Filderstadt</t>
  </si>
  <si>
    <t>46</t>
  </si>
  <si>
    <t>USA</t>
  </si>
  <si>
    <t>DC Savannah</t>
  </si>
  <si>
    <t>47</t>
  </si>
  <si>
    <t>Netherlands</t>
  </si>
  <si>
    <t>DC Amsterdam</t>
  </si>
  <si>
    <t>48</t>
  </si>
  <si>
    <t>UK</t>
  </si>
  <si>
    <t>DC Milton Keynes</t>
  </si>
  <si>
    <t>49</t>
  </si>
  <si>
    <t>Switzerland</t>
  </si>
  <si>
    <t>CH-Coldrerio</t>
  </si>
  <si>
    <t>42L</t>
  </si>
  <si>
    <t>FACTORIES</t>
  </si>
  <si>
    <t>43L</t>
  </si>
  <si>
    <t>Name</t>
  </si>
  <si>
    <t>Location</t>
  </si>
  <si>
    <t>Vendor No</t>
  </si>
  <si>
    <t>44L</t>
  </si>
  <si>
    <t>Kanakapura, India</t>
  </si>
  <si>
    <t>6094373</t>
  </si>
  <si>
    <t>45L</t>
  </si>
  <si>
    <t>SHIPMENT TYPES</t>
  </si>
  <si>
    <t>ALPHA SIZES</t>
  </si>
  <si>
    <t>SCC</t>
  </si>
  <si>
    <t>Sea Freight</t>
  </si>
  <si>
    <t>AIR</t>
  </si>
  <si>
    <t>Air Freight</t>
  </si>
  <si>
    <t>RD</t>
  </si>
  <si>
    <t>Road</t>
  </si>
  <si>
    <t>COU</t>
  </si>
  <si>
    <t>Courier</t>
  </si>
  <si>
    <t>4XL</t>
  </si>
  <si>
    <t>5XL</t>
  </si>
  <si>
    <t>SYSTEM SETTINGS</t>
  </si>
  <si>
    <t>Setting</t>
  </si>
  <si>
    <t>Value</t>
  </si>
  <si>
    <t>Unit</t>
  </si>
  <si>
    <t>Notes</t>
  </si>
  <si>
    <t>Carton Capacity (default)</t>
  </si>
  <si>
    <t>pcs / carton</t>
  </si>
  <si>
    <t>Adjust per PO requirement</t>
  </si>
  <si>
    <t>Default Net Wt / pc</t>
  </si>
  <si>
    <t>kg</t>
  </si>
  <si>
    <t>Overridden by Weight Master</t>
  </si>
  <si>
    <t>Default Carton Weight</t>
  </si>
  <si>
    <t>Empty carton tare weight</t>
  </si>
  <si>
    <t>Carton Tolerance (±%)</t>
  </si>
  <si>
    <t>5%</t>
  </si>
  <si>
    <t/>
  </si>
  <si>
    <t>Allowed packing variance</t>
  </si>
  <si>
    <t>Print Area</t>
  </si>
  <si>
    <t>A4 Landscape</t>
  </si>
  <si>
    <t>Packing List print format</t>
  </si>
  <si>
    <t>Export Folder</t>
  </si>
  <si>
    <t>Z:\Ready to ship\Ready to ship\Yash\export</t>
  </si>
  <si>
    <t>PDF &amp; XLSX export path</t>
  </si>
  <si>
    <t>Auto Save Interval</t>
  </si>
  <si>
    <t>15</t>
  </si>
  <si>
    <t>minutes</t>
  </si>
  <si>
    <t>0 = disabled</t>
  </si>
  <si>
    <t>Sheet Protection Password</t>
  </si>
  <si>
    <t>****</t>
  </si>
  <si>
    <t>Keep confidential</t>
  </si>
  <si>
    <t>Company Name</t>
  </si>
  <si>
    <t>Appears in headers</t>
  </si>
  <si>
    <t>Default Customer</t>
  </si>
  <si>
    <t>Pre-filled in new PL</t>
  </si>
  <si>
    <t>Default Factory</t>
  </si>
  <si>
    <t>Default Shipment Mode</t>
  </si>
  <si>
    <t>Sea Freight (SCC)</t>
  </si>
  <si>
    <t>EXECUTIVE DASHBOARD – Hugo Boss Packing System</t>
  </si>
  <si>
    <t>Generated: 02 July 2026 17:35  |  Season: S26 Black / S27 Bulk</t>
  </si>
  <si>
    <t>Total POs</t>
  </si>
  <si>
    <t>Total Ordered</t>
  </si>
  <si>
    <t>2</t>
  </si>
  <si>
    <t>19,450 pcs</t>
  </si>
  <si>
    <t>0 pcs</t>
  </si>
  <si>
    <t>Gross Wt (kg)</t>
  </si>
  <si>
    <t>Completion</t>
  </si>
  <si>
    <t>Color Summary</t>
  </si>
  <si>
    <t>Color</t>
  </si>
  <si>
    <t>% Done</t>
  </si>
  <si>
    <t>Black (001)</t>
  </si>
  <si>
    <t>White (100)</t>
  </si>
  <si>
    <t>Dark Blue (404)</t>
  </si>
  <si>
    <t>Pastel Blue (452)</t>
  </si>
  <si>
    <t>Open White (118)</t>
  </si>
  <si>
    <t>Beige Ovfl (923)</t>
  </si>
  <si>
    <t>Size Summary – PO 4901893255</t>
  </si>
  <si>
    <t>Beige Ovfl</t>
  </si>
  <si>
    <t>Total</t>
  </si>
  <si>
    <t>EXPORT – Print &amp; Distribution</t>
  </si>
  <si>
    <t>Export Options</t>
  </si>
  <si>
    <t>PDF Export</t>
  </si>
  <si>
    <t>Generates A4 landscape print-ready PDF of the active Packing List sheet. Includes header repeat on each page.</t>
  </si>
  <si>
    <t>XLSX Export</t>
  </si>
  <si>
    <t>Creates a macro-free copy: filename PackingList_POxxxx.xlsx. Contains values only – no VBA. Sheets: Packing List, Summary, Dashboard.</t>
  </si>
  <si>
    <t>Email Version</t>
  </si>
  <si>
    <t>Attaches the macro-free XLSX and opens a draft email via Outlook automation.</t>
  </si>
  <si>
    <t>Print Preview</t>
  </si>
  <si>
    <t>Shows print preview of the Packing List at A4 Landscape with fitted columns.</t>
  </si>
  <si>
    <t>Filename convention:</t>
  </si>
  <si>
    <t>PackingList_PO{PO_NUMBER}_{YYYY-MM-DD}.xlsx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</si>
</sst>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9">
    <numFmt numFmtId="176" formatCode="_ * #,##0.00_ ;_ * \-#,##0.00_ ;_ * &quot;-&quot;??_ ;_ @_ "/>
    <numFmt numFmtId="177" formatCode="_ &quot;₹&quot;* #,##0.00_ ;_ &quot;₹&quot;* \-#,##0.00_ ;_ &quot;₹&quot;* &quot;-&quot;??_ ;_ @_ "/>
    <numFmt numFmtId="178" formatCode="_ * #,##0_ ;_ * \-#,##0_ ;_ * &quot;-&quot;_ ;_ @_ "/>
    <numFmt numFmtId="179" formatCode="_ &quot;₹&quot;* #,##0_ ;_ &quot;₹&quot;* \-#,##0_ ;_ &quot;₹&quot;* &quot;-&quot;_ ;_ @_ "/>
    <numFmt numFmtId="180" formatCode="0.0%"/>
    <numFmt numFmtId="181" formatCode="dd/mmm/yy"/>
    <numFmt numFmtId="182" formatCode="0.000"/>
    <numFmt numFmtId="183" formatCode="dd/mm/yyyy"/>
    <numFmt numFmtId="184" formatCode="&quot;$&quot;#,##0.00"/>
  </numFmts>
  <fonts count="48">
    <font>
      <sz val="11"/>
      <color theme="1"/>
      <name val="Calibri"/>
      <charset val="134"/>
      <scheme val="minor"/>
    </font>
    <font>
      <b/>
      <sz val="12"/>
      <color rgb="FFC8A84B"/>
      <name val="Arial"/>
      <charset val="134"/>
    </font>
    <font>
      <b/>
      <sz val="11"/>
      <color rgb="FFFFFFFF"/>
      <name val="Arial"/>
      <charset val="134"/>
    </font>
    <font>
      <b/>
      <sz val="11"/>
      <color rgb="FF1B3A5C"/>
      <name val="Arial"/>
      <charset val="134"/>
    </font>
    <font>
      <sz val="10"/>
      <color rgb="FF1A1A1A"/>
      <name val="Arial"/>
      <charset val="134"/>
    </font>
    <font>
      <b/>
      <sz val="10"/>
      <color rgb="FF1B3A5C"/>
      <name val="Arial"/>
      <charset val="134"/>
    </font>
    <font>
      <i/>
      <sz val="10"/>
      <color rgb="FF1A1A1A"/>
      <name val="Arial"/>
      <charset val="134"/>
    </font>
    <font>
      <b/>
      <sz val="16"/>
      <color rgb="FFC8A84B"/>
      <name val="Arial"/>
      <charset val="134"/>
    </font>
    <font>
      <i/>
      <sz val="9"/>
      <color rgb="FF404040"/>
      <name val="Arial"/>
      <charset val="134"/>
    </font>
    <font>
      <b/>
      <sz val="9"/>
      <color rgb="FFFFFFFF"/>
      <name val="Arial"/>
      <charset val="134"/>
    </font>
    <font>
      <b/>
      <sz val="14"/>
      <color rgb="FFC8A84B"/>
      <name val="Arial"/>
      <charset val="134"/>
    </font>
    <font>
      <sz val="9"/>
      <color rgb="FF1A1A1A"/>
      <name val="Arial"/>
      <charset val="134"/>
    </font>
    <font>
      <b/>
      <sz val="10"/>
      <color rgb="FFFFFFFF"/>
      <name val="Arial"/>
      <charset val="134"/>
    </font>
    <font>
      <b/>
      <sz val="10"/>
      <color rgb="FF1A1A1A"/>
      <name val="Arial"/>
      <charset val="134"/>
    </font>
    <font>
      <sz val="14"/>
      <color indexed="8"/>
      <name val="Calibri"/>
      <charset val="134"/>
    </font>
    <font>
      <b/>
      <sz val="14"/>
      <color indexed="8"/>
      <name val="Calibri"/>
      <charset val="134"/>
    </font>
    <font>
      <b/>
      <sz val="14"/>
      <color theme="1"/>
      <name val="Calibri"/>
      <charset val="134"/>
    </font>
    <font>
      <sz val="14"/>
      <color theme="1"/>
      <name val="Calibri"/>
      <charset val="134"/>
    </font>
    <font>
      <b/>
      <sz val="14"/>
      <name val="Calibri"/>
      <charset val="134"/>
    </font>
    <font>
      <sz val="14"/>
      <name val="Calibri"/>
      <charset val="134"/>
    </font>
    <font>
      <b/>
      <u/>
      <sz val="14"/>
      <name val="Calibri"/>
      <charset val="134"/>
    </font>
    <font>
      <sz val="14"/>
      <color indexed="9"/>
      <name val="Calibri"/>
      <charset val="134"/>
    </font>
    <font>
      <b/>
      <sz val="11"/>
      <color theme="1"/>
      <name val="Calibri"/>
      <charset val="134"/>
      <scheme val="minor"/>
    </font>
    <font>
      <b/>
      <sz val="16"/>
      <name val="Calibri"/>
      <charset val="134"/>
    </font>
    <font>
      <b/>
      <sz val="22"/>
      <color rgb="FFC8A84B"/>
      <name val="Arial"/>
      <charset val="134"/>
    </font>
    <font>
      <i/>
      <sz val="11"/>
      <color rgb="FF1B3A5C"/>
      <name val="Arial"/>
      <charset val="134"/>
    </font>
    <font>
      <b/>
      <sz val="18"/>
      <color rgb="FFC8A84B"/>
      <name val="Arial"/>
      <charset val="134"/>
    </font>
    <font>
      <i/>
      <sz val="8"/>
      <color rgb="FF404040"/>
      <name val="Arial"/>
      <charset val="134"/>
    </font>
    <font>
      <u/>
      <sz val="11"/>
      <color rgb="FF0000FF"/>
      <name val="Calibri"/>
      <charset val="0"/>
      <scheme val="minor"/>
    </font>
    <font>
      <u/>
      <sz val="11"/>
      <color rgb="FF800080"/>
      <name val="Calibri"/>
      <charset val="0"/>
      <scheme val="minor"/>
    </font>
    <font>
      <sz val="11"/>
      <color rgb="FFFF0000"/>
      <name val="Calibri"/>
      <charset val="0"/>
      <scheme val="minor"/>
    </font>
    <font>
      <b/>
      <sz val="18"/>
      <color theme="3"/>
      <name val="Calibri"/>
      <charset val="134"/>
      <scheme val="minor"/>
    </font>
    <font>
      <i/>
      <sz val="11"/>
      <color rgb="FF7F7F7F"/>
      <name val="Calibri"/>
      <charset val="0"/>
      <scheme val="minor"/>
    </font>
    <font>
      <b/>
      <sz val="15"/>
      <color theme="3"/>
      <name val="Calibri"/>
      <charset val="134"/>
      <scheme val="minor"/>
    </font>
    <font>
      <b/>
      <sz val="13"/>
      <color theme="3"/>
      <name val="Calibri"/>
      <charset val="134"/>
      <scheme val="minor"/>
    </font>
    <font>
      <b/>
      <sz val="11"/>
      <color theme="3"/>
      <name val="Calibri"/>
      <charset val="134"/>
      <scheme val="minor"/>
    </font>
    <font>
      <sz val="11"/>
      <color rgb="FF3F3F76"/>
      <name val="Calibri"/>
      <charset val="0"/>
      <scheme val="minor"/>
    </font>
    <font>
      <b/>
      <sz val="11"/>
      <color rgb="FF3F3F3F"/>
      <name val="Calibri"/>
      <charset val="0"/>
      <scheme val="minor"/>
    </font>
    <font>
      <b/>
      <sz val="11"/>
      <color rgb="FFFA7D00"/>
      <name val="Calibri"/>
      <charset val="0"/>
      <scheme val="minor"/>
    </font>
    <font>
      <b/>
      <sz val="11"/>
      <color rgb="FFFFFFFF"/>
      <name val="Calibri"/>
      <charset val="0"/>
      <scheme val="minor"/>
    </font>
    <font>
      <sz val="11"/>
      <color rgb="FFFA7D00"/>
      <name val="Calibri"/>
      <charset val="0"/>
      <scheme val="minor"/>
    </font>
    <font>
      <b/>
      <sz val="11"/>
      <color theme="1"/>
      <name val="Calibri"/>
      <charset val="0"/>
      <scheme val="minor"/>
    </font>
    <font>
      <sz val="11"/>
      <color rgb="FF006100"/>
      <name val="Calibri"/>
      <charset val="0"/>
      <scheme val="minor"/>
    </font>
    <font>
      <sz val="11"/>
      <color rgb="FF9C0006"/>
      <name val="Calibri"/>
      <charset val="0"/>
      <scheme val="minor"/>
    </font>
    <font>
      <sz val="11"/>
      <color rgb="FF9C6500"/>
      <name val="Calibri"/>
      <charset val="0"/>
      <scheme val="minor"/>
    </font>
    <font>
      <sz val="11"/>
      <color theme="0"/>
      <name val="Calibri"/>
      <charset val="0"/>
      <scheme val="minor"/>
    </font>
    <font>
      <sz val="11"/>
      <color theme="1"/>
      <name val="Calibri"/>
      <charset val="0"/>
      <scheme val="minor"/>
    </font>
    <font>
      <sz val="11"/>
      <name val="Century Gothic"/>
      <charset val="134"/>
    </font>
  </fonts>
  <fills count="51">
    <fill>
      <patternFill patternType="none"/>
    </fill>
    <fill>
      <patternFill patternType="gray125"/>
    </fill>
    <fill>
      <patternFill patternType="solid">
        <fgColor rgb="FF1B3A5C"/>
        <bgColor rgb="FF1B3A5C"/>
      </patternFill>
    </fill>
    <fill>
      <patternFill patternType="solid">
        <fgColor rgb="FF2E5D8C"/>
        <bgColor rgb="FF2E5D8C"/>
      </patternFill>
    </fill>
    <fill>
      <patternFill patternType="solid">
        <fgColor rgb="FFE8EFF7"/>
        <bgColor rgb="FFE8EFF7"/>
      </patternFill>
    </fill>
    <fill>
      <patternFill patternType="solid">
        <fgColor rgb="FFFFFFFF"/>
        <bgColor rgb="FFFFFFFF"/>
      </patternFill>
    </fill>
    <fill>
      <patternFill patternType="solid">
        <fgColor rgb="FFC8763B"/>
        <bgColor rgb="FFC8763B"/>
      </patternFill>
    </fill>
    <fill>
      <patternFill patternType="solid">
        <fgColor rgb="FF2E8B57"/>
        <bgColor rgb="FF2E8B57"/>
      </patternFill>
    </fill>
    <fill>
      <patternFill patternType="solid">
        <fgColor rgb="FF8B4513"/>
        <bgColor rgb="FF8B4513"/>
      </patternFill>
    </fill>
    <fill>
      <patternFill patternType="solid">
        <fgColor rgb="FF1B5E20"/>
        <bgColor rgb="FF1B5E20"/>
      </patternFill>
    </fill>
    <fill>
      <patternFill patternType="solid">
        <fgColor rgb="FFFFF9C4"/>
        <bgColor rgb="FFFFF9C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0" tint="-0.349986266670736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C8A84B"/>
        <bgColor rgb="FFC8A84B"/>
      </patternFill>
    </fill>
    <fill>
      <patternFill patternType="solid">
        <fgColor rgb="FFF5F5F5"/>
        <bgColor rgb="FFF5F5F5"/>
      </patternFill>
    </fill>
    <fill>
      <patternFill patternType="solid">
        <fgColor rgb="FFE8F0FE"/>
        <bgColor rgb="FFE8F0FE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5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/>
      <right/>
      <top style="thin">
        <color rgb="FFBFBFBF"/>
      </top>
      <bottom/>
      <diagonal/>
    </border>
    <border>
      <left/>
      <right style="thin">
        <color rgb="FFBFBFBF"/>
      </right>
      <top style="thin">
        <color rgb="FFBFBFBF"/>
      </top>
      <bottom/>
      <diagonal/>
    </border>
    <border>
      <left style="thin">
        <color rgb="FFBFBFBF"/>
      </left>
      <right/>
      <top/>
      <bottom style="thin">
        <color rgb="FFBFBFBF"/>
      </bottom>
      <diagonal/>
    </border>
    <border>
      <left/>
      <right/>
      <top/>
      <bottom style="thin">
        <color rgb="FFBFBFBF"/>
      </bottom>
      <diagonal/>
    </border>
    <border>
      <left/>
      <right style="thin">
        <color rgb="FFBFBFBF"/>
      </right>
      <top/>
      <bottom style="thin">
        <color rgb="FFBFBFBF"/>
      </bottom>
      <diagonal/>
    </border>
    <border>
      <left/>
      <right/>
      <top/>
      <bottom style="medium">
        <color rgb="FF1B3A5C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indexed="8"/>
      </left>
      <right style="thin">
        <color indexed="8"/>
      </right>
      <top/>
      <bottom style="medium">
        <color auto="1"/>
      </bottom>
      <diagonal/>
    </border>
    <border>
      <left/>
      <right/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/>
      <bottom style="thin">
        <color rgb="FFBFBFB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0">
    <xf numFmtId="0" fontId="0" fillId="0" borderId="0"/>
    <xf numFmtId="176" fontId="0" fillId="0" borderId="0" applyFont="0" applyFill="0" applyBorder="0" applyAlignment="0" applyProtection="0">
      <alignment vertical="center"/>
    </xf>
    <xf numFmtId="177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178" fontId="0" fillId="0" borderId="0" applyFont="0" applyFill="0" applyBorder="0" applyAlignment="0" applyProtection="0">
      <alignment vertical="center"/>
    </xf>
    <xf numFmtId="179" fontId="0" fillId="0" borderId="0" applyFon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9" fillId="0" borderId="0" applyNumberFormat="0" applyFill="0" applyBorder="0" applyAlignment="0" applyProtection="0">
      <alignment vertical="center"/>
    </xf>
    <xf numFmtId="0" fontId="0" fillId="21" borderId="47" applyNumberFormat="0" applyFont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33" fillId="0" borderId="48" applyNumberFormat="0" applyFill="0" applyAlignment="0" applyProtection="0">
      <alignment vertical="center"/>
    </xf>
    <xf numFmtId="0" fontId="34" fillId="0" borderId="48" applyNumberFormat="0" applyFill="0" applyAlignment="0" applyProtection="0">
      <alignment vertical="center"/>
    </xf>
    <xf numFmtId="0" fontId="35" fillId="0" borderId="49" applyNumberFormat="0" applyFill="0" applyAlignment="0" applyProtection="0">
      <alignment vertical="center"/>
    </xf>
    <xf numFmtId="0" fontId="35" fillId="0" borderId="0" applyNumberFormat="0" applyFill="0" applyBorder="0" applyAlignment="0" applyProtection="0">
      <alignment vertical="center"/>
    </xf>
    <xf numFmtId="0" fontId="36" fillId="22" borderId="50" applyNumberFormat="0" applyAlignment="0" applyProtection="0">
      <alignment vertical="center"/>
    </xf>
    <xf numFmtId="0" fontId="37" fillId="23" borderId="51" applyNumberFormat="0" applyAlignment="0" applyProtection="0">
      <alignment vertical="center"/>
    </xf>
    <xf numFmtId="0" fontId="38" fillId="23" borderId="50" applyNumberFormat="0" applyAlignment="0" applyProtection="0">
      <alignment vertical="center"/>
    </xf>
    <xf numFmtId="0" fontId="39" fillId="24" borderId="52" applyNumberFormat="0" applyAlignment="0" applyProtection="0">
      <alignment vertical="center"/>
    </xf>
    <xf numFmtId="0" fontId="40" fillId="0" borderId="53" applyNumberFormat="0" applyFill="0" applyAlignment="0" applyProtection="0">
      <alignment vertical="center"/>
    </xf>
    <xf numFmtId="0" fontId="41" fillId="0" borderId="54" applyNumberFormat="0" applyFill="0" applyAlignment="0" applyProtection="0">
      <alignment vertical="center"/>
    </xf>
    <xf numFmtId="0" fontId="42" fillId="25" borderId="0" applyNumberFormat="0" applyBorder="0" applyAlignment="0" applyProtection="0">
      <alignment vertical="center"/>
    </xf>
    <xf numFmtId="0" fontId="43" fillId="26" borderId="0" applyNumberFormat="0" applyBorder="0" applyAlignment="0" applyProtection="0">
      <alignment vertical="center"/>
    </xf>
    <xf numFmtId="0" fontId="44" fillId="27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6" fillId="29" borderId="0" applyNumberFormat="0" applyBorder="0" applyAlignment="0" applyProtection="0">
      <alignment vertical="center"/>
    </xf>
    <xf numFmtId="0" fontId="46" fillId="30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6" fillId="33" borderId="0" applyNumberFormat="0" applyBorder="0" applyAlignment="0" applyProtection="0">
      <alignment vertical="center"/>
    </xf>
    <xf numFmtId="0" fontId="46" fillId="34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6" fillId="37" borderId="0" applyNumberFormat="0" applyBorder="0" applyAlignment="0" applyProtection="0">
      <alignment vertical="center"/>
    </xf>
    <xf numFmtId="0" fontId="46" fillId="38" borderId="0" applyNumberFormat="0" applyBorder="0" applyAlignment="0" applyProtection="0">
      <alignment vertical="center"/>
    </xf>
    <xf numFmtId="0" fontId="45" fillId="39" borderId="0" applyNumberFormat="0" applyBorder="0" applyAlignment="0" applyProtection="0">
      <alignment vertical="center"/>
    </xf>
    <xf numFmtId="0" fontId="45" fillId="40" borderId="0" applyNumberFormat="0" applyBorder="0" applyAlignment="0" applyProtection="0">
      <alignment vertical="center"/>
    </xf>
    <xf numFmtId="0" fontId="46" fillId="41" borderId="0" applyNumberFormat="0" applyBorder="0" applyAlignment="0" applyProtection="0">
      <alignment vertical="center"/>
    </xf>
    <xf numFmtId="0" fontId="46" fillId="16" borderId="0" applyNumberFormat="0" applyBorder="0" applyAlignment="0" applyProtection="0">
      <alignment vertical="center"/>
    </xf>
    <xf numFmtId="0" fontId="45" fillId="42" borderId="0" applyNumberFormat="0" applyBorder="0" applyAlignment="0" applyProtection="0">
      <alignment vertical="center"/>
    </xf>
    <xf numFmtId="0" fontId="45" fillId="43" borderId="0" applyNumberFormat="0" applyBorder="0" applyAlignment="0" applyProtection="0">
      <alignment vertical="center"/>
    </xf>
    <xf numFmtId="0" fontId="46" fillId="44" borderId="0" applyNumberFormat="0" applyBorder="0" applyAlignment="0" applyProtection="0">
      <alignment vertical="center"/>
    </xf>
    <xf numFmtId="0" fontId="46" fillId="45" borderId="0" applyNumberFormat="0" applyBorder="0" applyAlignment="0" applyProtection="0">
      <alignment vertical="center"/>
    </xf>
    <xf numFmtId="0" fontId="45" fillId="46" borderId="0" applyNumberFormat="0" applyBorder="0" applyAlignment="0" applyProtection="0">
      <alignment vertical="center"/>
    </xf>
    <xf numFmtId="0" fontId="45" fillId="47" borderId="0" applyNumberFormat="0" applyBorder="0" applyAlignment="0" applyProtection="0">
      <alignment vertical="center"/>
    </xf>
    <xf numFmtId="0" fontId="46" fillId="48" borderId="0" applyNumberFormat="0" applyBorder="0" applyAlignment="0" applyProtection="0">
      <alignment vertical="center"/>
    </xf>
    <xf numFmtId="0" fontId="46" fillId="49" borderId="0" applyNumberFormat="0" applyBorder="0" applyAlignment="0" applyProtection="0">
      <alignment vertical="center"/>
    </xf>
    <xf numFmtId="0" fontId="45" fillId="50" borderId="0" applyNumberFormat="0" applyBorder="0" applyAlignment="0" applyProtection="0">
      <alignment vertical="center"/>
    </xf>
    <xf numFmtId="0" fontId="47" fillId="0" borderId="0"/>
  </cellStyleXfs>
  <cellXfs count="192">
    <xf numFmtId="0" fontId="0" fillId="0" borderId="0" xfId="0"/>
    <xf numFmtId="0" fontId="1" fillId="2" borderId="0" xfId="0" applyFont="1" applyFill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0" fillId="0" borderId="1" xfId="0" applyBorder="1"/>
    <xf numFmtId="0" fontId="3" fillId="4" borderId="1" xfId="0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left" vertical="center" wrapText="1"/>
    </xf>
    <xf numFmtId="0" fontId="5" fillId="0" borderId="0" xfId="0" applyFont="1"/>
    <xf numFmtId="0" fontId="6" fillId="0" borderId="0" xfId="0" applyFont="1"/>
    <xf numFmtId="0" fontId="7" fillId="2" borderId="0" xfId="0" applyFont="1" applyFill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9" fillId="2" borderId="2" xfId="0" applyFont="1" applyFill="1" applyBorder="1" applyAlignment="1">
      <alignment horizontal="center" vertical="center"/>
    </xf>
    <xf numFmtId="0" fontId="0" fillId="0" borderId="3" xfId="0" applyBorder="1"/>
    <xf numFmtId="0" fontId="0" fillId="0" borderId="4" xfId="0" applyBorder="1"/>
    <xf numFmtId="0" fontId="9" fillId="3" borderId="2" xfId="0" applyFont="1" applyFill="1" applyBorder="1" applyAlignment="1">
      <alignment horizontal="center" vertical="center"/>
    </xf>
    <xf numFmtId="0" fontId="9" fillId="6" borderId="2" xfId="0" applyFont="1" applyFill="1" applyBorder="1" applyAlignment="1">
      <alignment horizontal="center" vertical="center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10" fillId="2" borderId="2" xfId="0" applyFont="1" applyFill="1" applyBorder="1" applyAlignment="1">
      <alignment horizontal="center" vertical="center"/>
    </xf>
    <xf numFmtId="0" fontId="10" fillId="3" borderId="2" xfId="0" applyFont="1" applyFill="1" applyBorder="1" applyAlignment="1">
      <alignment horizontal="center" vertical="center"/>
    </xf>
    <xf numFmtId="0" fontId="10" fillId="6" borderId="2" xfId="0" applyFont="1" applyFill="1" applyBorder="1" applyAlignment="1">
      <alignment horizontal="center" vertical="center"/>
    </xf>
    <xf numFmtId="0" fontId="9" fillId="7" borderId="2" xfId="0" applyFont="1" applyFill="1" applyBorder="1" applyAlignment="1">
      <alignment horizontal="center" vertical="center"/>
    </xf>
    <xf numFmtId="0" fontId="9" fillId="8" borderId="2" xfId="0" applyFont="1" applyFill="1" applyBorder="1" applyAlignment="1">
      <alignment horizontal="center" vertical="center"/>
    </xf>
    <xf numFmtId="0" fontId="9" fillId="9" borderId="2" xfId="0" applyFont="1" applyFill="1" applyBorder="1" applyAlignment="1">
      <alignment horizontal="center" vertical="center"/>
    </xf>
    <xf numFmtId="3" fontId="10" fillId="7" borderId="2" xfId="0" applyNumberFormat="1" applyFont="1" applyFill="1" applyBorder="1" applyAlignment="1">
      <alignment horizontal="center" vertical="center"/>
    </xf>
    <xf numFmtId="4" fontId="10" fillId="8" borderId="2" xfId="0" applyNumberFormat="1" applyFont="1" applyFill="1" applyBorder="1" applyAlignment="1">
      <alignment horizontal="center" vertical="center"/>
    </xf>
    <xf numFmtId="180" fontId="10" fillId="9" borderId="2" xfId="0" applyNumberFormat="1" applyFont="1" applyFill="1" applyBorder="1" applyAlignment="1">
      <alignment horizontal="center" vertical="center"/>
    </xf>
    <xf numFmtId="0" fontId="5" fillId="0" borderId="8" xfId="0" applyFont="1" applyBorder="1"/>
    <xf numFmtId="0" fontId="11" fillId="5" borderId="2" xfId="0" applyFont="1" applyFill="1" applyBorder="1" applyAlignment="1">
      <alignment horizontal="center" vertical="center"/>
    </xf>
    <xf numFmtId="3" fontId="11" fillId="5" borderId="2" xfId="0" applyNumberFormat="1" applyFont="1" applyFill="1" applyBorder="1" applyAlignment="1">
      <alignment horizontal="center" vertical="center"/>
    </xf>
    <xf numFmtId="180" fontId="11" fillId="5" borderId="2" xfId="0" applyNumberFormat="1" applyFont="1" applyFill="1" applyBorder="1" applyAlignment="1">
      <alignment horizontal="center" vertical="center"/>
    </xf>
    <xf numFmtId="0" fontId="11" fillId="4" borderId="2" xfId="0" applyFont="1" applyFill="1" applyBorder="1" applyAlignment="1">
      <alignment horizontal="center" vertical="center"/>
    </xf>
    <xf numFmtId="3" fontId="11" fillId="4" borderId="2" xfId="0" applyNumberFormat="1" applyFont="1" applyFill="1" applyBorder="1" applyAlignment="1">
      <alignment horizontal="center" vertical="center"/>
    </xf>
    <xf numFmtId="180" fontId="11" fillId="4" borderId="2" xfId="0" applyNumberFormat="1" applyFont="1" applyFill="1" applyBorder="1" applyAlignment="1">
      <alignment horizontal="center" vertical="center"/>
    </xf>
    <xf numFmtId="3" fontId="9" fillId="2" borderId="2" xfId="0" applyNumberFormat="1" applyFont="1" applyFill="1" applyBorder="1" applyAlignment="1">
      <alignment horizontal="center" vertical="center"/>
    </xf>
    <xf numFmtId="0" fontId="12" fillId="2" borderId="2" xfId="0" applyFont="1" applyFill="1" applyBorder="1" applyAlignment="1">
      <alignment horizontal="center" vertical="center"/>
    </xf>
    <xf numFmtId="0" fontId="13" fillId="4" borderId="2" xfId="0" applyFont="1" applyFill="1" applyBorder="1" applyAlignment="1">
      <alignment horizontal="left" vertical="center"/>
    </xf>
    <xf numFmtId="0" fontId="4" fillId="10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left" vertical="center"/>
    </xf>
    <xf numFmtId="0" fontId="13" fillId="5" borderId="2" xfId="0" applyFont="1" applyFill="1" applyBorder="1" applyAlignment="1">
      <alignment horizontal="left" vertical="center"/>
    </xf>
    <xf numFmtId="0" fontId="4" fillId="5" borderId="2" xfId="0" applyFont="1" applyFill="1" applyBorder="1" applyAlignment="1">
      <alignment horizontal="left" vertical="center"/>
    </xf>
    <xf numFmtId="0" fontId="12" fillId="3" borderId="2" xfId="0" applyFont="1" applyFill="1" applyBorder="1" applyAlignment="1">
      <alignment horizontal="left" vertical="center"/>
    </xf>
    <xf numFmtId="0" fontId="0" fillId="3" borderId="2" xfId="0" applyFill="1" applyBorder="1"/>
    <xf numFmtId="0" fontId="11" fillId="4" borderId="2" xfId="0" applyFont="1" applyFill="1" applyBorder="1" applyAlignment="1">
      <alignment horizontal="left" vertical="center"/>
    </xf>
    <xf numFmtId="0" fontId="11" fillId="5" borderId="2" xfId="0" applyFont="1" applyFill="1" applyBorder="1" applyAlignment="1">
      <alignment horizontal="left" vertical="center"/>
    </xf>
    <xf numFmtId="0" fontId="14" fillId="0" borderId="0" xfId="0" applyFont="1" applyFill="1" applyAlignment="1"/>
    <xf numFmtId="0" fontId="15" fillId="0" borderId="1" xfId="0" applyFont="1" applyFill="1" applyBorder="1" applyAlignment="1"/>
    <xf numFmtId="0" fontId="15" fillId="11" borderId="0" xfId="0" applyFont="1" applyFill="1" applyAlignment="1"/>
    <xf numFmtId="0" fontId="15" fillId="11" borderId="0" xfId="0" applyFont="1" applyFill="1" applyBorder="1" applyAlignment="1"/>
    <xf numFmtId="0" fontId="15" fillId="0" borderId="0" xfId="0" applyFont="1" applyFill="1" applyBorder="1" applyAlignment="1"/>
    <xf numFmtId="0" fontId="16" fillId="0" borderId="0" xfId="0" applyFont="1" applyFill="1" applyAlignment="1">
      <alignment horizontal="center"/>
    </xf>
    <xf numFmtId="0" fontId="17" fillId="0" borderId="0" xfId="0" applyFont="1" applyFill="1" applyBorder="1" applyAlignment="1"/>
    <xf numFmtId="0" fontId="17" fillId="0" borderId="0" xfId="0" applyFont="1" applyFill="1" applyAlignment="1"/>
    <xf numFmtId="0" fontId="18" fillId="0" borderId="9" xfId="49" applyFont="1" applyFill="1" applyBorder="1" applyAlignment="1">
      <alignment horizontal="center" vertical="center"/>
    </xf>
    <xf numFmtId="0" fontId="18" fillId="0" borderId="10" xfId="49" applyFont="1" applyFill="1" applyBorder="1" applyAlignment="1">
      <alignment horizontal="center" vertical="center"/>
    </xf>
    <xf numFmtId="0" fontId="18" fillId="0" borderId="11" xfId="49" applyFont="1" applyFill="1" applyBorder="1" applyAlignment="1">
      <alignment horizontal="center" vertical="center"/>
    </xf>
    <xf numFmtId="0" fontId="14" fillId="0" borderId="0" xfId="0" applyFont="1" applyFill="1" applyBorder="1" applyAlignment="1"/>
    <xf numFmtId="0" fontId="19" fillId="0" borderId="0" xfId="49" applyFont="1" applyFill="1" applyBorder="1"/>
    <xf numFmtId="0" fontId="19" fillId="0" borderId="0" xfId="49" applyFont="1" applyFill="1" applyBorder="1" applyAlignment="1">
      <alignment horizontal="center"/>
    </xf>
    <xf numFmtId="0" fontId="20" fillId="0" borderId="0" xfId="49" applyFont="1" applyFill="1" applyBorder="1"/>
    <xf numFmtId="0" fontId="18" fillId="0" borderId="0" xfId="49" applyFont="1" applyFill="1" applyBorder="1" applyAlignment="1" applyProtection="1">
      <alignment horizontal="left" vertical="center"/>
      <protection locked="0"/>
    </xf>
    <xf numFmtId="0" fontId="18" fillId="0" borderId="0" xfId="49" applyFont="1" applyFill="1" applyBorder="1" applyProtection="1">
      <protection locked="0"/>
    </xf>
    <xf numFmtId="0" fontId="19" fillId="0" borderId="0" xfId="49" applyFont="1" applyFill="1" applyBorder="1" applyProtection="1">
      <protection locked="0"/>
    </xf>
    <xf numFmtId="0" fontId="19" fillId="0" borderId="0" xfId="49" applyFont="1" applyFill="1" applyBorder="1" applyAlignment="1">
      <alignment horizontal="right"/>
    </xf>
    <xf numFmtId="0" fontId="18" fillId="0" borderId="0" xfId="49" applyFont="1" applyFill="1" applyBorder="1"/>
    <xf numFmtId="0" fontId="21" fillId="0" borderId="0" xfId="49" applyFont="1" applyFill="1" applyAlignment="1">
      <alignment horizontal="left"/>
    </xf>
    <xf numFmtId="0" fontId="19" fillId="0" borderId="0" xfId="49" applyFont="1" applyFill="1"/>
    <xf numFmtId="181" fontId="18" fillId="0" borderId="0" xfId="49" applyNumberFormat="1" applyFont="1" applyFill="1" applyBorder="1" applyAlignment="1"/>
    <xf numFmtId="0" fontId="18" fillId="0" borderId="0" xfId="49" applyFont="1" applyFill="1"/>
    <xf numFmtId="49" fontId="16" fillId="0" borderId="0" xfId="49" applyNumberFormat="1" applyFont="1" applyFill="1" applyBorder="1" applyAlignment="1" applyProtection="1">
      <alignment vertical="center" wrapText="1"/>
      <protection locked="0"/>
    </xf>
    <xf numFmtId="49" fontId="16" fillId="0" borderId="0" xfId="49" applyNumberFormat="1" applyFont="1" applyFill="1" applyBorder="1" applyAlignment="1" applyProtection="1">
      <alignment vertical="center"/>
      <protection locked="0"/>
    </xf>
    <xf numFmtId="0" fontId="22" fillId="0" borderId="0" xfId="0" applyFont="1" applyFill="1" applyAlignment="1">
      <alignment wrapText="1"/>
    </xf>
    <xf numFmtId="0" fontId="22" fillId="0" borderId="0" xfId="0" applyFont="1" applyFill="1" applyAlignment="1"/>
    <xf numFmtId="0" fontId="15" fillId="0" borderId="0" xfId="0" applyFont="1" applyFill="1" applyAlignment="1"/>
    <xf numFmtId="0" fontId="16" fillId="0" borderId="0" xfId="49" applyFont="1" applyFill="1" applyBorder="1" applyAlignment="1" applyProtection="1">
      <protection locked="0"/>
    </xf>
    <xf numFmtId="0" fontId="18" fillId="0" borderId="0" xfId="49" applyFont="1" applyFill="1" applyBorder="1" applyAlignment="1">
      <alignment horizontal="center"/>
    </xf>
    <xf numFmtId="0" fontId="16" fillId="0" borderId="0" xfId="49" applyFont="1" applyFill="1" applyBorder="1" applyAlignment="1" applyProtection="1">
      <alignment horizontal="left"/>
      <protection locked="0"/>
    </xf>
    <xf numFmtId="49" fontId="18" fillId="0" borderId="0" xfId="49" applyNumberFormat="1" applyFont="1" applyFill="1" applyBorder="1" applyAlignment="1"/>
    <xf numFmtId="0" fontId="18" fillId="0" borderId="0" xfId="49" applyFont="1" applyFill="1" applyBorder="1" applyAlignment="1">
      <alignment horizontal="right" vertical="center"/>
    </xf>
    <xf numFmtId="0" fontId="18" fillId="12" borderId="0" xfId="0" applyFont="1" applyFill="1" applyBorder="1" applyAlignment="1">
      <alignment horizontal="left" vertical="center"/>
    </xf>
    <xf numFmtId="0" fontId="18" fillId="13" borderId="12" xfId="49" applyFont="1" applyFill="1" applyBorder="1" applyAlignment="1">
      <alignment horizontal="center" vertical="center" wrapText="1"/>
    </xf>
    <xf numFmtId="0" fontId="18" fillId="13" borderId="13" xfId="49" applyFont="1" applyFill="1" applyBorder="1" applyAlignment="1">
      <alignment horizontal="center" vertical="center" wrapText="1"/>
    </xf>
    <xf numFmtId="0" fontId="18" fillId="13" borderId="13" xfId="49" applyFont="1" applyFill="1" applyBorder="1" applyAlignment="1">
      <alignment horizontal="center" vertical="center"/>
    </xf>
    <xf numFmtId="0" fontId="18" fillId="0" borderId="13" xfId="49" applyFont="1" applyFill="1" applyBorder="1" applyAlignment="1">
      <alignment vertical="center"/>
    </xf>
    <xf numFmtId="0" fontId="18" fillId="0" borderId="13" xfId="49" applyFont="1" applyFill="1" applyBorder="1" applyAlignment="1">
      <alignment horizontal="center" vertical="center"/>
    </xf>
    <xf numFmtId="0" fontId="18" fillId="0" borderId="14" xfId="49" applyFont="1" applyFill="1" applyBorder="1" applyAlignment="1">
      <alignment vertical="center"/>
    </xf>
    <xf numFmtId="0" fontId="18" fillId="13" borderId="15" xfId="49" applyFont="1" applyFill="1" applyBorder="1" applyAlignment="1">
      <alignment horizontal="center" vertical="center" wrapText="1"/>
    </xf>
    <xf numFmtId="0" fontId="18" fillId="13" borderId="16" xfId="49" applyFont="1" applyFill="1" applyBorder="1" applyAlignment="1">
      <alignment horizontal="center" vertical="center" wrapText="1"/>
    </xf>
    <xf numFmtId="0" fontId="15" fillId="14" borderId="16" xfId="0" applyFont="1" applyFill="1" applyBorder="1" applyAlignment="1">
      <alignment horizontal="center" vertical="center"/>
    </xf>
    <xf numFmtId="0" fontId="18" fillId="13" borderId="17" xfId="49" applyFont="1" applyFill="1" applyBorder="1" applyAlignment="1">
      <alignment horizontal="center" vertical="center" wrapText="1"/>
    </xf>
    <xf numFmtId="0" fontId="19" fillId="0" borderId="18" xfId="49" applyFont="1" applyFill="1" applyBorder="1" applyAlignment="1">
      <alignment horizontal="center"/>
    </xf>
    <xf numFmtId="0" fontId="19" fillId="0" borderId="1" xfId="49" applyFont="1" applyFill="1" applyBorder="1" applyAlignment="1">
      <alignment horizontal="center"/>
    </xf>
    <xf numFmtId="0" fontId="19" fillId="0" borderId="1" xfId="49" applyFont="1" applyFill="1" applyBorder="1" applyAlignment="1">
      <alignment horizontal="center" wrapText="1"/>
    </xf>
    <xf numFmtId="0" fontId="18" fillId="12" borderId="1" xfId="49" applyFont="1" applyFill="1" applyBorder="1" applyAlignment="1">
      <alignment horizontal="center" vertical="center" wrapText="1"/>
    </xf>
    <xf numFmtId="0" fontId="14" fillId="0" borderId="1" xfId="0" applyFont="1" applyFill="1" applyBorder="1" applyAlignment="1" applyProtection="1">
      <alignment horizontal="center"/>
      <protection locked="0"/>
    </xf>
    <xf numFmtId="0" fontId="14" fillId="0" borderId="1" xfId="0" applyNumberFormat="1" applyFont="1" applyFill="1" applyBorder="1" applyAlignment="1" applyProtection="1">
      <alignment horizontal="center"/>
      <protection locked="0"/>
    </xf>
    <xf numFmtId="2" fontId="19" fillId="12" borderId="1" xfId="0" applyNumberFormat="1" applyFont="1" applyFill="1" applyBorder="1" applyAlignment="1">
      <alignment horizontal="center" vertical="center"/>
    </xf>
    <xf numFmtId="2" fontId="19" fillId="12" borderId="19" xfId="0" applyNumberFormat="1" applyFont="1" applyFill="1" applyBorder="1" applyAlignment="1">
      <alignment horizontal="center" vertical="center"/>
    </xf>
    <xf numFmtId="0" fontId="14" fillId="12" borderId="20" xfId="0" applyFont="1" applyFill="1" applyBorder="1" applyAlignment="1" applyProtection="1">
      <alignment horizontal="center"/>
      <protection locked="0"/>
    </xf>
    <xf numFmtId="182" fontId="15" fillId="0" borderId="0" xfId="0" applyNumberFormat="1" applyFont="1" applyFill="1" applyBorder="1" applyAlignment="1"/>
    <xf numFmtId="0" fontId="18" fillId="12" borderId="19" xfId="49" applyFont="1" applyFill="1" applyBorder="1" applyAlignment="1">
      <alignment horizontal="center" vertical="center" wrapText="1"/>
    </xf>
    <xf numFmtId="0" fontId="19" fillId="11" borderId="21" xfId="49" applyFont="1" applyFill="1" applyBorder="1" applyAlignment="1">
      <alignment horizontal="center" vertical="center" wrapText="1"/>
    </xf>
    <xf numFmtId="0" fontId="19" fillId="11" borderId="22" xfId="49" applyFont="1" applyFill="1" applyBorder="1" applyAlignment="1">
      <alignment horizontal="center" vertical="center" wrapText="1"/>
    </xf>
    <xf numFmtId="49" fontId="19" fillId="11" borderId="22" xfId="49" applyNumberFormat="1" applyFont="1" applyFill="1" applyBorder="1" applyAlignment="1" applyProtection="1">
      <alignment horizontal="center" vertical="center"/>
      <protection locked="0"/>
    </xf>
    <xf numFmtId="0" fontId="19" fillId="11" borderId="22" xfId="49" applyFont="1" applyFill="1" applyBorder="1" applyAlignment="1" applyProtection="1">
      <alignment horizontal="center" vertical="center"/>
      <protection locked="0"/>
    </xf>
    <xf numFmtId="0" fontId="18" fillId="15" borderId="22" xfId="49" applyNumberFormat="1" applyFont="1" applyFill="1" applyBorder="1" applyAlignment="1">
      <alignment horizontal="center" vertical="center"/>
    </xf>
    <xf numFmtId="0" fontId="18" fillId="15" borderId="22" xfId="49" applyFont="1" applyFill="1" applyBorder="1" applyAlignment="1">
      <alignment horizontal="center" vertical="center"/>
    </xf>
    <xf numFmtId="0" fontId="18" fillId="11" borderId="22" xfId="49" applyFont="1" applyFill="1" applyBorder="1" applyAlignment="1">
      <alignment horizontal="center" vertical="center"/>
    </xf>
    <xf numFmtId="2" fontId="18" fillId="11" borderId="22" xfId="49" applyNumberFormat="1" applyFont="1" applyFill="1" applyBorder="1" applyAlignment="1">
      <alignment horizontal="center" vertical="center"/>
    </xf>
    <xf numFmtId="0" fontId="18" fillId="11" borderId="23" xfId="49" applyFont="1" applyFill="1" applyBorder="1" applyAlignment="1">
      <alignment horizontal="center" vertical="center"/>
    </xf>
    <xf numFmtId="0" fontId="19" fillId="12" borderId="0" xfId="49" applyFont="1" applyFill="1" applyBorder="1" applyAlignment="1">
      <alignment horizontal="center" vertical="center" wrapText="1"/>
    </xf>
    <xf numFmtId="49" fontId="19" fillId="12" borderId="0" xfId="49" applyNumberFormat="1" applyFont="1" applyFill="1" applyBorder="1" applyAlignment="1" applyProtection="1">
      <alignment horizontal="center" vertical="center"/>
      <protection locked="0"/>
    </xf>
    <xf numFmtId="0" fontId="19" fillId="12" borderId="0" xfId="49" applyFont="1" applyFill="1" applyBorder="1" applyAlignment="1" applyProtection="1">
      <alignment horizontal="center" vertical="center"/>
      <protection locked="0"/>
    </xf>
    <xf numFmtId="0" fontId="18" fillId="12" borderId="0" xfId="49" applyFont="1" applyFill="1" applyBorder="1" applyAlignment="1">
      <alignment horizontal="center" vertical="center"/>
    </xf>
    <xf numFmtId="0" fontId="23" fillId="0" borderId="24" xfId="49" applyFont="1" applyFill="1" applyBorder="1" applyAlignment="1">
      <alignment horizontal="center" vertical="center"/>
    </xf>
    <xf numFmtId="0" fontId="23" fillId="0" borderId="25" xfId="49" applyFont="1" applyFill="1" applyBorder="1" applyAlignment="1">
      <alignment horizontal="center" vertical="center"/>
    </xf>
    <xf numFmtId="0" fontId="23" fillId="0" borderId="25" xfId="49" applyNumberFormat="1" applyFont="1" applyFill="1" applyBorder="1" applyAlignment="1">
      <alignment horizontal="center"/>
    </xf>
    <xf numFmtId="0" fontId="23" fillId="0" borderId="25" xfId="49" applyFont="1" applyFill="1" applyBorder="1" applyAlignment="1">
      <alignment horizontal="center"/>
    </xf>
    <xf numFmtId="0" fontId="23" fillId="0" borderId="26" xfId="49" applyFont="1" applyFill="1" applyBorder="1" applyAlignment="1">
      <alignment horizontal="center"/>
    </xf>
    <xf numFmtId="0" fontId="23" fillId="0" borderId="0" xfId="49" applyFont="1" applyFill="1" applyBorder="1" applyAlignment="1">
      <alignment horizontal="center" vertical="center"/>
    </xf>
    <xf numFmtId="1" fontId="23" fillId="0" borderId="0" xfId="49" applyNumberFormat="1" applyFont="1" applyFill="1" applyBorder="1" applyAlignment="1">
      <alignment horizontal="center"/>
    </xf>
    <xf numFmtId="0" fontId="23" fillId="0" borderId="0" xfId="49" applyFont="1" applyFill="1" applyBorder="1" applyAlignment="1">
      <alignment horizontal="center"/>
    </xf>
    <xf numFmtId="0" fontId="0" fillId="0" borderId="1" xfId="0" applyFont="1" applyFill="1" applyBorder="1" applyAlignment="1"/>
    <xf numFmtId="0" fontId="17" fillId="0" borderId="1" xfId="0" applyFont="1" applyFill="1" applyBorder="1" applyAlignment="1"/>
    <xf numFmtId="0" fontId="16" fillId="0" borderId="0" xfId="0" applyFont="1" applyFill="1" applyAlignment="1"/>
    <xf numFmtId="0" fontId="17" fillId="0" borderId="1" xfId="0" applyFont="1" applyFill="1" applyBorder="1" applyAlignment="1">
      <alignment horizontal="center" vertical="center"/>
    </xf>
    <xf numFmtId="0" fontId="16" fillId="0" borderId="24" xfId="0" applyFont="1" applyFill="1" applyBorder="1" applyAlignment="1">
      <alignment horizontal="center"/>
    </xf>
    <xf numFmtId="0" fontId="16" fillId="0" borderId="27" xfId="0" applyNumberFormat="1" applyFont="1" applyFill="1" applyBorder="1" applyAlignment="1">
      <alignment horizontal="center"/>
    </xf>
    <xf numFmtId="0" fontId="16" fillId="0" borderId="28" xfId="0" applyNumberFormat="1" applyFont="1" applyFill="1" applyBorder="1" applyAlignment="1">
      <alignment horizontal="center"/>
    </xf>
    <xf numFmtId="0" fontId="16" fillId="0" borderId="29" xfId="0" applyNumberFormat="1" applyFont="1" applyFill="1" applyBorder="1" applyAlignment="1">
      <alignment horizontal="center"/>
    </xf>
    <xf numFmtId="0" fontId="16" fillId="0" borderId="26" xfId="0" applyFont="1" applyFill="1" applyBorder="1" applyAlignment="1">
      <alignment horizontal="center"/>
    </xf>
    <xf numFmtId="0" fontId="17" fillId="0" borderId="1" xfId="0" applyNumberFormat="1" applyFont="1" applyFill="1" applyBorder="1" applyAlignment="1">
      <alignment horizontal="center" vertical="center"/>
    </xf>
    <xf numFmtId="0" fontId="16" fillId="16" borderId="30" xfId="0" applyFont="1" applyFill="1" applyBorder="1" applyAlignment="1">
      <alignment horizontal="center"/>
    </xf>
    <xf numFmtId="0" fontId="15" fillId="14" borderId="31" xfId="0" applyNumberFormat="1" applyFont="1" applyFill="1" applyBorder="1" applyAlignment="1">
      <alignment horizontal="center" vertical="center"/>
    </xf>
    <xf numFmtId="0" fontId="16" fillId="16" borderId="31" xfId="0" applyFont="1" applyFill="1" applyBorder="1" applyAlignment="1">
      <alignment horizontal="center"/>
    </xf>
    <xf numFmtId="0" fontId="16" fillId="16" borderId="32" xfId="0" applyFont="1" applyFill="1" applyBorder="1" applyAlignment="1">
      <alignment horizontal="center"/>
    </xf>
    <xf numFmtId="0" fontId="16" fillId="0" borderId="12" xfId="0" applyFont="1" applyFill="1" applyBorder="1" applyAlignment="1">
      <alignment horizontal="center"/>
    </xf>
    <xf numFmtId="0" fontId="16" fillId="0" borderId="13" xfId="0" applyFont="1" applyFill="1" applyBorder="1" applyAlignment="1">
      <alignment horizontal="center"/>
    </xf>
    <xf numFmtId="0" fontId="16" fillId="0" borderId="33" xfId="0" applyFont="1" applyFill="1" applyBorder="1" applyAlignment="1">
      <alignment horizontal="center"/>
    </xf>
    <xf numFmtId="0" fontId="16" fillId="0" borderId="34" xfId="0" applyFont="1" applyFill="1" applyBorder="1" applyAlignment="1">
      <alignment horizontal="center"/>
    </xf>
    <xf numFmtId="0" fontId="0" fillId="0" borderId="9" xfId="0" applyFont="1" applyFill="1" applyBorder="1" applyAlignment="1"/>
    <xf numFmtId="0" fontId="0" fillId="0" borderId="11" xfId="0" applyFont="1" applyFill="1" applyBorder="1" applyAlignment="1"/>
    <xf numFmtId="0" fontId="16" fillId="0" borderId="35" xfId="0" applyFont="1" applyFill="1" applyBorder="1" applyAlignment="1">
      <alignment horizontal="center"/>
    </xf>
    <xf numFmtId="0" fontId="16" fillId="0" borderId="36" xfId="0" applyFont="1" applyFill="1" applyBorder="1" applyAlignment="1">
      <alignment horizontal="center"/>
    </xf>
    <xf numFmtId="0" fontId="16" fillId="0" borderId="37" xfId="0" applyFont="1" applyFill="1" applyBorder="1" applyAlignment="1">
      <alignment horizontal="center"/>
    </xf>
    <xf numFmtId="0" fontId="16" fillId="0" borderId="38" xfId="0" applyFont="1" applyFill="1" applyBorder="1" applyAlignment="1">
      <alignment horizontal="center"/>
    </xf>
    <xf numFmtId="0" fontId="16" fillId="12" borderId="0" xfId="0" applyFont="1" applyFill="1" applyBorder="1" applyAlignment="1">
      <alignment horizontal="center"/>
    </xf>
    <xf numFmtId="0" fontId="16" fillId="0" borderId="0" xfId="0" applyFont="1" applyFill="1" applyBorder="1" applyAlignment="1">
      <alignment horizontal="center"/>
    </xf>
    <xf numFmtId="0" fontId="16" fillId="0" borderId="21" xfId="0" applyFont="1" applyFill="1" applyBorder="1" applyAlignment="1">
      <alignment horizontal="center"/>
    </xf>
    <xf numFmtId="0" fontId="16" fillId="0" borderId="39" xfId="0" applyFont="1" applyFill="1" applyBorder="1" applyAlignment="1">
      <alignment horizontal="center"/>
    </xf>
    <xf numFmtId="183" fontId="16" fillId="17" borderId="40" xfId="0" applyNumberFormat="1" applyFont="1" applyFill="1" applyBorder="1" applyAlignment="1">
      <alignment horizontal="center"/>
    </xf>
    <xf numFmtId="183" fontId="16" fillId="17" borderId="28" xfId="0" applyNumberFormat="1" applyFont="1" applyFill="1" applyBorder="1" applyAlignment="1">
      <alignment horizontal="center"/>
    </xf>
    <xf numFmtId="183" fontId="16" fillId="17" borderId="41" xfId="0" applyNumberFormat="1" applyFont="1" applyFill="1" applyBorder="1" applyAlignment="1">
      <alignment horizontal="center"/>
    </xf>
    <xf numFmtId="183" fontId="16" fillId="12" borderId="0" xfId="0" applyNumberFormat="1" applyFont="1" applyFill="1" applyBorder="1" applyAlignment="1">
      <alignment horizontal="center"/>
    </xf>
    <xf numFmtId="0" fontId="16" fillId="0" borderId="42" xfId="0" applyFont="1" applyFill="1" applyBorder="1" applyAlignment="1">
      <alignment horizontal="center"/>
    </xf>
    <xf numFmtId="9" fontId="15" fillId="0" borderId="43" xfId="3" applyNumberFormat="1" applyFont="1" applyFill="1" applyBorder="1" applyAlignment="1" applyProtection="1">
      <alignment horizontal="center" vertical="center"/>
    </xf>
    <xf numFmtId="0" fontId="16" fillId="0" borderId="23" xfId="0" applyFont="1" applyFill="1" applyBorder="1" applyAlignment="1">
      <alignment horizontal="left"/>
    </xf>
    <xf numFmtId="0" fontId="12" fillId="2" borderId="2" xfId="0" applyFont="1" applyFill="1" applyBorder="1" applyAlignment="1">
      <alignment horizontal="center" vertical="center" wrapText="1"/>
    </xf>
    <xf numFmtId="0" fontId="4" fillId="4" borderId="2" xfId="0" applyFont="1" applyFill="1" applyBorder="1" applyAlignment="1">
      <alignment horizontal="center" vertical="center"/>
    </xf>
    <xf numFmtId="3" fontId="4" fillId="4" borderId="2" xfId="0" applyNumberFormat="1" applyFont="1" applyFill="1" applyBorder="1" applyAlignment="1">
      <alignment horizontal="center" vertical="center"/>
    </xf>
    <xf numFmtId="184" fontId="4" fillId="4" borderId="2" xfId="0" applyNumberFormat="1" applyFont="1" applyFill="1" applyBorder="1" applyAlignment="1">
      <alignment horizontal="center" vertical="center"/>
    </xf>
    <xf numFmtId="3" fontId="0" fillId="10" borderId="2" xfId="0" applyNumberFormat="1" applyFill="1" applyBorder="1"/>
    <xf numFmtId="3" fontId="0" fillId="4" borderId="2" xfId="0" applyNumberFormat="1" applyFill="1" applyBorder="1"/>
    <xf numFmtId="180" fontId="0" fillId="4" borderId="2" xfId="0" applyNumberFormat="1" applyFill="1" applyBorder="1"/>
    <xf numFmtId="0" fontId="4" fillId="5" borderId="2" xfId="0" applyFont="1" applyFill="1" applyBorder="1" applyAlignment="1">
      <alignment horizontal="center" vertical="center"/>
    </xf>
    <xf numFmtId="3" fontId="4" fillId="5" borderId="2" xfId="0" applyNumberFormat="1" applyFont="1" applyFill="1" applyBorder="1" applyAlignment="1">
      <alignment horizontal="center" vertical="center"/>
    </xf>
    <xf numFmtId="184" fontId="4" fillId="5" borderId="2" xfId="0" applyNumberFormat="1" applyFont="1" applyFill="1" applyBorder="1" applyAlignment="1">
      <alignment horizontal="center" vertical="center"/>
    </xf>
    <xf numFmtId="3" fontId="0" fillId="5" borderId="2" xfId="0" applyNumberFormat="1" applyFill="1" applyBorder="1"/>
    <xf numFmtId="180" fontId="0" fillId="5" borderId="2" xfId="0" applyNumberFormat="1" applyFill="1" applyBorder="1"/>
    <xf numFmtId="0" fontId="24" fillId="2" borderId="0" xfId="0" applyFont="1" applyFill="1" applyAlignment="1">
      <alignment horizontal="center" vertical="center"/>
    </xf>
    <xf numFmtId="0" fontId="0" fillId="18" borderId="0" xfId="0" applyFill="1"/>
    <xf numFmtId="0" fontId="0" fillId="5" borderId="0" xfId="0" applyFill="1"/>
    <xf numFmtId="0" fontId="25" fillId="5" borderId="0" xfId="0" applyFont="1" applyFill="1" applyAlignment="1">
      <alignment horizontal="center" vertical="center"/>
    </xf>
    <xf numFmtId="0" fontId="5" fillId="5" borderId="0" xfId="0" applyFont="1" applyFill="1" applyAlignment="1">
      <alignment horizontal="left" vertical="center"/>
    </xf>
    <xf numFmtId="0" fontId="4" fillId="5" borderId="0" xfId="0" applyFont="1" applyFill="1" applyAlignment="1">
      <alignment horizontal="left" vertical="center"/>
    </xf>
    <xf numFmtId="183" fontId="4" fillId="5" borderId="0" xfId="0" applyNumberFormat="1" applyFont="1" applyFill="1" applyAlignment="1">
      <alignment horizontal="left" vertical="center"/>
    </xf>
    <xf numFmtId="0" fontId="26" fillId="2" borderId="2" xfId="0" applyFont="1" applyFill="1" applyBorder="1" applyAlignment="1">
      <alignment horizontal="center" vertical="center"/>
    </xf>
    <xf numFmtId="0" fontId="26" fillId="3" borderId="2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12" fillId="3" borderId="2" xfId="0" applyFont="1" applyFill="1" applyBorder="1" applyAlignment="1">
      <alignment horizontal="center" vertical="center"/>
    </xf>
    <xf numFmtId="0" fontId="0" fillId="0" borderId="44" xfId="0" applyBorder="1"/>
    <xf numFmtId="0" fontId="0" fillId="0" borderId="45" xfId="0" applyBorder="1"/>
    <xf numFmtId="0" fontId="5" fillId="19" borderId="2" xfId="0" applyFont="1" applyFill="1" applyBorder="1" applyAlignment="1">
      <alignment horizontal="left" vertical="center"/>
    </xf>
    <xf numFmtId="0" fontId="4" fillId="19" borderId="2" xfId="0" applyFont="1" applyFill="1" applyBorder="1" applyAlignment="1">
      <alignment horizontal="left" vertical="center"/>
    </xf>
    <xf numFmtId="0" fontId="5" fillId="19" borderId="2" xfId="0" applyFont="1" applyFill="1" applyBorder="1" applyAlignment="1">
      <alignment horizontal="center" vertical="center"/>
    </xf>
    <xf numFmtId="0" fontId="5" fillId="5" borderId="2" xfId="0" applyFont="1" applyFill="1" applyBorder="1" applyAlignment="1">
      <alignment horizontal="left" vertical="center"/>
    </xf>
    <xf numFmtId="0" fontId="5" fillId="5" borderId="2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5" fillId="20" borderId="2" xfId="0" applyFont="1" applyFill="1" applyBorder="1" applyAlignment="1">
      <alignment horizontal="left" vertical="center"/>
    </xf>
    <xf numFmtId="0" fontId="0" fillId="0" borderId="46" xfId="0" applyBorder="1"/>
    <xf numFmtId="0" fontId="27" fillId="20" borderId="2" xfId="0" applyFont="1" applyFill="1" applyBorder="1" applyAlignment="1">
      <alignment horizontal="left" vertical="center" wrapText="1"/>
    </xf>
    <xf numFmtId="0" fontId="27" fillId="5" borderId="2" xfId="0" applyFont="1" applyFill="1" applyBorder="1" applyAlignment="1">
      <alignment horizontal="left" vertical="center" wrapText="1"/>
    </xf>
    <xf numFmtId="0" fontId="16" fillId="0" borderId="21" xfId="0" applyFont="1" applyFill="1" applyBorder="1" applyAlignment="1" quotePrefix="1">
      <alignment horizontal="center"/>
    </xf>
  </cellXfs>
  <cellStyles count="50">
    <cellStyle name="Normal" xfId="0" builtinId="0"/>
    <cellStyle name="Comma" xfId="1" builtinId="3"/>
    <cellStyle name="Currency" xfId="2" builtinId="4"/>
    <cellStyle name="Percent" xfId="3" builtinId="5"/>
    <cellStyle name="Comma [0]" xfId="4" builtinId="6"/>
    <cellStyle name="Currency [0]" xfId="5" builtinId="7"/>
    <cellStyle name="Link" xfId="6" builtinId="8"/>
    <cellStyle name="Followed Hyperlink" xfId="7" builtinId="9"/>
    <cellStyle name="Note" xfId="8" builtinId="10"/>
    <cellStyle name="Warning Text" xfId="9" builtinId="11"/>
    <cellStyle name="Title" xfId="10" builtinId="15"/>
    <cellStyle name="Explanatory Text" xfId="11" builtinId="53"/>
    <cellStyle name="Heading 1" xfId="12" builtinId="16"/>
    <cellStyle name="Heading 2" xfId="13" builtinId="17"/>
    <cellStyle name="Heading 3" xfId="14" builtinId="18"/>
    <cellStyle name="Heading 4" xfId="15" builtinId="19"/>
    <cellStyle name="Input" xfId="16" builtinId="20"/>
    <cellStyle name="Output" xfId="17" builtinId="21"/>
    <cellStyle name="Calculation" xfId="18" builtinId="22"/>
    <cellStyle name="Check Cell" xfId="19" builtinId="23"/>
    <cellStyle name="Linked Cell" xfId="20" builtinId="24"/>
    <cellStyle name="Total" xfId="21" builtinId="25"/>
    <cellStyle name="Good" xfId="22" builtinId="26"/>
    <cellStyle name="Bad" xfId="23" builtinId="27"/>
    <cellStyle name="Neutral" xfId="24" builtinId="28"/>
    <cellStyle name="Accent1" xfId="25" builtinId="29"/>
    <cellStyle name="20% - Accent1" xfId="26" builtinId="30"/>
    <cellStyle name="40% - Accent1" xfId="27" builtinId="31"/>
    <cellStyle name="60% - Accent1" xfId="28" builtinId="32"/>
    <cellStyle name="Accent2" xfId="29" builtinId="33"/>
    <cellStyle name="20% - Accent2" xfId="30" builtinId="34"/>
    <cellStyle name="40% - Accent2" xfId="31" builtinId="35"/>
    <cellStyle name="60% - Accent2" xfId="32" builtinId="36"/>
    <cellStyle name="Accent3" xfId="33" builtinId="37"/>
    <cellStyle name="20% - Accent3" xfId="34" builtinId="38"/>
    <cellStyle name="40% - Accent3" xfId="35" builtinId="39"/>
    <cellStyle name="60% - Accent3" xfId="36" builtinId="40"/>
    <cellStyle name="Accent4" xfId="37" builtinId="41"/>
    <cellStyle name="20% - Accent4" xfId="38" builtinId="42"/>
    <cellStyle name="40% - Accent4" xfId="39" builtinId="43"/>
    <cellStyle name="60% - Accent4" xfId="40" builtinId="44"/>
    <cellStyle name="Accent5" xfId="41" builtinId="45"/>
    <cellStyle name="20% - Accent5" xfId="42" builtinId="46"/>
    <cellStyle name="40% - Accent5" xfId="43" builtinId="47"/>
    <cellStyle name="60% - Accent5" xfId="44" builtinId="48"/>
    <cellStyle name="Accent6" xfId="45" builtinId="49"/>
    <cellStyle name="20% - Accent6" xfId="46" builtinId="50"/>
    <cellStyle name="40% - Accent6" xfId="47" builtinId="51"/>
    <cellStyle name="60% - Accent6" xfId="48" builtinId="52"/>
    <cellStyle name="Normal 2" xfId="49"/>
  </cellStyles>
  <dxfs count="2">
    <dxf>
      <fill>
        <patternFill patternType="solid">
          <fgColor rgb="FFD4EDDA"/>
          <bgColor rgb="FFD4EDDA"/>
        </patternFill>
      </fill>
    </dxf>
    <dxf>
      <fill>
        <patternFill patternType="solid">
          <fgColor rgb="FFD9D9D9"/>
          <bgColor rgb="FFD9D9D9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sharedStrings" Target="sharedStrings.xml"/><Relationship Id="rId8" Type="http://schemas.openxmlformats.org/officeDocument/2006/relationships/theme" Target="theme/theme1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1" Type="http://schemas.openxmlformats.org/officeDocument/2006/relationships/styles" Target="styles.xml"/><Relationship Id="rId10" Type="http://schemas.microsoft.com/office/2006/relationships/vbaProject" Target="vbaProject.bin"/><Relationship Id="rId1" Type="http://schemas.openxmlformats.org/officeDocument/2006/relationships/worksheet" Target="worksheets/sheet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tx>
        <c:rich>
          <a:bodyPr rot="0" spcFirstLastPara="0" vertOverflow="ellipsis" vert="horz" wrap="square" anchor="ctr" anchorCtr="1"/>
          <a:lstStyle/>
          <a:p>
            <a:pPr>
              <a:defRPr lang="en-US" sz="18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t>Ordered Qty by Color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DASHBOARD!$B$16</c:f>
              <c:strCache>
                <c:ptCount val="1"/>
                <c:pt idx="0">
                  <c:v>Ordered Qty</c:v>
                </c:pt>
              </c:strCache>
            </c:strRef>
          </c:tx>
          <c:spPr>
            <a:solidFill>
              <a:srgbClr val="1B3A5C"/>
            </a:solidFill>
            <a:ln w="9525" cap="flat" cmpd="sng" algn="ctr">
              <a:solidFill>
                <a:schemeClr val="lt1">
                  <a:shade val="95000"/>
                  <a:satMod val="105000"/>
                </a:schemeClr>
              </a:solidFill>
              <a:prstDash val="solid"/>
              <a:round/>
            </a:ln>
          </c:spPr>
          <c:invertIfNegative val="0"/>
          <c:dLbls>
            <c:delete val="1"/>
          </c:dLbls>
          <c:cat>
            <c:strRef>
              <c:f>DASHBOARD!$A$17:$A$22</c:f>
              <c:strCache>
                <c:ptCount val="6"/>
                <c:pt idx="0">
                  <c:v>Black (001)</c:v>
                </c:pt>
                <c:pt idx="1">
                  <c:v>White (100)</c:v>
                </c:pt>
                <c:pt idx="2">
                  <c:v>Dark Blue (404)</c:v>
                </c:pt>
                <c:pt idx="3">
                  <c:v>Pastel Blue (452)</c:v>
                </c:pt>
                <c:pt idx="4">
                  <c:v>Open White (118)</c:v>
                </c:pt>
                <c:pt idx="5">
                  <c:v>Beige Ovfl (923)</c:v>
                </c:pt>
              </c:strCache>
            </c:strRef>
          </c:cat>
          <c:val>
            <c:numRef>
              <c:f>DASHBOARD!$B$17:$B$22</c:f>
              <c:numCache>
                <c:formatCode>#,##0</c:formatCode>
                <c:ptCount val="6"/>
                <c:pt idx="0">
                  <c:v>6512</c:v>
                </c:pt>
                <c:pt idx="1">
                  <c:v>4967</c:v>
                </c:pt>
                <c:pt idx="2">
                  <c:v>3881</c:v>
                </c:pt>
                <c:pt idx="3">
                  <c:v>1777</c:v>
                </c:pt>
                <c:pt idx="4">
                  <c:v>584</c:v>
                </c:pt>
                <c:pt idx="5">
                  <c:v>1729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"/>
        <c:axId val="100"/>
      </c:barChart>
      <c:catAx>
        <c:axId val="10"/>
        <c:scaling>
          <c:orientation val="minMax"/>
        </c:scaling>
        <c:delete val="0"/>
        <c:axPos val="b"/>
        <c:title>
          <c:tx>
            <c:rich>
              <a:bodyPr rot="0" spcFirstLastPara="0" vertOverflow="ellipsis" vert="horz" wrap="square" anchor="ctr" anchorCtr="1"/>
              <a:lstStyle/>
              <a:p>
                <a:pPr>
                  <a:defRPr lang="en-US"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t>Color</a:t>
                </a:r>
              </a:p>
            </c:rich>
          </c:tx>
          <c:layout/>
          <c:overlay val="0"/>
        </c:title>
        <c:majorTickMark val="none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</a:p>
        </c:txPr>
        <c:crossAx val="100"/>
        <c:crosses val="autoZero"/>
        <c:auto val="1"/>
        <c:lblAlgn val="ctr"/>
        <c:lblOffset val="100"/>
        <c:noMultiLvlLbl val="0"/>
      </c:catAx>
      <c:valAx>
        <c:axId val="100"/>
        <c:scaling>
          <c:orientation val="minMax"/>
        </c:scaling>
        <c:delete val="0"/>
        <c:axPos val="l"/>
        <c:majorGridlines/>
        <c:title>
          <c:tx>
            <c:rich>
              <a:bodyPr rot="-5400000" spcFirstLastPara="0" vertOverflow="ellipsis" vert="horz" wrap="square" anchor="ctr" anchorCtr="1"/>
              <a:lstStyle/>
              <a:p>
                <a:pPr>
                  <a:defRPr lang="en-US"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t>Qty (pcs)</a:t>
                </a:r>
              </a:p>
            </c:rich>
          </c:tx>
          <c:layout/>
          <c:overlay val="0"/>
        </c:title>
        <c:numFmt formatCode="#,##0" sourceLinked="0"/>
        <c:majorTickMark val="none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</a:p>
        </c:txPr>
        <c:crossAx val="10"/>
        <c:crosses val="autoZero"/>
        <c:crossBetween val="between"/>
      </c:valAx>
    </c:plotArea>
    <c:legend>
      <c:legendPos val="r"/>
      <c:layout/>
      <c:overlay val="0"/>
      <c:txPr>
        <a:bodyPr rot="0" spcFirstLastPara="0" vertOverflow="ellipsis" vert="horz" wrap="square" anchor="ctr" anchorCtr="1"/>
        <a:lstStyle/>
        <a:p>
          <a:pPr>
            <a:defRPr lang="en-US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  <c:extLst>
      <c:ext uri="{0b15fc19-7d7d-44ad-8c2d-2c3a37ce22c3}">
        <chartProps xmlns="https://web.wps.cn/et/2018/main" chartId="{c9960fdf-18c1-4ce7-a445-7dc2f701fecd}"/>
      </c:ext>
    </c:extLst>
  </c:chart>
  <c:txPr>
    <a:bodyPr/>
    <a:lstStyle/>
    <a:p>
      <a:pPr>
        <a:defRPr lang="en-US"/>
      </a:pPr>
    </a:p>
  </c:tx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ctrlProps/ctrlProp3.xml><?xml version="1.0" encoding="utf-8"?>
<formControlPr xmlns="http://schemas.microsoft.com/office/spreadsheetml/2009/9/main" objectType="Button" val="0"/>
</file>

<file path=xl/ctrlProps/ctrlProp4.xml><?xml version="1.0" encoding="utf-8"?>
<formControlPr xmlns="http://schemas.microsoft.com/office/spreadsheetml/2009/9/main" objectType="Button" val="0"/>
</file>

<file path=xl/ctrlProps/ctrlProp5.xml><?xml version="1.0" encoding="utf-8"?>
<formControlPr xmlns="http://schemas.microsoft.com/office/spreadsheetml/2009/9/main" objectType="Button" val="0"/>
</file>

<file path=xl/ctrlProps/ctrlProp6.xml><?xml version="1.0" encoding="utf-8"?>
<formControlPr xmlns="http://schemas.microsoft.com/office/spreadsheetml/2009/9/main" objectType="Button" val="0"/>
</file>

<file path=xl/ctrlProps/ctrlProp7.xml><?xml version="1.0" encoding="utf-8"?>
<formControlPr xmlns="http://schemas.microsoft.com/office/spreadsheetml/2009/9/main" objectType="Button" val="0"/>
</file>

<file path=xl/ctrlProps/ctrlProp8.xml><?xml version="1.0" encoding="utf-8"?>
<formControlPr xmlns="http://schemas.microsoft.com/office/spreadsheetml/2009/9/main" objectType="Button" val="0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9525</xdr:colOff>
          <xdr:row>20</xdr:row>
          <xdr:rowOff>9525</xdr:rowOff>
        </xdr:from>
        <xdr:to>
          <xdr:col>18</xdr:col>
          <xdr:colOff>9525</xdr:colOff>
          <xdr:row>21</xdr:row>
          <xdr:rowOff>0</xdr:rowOff>
        </xdr:to>
        <xdr:sp macro="[0]!ImportPO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10734675" y="4759325"/>
              <a:ext cx="2000250" cy="18097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Tahoma" panose="020B0604030504040204" charset="0"/>
                  <a:ea typeface="Tahoma" panose="020B0604030504040204" charset="0"/>
                  <a:cs typeface="Tahoma" panose="020B0604030504040204" charset="0"/>
                  <a:sym typeface="Tahoma" panose="020B0604030504040204" charset="0"/>
                </a:rPr>
                <a:t>Button 1</a:t>
              </a:r>
              <a:endParaRPr lang="zh-CN" altLang="en-US">
                <a:solidFill>
                  <a:srgbClr val="000000"/>
                </a:solidFill>
                <a:latin typeface="Tahoma" panose="020B0604030504040204" charset="0"/>
                <a:ea typeface="Tahoma" panose="020B0604030504040204" charset="0"/>
                <a:cs typeface="Tahoma" panose="020B0604030504040204" charset="0"/>
                <a:sym typeface="Tahoma" panose="020B0604030504040204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21</xdr:row>
          <xdr:rowOff>0</xdr:rowOff>
        </xdr:from>
        <xdr:to>
          <xdr:col>18</xdr:col>
          <xdr:colOff>0</xdr:colOff>
          <xdr:row>22</xdr:row>
          <xdr:rowOff>0</xdr:rowOff>
        </xdr:to>
        <xdr:sp macro="[0]!GeneratePackingList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10753725" y="4940300"/>
              <a:ext cx="1971675" cy="190500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Tahoma" panose="020B0604030504040204" charset="0"/>
                  <a:ea typeface="Tahoma" panose="020B0604030504040204" charset="0"/>
                  <a:cs typeface="Tahoma" panose="020B0604030504040204" charset="0"/>
                  <a:sym typeface="Tahoma" panose="020B0604030504040204" charset="0"/>
                </a:rPr>
                <a:t>Button 2</a:t>
              </a:r>
              <a:endParaRPr lang="zh-CN" altLang="en-US">
                <a:solidFill>
                  <a:srgbClr val="000000"/>
                </a:solidFill>
                <a:latin typeface="Tahoma" panose="020B0604030504040204" charset="0"/>
                <a:ea typeface="Tahoma" panose="020B0604030504040204" charset="0"/>
                <a:cs typeface="Tahoma" panose="020B0604030504040204" charset="0"/>
                <a:sym typeface="Tahoma" panose="020B0604030504040204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21</xdr:row>
          <xdr:rowOff>180975</xdr:rowOff>
        </xdr:from>
        <xdr:to>
          <xdr:col>17</xdr:col>
          <xdr:colOff>647700</xdr:colOff>
          <xdr:row>23</xdr:row>
          <xdr:rowOff>0</xdr:rowOff>
        </xdr:to>
        <xdr:sp macro="[0]!AutoAllocate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10772775" y="5121275"/>
              <a:ext cx="1933575" cy="20002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Tahoma" panose="020B0604030504040204" charset="0"/>
                  <a:ea typeface="Tahoma" panose="020B0604030504040204" charset="0"/>
                  <a:cs typeface="Tahoma" panose="020B0604030504040204" charset="0"/>
                  <a:sym typeface="Tahoma" panose="020B0604030504040204" charset="0"/>
                </a:rPr>
                <a:t>Button 3</a:t>
              </a:r>
              <a:endParaRPr lang="zh-CN" altLang="en-US">
                <a:solidFill>
                  <a:srgbClr val="000000"/>
                </a:solidFill>
                <a:latin typeface="Tahoma" panose="020B0604030504040204" charset="0"/>
                <a:ea typeface="Tahoma" panose="020B0604030504040204" charset="0"/>
                <a:cs typeface="Tahoma" panose="020B0604030504040204" charset="0"/>
                <a:sym typeface="Tahoma" panose="020B0604030504040204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9525</xdr:colOff>
          <xdr:row>23</xdr:row>
          <xdr:rowOff>9525</xdr:rowOff>
        </xdr:from>
        <xdr:to>
          <xdr:col>18</xdr:col>
          <xdr:colOff>19050</xdr:colOff>
          <xdr:row>24</xdr:row>
          <xdr:rowOff>0</xdr:rowOff>
        </xdr:to>
        <xdr:sp macro="[0]!Validate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10734675" y="5330825"/>
              <a:ext cx="2009775" cy="18097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Tahoma" panose="020B0604030504040204" charset="0"/>
                  <a:ea typeface="Tahoma" panose="020B0604030504040204" charset="0"/>
                  <a:cs typeface="Tahoma" panose="020B0604030504040204" charset="0"/>
                  <a:sym typeface="Tahoma" panose="020B0604030504040204" charset="0"/>
                </a:rPr>
                <a:t>Button 4</a:t>
              </a:r>
              <a:endParaRPr lang="zh-CN" altLang="en-US">
                <a:solidFill>
                  <a:srgbClr val="000000"/>
                </a:solidFill>
                <a:latin typeface="Tahoma" panose="020B0604030504040204" charset="0"/>
                <a:ea typeface="Tahoma" panose="020B0604030504040204" charset="0"/>
                <a:cs typeface="Tahoma" panose="020B0604030504040204" charset="0"/>
                <a:sym typeface="Tahoma" panose="020B0604030504040204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133350</xdr:colOff>
          <xdr:row>24</xdr:row>
          <xdr:rowOff>9525</xdr:rowOff>
        </xdr:from>
        <xdr:to>
          <xdr:col>17</xdr:col>
          <xdr:colOff>619125</xdr:colOff>
          <xdr:row>24</xdr:row>
          <xdr:rowOff>161925</xdr:rowOff>
        </xdr:to>
        <xdr:sp macro="[0]!RefreshDashboard">
          <xdr:nvSpPr>
            <xdr:cNvPr id="2053" name="Butto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>
            <a:xfrm>
              <a:off x="10858500" y="5521325"/>
              <a:ext cx="1819275" cy="152400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Tahoma" panose="020B0604030504040204" charset="0"/>
                  <a:ea typeface="Tahoma" panose="020B0604030504040204" charset="0"/>
                  <a:cs typeface="Tahoma" panose="020B0604030504040204" charset="0"/>
                  <a:sym typeface="Tahoma" panose="020B0604030504040204" charset="0"/>
                </a:rPr>
                <a:t>Button 5</a:t>
              </a:r>
              <a:endParaRPr lang="zh-CN" altLang="en-US">
                <a:solidFill>
                  <a:srgbClr val="000000"/>
                </a:solidFill>
                <a:latin typeface="Tahoma" panose="020B0604030504040204" charset="0"/>
                <a:ea typeface="Tahoma" panose="020B0604030504040204" charset="0"/>
                <a:cs typeface="Tahoma" panose="020B0604030504040204" charset="0"/>
                <a:sym typeface="Tahoma" panose="020B0604030504040204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24</xdr:row>
          <xdr:rowOff>180975</xdr:rowOff>
        </xdr:from>
        <xdr:to>
          <xdr:col>17</xdr:col>
          <xdr:colOff>647700</xdr:colOff>
          <xdr:row>25</xdr:row>
          <xdr:rowOff>171450</xdr:rowOff>
        </xdr:to>
        <xdr:sp macro="[0]!ExportPDF">
          <xdr:nvSpPr>
            <xdr:cNvPr id="2054" name="Butto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>
            <a:xfrm>
              <a:off x="10725150" y="5692775"/>
              <a:ext cx="1981200" cy="18097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Tahoma" panose="020B0604030504040204" charset="0"/>
                  <a:ea typeface="Tahoma" panose="020B0604030504040204" charset="0"/>
                  <a:cs typeface="Tahoma" panose="020B0604030504040204" charset="0"/>
                  <a:sym typeface="Tahoma" panose="020B0604030504040204" charset="0"/>
                </a:rPr>
                <a:t>Button 6</a:t>
              </a:r>
              <a:endParaRPr lang="zh-CN" altLang="en-US">
                <a:solidFill>
                  <a:srgbClr val="000000"/>
                </a:solidFill>
                <a:latin typeface="Tahoma" panose="020B0604030504040204" charset="0"/>
                <a:ea typeface="Tahoma" panose="020B0604030504040204" charset="0"/>
                <a:cs typeface="Tahoma" panose="020B0604030504040204" charset="0"/>
                <a:sym typeface="Tahoma" panose="020B0604030504040204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657225</xdr:colOff>
          <xdr:row>26</xdr:row>
          <xdr:rowOff>0</xdr:rowOff>
        </xdr:from>
        <xdr:to>
          <xdr:col>17</xdr:col>
          <xdr:colOff>638175</xdr:colOff>
          <xdr:row>27</xdr:row>
          <xdr:rowOff>0</xdr:rowOff>
        </xdr:to>
        <xdr:sp macro="[0]!ExportXLSX">
          <xdr:nvSpPr>
            <xdr:cNvPr id="2055" name="Button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>
            <a:xfrm>
              <a:off x="10715625" y="5892800"/>
              <a:ext cx="1981200" cy="190500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Tahoma" panose="020B0604030504040204" charset="0"/>
                  <a:ea typeface="Tahoma" panose="020B0604030504040204" charset="0"/>
                  <a:cs typeface="Tahoma" panose="020B0604030504040204" charset="0"/>
                  <a:sym typeface="Tahoma" panose="020B0604030504040204" charset="0"/>
                </a:rPr>
                <a:t>Button 7</a:t>
              </a:r>
              <a:endParaRPr lang="zh-CN" altLang="en-US">
                <a:solidFill>
                  <a:srgbClr val="000000"/>
                </a:solidFill>
                <a:latin typeface="Tahoma" panose="020B0604030504040204" charset="0"/>
                <a:ea typeface="Tahoma" panose="020B0604030504040204" charset="0"/>
                <a:cs typeface="Tahoma" panose="020B0604030504040204" charset="0"/>
                <a:sym typeface="Tahoma" panose="020B0604030504040204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247650</xdr:colOff>
          <xdr:row>27</xdr:row>
          <xdr:rowOff>47625</xdr:rowOff>
        </xdr:from>
        <xdr:to>
          <xdr:col>17</xdr:col>
          <xdr:colOff>638175</xdr:colOff>
          <xdr:row>28</xdr:row>
          <xdr:rowOff>0</xdr:rowOff>
        </xdr:to>
        <xdr:sp macro="[0]!ClearWorkingData">
          <xdr:nvSpPr>
            <xdr:cNvPr id="2056" name="Button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>
            <a:xfrm>
              <a:off x="10972800" y="6130925"/>
              <a:ext cx="1724025" cy="14287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Tahoma" panose="020B0604030504040204" charset="0"/>
                  <a:ea typeface="Tahoma" panose="020B0604030504040204" charset="0"/>
                  <a:cs typeface="Tahoma" panose="020B0604030504040204" charset="0"/>
                  <a:sym typeface="Tahoma" panose="020B0604030504040204" charset="0"/>
                </a:rPr>
                <a:t>Button 8</a:t>
              </a:r>
              <a:endParaRPr lang="zh-CN" altLang="en-US">
                <a:solidFill>
                  <a:srgbClr val="000000"/>
                </a:solidFill>
                <a:latin typeface="Tahoma" panose="020B0604030504040204" charset="0"/>
                <a:ea typeface="Tahoma" panose="020B0604030504040204" charset="0"/>
                <a:cs typeface="Tahoma" panose="020B0604030504040204" charset="0"/>
                <a:sym typeface="Tahoma" panose="020B0604030504040204" charset="0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oneCellAnchor>
    <xdr:from>
      <xdr:col>5</xdr:col>
      <xdr:colOff>409575</xdr:colOff>
      <xdr:row>12</xdr:row>
      <xdr:rowOff>295275</xdr:rowOff>
    </xdr:from>
    <xdr:ext cx="7200000" cy="4339050"/>
    <xdr:graphicFrame>
      <xdr:nvGraphicFramePr>
        <xdr:cNvPr id="2" name="Chart 1"/>
        <xdr:cNvGraphicFramePr/>
      </xdr:nvGraphicFramePr>
      <xdr:xfrm>
        <a:off x="5076825" y="3927475"/>
        <a:ext cx="7199630" cy="433895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7.xml"/><Relationship Id="rId8" Type="http://schemas.openxmlformats.org/officeDocument/2006/relationships/ctrlProp" Target="../ctrlProps/ctrlProp6.xml"/><Relationship Id="rId7" Type="http://schemas.openxmlformats.org/officeDocument/2006/relationships/ctrlProp" Target="../ctrlProps/ctrlProp5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0" Type="http://schemas.openxmlformats.org/officeDocument/2006/relationships/ctrlProp" Target="../ctrlProps/ctrlProp8.xml"/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>
    <tabColor rgb="FF1B3A5C"/>
  </sheetPr>
  <dimension ref="A1:S59"/>
  <sheetViews>
    <sheetView showGridLines="0" tabSelected="1" topLeftCell="A18" workbookViewId="0">
      <selection activeCell="T24" sqref="T24"/>
    </sheetView>
  </sheetViews>
  <sheetFormatPr defaultColWidth="9" defaultRowHeight="15"/>
  <cols>
    <col min="1" max="1" width="3" customWidth="1"/>
    <col min="2" max="2" width="19.8571428571429" customWidth="1"/>
    <col min="3" max="5" width="10" customWidth="1"/>
    <col min="6" max="6" width="14" customWidth="1"/>
    <col min="7" max="9" width="10" customWidth="1"/>
    <col min="10" max="10" width="14" customWidth="1"/>
    <col min="11" max="18" width="10" customWidth="1"/>
  </cols>
  <sheetData>
    <row r="1" ht="60" customHeight="1" spans="1:19">
      <c r="A1" s="169" t="s">
        <v>0</v>
      </c>
    </row>
    <row r="2" customHeight="1"/>
    <row r="3" customHeight="1"/>
    <row r="4" customHeight="1"/>
    <row r="5" spans="1:19">
      <c r="A5" s="170"/>
      <c r="B5" s="170"/>
      <c r="C5" s="170"/>
      <c r="D5" s="170"/>
      <c r="E5" s="170"/>
      <c r="F5" s="170"/>
      <c r="G5" s="170"/>
      <c r="H5" s="170"/>
      <c r="I5" s="170"/>
      <c r="J5" s="170"/>
      <c r="K5" s="170"/>
      <c r="L5" s="170"/>
      <c r="M5" s="170"/>
      <c r="N5" s="170"/>
      <c r="O5" s="170"/>
      <c r="P5" s="170"/>
      <c r="Q5" s="170"/>
      <c r="R5" s="170"/>
      <c r="S5" s="170"/>
    </row>
    <row r="6" ht="8" customHeight="1" spans="1:19">
      <c r="A6" s="171"/>
      <c r="B6" s="171"/>
      <c r="C6" s="171"/>
      <c r="D6" s="171"/>
      <c r="E6" s="171"/>
      <c r="F6" s="171"/>
      <c r="G6" s="171"/>
      <c r="H6" s="171"/>
      <c r="I6" s="171"/>
      <c r="J6" s="171"/>
      <c r="K6" s="171"/>
      <c r="L6" s="171"/>
      <c r="M6" s="171"/>
      <c r="N6" s="171"/>
      <c r="O6" s="171"/>
      <c r="P6" s="171"/>
      <c r="Q6" s="171"/>
      <c r="R6" s="171"/>
      <c r="S6" s="171"/>
    </row>
    <row r="7" spans="1:19">
      <c r="A7" s="172" t="s">
        <v>1</v>
      </c>
    </row>
    <row r="8" spans="1:19">
      <c r="A8" s="171"/>
      <c r="B8" s="171"/>
      <c r="C8" s="171"/>
      <c r="D8" s="171"/>
      <c r="E8" s="171"/>
      <c r="F8" s="171"/>
      <c r="G8" s="171"/>
      <c r="H8" s="171"/>
      <c r="I8" s="171"/>
      <c r="J8" s="171"/>
      <c r="K8" s="171"/>
      <c r="L8" s="171"/>
      <c r="M8" s="171"/>
      <c r="N8" s="171"/>
      <c r="O8" s="171"/>
      <c r="P8" s="171"/>
      <c r="Q8" s="171"/>
      <c r="R8" s="171"/>
      <c r="S8" s="171"/>
    </row>
    <row r="9" spans="1:19">
      <c r="A9" s="171"/>
      <c r="B9" s="173" t="s">
        <v>2</v>
      </c>
      <c r="C9" s="174" t="s">
        <v>3</v>
      </c>
      <c r="D9" s="171"/>
      <c r="E9" s="171"/>
      <c r="F9" s="171"/>
      <c r="G9" s="171"/>
      <c r="H9" s="171"/>
      <c r="I9" s="171"/>
      <c r="J9" s="171"/>
      <c r="K9" s="171"/>
      <c r="L9" s="171"/>
      <c r="M9" s="171"/>
      <c r="N9" s="171"/>
      <c r="O9" s="171"/>
      <c r="P9" s="171"/>
      <c r="Q9" s="171"/>
      <c r="R9" s="171"/>
      <c r="S9" s="171"/>
    </row>
    <row r="10" spans="1:19">
      <c r="A10" s="171"/>
      <c r="B10" s="173" t="s">
        <v>4</v>
      </c>
      <c r="C10" s="175">
        <f ca="1">TODAY()</f>
        <v>46206</v>
      </c>
      <c r="D10" s="171"/>
      <c r="E10" s="171"/>
      <c r="F10" s="171"/>
      <c r="G10" s="171"/>
      <c r="H10" s="171"/>
      <c r="I10" s="171"/>
      <c r="J10" s="171"/>
      <c r="K10" s="171"/>
      <c r="L10" s="171"/>
      <c r="M10" s="171"/>
      <c r="N10" s="171"/>
      <c r="O10" s="171"/>
      <c r="P10" s="171"/>
      <c r="Q10" s="171"/>
      <c r="R10" s="171"/>
      <c r="S10" s="171"/>
    </row>
    <row r="11" spans="1:19">
      <c r="A11" s="171"/>
      <c r="B11" s="173" t="s">
        <v>5</v>
      </c>
      <c r="C11" s="174" t="s">
        <v>6</v>
      </c>
      <c r="D11" s="171"/>
      <c r="E11" s="171"/>
      <c r="F11" s="171"/>
      <c r="G11" s="171"/>
      <c r="H11" s="171"/>
      <c r="I11" s="171"/>
      <c r="J11" s="171"/>
      <c r="K11" s="171"/>
      <c r="L11" s="171"/>
      <c r="M11" s="171"/>
      <c r="N11" s="171"/>
      <c r="O11" s="171"/>
      <c r="P11" s="171"/>
      <c r="Q11" s="171"/>
      <c r="R11" s="171"/>
      <c r="S11" s="171"/>
    </row>
    <row r="12" spans="1:19">
      <c r="A12" s="171"/>
      <c r="B12" s="171"/>
      <c r="C12" s="171"/>
      <c r="D12" s="171"/>
      <c r="E12" s="171"/>
      <c r="F12" s="171"/>
      <c r="G12" s="171"/>
      <c r="H12" s="171"/>
      <c r="I12" s="171"/>
      <c r="J12" s="171"/>
      <c r="K12" s="171"/>
      <c r="L12" s="171"/>
      <c r="M12" s="171"/>
      <c r="N12" s="171"/>
      <c r="O12" s="171"/>
      <c r="P12" s="171"/>
      <c r="Q12" s="171"/>
      <c r="R12" s="171"/>
      <c r="S12" s="171"/>
    </row>
    <row r="13" ht="24" customHeight="1" spans="1:19">
      <c r="A13" s="171"/>
      <c r="B13" s="10" t="s">
        <v>7</v>
      </c>
      <c r="C13" s="11"/>
      <c r="D13" s="12"/>
      <c r="E13" s="171"/>
      <c r="F13" s="13" t="s">
        <v>8</v>
      </c>
      <c r="G13" s="11"/>
      <c r="H13" s="12"/>
      <c r="I13" s="171"/>
      <c r="J13" s="10" t="s">
        <v>9</v>
      </c>
      <c r="K13" s="11"/>
      <c r="L13" s="12"/>
      <c r="M13" s="171"/>
      <c r="N13" s="171"/>
      <c r="O13" s="171"/>
      <c r="P13" s="171"/>
      <c r="Q13" s="171"/>
      <c r="R13" s="171"/>
      <c r="S13" s="171"/>
    </row>
    <row r="14" ht="24" customHeight="1" spans="1:19">
      <c r="A14" s="171"/>
      <c r="B14" s="15"/>
      <c r="C14" s="16"/>
      <c r="D14" s="17"/>
      <c r="E14" s="171"/>
      <c r="F14" s="15"/>
      <c r="G14" s="16"/>
      <c r="H14" s="17"/>
      <c r="I14" s="171"/>
      <c r="J14" s="15"/>
      <c r="K14" s="16"/>
      <c r="L14" s="17"/>
      <c r="M14" s="171"/>
      <c r="N14" s="171"/>
      <c r="O14" s="171"/>
      <c r="P14" s="171"/>
      <c r="Q14" s="171"/>
      <c r="R14" s="171"/>
      <c r="S14" s="171"/>
    </row>
    <row r="15" ht="24" customHeight="1" spans="1:19">
      <c r="A15" s="171"/>
      <c r="B15" s="176">
        <f>COUNTA(PO_MASTER!A2:A5000)-COUNTBLANK(PO_MASTER!A2:A5000)</f>
        <v>-4983</v>
      </c>
      <c r="C15" s="11"/>
      <c r="D15" s="12"/>
      <c r="E15" s="171"/>
      <c r="F15" s="177">
        <f>SUMIF(PO_MASTER!R2:R5000,"Open",PO_MASTER!N2:N5000)</f>
        <v>19450</v>
      </c>
      <c r="G15" s="11"/>
      <c r="H15" s="12"/>
      <c r="I15" s="171"/>
      <c r="J15" s="176" t="e">
        <f>COUNTA(#REF!)-COUNTBLANK(#REF!)</f>
        <v>#REF!</v>
      </c>
      <c r="K15" s="11"/>
      <c r="L15" s="12"/>
      <c r="M15" s="171"/>
      <c r="N15" s="171"/>
      <c r="O15" s="171"/>
      <c r="P15" s="171"/>
      <c r="Q15" s="171"/>
      <c r="R15" s="171"/>
      <c r="S15" s="171"/>
    </row>
    <row r="16" ht="24" customHeight="1" spans="1:19">
      <c r="A16" s="171"/>
      <c r="B16" s="15"/>
      <c r="C16" s="16"/>
      <c r="D16" s="17"/>
      <c r="E16" s="171"/>
      <c r="F16" s="15"/>
      <c r="G16" s="16"/>
      <c r="H16" s="17"/>
      <c r="I16" s="171"/>
      <c r="J16" s="15"/>
      <c r="K16" s="16"/>
      <c r="L16" s="17"/>
      <c r="M16" s="171"/>
      <c r="N16" s="171"/>
      <c r="O16" s="171"/>
      <c r="P16" s="171"/>
      <c r="Q16" s="171"/>
      <c r="R16" s="171"/>
      <c r="S16" s="171"/>
    </row>
    <row r="17" spans="1:19">
      <c r="A17" s="171"/>
      <c r="B17" s="171"/>
      <c r="C17" s="171"/>
      <c r="D17" s="171"/>
      <c r="E17" s="171"/>
      <c r="F17" s="171"/>
      <c r="G17" s="171"/>
      <c r="H17" s="171"/>
      <c r="I17" s="171"/>
      <c r="J17" s="171"/>
      <c r="K17" s="171"/>
      <c r="L17" s="171"/>
      <c r="M17" s="171"/>
      <c r="N17" s="171"/>
      <c r="O17" s="171"/>
      <c r="P17" s="171"/>
      <c r="Q17" s="171"/>
      <c r="R17" s="171"/>
      <c r="S17" s="171"/>
    </row>
    <row r="18" spans="1:19">
      <c r="A18" s="171"/>
      <c r="B18" s="171"/>
      <c r="C18" s="171"/>
      <c r="D18" s="171"/>
      <c r="E18" s="171"/>
      <c r="F18" s="171"/>
      <c r="G18" s="171"/>
      <c r="H18" s="171"/>
      <c r="I18" s="171"/>
      <c r="J18" s="171"/>
      <c r="K18" s="171"/>
      <c r="L18" s="171"/>
      <c r="M18" s="171"/>
      <c r="N18" s="171"/>
      <c r="O18" s="171"/>
      <c r="P18" s="171"/>
      <c r="Q18" s="171"/>
      <c r="R18" s="171"/>
      <c r="S18" s="171"/>
    </row>
    <row r="19" spans="1:19">
      <c r="A19" s="171"/>
      <c r="B19" s="178" t="s">
        <v>10</v>
      </c>
      <c r="S19" s="171"/>
    </row>
    <row r="20" spans="1:19">
      <c r="A20" s="171"/>
      <c r="B20" s="179" t="s">
        <v>11</v>
      </c>
      <c r="C20" s="180"/>
      <c r="D20" s="181"/>
      <c r="E20" s="171"/>
      <c r="F20" s="179" t="s">
        <v>12</v>
      </c>
      <c r="G20" s="180"/>
      <c r="H20" s="181"/>
      <c r="I20" s="171"/>
      <c r="J20" s="179" t="s">
        <v>13</v>
      </c>
      <c r="K20" s="180"/>
      <c r="L20" s="181"/>
      <c r="M20" s="171"/>
      <c r="N20" s="179" t="s">
        <v>14</v>
      </c>
      <c r="O20" s="180"/>
      <c r="P20" s="181"/>
      <c r="Q20" s="171"/>
      <c r="R20" s="171"/>
      <c r="S20" s="171"/>
    </row>
    <row r="21" spans="1:19">
      <c r="A21" s="171"/>
      <c r="B21" s="182" t="s">
        <v>15</v>
      </c>
      <c r="C21" s="180"/>
      <c r="D21" s="180"/>
      <c r="E21" s="181"/>
      <c r="F21" s="183" t="s">
        <v>16</v>
      </c>
      <c r="G21" s="180"/>
      <c r="H21" s="180"/>
      <c r="I21" s="181"/>
      <c r="J21" s="183" t="s">
        <v>17</v>
      </c>
      <c r="K21" s="180"/>
      <c r="L21" s="180"/>
      <c r="M21" s="180"/>
      <c r="N21" s="180"/>
      <c r="O21" s="181"/>
      <c r="P21" s="184" t="s">
        <v>18</v>
      </c>
      <c r="Q21" s="180"/>
      <c r="R21" s="181"/>
      <c r="S21" s="171"/>
    </row>
    <row r="22" spans="1:19">
      <c r="A22" s="171"/>
      <c r="B22" s="185" t="s">
        <v>19</v>
      </c>
      <c r="C22" s="180"/>
      <c r="D22" s="180"/>
      <c r="E22" s="181"/>
      <c r="F22" s="40" t="s">
        <v>20</v>
      </c>
      <c r="G22" s="180"/>
      <c r="H22" s="180"/>
      <c r="I22" s="181"/>
      <c r="J22" s="40" t="s">
        <v>21</v>
      </c>
      <c r="K22" s="180"/>
      <c r="L22" s="180"/>
      <c r="M22" s="180"/>
      <c r="N22" s="180"/>
      <c r="O22" s="181"/>
      <c r="P22" s="186" t="s">
        <v>22</v>
      </c>
      <c r="Q22" s="180"/>
      <c r="R22" s="181"/>
      <c r="S22" s="171"/>
    </row>
    <row r="23" spans="1:19">
      <c r="A23" s="171"/>
      <c r="B23" s="182" t="s">
        <v>23</v>
      </c>
      <c r="C23" s="180"/>
      <c r="D23" s="180"/>
      <c r="E23" s="181"/>
      <c r="F23" s="183" t="s">
        <v>24</v>
      </c>
      <c r="G23" s="180"/>
      <c r="H23" s="180"/>
      <c r="I23" s="181"/>
      <c r="J23" s="183" t="s">
        <v>25</v>
      </c>
      <c r="K23" s="180"/>
      <c r="L23" s="180"/>
      <c r="M23" s="180"/>
      <c r="N23" s="180"/>
      <c r="O23" s="181"/>
      <c r="P23" s="184" t="s">
        <v>26</v>
      </c>
      <c r="Q23" s="180"/>
      <c r="R23" s="181"/>
      <c r="S23" s="171"/>
    </row>
    <row r="24" spans="1:19">
      <c r="A24" s="171"/>
      <c r="B24" s="185" t="s">
        <v>27</v>
      </c>
      <c r="C24" s="180"/>
      <c r="D24" s="180"/>
      <c r="E24" s="181"/>
      <c r="F24" s="40" t="s">
        <v>20</v>
      </c>
      <c r="G24" s="180"/>
      <c r="H24" s="180"/>
      <c r="I24" s="181"/>
      <c r="J24" s="40" t="s">
        <v>28</v>
      </c>
      <c r="K24" s="180"/>
      <c r="L24" s="180"/>
      <c r="M24" s="180"/>
      <c r="N24" s="180"/>
      <c r="O24" s="181"/>
      <c r="P24" s="186" t="s">
        <v>29</v>
      </c>
      <c r="Q24" s="180"/>
      <c r="R24" s="181"/>
      <c r="S24" s="171"/>
    </row>
    <row r="25" spans="1:19">
      <c r="A25" s="171"/>
      <c r="B25" s="182" t="s">
        <v>30</v>
      </c>
      <c r="C25" s="180"/>
      <c r="D25" s="180"/>
      <c r="E25" s="181"/>
      <c r="F25" s="183" t="s">
        <v>31</v>
      </c>
      <c r="G25" s="180"/>
      <c r="H25" s="180"/>
      <c r="I25" s="181"/>
      <c r="J25" s="183" t="s">
        <v>32</v>
      </c>
      <c r="K25" s="180"/>
      <c r="L25" s="180"/>
      <c r="M25" s="180"/>
      <c r="N25" s="180"/>
      <c r="O25" s="181"/>
      <c r="P25" s="184" t="s">
        <v>33</v>
      </c>
      <c r="Q25" s="180"/>
      <c r="R25" s="181"/>
      <c r="S25" s="171"/>
    </row>
    <row r="26" spans="1:19">
      <c r="A26" s="171"/>
      <c r="B26" s="185" t="s">
        <v>34</v>
      </c>
      <c r="C26" s="180"/>
      <c r="D26" s="180"/>
      <c r="E26" s="181"/>
      <c r="F26" s="40" t="s">
        <v>35</v>
      </c>
      <c r="G26" s="180"/>
      <c r="H26" s="180"/>
      <c r="I26" s="181"/>
      <c r="J26" s="40" t="s">
        <v>36</v>
      </c>
      <c r="K26" s="180"/>
      <c r="L26" s="180"/>
      <c r="M26" s="180"/>
      <c r="N26" s="180"/>
      <c r="O26" s="181"/>
      <c r="P26" s="186" t="s">
        <v>37</v>
      </c>
      <c r="Q26" s="180"/>
      <c r="R26" s="181"/>
      <c r="S26" s="171"/>
    </row>
    <row r="27" spans="1:19">
      <c r="A27" s="171"/>
      <c r="B27" s="182" t="s">
        <v>38</v>
      </c>
      <c r="C27" s="180"/>
      <c r="D27" s="180"/>
      <c r="E27" s="181"/>
      <c r="F27" s="183" t="s">
        <v>35</v>
      </c>
      <c r="G27" s="180"/>
      <c r="H27" s="180"/>
      <c r="I27" s="181"/>
      <c r="J27" s="183" t="s">
        <v>39</v>
      </c>
      <c r="K27" s="180"/>
      <c r="L27" s="180"/>
      <c r="M27" s="180"/>
      <c r="N27" s="180"/>
      <c r="O27" s="181"/>
      <c r="P27" s="184" t="s">
        <v>40</v>
      </c>
      <c r="Q27" s="180"/>
      <c r="R27" s="181"/>
      <c r="S27" s="171"/>
    </row>
    <row r="28" spans="1:19">
      <c r="A28" s="171"/>
      <c r="B28" s="185" t="s">
        <v>41</v>
      </c>
      <c r="C28" s="180"/>
      <c r="D28" s="180"/>
      <c r="E28" s="181"/>
      <c r="F28" s="40" t="s">
        <v>42</v>
      </c>
      <c r="G28" s="180"/>
      <c r="H28" s="180"/>
      <c r="I28" s="181"/>
      <c r="J28" s="40" t="s">
        <v>43</v>
      </c>
      <c r="K28" s="180"/>
      <c r="L28" s="180"/>
      <c r="M28" s="180"/>
      <c r="N28" s="180"/>
      <c r="O28" s="181"/>
      <c r="P28" s="186" t="s">
        <v>44</v>
      </c>
      <c r="Q28" s="180"/>
      <c r="R28" s="181"/>
      <c r="S28" s="171"/>
    </row>
    <row r="29" spans="1:19">
      <c r="A29" s="171"/>
      <c r="B29" s="171"/>
      <c r="C29" s="171"/>
      <c r="D29" s="171"/>
      <c r="E29" s="171"/>
      <c r="F29" s="171"/>
      <c r="G29" s="171"/>
      <c r="H29" s="171"/>
      <c r="I29" s="171"/>
      <c r="J29" s="171"/>
      <c r="K29" s="171"/>
      <c r="L29" s="171"/>
      <c r="M29" s="171"/>
      <c r="N29" s="171"/>
      <c r="O29" s="171"/>
      <c r="P29" s="171"/>
      <c r="Q29" s="171"/>
      <c r="R29" s="171"/>
      <c r="S29" s="171"/>
    </row>
    <row r="30" spans="1:19">
      <c r="A30" s="171"/>
      <c r="B30" s="171"/>
      <c r="C30" s="171"/>
      <c r="D30" s="171"/>
      <c r="E30" s="171"/>
      <c r="F30" s="171"/>
      <c r="G30" s="171"/>
      <c r="H30" s="171"/>
      <c r="I30" s="171"/>
      <c r="J30" s="171"/>
      <c r="K30" s="171"/>
      <c r="L30" s="171"/>
      <c r="M30" s="171"/>
      <c r="N30" s="171"/>
      <c r="O30" s="171"/>
      <c r="P30" s="171"/>
      <c r="Q30" s="171"/>
      <c r="R30" s="171"/>
      <c r="S30" s="171"/>
    </row>
    <row r="31" spans="1:19">
      <c r="A31" s="171"/>
      <c r="B31" s="187" t="s">
        <v>45</v>
      </c>
      <c r="S31" s="171"/>
    </row>
    <row r="32" ht="22" customHeight="1" spans="1:19">
      <c r="A32" s="171"/>
      <c r="B32" s="10" t="s">
        <v>46</v>
      </c>
      <c r="C32" s="188" t="s">
        <v>47</v>
      </c>
      <c r="D32" s="180"/>
      <c r="E32" s="180"/>
      <c r="F32" s="180"/>
      <c r="G32" s="180"/>
      <c r="H32" s="180"/>
      <c r="I32" s="180"/>
      <c r="J32" s="180"/>
      <c r="K32" s="180"/>
      <c r="L32" s="180"/>
      <c r="M32" s="180"/>
      <c r="N32" s="180"/>
      <c r="O32" s="180"/>
      <c r="P32" s="180"/>
      <c r="Q32" s="180"/>
      <c r="R32" s="181"/>
      <c r="S32" s="171"/>
    </row>
    <row r="33" ht="22" customHeight="1" spans="1:19">
      <c r="A33" s="171"/>
      <c r="B33" s="189"/>
      <c r="C33" s="190" t="s">
        <v>48</v>
      </c>
      <c r="D33" s="180"/>
      <c r="E33" s="180"/>
      <c r="F33" s="180"/>
      <c r="G33" s="180"/>
      <c r="H33" s="180"/>
      <c r="I33" s="180"/>
      <c r="J33" s="180"/>
      <c r="K33" s="180"/>
      <c r="L33" s="180"/>
      <c r="M33" s="180"/>
      <c r="N33" s="180"/>
      <c r="O33" s="180"/>
      <c r="P33" s="180"/>
      <c r="Q33" s="180"/>
      <c r="R33" s="181"/>
      <c r="S33" s="171"/>
    </row>
    <row r="34" ht="22" customHeight="1" spans="1:19">
      <c r="A34" s="171"/>
      <c r="B34" s="10" t="s">
        <v>49</v>
      </c>
      <c r="C34" s="185" t="s">
        <v>50</v>
      </c>
      <c r="D34" s="180"/>
      <c r="E34" s="180"/>
      <c r="F34" s="180"/>
      <c r="G34" s="180"/>
      <c r="H34" s="180"/>
      <c r="I34" s="180"/>
      <c r="J34" s="180"/>
      <c r="K34" s="180"/>
      <c r="L34" s="180"/>
      <c r="M34" s="180"/>
      <c r="N34" s="180"/>
      <c r="O34" s="180"/>
      <c r="P34" s="180"/>
      <c r="Q34" s="180"/>
      <c r="R34" s="181"/>
      <c r="S34" s="171"/>
    </row>
    <row r="35" ht="22" customHeight="1" spans="1:19">
      <c r="A35" s="171"/>
      <c r="B35" s="189"/>
      <c r="C35" s="191" t="s">
        <v>51</v>
      </c>
      <c r="D35" s="180"/>
      <c r="E35" s="180"/>
      <c r="F35" s="180"/>
      <c r="G35" s="180"/>
      <c r="H35" s="180"/>
      <c r="I35" s="180"/>
      <c r="J35" s="180"/>
      <c r="K35" s="180"/>
      <c r="L35" s="180"/>
      <c r="M35" s="180"/>
      <c r="N35" s="180"/>
      <c r="O35" s="180"/>
      <c r="P35" s="180"/>
      <c r="Q35" s="180"/>
      <c r="R35" s="181"/>
      <c r="S35" s="171"/>
    </row>
    <row r="36" ht="22" customHeight="1" spans="1:19">
      <c r="A36" s="171"/>
      <c r="B36" s="10" t="s">
        <v>52</v>
      </c>
      <c r="C36" s="188" t="s">
        <v>53</v>
      </c>
      <c r="D36" s="180"/>
      <c r="E36" s="180"/>
      <c r="F36" s="180"/>
      <c r="G36" s="180"/>
      <c r="H36" s="180"/>
      <c r="I36" s="180"/>
      <c r="J36" s="180"/>
      <c r="K36" s="180"/>
      <c r="L36" s="180"/>
      <c r="M36" s="180"/>
      <c r="N36" s="180"/>
      <c r="O36" s="180"/>
      <c r="P36" s="180"/>
      <c r="Q36" s="180"/>
      <c r="R36" s="181"/>
      <c r="S36" s="171"/>
    </row>
    <row r="37" ht="22" customHeight="1" spans="1:19">
      <c r="A37" s="171"/>
      <c r="B37" s="189"/>
      <c r="C37" s="190" t="s">
        <v>54</v>
      </c>
      <c r="D37" s="180"/>
      <c r="E37" s="180"/>
      <c r="F37" s="180"/>
      <c r="G37" s="180"/>
      <c r="H37" s="180"/>
      <c r="I37" s="180"/>
      <c r="J37" s="180"/>
      <c r="K37" s="180"/>
      <c r="L37" s="180"/>
      <c r="M37" s="180"/>
      <c r="N37" s="180"/>
      <c r="O37" s="180"/>
      <c r="P37" s="180"/>
      <c r="Q37" s="180"/>
      <c r="R37" s="181"/>
      <c r="S37" s="171"/>
    </row>
    <row r="38" spans="1:19">
      <c r="A38" s="171"/>
      <c r="B38" s="171"/>
      <c r="C38" s="171"/>
      <c r="D38" s="171"/>
      <c r="E38" s="171"/>
      <c r="F38" s="171"/>
      <c r="G38" s="171"/>
      <c r="H38" s="171"/>
      <c r="I38" s="171"/>
      <c r="J38" s="171"/>
      <c r="K38" s="171"/>
      <c r="L38" s="171"/>
      <c r="M38" s="171"/>
      <c r="N38" s="171"/>
      <c r="O38" s="171"/>
      <c r="P38" s="171"/>
      <c r="Q38" s="171"/>
      <c r="R38" s="171"/>
      <c r="S38" s="171"/>
    </row>
    <row r="39" spans="1:19">
      <c r="A39" s="171"/>
      <c r="B39" s="171"/>
      <c r="C39" s="171"/>
      <c r="D39" s="171"/>
      <c r="E39" s="171"/>
      <c r="F39" s="171"/>
      <c r="G39" s="171"/>
      <c r="H39" s="171"/>
      <c r="I39" s="171"/>
      <c r="J39" s="171"/>
      <c r="K39" s="171"/>
      <c r="L39" s="171"/>
      <c r="M39" s="171"/>
      <c r="N39" s="171"/>
      <c r="O39" s="171"/>
      <c r="P39" s="171"/>
      <c r="Q39" s="171"/>
      <c r="R39" s="171"/>
      <c r="S39" s="171"/>
    </row>
    <row r="40" spans="1:19">
      <c r="A40" s="171"/>
      <c r="B40" s="171"/>
      <c r="C40" s="171"/>
      <c r="D40" s="171"/>
      <c r="E40" s="171"/>
      <c r="F40" s="171"/>
      <c r="G40" s="171"/>
      <c r="H40" s="171"/>
      <c r="I40" s="171"/>
      <c r="J40" s="171"/>
      <c r="K40" s="171"/>
      <c r="L40" s="171"/>
      <c r="M40" s="171"/>
      <c r="N40" s="171"/>
      <c r="O40" s="171"/>
      <c r="P40" s="171"/>
      <c r="Q40" s="171"/>
      <c r="R40" s="171"/>
      <c r="S40" s="171"/>
    </row>
    <row r="41" spans="1:19">
      <c r="A41" s="171"/>
      <c r="B41" s="171"/>
      <c r="C41" s="171"/>
      <c r="D41" s="171"/>
      <c r="E41" s="171"/>
      <c r="F41" s="171"/>
      <c r="G41" s="171"/>
      <c r="H41" s="171"/>
      <c r="I41" s="171"/>
      <c r="J41" s="171"/>
      <c r="K41" s="171"/>
      <c r="L41" s="171"/>
      <c r="M41" s="171"/>
      <c r="N41" s="171"/>
      <c r="O41" s="171"/>
      <c r="P41" s="171"/>
      <c r="Q41" s="171"/>
      <c r="R41" s="171"/>
      <c r="S41" s="171"/>
    </row>
    <row r="42" spans="1:19">
      <c r="A42" s="171"/>
      <c r="B42" s="171"/>
      <c r="C42" s="171"/>
      <c r="D42" s="171"/>
      <c r="E42" s="171"/>
      <c r="F42" s="171"/>
      <c r="G42" s="171"/>
      <c r="H42" s="171"/>
      <c r="I42" s="171"/>
      <c r="J42" s="171"/>
      <c r="K42" s="171"/>
      <c r="L42" s="171"/>
      <c r="M42" s="171"/>
      <c r="N42" s="171"/>
      <c r="O42" s="171"/>
      <c r="P42" s="171"/>
      <c r="Q42" s="171"/>
      <c r="R42" s="171"/>
      <c r="S42" s="171"/>
    </row>
    <row r="43" spans="1:19">
      <c r="A43" s="171"/>
      <c r="B43" s="171"/>
      <c r="C43" s="171"/>
      <c r="D43" s="171"/>
      <c r="E43" s="171"/>
      <c r="F43" s="171"/>
      <c r="G43" s="171"/>
      <c r="H43" s="171"/>
      <c r="I43" s="171"/>
      <c r="J43" s="171"/>
      <c r="K43" s="171"/>
      <c r="L43" s="171"/>
      <c r="M43" s="171"/>
      <c r="N43" s="171"/>
      <c r="O43" s="171"/>
      <c r="P43" s="171"/>
      <c r="Q43" s="171"/>
      <c r="R43" s="171"/>
      <c r="S43" s="171"/>
    </row>
    <row r="44" spans="1:19">
      <c r="A44" s="171"/>
      <c r="B44" s="171"/>
      <c r="C44" s="171"/>
      <c r="D44" s="171"/>
      <c r="E44" s="171"/>
      <c r="F44" s="171"/>
      <c r="G44" s="171"/>
      <c r="H44" s="171"/>
      <c r="I44" s="171"/>
      <c r="J44" s="171"/>
      <c r="K44" s="171"/>
      <c r="L44" s="171"/>
      <c r="M44" s="171"/>
      <c r="N44" s="171"/>
      <c r="O44" s="171"/>
      <c r="P44" s="171"/>
      <c r="Q44" s="171"/>
      <c r="R44" s="171"/>
      <c r="S44" s="171"/>
    </row>
    <row r="45" spans="1:19">
      <c r="A45" s="171"/>
      <c r="B45" s="171"/>
      <c r="C45" s="171"/>
      <c r="D45" s="171"/>
      <c r="E45" s="171"/>
      <c r="F45" s="171"/>
      <c r="G45" s="171"/>
      <c r="H45" s="171"/>
      <c r="I45" s="171"/>
      <c r="J45" s="171"/>
      <c r="K45" s="171"/>
      <c r="L45" s="171"/>
      <c r="M45" s="171"/>
      <c r="N45" s="171"/>
      <c r="O45" s="171"/>
      <c r="P45" s="171"/>
      <c r="Q45" s="171"/>
      <c r="R45" s="171"/>
      <c r="S45" s="171"/>
    </row>
    <row r="46" spans="1:19">
      <c r="A46" s="171"/>
      <c r="B46" s="171"/>
      <c r="C46" s="171"/>
      <c r="D46" s="171"/>
      <c r="E46" s="171"/>
      <c r="F46" s="171"/>
      <c r="G46" s="171"/>
      <c r="H46" s="171"/>
      <c r="I46" s="171"/>
      <c r="J46" s="171"/>
      <c r="K46" s="171"/>
      <c r="L46" s="171"/>
      <c r="M46" s="171"/>
      <c r="N46" s="171"/>
      <c r="O46" s="171"/>
      <c r="P46" s="171"/>
      <c r="Q46" s="171"/>
      <c r="R46" s="171"/>
      <c r="S46" s="171"/>
    </row>
    <row r="47" spans="1:19">
      <c r="A47" s="171"/>
      <c r="B47" s="171"/>
      <c r="C47" s="171"/>
      <c r="D47" s="171"/>
      <c r="E47" s="171"/>
      <c r="F47" s="171"/>
      <c r="G47" s="171"/>
      <c r="H47" s="171"/>
      <c r="I47" s="171"/>
      <c r="J47" s="171"/>
      <c r="K47" s="171"/>
      <c r="L47" s="171"/>
      <c r="M47" s="171"/>
      <c r="N47" s="171"/>
      <c r="O47" s="171"/>
      <c r="P47" s="171"/>
      <c r="Q47" s="171"/>
      <c r="R47" s="171"/>
      <c r="S47" s="171"/>
    </row>
    <row r="48" spans="1:19">
      <c r="A48" s="171"/>
      <c r="B48" s="171"/>
      <c r="C48" s="171"/>
      <c r="D48" s="171"/>
      <c r="E48" s="171"/>
      <c r="F48" s="171"/>
      <c r="G48" s="171"/>
      <c r="H48" s="171"/>
      <c r="I48" s="171"/>
      <c r="J48" s="171"/>
      <c r="K48" s="171"/>
      <c r="L48" s="171"/>
      <c r="M48" s="171"/>
      <c r="N48" s="171"/>
      <c r="O48" s="171"/>
      <c r="P48" s="171"/>
      <c r="Q48" s="171"/>
      <c r="R48" s="171"/>
      <c r="S48" s="171"/>
    </row>
    <row r="49" spans="1:19">
      <c r="A49" s="171"/>
      <c r="B49" s="171"/>
      <c r="C49" s="171"/>
      <c r="D49" s="171"/>
      <c r="E49" s="171"/>
      <c r="F49" s="171"/>
      <c r="G49" s="171"/>
      <c r="H49" s="171"/>
      <c r="I49" s="171"/>
      <c r="J49" s="171"/>
      <c r="K49" s="171"/>
      <c r="L49" s="171"/>
      <c r="M49" s="171"/>
      <c r="N49" s="171"/>
      <c r="O49" s="171"/>
      <c r="P49" s="171"/>
      <c r="Q49" s="171"/>
      <c r="R49" s="171"/>
      <c r="S49" s="171"/>
    </row>
    <row r="50" spans="1:19">
      <c r="A50" s="171"/>
      <c r="B50" s="171"/>
      <c r="C50" s="171"/>
      <c r="D50" s="171"/>
      <c r="E50" s="171"/>
      <c r="F50" s="171"/>
      <c r="G50" s="171"/>
      <c r="H50" s="171"/>
      <c r="I50" s="171"/>
      <c r="J50" s="171"/>
      <c r="K50" s="171"/>
      <c r="L50" s="171"/>
      <c r="M50" s="171"/>
      <c r="N50" s="171"/>
      <c r="O50" s="171"/>
      <c r="P50" s="171"/>
      <c r="Q50" s="171"/>
      <c r="R50" s="171"/>
      <c r="S50" s="171"/>
    </row>
    <row r="51" spans="1:19">
      <c r="A51" s="171"/>
      <c r="B51" s="171"/>
      <c r="C51" s="171"/>
      <c r="D51" s="171"/>
      <c r="E51" s="171"/>
      <c r="F51" s="171"/>
      <c r="G51" s="171"/>
      <c r="H51" s="171"/>
      <c r="I51" s="171"/>
      <c r="J51" s="171"/>
      <c r="K51" s="171"/>
      <c r="L51" s="171"/>
      <c r="M51" s="171"/>
      <c r="N51" s="171"/>
      <c r="O51" s="171"/>
      <c r="P51" s="171"/>
      <c r="Q51" s="171"/>
      <c r="R51" s="171"/>
      <c r="S51" s="171"/>
    </row>
    <row r="52" spans="1:19">
      <c r="A52" s="171"/>
      <c r="B52" s="171"/>
      <c r="C52" s="171"/>
      <c r="D52" s="171"/>
      <c r="E52" s="171"/>
      <c r="F52" s="171"/>
      <c r="G52" s="171"/>
      <c r="H52" s="171"/>
      <c r="I52" s="171"/>
      <c r="J52" s="171"/>
      <c r="K52" s="171"/>
      <c r="L52" s="171"/>
      <c r="M52" s="171"/>
      <c r="N52" s="171"/>
      <c r="O52" s="171"/>
      <c r="P52" s="171"/>
      <c r="Q52" s="171"/>
      <c r="R52" s="171"/>
      <c r="S52" s="171"/>
    </row>
    <row r="53" spans="1:19">
      <c r="A53" s="171"/>
      <c r="B53" s="171"/>
      <c r="C53" s="171"/>
      <c r="D53" s="171"/>
      <c r="E53" s="171"/>
      <c r="F53" s="171"/>
      <c r="G53" s="171"/>
      <c r="H53" s="171"/>
      <c r="I53" s="171"/>
      <c r="J53" s="171"/>
      <c r="K53" s="171"/>
      <c r="L53" s="171"/>
      <c r="M53" s="171"/>
      <c r="N53" s="171"/>
      <c r="O53" s="171"/>
      <c r="P53" s="171"/>
      <c r="Q53" s="171"/>
      <c r="R53" s="171"/>
      <c r="S53" s="171"/>
    </row>
    <row r="54" spans="1:19">
      <c r="A54" s="171"/>
      <c r="B54" s="171"/>
      <c r="C54" s="171"/>
      <c r="D54" s="171"/>
      <c r="E54" s="171"/>
      <c r="F54" s="171"/>
      <c r="G54" s="171"/>
      <c r="H54" s="171"/>
      <c r="I54" s="171"/>
      <c r="J54" s="171"/>
      <c r="K54" s="171"/>
      <c r="L54" s="171"/>
      <c r="M54" s="171"/>
      <c r="N54" s="171"/>
      <c r="O54" s="171"/>
      <c r="P54" s="171"/>
      <c r="Q54" s="171"/>
      <c r="R54" s="171"/>
      <c r="S54" s="171"/>
    </row>
    <row r="55" spans="1:19">
      <c r="A55" s="171"/>
      <c r="B55" s="171"/>
      <c r="C55" s="171"/>
      <c r="D55" s="171"/>
      <c r="E55" s="171"/>
      <c r="F55" s="171"/>
      <c r="G55" s="171"/>
      <c r="H55" s="171"/>
      <c r="I55" s="171"/>
      <c r="J55" s="171"/>
      <c r="K55" s="171"/>
      <c r="L55" s="171"/>
      <c r="M55" s="171"/>
      <c r="N55" s="171"/>
      <c r="O55" s="171"/>
      <c r="P55" s="171"/>
      <c r="Q55" s="171"/>
      <c r="R55" s="171"/>
      <c r="S55" s="171"/>
    </row>
    <row r="56" spans="1:19">
      <c r="A56" s="171"/>
      <c r="B56" s="171"/>
      <c r="C56" s="171"/>
      <c r="D56" s="171"/>
      <c r="E56" s="171"/>
      <c r="F56" s="171"/>
      <c r="G56" s="171"/>
      <c r="H56" s="171"/>
      <c r="I56" s="171"/>
      <c r="J56" s="171"/>
      <c r="K56" s="171"/>
      <c r="L56" s="171"/>
      <c r="M56" s="171"/>
      <c r="N56" s="171"/>
      <c r="O56" s="171"/>
      <c r="P56" s="171"/>
      <c r="Q56" s="171"/>
      <c r="R56" s="171"/>
      <c r="S56" s="171"/>
    </row>
    <row r="57" spans="1:19">
      <c r="A57" s="171"/>
      <c r="B57" s="171"/>
      <c r="C57" s="171"/>
      <c r="D57" s="171"/>
      <c r="E57" s="171"/>
      <c r="F57" s="171"/>
      <c r="G57" s="171"/>
      <c r="H57" s="171"/>
      <c r="I57" s="171"/>
      <c r="J57" s="171"/>
      <c r="K57" s="171"/>
      <c r="L57" s="171"/>
      <c r="M57" s="171"/>
      <c r="N57" s="171"/>
      <c r="O57" s="171"/>
      <c r="P57" s="171"/>
      <c r="Q57" s="171"/>
      <c r="R57" s="171"/>
      <c r="S57" s="171"/>
    </row>
    <row r="58" spans="1:19">
      <c r="A58" s="171"/>
      <c r="B58" s="171"/>
      <c r="C58" s="171"/>
      <c r="D58" s="171"/>
      <c r="E58" s="171"/>
      <c r="F58" s="171"/>
      <c r="G58" s="171"/>
      <c r="H58" s="171"/>
      <c r="I58" s="171"/>
      <c r="J58" s="171"/>
      <c r="K58" s="171"/>
      <c r="L58" s="171"/>
      <c r="M58" s="171"/>
      <c r="N58" s="171"/>
      <c r="O58" s="171"/>
      <c r="P58" s="171"/>
      <c r="Q58" s="171"/>
      <c r="R58" s="171"/>
      <c r="S58" s="171"/>
    </row>
    <row r="59" spans="1:19">
      <c r="A59" s="171"/>
      <c r="B59" s="171"/>
      <c r="C59" s="171"/>
      <c r="D59" s="171"/>
      <c r="E59" s="171"/>
      <c r="F59" s="171"/>
      <c r="G59" s="171"/>
      <c r="H59" s="171"/>
      <c r="I59" s="171"/>
      <c r="J59" s="171"/>
      <c r="K59" s="171"/>
      <c r="L59" s="171"/>
      <c r="M59" s="171"/>
      <c r="N59" s="171"/>
      <c r="O59" s="171"/>
      <c r="P59" s="171"/>
      <c r="Q59" s="171"/>
      <c r="R59" s="171"/>
      <c r="S59" s="171"/>
    </row>
  </sheetData>
  <mergeCells count="55">
    <mergeCell ref="A7:S7"/>
    <mergeCell ref="B19:R19"/>
    <mergeCell ref="B20:D20"/>
    <mergeCell ref="F20:H20"/>
    <mergeCell ref="J20:L20"/>
    <mergeCell ref="N20:P20"/>
    <mergeCell ref="B21:E21"/>
    <mergeCell ref="F21:I21"/>
    <mergeCell ref="J21:O21"/>
    <mergeCell ref="P21:R21"/>
    <mergeCell ref="B22:E22"/>
    <mergeCell ref="F22:I22"/>
    <mergeCell ref="J22:O22"/>
    <mergeCell ref="P22:R22"/>
    <mergeCell ref="B23:E23"/>
    <mergeCell ref="F23:I23"/>
    <mergeCell ref="J23:O23"/>
    <mergeCell ref="P23:R23"/>
    <mergeCell ref="B24:E24"/>
    <mergeCell ref="F24:I24"/>
    <mergeCell ref="J24:O24"/>
    <mergeCell ref="P24:R24"/>
    <mergeCell ref="B25:E25"/>
    <mergeCell ref="F25:I25"/>
    <mergeCell ref="J25:O25"/>
    <mergeCell ref="P25:R25"/>
    <mergeCell ref="B26:E26"/>
    <mergeCell ref="F26:I26"/>
    <mergeCell ref="J26:O26"/>
    <mergeCell ref="P26:R26"/>
    <mergeCell ref="B27:E27"/>
    <mergeCell ref="F27:I27"/>
    <mergeCell ref="J27:O27"/>
    <mergeCell ref="P27:R27"/>
    <mergeCell ref="B28:E28"/>
    <mergeCell ref="F28:I28"/>
    <mergeCell ref="J28:O28"/>
    <mergeCell ref="P28:R28"/>
    <mergeCell ref="B31:R31"/>
    <mergeCell ref="C32:R32"/>
    <mergeCell ref="C33:R33"/>
    <mergeCell ref="C34:R34"/>
    <mergeCell ref="C35:R35"/>
    <mergeCell ref="C36:R36"/>
    <mergeCell ref="C37:R37"/>
    <mergeCell ref="B32:B33"/>
    <mergeCell ref="B34:B35"/>
    <mergeCell ref="B36:B37"/>
    <mergeCell ref="A1:S4"/>
    <mergeCell ref="F15:H16"/>
    <mergeCell ref="J13:L14"/>
    <mergeCell ref="J15:L16"/>
    <mergeCell ref="B13:D14"/>
    <mergeCell ref="B15:D16"/>
    <mergeCell ref="F13:H14"/>
  </mergeCells>
  <pageMargins left="0.75" right="0.75" top="1" bottom="1" header="0.5" footer="0.5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name="Button 1" r:id="rId3">
              <controlPr print="0" defaultSize="0">
                <anchor moveWithCells="1">
                  <from>
                    <xdr:col>15</xdr:col>
                    <xdr:colOff>9525</xdr:colOff>
                    <xdr:row>20</xdr:row>
                    <xdr:rowOff>9525</xdr:rowOff>
                  </from>
                  <to>
                    <xdr:col>18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name="Button 2" r:id="rId4">
              <controlPr print="0" defaultSize="0">
                <anchor moveWithCells="1">
                  <from>
                    <xdr:col>15</xdr:col>
                    <xdr:colOff>28575</xdr:colOff>
                    <xdr:row>21</xdr:row>
                    <xdr:rowOff>0</xdr:rowOff>
                  </from>
                  <to>
                    <xdr:col>18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name="Button 3" r:id="rId5">
              <controlPr print="0" defaultSize="0">
                <anchor moveWithCells="1">
                  <from>
                    <xdr:col>15</xdr:col>
                    <xdr:colOff>47625</xdr:colOff>
                    <xdr:row>21</xdr:row>
                    <xdr:rowOff>180975</xdr:rowOff>
                  </from>
                  <to>
                    <xdr:col>17</xdr:col>
                    <xdr:colOff>647700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name="Button 4" r:id="rId6">
              <controlPr print="0" defaultSize="0">
                <anchor moveWithCells="1">
                  <from>
                    <xdr:col>15</xdr:col>
                    <xdr:colOff>9525</xdr:colOff>
                    <xdr:row>23</xdr:row>
                    <xdr:rowOff>9525</xdr:rowOff>
                  </from>
                  <to>
                    <xdr:col>18</xdr:col>
                    <xdr:colOff>19050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name="Button 5" r:id="rId7">
              <controlPr print="0" defaultSize="0">
                <anchor moveWithCells="1">
                  <from>
                    <xdr:col>15</xdr:col>
                    <xdr:colOff>133350</xdr:colOff>
                    <xdr:row>24</xdr:row>
                    <xdr:rowOff>9525</xdr:rowOff>
                  </from>
                  <to>
                    <xdr:col>17</xdr:col>
                    <xdr:colOff>619125</xdr:colOff>
                    <xdr:row>24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name="Button 6" r:id="rId8">
              <controlPr print="0" defaultSize="0">
                <anchor moveWithCells="1">
                  <from>
                    <xdr:col>15</xdr:col>
                    <xdr:colOff>0</xdr:colOff>
                    <xdr:row>24</xdr:row>
                    <xdr:rowOff>180975</xdr:rowOff>
                  </from>
                  <to>
                    <xdr:col>17</xdr:col>
                    <xdr:colOff>647700</xdr:colOff>
                    <xdr:row>25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name="Button 7" r:id="rId9">
              <controlPr print="0" defaultSize="0">
                <anchor moveWithCells="1">
                  <from>
                    <xdr:col>14</xdr:col>
                    <xdr:colOff>657225</xdr:colOff>
                    <xdr:row>26</xdr:row>
                    <xdr:rowOff>0</xdr:rowOff>
                  </from>
                  <to>
                    <xdr:col>17</xdr:col>
                    <xdr:colOff>638175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name="Button 8" r:id="rId10">
              <controlPr print="0" defaultSize="0">
                <anchor moveWithCells="1">
                  <from>
                    <xdr:col>15</xdr:col>
                    <xdr:colOff>247650</xdr:colOff>
                    <xdr:row>27</xdr:row>
                    <xdr:rowOff>47625</xdr:rowOff>
                  </from>
                  <to>
                    <xdr:col>17</xdr:col>
                    <xdr:colOff>638175</xdr:colOff>
                    <xdr:row>28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>
    <tabColor rgb="FF2E5D8C"/>
  </sheetPr>
  <dimension ref="A1:U9"/>
  <sheetViews>
    <sheetView showGridLines="0" workbookViewId="0">
      <pane ySplit="2" topLeftCell="A3" activePane="bottomLeft" state="frozen"/>
      <selection/>
      <selection pane="bottomLeft" activeCell="I19" sqref="I19"/>
    </sheetView>
  </sheetViews>
  <sheetFormatPr defaultColWidth="9" defaultRowHeight="15"/>
  <cols>
    <col min="1" max="1" width="14" customWidth="1"/>
    <col min="2" max="2" width="12" customWidth="1"/>
    <col min="3" max="3" width="22" customWidth="1"/>
    <col min="4" max="4" width="8" customWidth="1"/>
    <col min="5" max="5" width="10" customWidth="1"/>
    <col min="6" max="6" width="24" customWidth="1"/>
    <col min="7" max="7" width="12" customWidth="1"/>
    <col min="8" max="8" width="10" customWidth="1"/>
    <col min="9" max="9" width="22" customWidth="1"/>
    <col min="10" max="10" width="12" customWidth="1"/>
    <col min="11" max="11" width="10" customWidth="1"/>
    <col min="12" max="12" width="20" customWidth="1"/>
    <col min="13" max="13" width="16" customWidth="1"/>
    <col min="14" max="14" width="12" customWidth="1"/>
    <col min="15" max="15" width="14" customWidth="1"/>
    <col min="16" max="16" width="28" customWidth="1"/>
    <col min="17" max="17" width="14" customWidth="1"/>
    <col min="18" max="18" width="10" customWidth="1"/>
    <col min="19" max="19" width="12" customWidth="1"/>
    <col min="20" max="20" width="10" customWidth="1"/>
    <col min="21" max="21" width="12" customWidth="1"/>
  </cols>
  <sheetData>
    <row r="1" ht="30" customHeight="1" spans="1:21">
      <c r="A1" s="1" t="s">
        <v>55</v>
      </c>
    </row>
    <row r="2" ht="36" customHeight="1" spans="1:21">
      <c r="A2" s="157" t="s">
        <v>56</v>
      </c>
      <c r="B2" s="157" t="s">
        <v>57</v>
      </c>
      <c r="C2" s="157" t="s">
        <v>58</v>
      </c>
      <c r="D2" s="157" t="s">
        <v>59</v>
      </c>
      <c r="E2" s="157" t="s">
        <v>60</v>
      </c>
      <c r="F2" s="157" t="s">
        <v>61</v>
      </c>
      <c r="G2" s="157" t="s">
        <v>62</v>
      </c>
      <c r="H2" s="157" t="s">
        <v>63</v>
      </c>
      <c r="I2" s="157" t="s">
        <v>64</v>
      </c>
      <c r="J2" s="157" t="s">
        <v>65</v>
      </c>
      <c r="K2" s="157" t="s">
        <v>66</v>
      </c>
      <c r="L2" s="157" t="s">
        <v>67</v>
      </c>
      <c r="M2" s="157" t="s">
        <v>68</v>
      </c>
      <c r="N2" s="157" t="s">
        <v>69</v>
      </c>
      <c r="O2" s="157" t="s">
        <v>70</v>
      </c>
      <c r="P2" s="157" t="s">
        <v>71</v>
      </c>
      <c r="Q2" s="157" t="s">
        <v>72</v>
      </c>
      <c r="R2" s="157" t="s">
        <v>73</v>
      </c>
      <c r="S2" s="157" t="s">
        <v>74</v>
      </c>
      <c r="T2" s="157" t="s">
        <v>75</v>
      </c>
      <c r="U2" s="157" t="s">
        <v>76</v>
      </c>
    </row>
    <row r="3" spans="1:21">
      <c r="A3" s="38" t="s">
        <v>77</v>
      </c>
      <c r="B3" s="38" t="s">
        <v>78</v>
      </c>
      <c r="C3" s="38" t="s">
        <v>79</v>
      </c>
      <c r="D3" s="158" t="s">
        <v>80</v>
      </c>
      <c r="E3" s="158" t="s">
        <v>81</v>
      </c>
      <c r="F3" s="158" t="s">
        <v>82</v>
      </c>
      <c r="G3" s="158" t="s">
        <v>83</v>
      </c>
      <c r="H3" s="158" t="s">
        <v>84</v>
      </c>
      <c r="I3" s="38" t="s">
        <v>85</v>
      </c>
      <c r="J3" s="38" t="s">
        <v>86</v>
      </c>
      <c r="K3" s="158" t="s">
        <v>87</v>
      </c>
      <c r="L3" s="38" t="s">
        <v>88</v>
      </c>
      <c r="M3" s="158" t="s">
        <v>89</v>
      </c>
      <c r="N3" s="159">
        <v>4168</v>
      </c>
      <c r="O3" s="38" t="s">
        <v>90</v>
      </c>
      <c r="P3" s="38" t="s">
        <v>91</v>
      </c>
      <c r="Q3" s="160">
        <v>13.3</v>
      </c>
      <c r="R3" s="158" t="s">
        <v>92</v>
      </c>
      <c r="S3" s="161">
        <v>0</v>
      </c>
      <c r="T3" s="162">
        <f t="shared" ref="T3:T9" si="0">N3-S3</f>
        <v>4168</v>
      </c>
      <c r="U3" s="163">
        <f t="shared" ref="U3:U9" si="1">IFERROR(S3/N3,0)</f>
        <v>0</v>
      </c>
    </row>
    <row r="4" spans="1:21">
      <c r="A4" s="40" t="s">
        <v>77</v>
      </c>
      <c r="B4" s="40" t="s">
        <v>78</v>
      </c>
      <c r="C4" s="40" t="s">
        <v>79</v>
      </c>
      <c r="D4" s="164" t="s">
        <v>80</v>
      </c>
      <c r="E4" s="164" t="s">
        <v>81</v>
      </c>
      <c r="F4" s="164" t="s">
        <v>82</v>
      </c>
      <c r="G4" s="164" t="s">
        <v>83</v>
      </c>
      <c r="H4" s="164" t="s">
        <v>84</v>
      </c>
      <c r="I4" s="40" t="s">
        <v>85</v>
      </c>
      <c r="J4" s="40" t="s">
        <v>86</v>
      </c>
      <c r="K4" s="164" t="s">
        <v>93</v>
      </c>
      <c r="L4" s="40" t="s">
        <v>94</v>
      </c>
      <c r="M4" s="164" t="s">
        <v>89</v>
      </c>
      <c r="N4" s="165">
        <v>6182</v>
      </c>
      <c r="O4" s="40" t="s">
        <v>90</v>
      </c>
      <c r="P4" s="40" t="s">
        <v>91</v>
      </c>
      <c r="Q4" s="166">
        <v>13.3</v>
      </c>
      <c r="R4" s="164" t="s">
        <v>92</v>
      </c>
      <c r="S4" s="161">
        <v>0</v>
      </c>
      <c r="T4" s="167">
        <f t="shared" si="0"/>
        <v>6182</v>
      </c>
      <c r="U4" s="168">
        <f t="shared" si="1"/>
        <v>0</v>
      </c>
    </row>
    <row r="5" spans="1:21">
      <c r="A5" s="38" t="s">
        <v>77</v>
      </c>
      <c r="B5" s="38" t="s">
        <v>78</v>
      </c>
      <c r="C5" s="38" t="s">
        <v>79</v>
      </c>
      <c r="D5" s="158" t="s">
        <v>80</v>
      </c>
      <c r="E5" s="158" t="s">
        <v>81</v>
      </c>
      <c r="F5" s="158" t="s">
        <v>82</v>
      </c>
      <c r="G5" s="158" t="s">
        <v>83</v>
      </c>
      <c r="H5" s="158" t="s">
        <v>84</v>
      </c>
      <c r="I5" s="38" t="s">
        <v>85</v>
      </c>
      <c r="J5" s="38" t="s">
        <v>86</v>
      </c>
      <c r="K5" s="158" t="s">
        <v>95</v>
      </c>
      <c r="L5" s="38" t="s">
        <v>96</v>
      </c>
      <c r="M5" s="158" t="s">
        <v>89</v>
      </c>
      <c r="N5" s="159">
        <v>3759</v>
      </c>
      <c r="O5" s="38" t="s">
        <v>90</v>
      </c>
      <c r="P5" s="38" t="s">
        <v>91</v>
      </c>
      <c r="Q5" s="160">
        <v>13.3</v>
      </c>
      <c r="R5" s="158" t="s">
        <v>92</v>
      </c>
      <c r="S5" s="161">
        <v>0</v>
      </c>
      <c r="T5" s="162">
        <f t="shared" si="0"/>
        <v>3759</v>
      </c>
      <c r="U5" s="163">
        <f t="shared" si="1"/>
        <v>0</v>
      </c>
    </row>
    <row r="6" spans="1:21">
      <c r="A6" s="40" t="s">
        <v>77</v>
      </c>
      <c r="B6" s="40" t="s">
        <v>78</v>
      </c>
      <c r="C6" s="40" t="s">
        <v>79</v>
      </c>
      <c r="D6" s="164" t="s">
        <v>80</v>
      </c>
      <c r="E6" s="164" t="s">
        <v>81</v>
      </c>
      <c r="F6" s="164" t="s">
        <v>82</v>
      </c>
      <c r="G6" s="164" t="s">
        <v>83</v>
      </c>
      <c r="H6" s="164" t="s">
        <v>84</v>
      </c>
      <c r="I6" s="40" t="s">
        <v>85</v>
      </c>
      <c r="J6" s="40" t="s">
        <v>86</v>
      </c>
      <c r="K6" s="164" t="s">
        <v>97</v>
      </c>
      <c r="L6" s="40" t="s">
        <v>98</v>
      </c>
      <c r="M6" s="164" t="s">
        <v>89</v>
      </c>
      <c r="N6" s="165">
        <v>2836</v>
      </c>
      <c r="O6" s="40" t="s">
        <v>99</v>
      </c>
      <c r="P6" s="40" t="s">
        <v>91</v>
      </c>
      <c r="Q6" s="166">
        <v>13.3</v>
      </c>
      <c r="R6" s="164" t="s">
        <v>92</v>
      </c>
      <c r="S6" s="161">
        <v>0</v>
      </c>
      <c r="T6" s="167">
        <f t="shared" si="0"/>
        <v>2836</v>
      </c>
      <c r="U6" s="168">
        <f t="shared" si="1"/>
        <v>0</v>
      </c>
    </row>
    <row r="7" spans="1:21">
      <c r="A7" s="38" t="s">
        <v>100</v>
      </c>
      <c r="B7" s="38" t="s">
        <v>101</v>
      </c>
      <c r="C7" s="38" t="s">
        <v>102</v>
      </c>
      <c r="D7" s="158" t="s">
        <v>80</v>
      </c>
      <c r="E7" s="158" t="s">
        <v>81</v>
      </c>
      <c r="F7" s="158" t="s">
        <v>82</v>
      </c>
      <c r="G7" s="158" t="s">
        <v>103</v>
      </c>
      <c r="H7" s="158" t="s">
        <v>104</v>
      </c>
      <c r="I7" s="38" t="s">
        <v>105</v>
      </c>
      <c r="J7" s="38" t="s">
        <v>106</v>
      </c>
      <c r="K7" s="158" t="s">
        <v>107</v>
      </c>
      <c r="L7" s="38" t="s">
        <v>108</v>
      </c>
      <c r="M7" s="158" t="s">
        <v>109</v>
      </c>
      <c r="N7" s="159">
        <v>584</v>
      </c>
      <c r="O7" s="38" t="s">
        <v>110</v>
      </c>
      <c r="P7" s="38" t="s">
        <v>111</v>
      </c>
      <c r="Q7" s="160">
        <v>17.8</v>
      </c>
      <c r="R7" s="158" t="s">
        <v>92</v>
      </c>
      <c r="S7" s="161">
        <v>0</v>
      </c>
      <c r="T7" s="162">
        <f t="shared" si="0"/>
        <v>584</v>
      </c>
      <c r="U7" s="163">
        <f t="shared" si="1"/>
        <v>0</v>
      </c>
    </row>
    <row r="8" spans="1:21">
      <c r="A8" s="40" t="s">
        <v>100</v>
      </c>
      <c r="B8" s="40" t="s">
        <v>101</v>
      </c>
      <c r="C8" s="40" t="s">
        <v>102</v>
      </c>
      <c r="D8" s="164" t="s">
        <v>80</v>
      </c>
      <c r="E8" s="164" t="s">
        <v>81</v>
      </c>
      <c r="F8" s="164" t="s">
        <v>82</v>
      </c>
      <c r="G8" s="164" t="s">
        <v>103</v>
      </c>
      <c r="H8" s="164" t="s">
        <v>104</v>
      </c>
      <c r="I8" s="40" t="s">
        <v>105</v>
      </c>
      <c r="J8" s="40" t="s">
        <v>106</v>
      </c>
      <c r="K8" s="164" t="s">
        <v>95</v>
      </c>
      <c r="L8" s="40" t="s">
        <v>96</v>
      </c>
      <c r="M8" s="164" t="s">
        <v>109</v>
      </c>
      <c r="N8" s="165">
        <v>192</v>
      </c>
      <c r="O8" s="40" t="s">
        <v>110</v>
      </c>
      <c r="P8" s="40" t="s">
        <v>111</v>
      </c>
      <c r="Q8" s="166">
        <v>17.8</v>
      </c>
      <c r="R8" s="164" t="s">
        <v>92</v>
      </c>
      <c r="S8" s="161">
        <v>0</v>
      </c>
      <c r="T8" s="167">
        <f t="shared" si="0"/>
        <v>192</v>
      </c>
      <c r="U8" s="168">
        <f t="shared" si="1"/>
        <v>0</v>
      </c>
    </row>
    <row r="9" spans="1:21">
      <c r="A9" s="38" t="s">
        <v>100</v>
      </c>
      <c r="B9" s="38" t="s">
        <v>101</v>
      </c>
      <c r="C9" s="38" t="s">
        <v>102</v>
      </c>
      <c r="D9" s="158" t="s">
        <v>80</v>
      </c>
      <c r="E9" s="158" t="s">
        <v>81</v>
      </c>
      <c r="F9" s="158" t="s">
        <v>82</v>
      </c>
      <c r="G9" s="158" t="s">
        <v>103</v>
      </c>
      <c r="H9" s="158" t="s">
        <v>104</v>
      </c>
      <c r="I9" s="38" t="s">
        <v>105</v>
      </c>
      <c r="J9" s="38" t="s">
        <v>106</v>
      </c>
      <c r="K9" s="158" t="s">
        <v>112</v>
      </c>
      <c r="L9" s="38" t="s">
        <v>113</v>
      </c>
      <c r="M9" s="158" t="s">
        <v>109</v>
      </c>
      <c r="N9" s="159">
        <v>1729</v>
      </c>
      <c r="O9" s="38" t="s">
        <v>110</v>
      </c>
      <c r="P9" s="38" t="s">
        <v>111</v>
      </c>
      <c r="Q9" s="160">
        <v>17.8</v>
      </c>
      <c r="R9" s="158" t="s">
        <v>92</v>
      </c>
      <c r="S9" s="161">
        <v>0</v>
      </c>
      <c r="T9" s="162">
        <f t="shared" si="0"/>
        <v>1729</v>
      </c>
      <c r="U9" s="163">
        <f t="shared" si="1"/>
        <v>0</v>
      </c>
    </row>
  </sheetData>
  <autoFilter xmlns:etc="http://www.wps.cn/officeDocument/2017/etCustomData" ref="A2:U59" etc:filterBottomFollowUsedRange="0">
    <extLst/>
  </autoFilter>
  <mergeCells count="1">
    <mergeCell ref="A1:U1"/>
  </mergeCells>
  <conditionalFormatting sqref="R3:R59">
    <cfRule type="cellIs" dxfId="0" priority="1" operator="equal">
      <formula>"Open"</formula>
    </cfRule>
    <cfRule type="cellIs" dxfId="1" priority="2" operator="equal">
      <formula>"Closed"</formula>
    </cfRule>
  </conditionalFormatting>
  <pageMargins left="0.75" right="0.75" top="1" bottom="1" header="0.5" footer="0.5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AW81"/>
  <sheetViews>
    <sheetView showGridLines="0" zoomScale="70" zoomScaleNormal="70" zoomScaleSheetLayoutView="70" topLeftCell="A27" workbookViewId="0">
      <selection activeCell="N36" sqref="N36"/>
    </sheetView>
  </sheetViews>
  <sheetFormatPr defaultColWidth="9.14285714285714" defaultRowHeight="18.75"/>
  <cols>
    <col min="1" max="1" width="7.71428571428571" style="52" customWidth="1"/>
    <col min="2" max="2" width="1.71428571428571" style="52" customWidth="1"/>
    <col min="3" max="3" width="8.14285714285714" style="52" customWidth="1"/>
    <col min="4" max="4" width="16.4285714285714" style="52" customWidth="1"/>
    <col min="5" max="5" width="12.8571428571429" style="52" customWidth="1"/>
    <col min="6" max="6" width="12.7142857142857" style="52" customWidth="1"/>
    <col min="7" max="7" width="25.2857142857143" style="52" customWidth="1"/>
    <col min="8" max="8" width="12.8571428571429" style="52" customWidth="1"/>
    <col min="9" max="9" width="7.14285714285714" style="52" customWidth="1"/>
    <col min="10" max="10" width="23.4285714285714" style="52" customWidth="1"/>
    <col min="11" max="11" width="18.2857142857143" style="52" customWidth="1"/>
    <col min="12" max="12" width="11.8571428571429" style="52" customWidth="1"/>
    <col min="13" max="13" width="10.1428571428571" style="52" customWidth="1"/>
    <col min="14" max="19" width="10.8571428571429" style="52" customWidth="1"/>
    <col min="20" max="20" width="11" style="52" customWidth="1"/>
    <col min="21" max="21" width="8.14285714285714" style="52" customWidth="1"/>
    <col min="22" max="22" width="11.2857142857143" style="52" customWidth="1"/>
    <col min="23" max="23" width="12.1428571428571" style="52" customWidth="1"/>
    <col min="24" max="24" width="9.71428571428571" style="52" customWidth="1"/>
    <col min="25" max="26" width="9.71428571428571" style="52" hidden="1" customWidth="1"/>
    <col min="27" max="27" width="22.5714285714286" style="52" customWidth="1"/>
    <col min="28" max="49" width="9.14285714285714" style="51"/>
    <col min="50" max="16384" width="9.14285714285714" style="52"/>
  </cols>
  <sheetData>
    <row r="1" s="45" customFormat="1" ht="27.75" customHeight="1" spans="1:49">
      <c r="A1" s="53" t="s">
        <v>114</v>
      </c>
      <c r="B1" s="54"/>
      <c r="C1" s="54"/>
      <c r="D1" s="54"/>
      <c r="E1" s="54"/>
      <c r="F1" s="54"/>
      <c r="G1" s="54"/>
      <c r="H1" s="54"/>
      <c r="I1" s="54"/>
      <c r="J1" s="54"/>
      <c r="K1" s="54"/>
      <c r="L1" s="54"/>
      <c r="M1" s="54"/>
      <c r="N1" s="54"/>
      <c r="O1" s="54"/>
      <c r="P1" s="54"/>
      <c r="Q1" s="54"/>
      <c r="R1" s="54"/>
      <c r="S1" s="54"/>
      <c r="T1" s="54"/>
      <c r="U1" s="54"/>
      <c r="V1" s="54"/>
      <c r="W1" s="54"/>
      <c r="X1" s="54"/>
      <c r="Y1" s="54"/>
      <c r="Z1" s="54"/>
      <c r="AA1" s="55"/>
      <c r="AB1" s="56"/>
      <c r="AC1" s="56"/>
      <c r="AD1" s="56"/>
      <c r="AE1" s="56"/>
      <c r="AF1" s="56"/>
      <c r="AG1" s="56"/>
      <c r="AH1" s="56"/>
      <c r="AI1" s="56"/>
      <c r="AJ1" s="56"/>
      <c r="AK1" s="56"/>
      <c r="AL1" s="56"/>
      <c r="AM1" s="56"/>
      <c r="AN1" s="56"/>
      <c r="AO1" s="56"/>
      <c r="AP1" s="56"/>
      <c r="AQ1" s="56"/>
      <c r="AR1" s="56"/>
      <c r="AS1" s="56"/>
      <c r="AT1" s="56"/>
      <c r="AU1" s="56"/>
      <c r="AV1" s="56"/>
      <c r="AW1" s="56"/>
    </row>
    <row r="2" s="45" customFormat="1" spans="1:49">
      <c r="A2" s="57"/>
      <c r="B2" s="57"/>
      <c r="C2" s="57"/>
      <c r="D2" s="57"/>
      <c r="E2" s="57"/>
      <c r="F2" s="57"/>
      <c r="G2" s="57"/>
      <c r="H2" s="57"/>
      <c r="I2" s="57"/>
      <c r="J2" s="57"/>
      <c r="K2" s="57"/>
      <c r="L2" s="57"/>
      <c r="M2" s="57"/>
      <c r="N2" s="57"/>
      <c r="O2" s="57"/>
      <c r="P2" s="57"/>
      <c r="Q2" s="57"/>
      <c r="R2" s="57"/>
      <c r="S2" s="57"/>
      <c r="T2" s="57"/>
      <c r="U2" s="57"/>
      <c r="V2" s="57"/>
      <c r="W2" s="58"/>
      <c r="X2" s="58"/>
      <c r="Y2" s="58"/>
      <c r="Z2" s="58"/>
      <c r="AA2" s="57"/>
      <c r="AB2" s="56"/>
      <c r="AC2" s="56"/>
      <c r="AD2" s="56"/>
      <c r="AE2" s="56"/>
      <c r="AF2" s="56"/>
      <c r="AG2" s="56"/>
      <c r="AH2" s="56"/>
      <c r="AI2" s="56"/>
      <c r="AJ2" s="56"/>
      <c r="AK2" s="56"/>
      <c r="AL2" s="56"/>
      <c r="AM2" s="56"/>
      <c r="AN2" s="56"/>
      <c r="AO2" s="56"/>
      <c r="AP2" s="56"/>
      <c r="AQ2" s="56"/>
      <c r="AR2" s="56"/>
      <c r="AS2" s="56"/>
      <c r="AT2" s="56"/>
      <c r="AU2" s="56"/>
      <c r="AV2" s="56"/>
      <c r="AW2" s="56"/>
    </row>
    <row r="3" s="45" customFormat="1" spans="1:49">
      <c r="A3" s="59"/>
      <c r="B3" s="57"/>
      <c r="C3" s="57"/>
      <c r="D3" s="57"/>
      <c r="E3" s="57"/>
      <c r="F3" s="57"/>
      <c r="G3" s="57"/>
      <c r="H3" s="57"/>
      <c r="I3" s="57"/>
      <c r="J3" s="57"/>
      <c r="K3" s="60"/>
      <c r="L3" s="61"/>
      <c r="M3" s="62"/>
      <c r="N3" s="57"/>
      <c r="O3" s="57"/>
      <c r="P3" s="63"/>
      <c r="Q3" s="57"/>
      <c r="R3" s="57"/>
      <c r="S3" s="57"/>
      <c r="T3" s="57"/>
      <c r="U3" s="57"/>
      <c r="V3" s="57"/>
      <c r="W3" s="57"/>
      <c r="X3" s="57"/>
      <c r="Y3" s="57"/>
      <c r="Z3" s="57"/>
      <c r="AA3" s="57"/>
      <c r="AB3" s="56"/>
      <c r="AC3" s="56"/>
      <c r="AD3" s="56"/>
      <c r="AE3" s="56"/>
      <c r="AF3" s="56"/>
      <c r="AG3" s="56"/>
      <c r="AH3" s="56"/>
      <c r="AI3" s="56"/>
      <c r="AJ3" s="56"/>
      <c r="AK3" s="56"/>
      <c r="AL3" s="56"/>
      <c r="AM3" s="56"/>
      <c r="AN3" s="56"/>
      <c r="AO3" s="56"/>
      <c r="AP3" s="56"/>
      <c r="AQ3" s="56"/>
      <c r="AR3" s="56"/>
      <c r="AS3" s="56"/>
      <c r="AT3" s="56"/>
      <c r="AU3" s="56"/>
      <c r="AV3" s="56"/>
      <c r="AW3" s="56"/>
    </row>
    <row r="4" s="45" customFormat="1" spans="1:49">
      <c r="A4" s="64"/>
      <c r="B4" s="57"/>
      <c r="C4" s="57"/>
      <c r="D4" s="57"/>
      <c r="E4" s="57"/>
      <c r="F4" s="57"/>
      <c r="G4" s="57"/>
      <c r="H4" s="57"/>
      <c r="I4" s="57"/>
      <c r="J4" s="57"/>
      <c r="K4" s="57"/>
      <c r="L4" s="57"/>
      <c r="M4" s="57"/>
      <c r="N4" s="57"/>
      <c r="O4" s="57"/>
      <c r="P4" s="57"/>
      <c r="Q4" s="57"/>
      <c r="R4" s="65"/>
      <c r="S4" s="65"/>
      <c r="T4" s="66"/>
      <c r="U4" s="66"/>
      <c r="V4" s="57"/>
      <c r="W4" s="57"/>
      <c r="X4" s="57"/>
      <c r="Y4" s="57"/>
      <c r="Z4" s="57"/>
      <c r="AA4" s="57"/>
      <c r="AB4" s="56"/>
      <c r="AC4" s="56"/>
      <c r="AD4" s="56"/>
      <c r="AE4" s="56"/>
      <c r="AF4" s="56"/>
      <c r="AG4" s="56"/>
      <c r="AH4" s="56"/>
      <c r="AI4" s="56"/>
      <c r="AJ4" s="56"/>
      <c r="AK4" s="56"/>
      <c r="AL4" s="56"/>
      <c r="AM4" s="56"/>
      <c r="AN4" s="56"/>
      <c r="AO4" s="56"/>
      <c r="AP4" s="56"/>
      <c r="AQ4" s="56"/>
      <c r="AR4" s="56"/>
      <c r="AS4" s="56"/>
      <c r="AT4" s="56"/>
      <c r="AU4" s="56"/>
      <c r="AV4" s="56"/>
      <c r="AW4" s="56"/>
    </row>
    <row r="5" s="45" customFormat="1" customHeight="1" spans="1:49">
      <c r="A5" s="59" t="s">
        <v>115</v>
      </c>
      <c r="B5" s="64"/>
      <c r="C5" s="67"/>
      <c r="D5" s="67"/>
      <c r="E5" s="67"/>
      <c r="F5" s="67"/>
      <c r="G5" s="67"/>
      <c r="H5" s="67"/>
      <c r="I5" s="67"/>
      <c r="J5" s="67"/>
      <c r="K5" s="64"/>
      <c r="L5" s="64"/>
      <c r="M5" s="64"/>
      <c r="O5" s="68"/>
      <c r="P5" s="64"/>
      <c r="Q5" s="64"/>
      <c r="R5" s="68"/>
      <c r="S5" s="68"/>
      <c r="T5" s="59" t="s">
        <v>116</v>
      </c>
      <c r="U5" s="64"/>
      <c r="V5" s="69"/>
      <c r="W5" s="70"/>
      <c r="X5" s="70"/>
      <c r="Y5" s="70"/>
      <c r="Z5" s="70"/>
      <c r="AA5" s="70"/>
      <c r="AB5" s="56"/>
      <c r="AC5" s="56"/>
      <c r="AD5" s="56"/>
      <c r="AE5" s="56"/>
      <c r="AF5" s="56"/>
      <c r="AG5" s="56"/>
      <c r="AH5" s="56"/>
      <c r="AI5" s="56"/>
      <c r="AJ5" s="56"/>
      <c r="AK5" s="56"/>
      <c r="AL5" s="56"/>
      <c r="AM5" s="56"/>
      <c r="AN5" s="56"/>
      <c r="AO5" s="56"/>
      <c r="AP5" s="56"/>
      <c r="AQ5" s="56"/>
      <c r="AR5" s="56"/>
      <c r="AS5" s="56"/>
      <c r="AT5" s="56"/>
      <c r="AU5" s="56"/>
      <c r="AV5" s="56"/>
      <c r="AW5" s="56"/>
    </row>
    <row r="6" s="45" customFormat="1" customHeight="1" spans="1:49">
      <c r="A6" s="71"/>
      <c r="B6" s="64"/>
      <c r="C6" s="64"/>
      <c r="D6" s="64"/>
      <c r="E6" s="64"/>
      <c r="F6" s="64"/>
      <c r="G6" s="64"/>
      <c r="H6" s="64"/>
      <c r="I6" s="64"/>
      <c r="J6" s="64"/>
      <c r="K6" s="64"/>
      <c r="L6" s="64"/>
      <c r="M6" s="64"/>
      <c r="N6" s="68"/>
      <c r="O6" s="68"/>
      <c r="P6" s="64"/>
      <c r="Q6" s="64"/>
      <c r="R6" s="68"/>
      <c r="S6" s="68"/>
      <c r="T6" s="66" t="s">
        <v>117</v>
      </c>
      <c r="U6" s="64"/>
      <c r="V6" s="69"/>
      <c r="W6" s="70"/>
      <c r="X6" s="70"/>
      <c r="Y6" s="70"/>
      <c r="Z6" s="70"/>
      <c r="AA6" s="70"/>
      <c r="AB6" s="56"/>
      <c r="AC6" s="56"/>
      <c r="AD6" s="56"/>
      <c r="AE6" s="56"/>
      <c r="AF6" s="56"/>
      <c r="AG6" s="56"/>
      <c r="AH6" s="56"/>
      <c r="AI6" s="56"/>
      <c r="AJ6" s="56"/>
      <c r="AK6" s="56"/>
      <c r="AL6" s="56"/>
      <c r="AM6" s="56"/>
      <c r="AN6" s="56"/>
      <c r="AO6" s="56"/>
      <c r="AP6" s="56"/>
      <c r="AQ6" s="56"/>
      <c r="AR6" s="56"/>
      <c r="AS6" s="56"/>
      <c r="AT6" s="56"/>
      <c r="AU6" s="56"/>
      <c r="AV6" s="56"/>
      <c r="AW6" s="56"/>
    </row>
    <row r="7" s="45" customFormat="1" spans="1:49">
      <c r="A7" s="72"/>
      <c r="B7" s="73"/>
      <c r="K7" s="64"/>
      <c r="L7" s="64"/>
      <c r="M7" s="64"/>
      <c r="N7" s="68"/>
      <c r="O7" s="68"/>
      <c r="P7" s="64"/>
      <c r="Q7" s="64"/>
      <c r="R7" s="68"/>
      <c r="S7" s="68"/>
      <c r="T7" s="68" t="s">
        <v>118</v>
      </c>
      <c r="U7" s="64"/>
      <c r="V7" s="74"/>
      <c r="W7" s="74"/>
      <c r="X7" s="74"/>
      <c r="Y7" s="74"/>
      <c r="Z7" s="74"/>
      <c r="AA7" s="74"/>
      <c r="AB7" s="56"/>
      <c r="AC7" s="56"/>
      <c r="AD7" s="56"/>
      <c r="AE7" s="56"/>
      <c r="AF7" s="56"/>
      <c r="AG7" s="56"/>
      <c r="AH7" s="56"/>
      <c r="AI7" s="56"/>
      <c r="AJ7" s="56"/>
      <c r="AK7" s="56"/>
      <c r="AL7" s="56"/>
      <c r="AM7" s="56"/>
      <c r="AN7" s="56"/>
      <c r="AO7" s="56"/>
      <c r="AP7" s="56"/>
      <c r="AQ7" s="56"/>
      <c r="AR7" s="56"/>
      <c r="AS7" s="56"/>
      <c r="AT7" s="56"/>
      <c r="AU7" s="56"/>
      <c r="AV7" s="56"/>
      <c r="AW7" s="56"/>
    </row>
    <row r="8" s="45" customFormat="1" spans="1:49">
      <c r="A8" s="72"/>
      <c r="B8" s="73"/>
      <c r="K8" s="64"/>
      <c r="L8" s="64"/>
      <c r="M8" s="64"/>
      <c r="N8" s="68"/>
      <c r="O8" s="68"/>
      <c r="P8" s="64"/>
      <c r="Q8" s="64"/>
      <c r="R8" s="68"/>
      <c r="S8" s="68"/>
      <c r="T8" s="68" t="s">
        <v>119</v>
      </c>
      <c r="U8" s="64"/>
      <c r="V8" s="74"/>
      <c r="W8" s="74"/>
      <c r="X8" s="74"/>
      <c r="Y8" s="74"/>
      <c r="Z8" s="74"/>
      <c r="AA8" s="74"/>
      <c r="AB8" s="56"/>
      <c r="AC8" s="56"/>
      <c r="AD8" s="56"/>
      <c r="AE8" s="56"/>
      <c r="AF8" s="56"/>
      <c r="AG8" s="56"/>
      <c r="AH8" s="56"/>
      <c r="AI8" s="56"/>
      <c r="AJ8" s="56"/>
      <c r="AK8" s="56"/>
      <c r="AL8" s="56"/>
      <c r="AM8" s="56"/>
      <c r="AN8" s="56"/>
      <c r="AO8" s="56"/>
      <c r="AP8" s="56"/>
      <c r="AQ8" s="56"/>
      <c r="AR8" s="56"/>
      <c r="AS8" s="56"/>
      <c r="AT8" s="56"/>
      <c r="AU8" s="56"/>
      <c r="AV8" s="56"/>
      <c r="AW8" s="56"/>
    </row>
    <row r="9" s="45" customFormat="1" spans="1:49">
      <c r="A9" s="72"/>
      <c r="B9" s="73"/>
      <c r="K9" s="64"/>
      <c r="L9" s="64"/>
      <c r="M9" s="64"/>
      <c r="N9" s="68"/>
      <c r="O9" s="68"/>
      <c r="P9" s="64"/>
      <c r="Q9" s="64"/>
      <c r="R9" s="68"/>
      <c r="S9" s="68"/>
      <c r="T9" s="68" t="s">
        <v>120</v>
      </c>
      <c r="U9" s="64"/>
      <c r="V9" s="74"/>
      <c r="W9" s="74"/>
      <c r="X9" s="74"/>
      <c r="Y9" s="74"/>
      <c r="Z9" s="74"/>
      <c r="AA9" s="74"/>
      <c r="AB9" s="56"/>
      <c r="AC9" s="56"/>
      <c r="AD9" s="56"/>
      <c r="AE9" s="56"/>
      <c r="AF9" s="56"/>
      <c r="AG9" s="56"/>
      <c r="AH9" s="56"/>
      <c r="AI9" s="56"/>
      <c r="AJ9" s="56"/>
      <c r="AK9" s="56"/>
      <c r="AL9" s="56"/>
      <c r="AM9" s="56"/>
      <c r="AN9" s="56"/>
      <c r="AO9" s="56"/>
      <c r="AP9" s="56"/>
      <c r="AQ9" s="56"/>
      <c r="AR9" s="56"/>
      <c r="AS9" s="56"/>
      <c r="AT9" s="56"/>
      <c r="AU9" s="56"/>
      <c r="AV9" s="56"/>
      <c r="AW9" s="56"/>
    </row>
    <row r="10" s="45" customFormat="1" spans="1:49">
      <c r="B10" s="73"/>
      <c r="K10" s="64"/>
      <c r="L10" s="75"/>
      <c r="M10" s="64"/>
      <c r="N10" s="68"/>
      <c r="O10" s="68"/>
      <c r="P10" s="64"/>
      <c r="Q10" s="64"/>
      <c r="R10" s="68"/>
      <c r="S10" s="68"/>
      <c r="T10" s="68" t="s">
        <v>121</v>
      </c>
      <c r="U10" s="68"/>
      <c r="V10" s="76"/>
      <c r="W10" s="76"/>
      <c r="X10" s="76"/>
      <c r="Y10" s="76"/>
      <c r="Z10" s="76"/>
      <c r="AA10" s="76"/>
      <c r="AB10" s="56"/>
      <c r="AC10" s="56"/>
      <c r="AD10" s="56"/>
      <c r="AE10" s="56"/>
      <c r="AF10" s="56"/>
      <c r="AG10" s="56"/>
      <c r="AH10" s="56"/>
      <c r="AI10" s="56"/>
      <c r="AJ10" s="56"/>
      <c r="AK10" s="56"/>
      <c r="AL10" s="56"/>
      <c r="AM10" s="56"/>
      <c r="AN10" s="56"/>
      <c r="AO10" s="56"/>
      <c r="AP10" s="56"/>
      <c r="AQ10" s="56"/>
      <c r="AR10" s="56"/>
      <c r="AS10" s="56"/>
      <c r="AT10" s="56"/>
      <c r="AU10" s="56"/>
      <c r="AV10" s="56"/>
      <c r="AW10" s="56"/>
    </row>
    <row r="11" s="45" customFormat="1" spans="1:49">
      <c r="A11" s="72"/>
      <c r="B11" s="73"/>
      <c r="K11" s="64"/>
      <c r="L11" s="75"/>
      <c r="M11" s="64"/>
      <c r="N11" s="68"/>
      <c r="O11" s="68"/>
      <c r="P11" s="64"/>
      <c r="Q11" s="64"/>
      <c r="R11" s="68"/>
      <c r="S11" s="68"/>
      <c r="T11" s="68"/>
      <c r="U11" s="68"/>
      <c r="V11" s="76"/>
      <c r="W11" s="76"/>
      <c r="X11" s="76"/>
      <c r="Y11" s="76"/>
      <c r="Z11" s="76"/>
      <c r="AA11" s="76"/>
      <c r="AB11" s="56"/>
      <c r="AC11" s="56"/>
      <c r="AD11" s="56"/>
      <c r="AE11" s="56"/>
      <c r="AF11" s="56"/>
      <c r="AG11" s="56"/>
      <c r="AH11" s="56"/>
      <c r="AI11" s="56"/>
      <c r="AJ11" s="56"/>
      <c r="AK11" s="56"/>
      <c r="AL11" s="56"/>
      <c r="AM11" s="56"/>
      <c r="AN11" s="56"/>
      <c r="AO11" s="56"/>
      <c r="AP11" s="56"/>
      <c r="AQ11" s="56"/>
      <c r="AR11" s="56"/>
      <c r="AS11" s="56"/>
      <c r="AT11" s="56"/>
      <c r="AU11" s="56"/>
      <c r="AV11" s="56"/>
      <c r="AW11" s="56"/>
    </row>
    <row r="12" s="45" customFormat="1" spans="1:49">
      <c r="A12" s="72"/>
      <c r="B12" s="64"/>
      <c r="C12" s="57"/>
      <c r="D12" s="57"/>
      <c r="F12" s="57"/>
      <c r="G12" s="57"/>
      <c r="H12" s="57"/>
      <c r="I12" s="77"/>
      <c r="J12" s="77"/>
      <c r="K12" s="62"/>
      <c r="L12" s="62"/>
      <c r="M12" s="57"/>
      <c r="N12" s="57"/>
      <c r="O12" s="56"/>
      <c r="P12" s="57"/>
      <c r="Q12" s="57"/>
      <c r="R12" s="57"/>
      <c r="S12" s="57"/>
      <c r="T12" s="57"/>
      <c r="U12" s="57"/>
      <c r="V12" s="64" t="s">
        <v>122</v>
      </c>
      <c r="W12" s="78"/>
      <c r="X12" s="79"/>
      <c r="Y12" s="79"/>
      <c r="Z12" s="79"/>
      <c r="AA12" s="57"/>
      <c r="AB12" s="56"/>
      <c r="AC12" s="56"/>
      <c r="AD12" s="56"/>
      <c r="AE12" s="56"/>
      <c r="AF12" s="56"/>
      <c r="AG12" s="56"/>
      <c r="AH12" s="56"/>
      <c r="AI12" s="56"/>
      <c r="AJ12" s="56"/>
      <c r="AK12" s="56"/>
      <c r="AL12" s="56"/>
      <c r="AM12" s="56"/>
      <c r="AN12" s="56"/>
      <c r="AO12" s="56"/>
      <c r="AP12" s="56"/>
      <c r="AQ12" s="56"/>
      <c r="AR12" s="56"/>
      <c r="AS12" s="56"/>
      <c r="AT12" s="56"/>
      <c r="AU12" s="56"/>
      <c r="AV12" s="56"/>
      <c r="AW12" s="56"/>
    </row>
    <row r="13" s="45" customFormat="1" ht="19.5" spans="1:49">
      <c r="A13" s="64"/>
      <c r="B13" s="64"/>
      <c r="C13" s="57"/>
      <c r="D13" s="57"/>
      <c r="E13" s="57"/>
      <c r="F13" s="57"/>
      <c r="G13" s="57"/>
      <c r="H13" s="57"/>
      <c r="I13" s="57"/>
      <c r="J13" s="57"/>
      <c r="K13" s="57"/>
      <c r="L13" s="57"/>
      <c r="M13" s="57"/>
      <c r="N13" s="57"/>
      <c r="P13" s="57"/>
      <c r="Q13" s="57"/>
      <c r="R13" s="57"/>
      <c r="S13" s="57"/>
      <c r="T13" s="57"/>
      <c r="U13" s="57"/>
      <c r="V13" s="57"/>
      <c r="W13" s="58"/>
      <c r="X13" s="58"/>
      <c r="Y13" s="58"/>
      <c r="Z13" s="58"/>
      <c r="AA13" s="57"/>
      <c r="AB13" s="56"/>
      <c r="AC13" s="56"/>
      <c r="AD13" s="56"/>
      <c r="AE13" s="56"/>
      <c r="AF13" s="56"/>
      <c r="AG13" s="56"/>
      <c r="AH13" s="56"/>
      <c r="AI13" s="56"/>
      <c r="AJ13" s="56"/>
      <c r="AK13" s="56"/>
      <c r="AL13" s="56"/>
      <c r="AM13" s="56"/>
      <c r="AN13" s="56"/>
      <c r="AO13" s="56"/>
      <c r="AP13" s="56"/>
      <c r="AQ13" s="56"/>
      <c r="AR13" s="56"/>
      <c r="AS13" s="56"/>
      <c r="AT13" s="56"/>
      <c r="AU13" s="56"/>
      <c r="AV13" s="56"/>
      <c r="AW13" s="56"/>
    </row>
    <row r="14" s="45" customFormat="1" spans="1:49">
      <c r="A14" s="80" t="s">
        <v>123</v>
      </c>
      <c r="B14" s="81"/>
      <c r="C14" s="81"/>
      <c r="D14" s="81" t="s">
        <v>124</v>
      </c>
      <c r="E14" s="81" t="s">
        <v>125</v>
      </c>
      <c r="F14" s="81" t="s">
        <v>126</v>
      </c>
      <c r="G14" s="81" t="s">
        <v>127</v>
      </c>
      <c r="H14" s="81" t="s">
        <v>128</v>
      </c>
      <c r="I14" s="81" t="s">
        <v>129</v>
      </c>
      <c r="J14" s="81" t="s">
        <v>130</v>
      </c>
      <c r="K14" s="81" t="s">
        <v>131</v>
      </c>
      <c r="L14" s="81"/>
      <c r="M14" s="82"/>
      <c r="N14" s="82"/>
      <c r="O14" s="82"/>
      <c r="P14" s="82"/>
      <c r="Q14" s="82"/>
      <c r="R14" s="82"/>
      <c r="S14" s="82"/>
      <c r="T14" s="83"/>
      <c r="U14" s="83"/>
      <c r="V14" s="83"/>
      <c r="W14" s="84"/>
      <c r="X14" s="84"/>
      <c r="Y14" s="84"/>
      <c r="Z14" s="84"/>
      <c r="AA14" s="85"/>
      <c r="AB14" s="56"/>
      <c r="AC14" s="56"/>
      <c r="AD14" s="56"/>
      <c r="AE14" s="56"/>
      <c r="AF14" s="56"/>
      <c r="AG14" s="56"/>
      <c r="AH14" s="56"/>
      <c r="AI14" s="56"/>
      <c r="AJ14" s="56"/>
      <c r="AK14" s="56"/>
      <c r="AL14" s="56"/>
      <c r="AM14" s="56"/>
      <c r="AN14" s="56"/>
      <c r="AO14" s="56"/>
      <c r="AP14" s="56"/>
      <c r="AQ14" s="56"/>
      <c r="AR14" s="56"/>
      <c r="AS14" s="56"/>
      <c r="AT14" s="56"/>
      <c r="AU14" s="56"/>
      <c r="AV14" s="56"/>
      <c r="AW14" s="56"/>
    </row>
    <row r="15" s="45" customFormat="1" ht="47.25" customHeight="1" spans="1:49">
      <c r="A15" s="86"/>
      <c r="B15" s="87"/>
      <c r="C15" s="87"/>
      <c r="D15" s="87"/>
      <c r="E15" s="87"/>
      <c r="F15" s="87"/>
      <c r="G15" s="87"/>
      <c r="H15" s="87"/>
      <c r="I15" s="87"/>
      <c r="J15" s="87"/>
      <c r="K15" s="87"/>
      <c r="L15" s="87"/>
      <c r="M15" s="88" t="s">
        <v>132</v>
      </c>
      <c r="N15" s="88" t="s">
        <v>133</v>
      </c>
      <c r="O15" s="88" t="s">
        <v>134</v>
      </c>
      <c r="P15" s="88" t="s">
        <v>135</v>
      </c>
      <c r="Q15" s="88" t="s">
        <v>136</v>
      </c>
      <c r="R15" s="88" t="s">
        <v>137</v>
      </c>
      <c r="S15" s="88" t="s">
        <v>138</v>
      </c>
      <c r="T15" s="87" t="s">
        <v>139</v>
      </c>
      <c r="U15" s="87" t="s">
        <v>140</v>
      </c>
      <c r="V15" s="87" t="s">
        <v>141</v>
      </c>
      <c r="W15" s="87" t="s">
        <v>142</v>
      </c>
      <c r="X15" s="87" t="s">
        <v>143</v>
      </c>
      <c r="Y15" s="87" t="s">
        <v>144</v>
      </c>
      <c r="Z15" s="87" t="s">
        <v>145</v>
      </c>
      <c r="AA15" s="89" t="s">
        <v>146</v>
      </c>
      <c r="AB15" s="56"/>
      <c r="AC15" s="56"/>
      <c r="AD15" s="56"/>
      <c r="AE15" s="56"/>
      <c r="AF15" s="56"/>
      <c r="AG15" s="56"/>
      <c r="AH15" s="56"/>
      <c r="AI15" s="56"/>
      <c r="AJ15" s="56"/>
      <c r="AK15" s="56"/>
      <c r="AL15" s="56"/>
      <c r="AM15" s="56"/>
      <c r="AN15" s="56"/>
      <c r="AO15" s="56"/>
      <c r="AP15" s="56"/>
      <c r="AQ15" s="56"/>
      <c r="AR15" s="56"/>
      <c r="AS15" s="56"/>
      <c r="AT15" s="56"/>
      <c r="AU15" s="56"/>
      <c r="AV15" s="56"/>
      <c r="AW15" s="56"/>
    </row>
    <row r="16" s="46" customFormat="1" ht="18" customHeight="1" spans="1:49">
      <c r="A16" s="90">
        <f>+C13+1</f>
        <v>1</v>
      </c>
      <c r="B16" s="91" t="s">
        <v>147</v>
      </c>
      <c r="C16" s="91">
        <f t="shared" ref="C16:C24" si="0">+A16+T16-1</f>
        <v>3</v>
      </c>
      <c r="D16" s="92">
        <v>4901893255</v>
      </c>
      <c r="E16" s="92">
        <v>50576239</v>
      </c>
      <c r="F16" s="92">
        <v>326565</v>
      </c>
      <c r="G16" s="92" t="s">
        <v>105</v>
      </c>
      <c r="H16" s="92">
        <v>10284171</v>
      </c>
      <c r="I16" s="92">
        <v>118</v>
      </c>
      <c r="J16" s="92" t="s">
        <v>108</v>
      </c>
      <c r="K16" s="92" t="s">
        <v>148</v>
      </c>
      <c r="L16" s="93"/>
      <c r="M16" s="94"/>
      <c r="N16" s="95">
        <f>V16</f>
        <v>42</v>
      </c>
      <c r="O16" s="95"/>
      <c r="P16" s="95"/>
      <c r="Q16" s="94"/>
      <c r="R16" s="94"/>
      <c r="S16" s="94"/>
      <c r="T16" s="94">
        <v>3</v>
      </c>
      <c r="U16" s="94">
        <v>14</v>
      </c>
      <c r="V16" s="95">
        <f t="shared" ref="V16:V21" si="1">+U16*T16</f>
        <v>42</v>
      </c>
      <c r="W16" s="96" t="e">
        <f t="shared" ref="W16:W24" si="2">+(1.9*T16)+(X16)</f>
        <v>#REF!</v>
      </c>
      <c r="X16" s="97" t="e">
        <f>0.25*M16+0.255*N16+0.3*O16+0.302*P16+0.306*Q16+0.31*R16+0.315*#REF!+0.35*#REF!+0.353*#REF!+0.36*#REF!</f>
        <v>#REF!</v>
      </c>
      <c r="Y16" s="96" t="e">
        <f t="shared" ref="Y16:Y24" si="3">+W16/T16</f>
        <v>#REF!</v>
      </c>
      <c r="Z16" s="96" t="e">
        <f t="shared" ref="Z16:Z24" si="4">+X16/T16</f>
        <v>#REF!</v>
      </c>
      <c r="AA16" s="98" t="s">
        <v>149</v>
      </c>
      <c r="AB16" s="49"/>
      <c r="AC16" s="99"/>
      <c r="AD16" s="99"/>
      <c r="AE16" s="99"/>
      <c r="AF16" s="99"/>
      <c r="AG16" s="99"/>
      <c r="AH16" s="99"/>
      <c r="AI16" s="99"/>
      <c r="AJ16" s="99"/>
      <c r="AK16" s="99"/>
      <c r="AL16" s="49"/>
      <c r="AM16" s="49"/>
      <c r="AN16" s="49"/>
      <c r="AO16" s="49"/>
      <c r="AP16" s="49"/>
      <c r="AQ16" s="49"/>
      <c r="AR16" s="49"/>
      <c r="AS16" s="49"/>
      <c r="AT16" s="49"/>
      <c r="AU16" s="49"/>
      <c r="AV16" s="49"/>
      <c r="AW16" s="49"/>
    </row>
    <row r="17" s="46" customFormat="1" ht="18" customHeight="1" spans="1:49">
      <c r="A17" s="90">
        <f t="shared" ref="A17:A21" si="5">+C16+1</f>
        <v>4</v>
      </c>
      <c r="B17" s="91" t="s">
        <v>147</v>
      </c>
      <c r="C17" s="91">
        <f t="shared" si="0"/>
        <v>13</v>
      </c>
      <c r="D17" s="92">
        <v>4901893255</v>
      </c>
      <c r="E17" s="92">
        <v>50576239</v>
      </c>
      <c r="F17" s="92">
        <v>326565</v>
      </c>
      <c r="G17" s="92" t="s">
        <v>105</v>
      </c>
      <c r="H17" s="92">
        <v>10284171</v>
      </c>
      <c r="I17" s="92">
        <v>118</v>
      </c>
      <c r="J17" s="92" t="s">
        <v>108</v>
      </c>
      <c r="K17" s="92" t="s">
        <v>148</v>
      </c>
      <c r="L17" s="100"/>
      <c r="M17" s="94"/>
      <c r="N17" s="94"/>
      <c r="O17" s="95">
        <f>V17</f>
        <v>140</v>
      </c>
      <c r="P17" s="95"/>
      <c r="Q17" s="94"/>
      <c r="R17" s="94"/>
      <c r="S17" s="94"/>
      <c r="T17" s="94">
        <v>10</v>
      </c>
      <c r="U17" s="94">
        <v>14</v>
      </c>
      <c r="V17" s="95">
        <f t="shared" si="1"/>
        <v>140</v>
      </c>
      <c r="W17" s="96" t="e">
        <f t="shared" si="2"/>
        <v>#REF!</v>
      </c>
      <c r="X17" s="97" t="e">
        <f>0.25*M17+0.255*N17+0.3*O17+0.302*P17+0.306*Q17+0.31*R17+0.315*#REF!+0.35*#REF!+0.353*#REF!+0.36*#REF!</f>
        <v>#REF!</v>
      </c>
      <c r="Y17" s="96" t="e">
        <f t="shared" si="3"/>
        <v>#REF!</v>
      </c>
      <c r="Z17" s="96" t="e">
        <f t="shared" si="4"/>
        <v>#REF!</v>
      </c>
      <c r="AA17" s="98" t="s">
        <v>149</v>
      </c>
      <c r="AB17" s="49"/>
      <c r="AC17" s="99"/>
      <c r="AD17" s="99"/>
      <c r="AE17" s="99"/>
      <c r="AF17" s="99"/>
      <c r="AG17" s="99"/>
      <c r="AH17" s="99"/>
      <c r="AI17" s="99"/>
      <c r="AJ17" s="99"/>
      <c r="AK17" s="99"/>
      <c r="AL17" s="49"/>
      <c r="AM17" s="49"/>
      <c r="AN17" s="49"/>
      <c r="AO17" s="49"/>
      <c r="AP17" s="49"/>
      <c r="AQ17" s="49"/>
      <c r="AR17" s="49"/>
      <c r="AS17" s="49"/>
      <c r="AT17" s="49"/>
      <c r="AU17" s="49"/>
      <c r="AV17" s="49"/>
      <c r="AW17" s="49"/>
    </row>
    <row r="18" s="46" customFormat="1" ht="18" customHeight="1" spans="1:49">
      <c r="A18" s="90">
        <f t="shared" si="5"/>
        <v>14</v>
      </c>
      <c r="B18" s="91" t="s">
        <v>147</v>
      </c>
      <c r="C18" s="91">
        <f t="shared" si="0"/>
        <v>24</v>
      </c>
      <c r="D18" s="92">
        <v>4901893255</v>
      </c>
      <c r="E18" s="92">
        <v>50576239</v>
      </c>
      <c r="F18" s="92">
        <v>326565</v>
      </c>
      <c r="G18" s="92" t="s">
        <v>105</v>
      </c>
      <c r="H18" s="92">
        <v>10284171</v>
      </c>
      <c r="I18" s="92">
        <v>118</v>
      </c>
      <c r="J18" s="92" t="s">
        <v>108</v>
      </c>
      <c r="K18" s="92" t="s">
        <v>148</v>
      </c>
      <c r="L18" s="100"/>
      <c r="M18" s="94"/>
      <c r="N18" s="94"/>
      <c r="O18" s="95"/>
      <c r="P18" s="95">
        <f>V18</f>
        <v>154</v>
      </c>
      <c r="Q18" s="94"/>
      <c r="R18" s="94"/>
      <c r="S18" s="94"/>
      <c r="T18" s="94">
        <v>11</v>
      </c>
      <c r="U18" s="94">
        <v>14</v>
      </c>
      <c r="V18" s="95">
        <f t="shared" si="1"/>
        <v>154</v>
      </c>
      <c r="W18" s="96" t="e">
        <f t="shared" si="2"/>
        <v>#REF!</v>
      </c>
      <c r="X18" s="97" t="e">
        <f>0.25*M18+0.255*N18+0.3*O18+0.302*P18+0.306*Q18+0.31*R18+0.315*#REF!+0.35*#REF!+0.353*#REF!+0.36*#REF!</f>
        <v>#REF!</v>
      </c>
      <c r="Y18" s="96" t="e">
        <f t="shared" si="3"/>
        <v>#REF!</v>
      </c>
      <c r="Z18" s="96" t="e">
        <f t="shared" si="4"/>
        <v>#REF!</v>
      </c>
      <c r="AA18" s="98" t="s">
        <v>149</v>
      </c>
      <c r="AB18" s="49"/>
      <c r="AC18" s="99"/>
      <c r="AD18" s="99"/>
      <c r="AE18" s="99"/>
      <c r="AF18" s="99"/>
      <c r="AG18" s="99"/>
      <c r="AH18" s="99"/>
      <c r="AI18" s="99"/>
      <c r="AJ18" s="99"/>
      <c r="AK18" s="99"/>
      <c r="AL18" s="49"/>
      <c r="AM18" s="49"/>
      <c r="AN18" s="49"/>
      <c r="AO18" s="49"/>
      <c r="AP18" s="49"/>
      <c r="AQ18" s="49"/>
      <c r="AR18" s="49"/>
      <c r="AS18" s="49"/>
      <c r="AT18" s="49"/>
      <c r="AU18" s="49"/>
      <c r="AV18" s="49"/>
      <c r="AW18" s="49"/>
    </row>
    <row r="19" s="46" customFormat="1" ht="18" customHeight="1" spans="1:49">
      <c r="A19" s="90">
        <f t="shared" si="5"/>
        <v>25</v>
      </c>
      <c r="B19" s="91" t="s">
        <v>147</v>
      </c>
      <c r="C19" s="91">
        <f t="shared" si="0"/>
        <v>33</v>
      </c>
      <c r="D19" s="92">
        <v>4901893255</v>
      </c>
      <c r="E19" s="92">
        <v>50576239</v>
      </c>
      <c r="F19" s="92">
        <v>326565</v>
      </c>
      <c r="G19" s="92" t="s">
        <v>105</v>
      </c>
      <c r="H19" s="92">
        <v>10284171</v>
      </c>
      <c r="I19" s="92">
        <v>118</v>
      </c>
      <c r="J19" s="92" t="s">
        <v>108</v>
      </c>
      <c r="K19" s="92" t="s">
        <v>148</v>
      </c>
      <c r="L19" s="100"/>
      <c r="M19" s="94"/>
      <c r="N19" s="94"/>
      <c r="O19" s="95"/>
      <c r="P19" s="95"/>
      <c r="Q19" s="94">
        <f>V19</f>
        <v>126</v>
      </c>
      <c r="R19" s="94"/>
      <c r="S19" s="94"/>
      <c r="T19" s="94">
        <v>9</v>
      </c>
      <c r="U19" s="94">
        <v>14</v>
      </c>
      <c r="V19" s="95">
        <f t="shared" si="1"/>
        <v>126</v>
      </c>
      <c r="W19" s="96" t="e">
        <f t="shared" si="2"/>
        <v>#REF!</v>
      </c>
      <c r="X19" s="97" t="e">
        <f>0.25*M19+0.255*N19+0.3*O19+0.302*P19+0.306*Q19+0.31*R19+0.315*#REF!+0.35*#REF!+0.353*#REF!+0.36*#REF!</f>
        <v>#REF!</v>
      </c>
      <c r="Y19" s="96" t="e">
        <f t="shared" si="3"/>
        <v>#REF!</v>
      </c>
      <c r="Z19" s="96" t="e">
        <f t="shared" si="4"/>
        <v>#REF!</v>
      </c>
      <c r="AA19" s="98" t="s">
        <v>149</v>
      </c>
      <c r="AB19" s="49"/>
      <c r="AC19" s="99"/>
      <c r="AD19" s="99"/>
      <c r="AE19" s="99"/>
      <c r="AF19" s="99"/>
      <c r="AG19" s="99"/>
      <c r="AH19" s="99"/>
      <c r="AI19" s="99"/>
      <c r="AJ19" s="99"/>
      <c r="AK19" s="99"/>
      <c r="AL19" s="49"/>
      <c r="AM19" s="49"/>
      <c r="AN19" s="49"/>
      <c r="AO19" s="49"/>
      <c r="AP19" s="49"/>
      <c r="AQ19" s="49"/>
      <c r="AR19" s="49"/>
      <c r="AS19" s="49"/>
      <c r="AT19" s="49"/>
      <c r="AU19" s="49"/>
      <c r="AV19" s="49"/>
      <c r="AW19" s="49"/>
    </row>
    <row r="20" s="46" customFormat="1" ht="18" customHeight="1" spans="1:49">
      <c r="A20" s="90">
        <f t="shared" si="5"/>
        <v>34</v>
      </c>
      <c r="B20" s="91" t="s">
        <v>147</v>
      </c>
      <c r="C20" s="91">
        <f t="shared" si="0"/>
        <v>38</v>
      </c>
      <c r="D20" s="92">
        <v>4901893255</v>
      </c>
      <c r="E20" s="92">
        <v>50576239</v>
      </c>
      <c r="F20" s="92">
        <v>326565</v>
      </c>
      <c r="G20" s="92" t="s">
        <v>105</v>
      </c>
      <c r="H20" s="92">
        <v>10284171</v>
      </c>
      <c r="I20" s="92">
        <v>118</v>
      </c>
      <c r="J20" s="92" t="s">
        <v>108</v>
      </c>
      <c r="K20" s="92" t="s">
        <v>148</v>
      </c>
      <c r="L20" s="100"/>
      <c r="M20" s="94"/>
      <c r="N20" s="94"/>
      <c r="O20" s="95"/>
      <c r="P20" s="95"/>
      <c r="Q20" s="94"/>
      <c r="R20" s="94">
        <f>V20</f>
        <v>70</v>
      </c>
      <c r="S20" s="94"/>
      <c r="T20" s="94">
        <v>5</v>
      </c>
      <c r="U20" s="94">
        <v>14</v>
      </c>
      <c r="V20" s="95">
        <f t="shared" si="1"/>
        <v>70</v>
      </c>
      <c r="W20" s="96" t="e">
        <f t="shared" si="2"/>
        <v>#REF!</v>
      </c>
      <c r="X20" s="97" t="e">
        <f>0.25*M20+0.255*N20+0.3*O20+0.302*P20+0.306*Q20+0.31*R20+0.315*#REF!+0.35*#REF!+0.353*#REF!+0.36*#REF!</f>
        <v>#REF!</v>
      </c>
      <c r="Y20" s="96" t="e">
        <f t="shared" si="3"/>
        <v>#REF!</v>
      </c>
      <c r="Z20" s="96" t="e">
        <f t="shared" si="4"/>
        <v>#REF!</v>
      </c>
      <c r="AA20" s="98" t="s">
        <v>149</v>
      </c>
      <c r="AB20" s="49"/>
      <c r="AC20" s="99"/>
      <c r="AD20" s="99"/>
      <c r="AE20" s="99"/>
      <c r="AF20" s="99"/>
      <c r="AG20" s="99"/>
      <c r="AH20" s="99"/>
      <c r="AI20" s="99"/>
      <c r="AJ20" s="99"/>
      <c r="AK20" s="99"/>
      <c r="AL20" s="49"/>
      <c r="AM20" s="49"/>
      <c r="AN20" s="49"/>
      <c r="AO20" s="49"/>
      <c r="AP20" s="49"/>
      <c r="AQ20" s="49"/>
      <c r="AR20" s="49"/>
      <c r="AS20" s="49"/>
      <c r="AT20" s="49"/>
      <c r="AU20" s="49"/>
      <c r="AV20" s="49"/>
      <c r="AW20" s="49"/>
    </row>
    <row r="21" s="46" customFormat="1" ht="18" customHeight="1" spans="1:49">
      <c r="A21" s="90">
        <f t="shared" si="5"/>
        <v>39</v>
      </c>
      <c r="B21" s="91" t="s">
        <v>147</v>
      </c>
      <c r="C21" s="91">
        <f t="shared" si="0"/>
        <v>39</v>
      </c>
      <c r="D21" s="92">
        <v>4901893255</v>
      </c>
      <c r="E21" s="92">
        <v>50576239</v>
      </c>
      <c r="F21" s="92">
        <v>326565</v>
      </c>
      <c r="G21" s="92" t="s">
        <v>105</v>
      </c>
      <c r="H21" s="92">
        <v>10284171</v>
      </c>
      <c r="I21" s="92">
        <v>118</v>
      </c>
      <c r="J21" s="92" t="s">
        <v>108</v>
      </c>
      <c r="K21" s="92" t="s">
        <v>148</v>
      </c>
      <c r="L21" s="100"/>
      <c r="M21" s="94"/>
      <c r="N21" s="94"/>
      <c r="O21" s="95"/>
      <c r="P21" s="95"/>
      <c r="Q21" s="94"/>
      <c r="R21" s="94"/>
      <c r="S21" s="94">
        <f>V21</f>
        <v>14</v>
      </c>
      <c r="T21" s="94">
        <v>1</v>
      </c>
      <c r="U21" s="94">
        <v>14</v>
      </c>
      <c r="V21" s="95">
        <f t="shared" si="1"/>
        <v>14</v>
      </c>
      <c r="W21" s="96" t="e">
        <f t="shared" si="2"/>
        <v>#REF!</v>
      </c>
      <c r="X21" s="97" t="e">
        <f>0.25*M21+0.255*N21+0.3*O21+0.302*P21+0.306*Q21+0.31*R21+0.315*#REF!+0.35*#REF!+0.353*#REF!+0.36*#REF!</f>
        <v>#REF!</v>
      </c>
      <c r="Y21" s="96" t="e">
        <f t="shared" si="3"/>
        <v>#REF!</v>
      </c>
      <c r="Z21" s="96" t="e">
        <f t="shared" si="4"/>
        <v>#REF!</v>
      </c>
      <c r="AA21" s="98" t="s">
        <v>149</v>
      </c>
      <c r="AB21" s="49"/>
      <c r="AC21" s="99"/>
      <c r="AD21" s="99"/>
      <c r="AE21" s="99"/>
      <c r="AF21" s="99"/>
      <c r="AG21" s="99"/>
      <c r="AH21" s="99"/>
      <c r="AI21" s="99"/>
      <c r="AJ21" s="99"/>
      <c r="AK21" s="99"/>
      <c r="AL21" s="49"/>
      <c r="AM21" s="49"/>
      <c r="AN21" s="49"/>
      <c r="AO21" s="49"/>
      <c r="AP21" s="49"/>
      <c r="AQ21" s="49"/>
      <c r="AR21" s="49"/>
      <c r="AS21" s="49"/>
      <c r="AT21" s="49"/>
      <c r="AU21" s="49"/>
      <c r="AV21" s="49"/>
      <c r="AW21" s="49"/>
    </row>
    <row r="22" s="46" customFormat="1" ht="18" customHeight="1" spans="1:49">
      <c r="A22" s="90">
        <f>+C18+1</f>
        <v>25</v>
      </c>
      <c r="B22" s="91" t="s">
        <v>147</v>
      </c>
      <c r="C22" s="91">
        <f t="shared" si="0"/>
        <v>25</v>
      </c>
      <c r="D22" s="92">
        <v>4901893255</v>
      </c>
      <c r="E22" s="92">
        <v>50576239</v>
      </c>
      <c r="F22" s="92">
        <v>326565</v>
      </c>
      <c r="G22" s="92" t="s">
        <v>105</v>
      </c>
      <c r="H22" s="92">
        <v>10284171</v>
      </c>
      <c r="I22" s="92">
        <v>118</v>
      </c>
      <c r="J22" s="92" t="s">
        <v>108</v>
      </c>
      <c r="K22" s="92" t="s">
        <v>148</v>
      </c>
      <c r="L22" s="100"/>
      <c r="M22" s="94"/>
      <c r="N22" s="94"/>
      <c r="O22" s="95">
        <v>6</v>
      </c>
      <c r="P22" s="95"/>
      <c r="Q22" s="94">
        <v>8</v>
      </c>
      <c r="R22" s="94"/>
      <c r="S22" s="94"/>
      <c r="T22" s="94">
        <v>1</v>
      </c>
      <c r="U22" s="94">
        <v>14</v>
      </c>
      <c r="V22" s="95">
        <f t="shared" ref="V22:V24" si="6">SUM(M22:S22)</f>
        <v>14</v>
      </c>
      <c r="W22" s="96" t="e">
        <f t="shared" si="2"/>
        <v>#REF!</v>
      </c>
      <c r="X22" s="97" t="e">
        <f>0.25*M22+0.255*N22+0.3*O22+0.302*P22+0.306*Q22+0.31*R22+0.315*#REF!+0.35*#REF!+0.353*#REF!+0.36*#REF!</f>
        <v>#REF!</v>
      </c>
      <c r="Y22" s="96" t="e">
        <f t="shared" si="3"/>
        <v>#REF!</v>
      </c>
      <c r="Z22" s="96" t="e">
        <f t="shared" si="4"/>
        <v>#REF!</v>
      </c>
      <c r="AA22" s="98" t="s">
        <v>149</v>
      </c>
      <c r="AB22" s="49"/>
      <c r="AC22" s="99"/>
      <c r="AD22" s="99"/>
      <c r="AE22" s="99"/>
      <c r="AF22" s="99"/>
      <c r="AG22" s="99"/>
      <c r="AH22" s="99"/>
      <c r="AI22" s="99"/>
      <c r="AJ22" s="99"/>
      <c r="AK22" s="99"/>
      <c r="AL22" s="49"/>
      <c r="AM22" s="49"/>
      <c r="AN22" s="49"/>
      <c r="AO22" s="49"/>
      <c r="AP22" s="49"/>
      <c r="AQ22" s="49"/>
      <c r="AR22" s="49"/>
      <c r="AS22" s="49"/>
      <c r="AT22" s="49"/>
      <c r="AU22" s="49"/>
      <c r="AV22" s="49"/>
      <c r="AW22" s="49"/>
    </row>
    <row r="23" s="46" customFormat="1" ht="18" customHeight="1" spans="1:49">
      <c r="A23" s="90">
        <f>+C16+1</f>
        <v>4</v>
      </c>
      <c r="B23" s="91" t="s">
        <v>147</v>
      </c>
      <c r="C23" s="91">
        <f t="shared" si="0"/>
        <v>4</v>
      </c>
      <c r="D23" s="92">
        <v>4901893255</v>
      </c>
      <c r="E23" s="92">
        <v>50576239</v>
      </c>
      <c r="F23" s="92">
        <v>326565</v>
      </c>
      <c r="G23" s="92" t="s">
        <v>105</v>
      </c>
      <c r="H23" s="92">
        <v>10284171</v>
      </c>
      <c r="I23" s="92">
        <v>118</v>
      </c>
      <c r="J23" s="92" t="s">
        <v>108</v>
      </c>
      <c r="K23" s="92" t="s">
        <v>148</v>
      </c>
      <c r="L23" s="100"/>
      <c r="M23" s="94"/>
      <c r="N23" s="94"/>
      <c r="O23" s="95"/>
      <c r="P23" s="95">
        <v>10</v>
      </c>
      <c r="Q23" s="94"/>
      <c r="R23" s="94"/>
      <c r="S23" s="94">
        <v>3</v>
      </c>
      <c r="T23" s="94">
        <v>1</v>
      </c>
      <c r="U23" s="94">
        <v>14</v>
      </c>
      <c r="V23" s="95">
        <f t="shared" si="6"/>
        <v>13</v>
      </c>
      <c r="W23" s="96" t="e">
        <f t="shared" si="2"/>
        <v>#REF!</v>
      </c>
      <c r="X23" s="97" t="e">
        <f>0.25*M23+0.255*N23+0.3*O23+0.302*P23+0.306*Q23+0.31*R23+0.315*#REF!+0.35*#REF!+0.353*#REF!+0.36*#REF!</f>
        <v>#REF!</v>
      </c>
      <c r="Y23" s="96" t="e">
        <f t="shared" si="3"/>
        <v>#REF!</v>
      </c>
      <c r="Z23" s="96" t="e">
        <f t="shared" si="4"/>
        <v>#REF!</v>
      </c>
      <c r="AA23" s="98" t="s">
        <v>149</v>
      </c>
      <c r="AB23" s="49"/>
      <c r="AC23" s="99"/>
      <c r="AD23" s="99"/>
      <c r="AE23" s="99"/>
      <c r="AF23" s="99"/>
      <c r="AG23" s="99"/>
      <c r="AH23" s="99"/>
      <c r="AI23" s="99"/>
      <c r="AJ23" s="99"/>
      <c r="AK23" s="99"/>
      <c r="AL23" s="49"/>
      <c r="AM23" s="49"/>
      <c r="AN23" s="49"/>
      <c r="AO23" s="49"/>
      <c r="AP23" s="49"/>
      <c r="AQ23" s="49"/>
      <c r="AR23" s="49"/>
      <c r="AS23" s="49"/>
      <c r="AT23" s="49"/>
      <c r="AU23" s="49"/>
      <c r="AV23" s="49"/>
      <c r="AW23" s="49"/>
    </row>
    <row r="24" s="46" customFormat="1" ht="18" customHeight="1" spans="1:49">
      <c r="A24" s="90">
        <f>+C17+1</f>
        <v>14</v>
      </c>
      <c r="B24" s="91" t="s">
        <v>147</v>
      </c>
      <c r="C24" s="91">
        <f t="shared" si="0"/>
        <v>14</v>
      </c>
      <c r="D24" s="92">
        <v>4901893255</v>
      </c>
      <c r="E24" s="92">
        <v>50576239</v>
      </c>
      <c r="F24" s="92">
        <v>326565</v>
      </c>
      <c r="G24" s="92" t="s">
        <v>105</v>
      </c>
      <c r="H24" s="92">
        <v>10284171</v>
      </c>
      <c r="I24" s="92">
        <v>118</v>
      </c>
      <c r="J24" s="92" t="s">
        <v>108</v>
      </c>
      <c r="K24" s="92" t="s">
        <v>148</v>
      </c>
      <c r="L24" s="100"/>
      <c r="M24" s="94"/>
      <c r="N24" s="94">
        <v>5</v>
      </c>
      <c r="O24" s="95"/>
      <c r="P24" s="95"/>
      <c r="Q24" s="94"/>
      <c r="R24" s="94">
        <v>6</v>
      </c>
      <c r="S24" s="94"/>
      <c r="T24" s="94">
        <v>1</v>
      </c>
      <c r="U24" s="94">
        <v>14</v>
      </c>
      <c r="V24" s="95">
        <f t="shared" si="6"/>
        <v>11</v>
      </c>
      <c r="W24" s="96" t="e">
        <f t="shared" si="2"/>
        <v>#REF!</v>
      </c>
      <c r="X24" s="97" t="e">
        <f>0.25*M24+0.255*N24+0.3*O24+0.302*P24+0.306*Q24+0.31*R24+0.315*#REF!+0.35*#REF!+0.353*#REF!+0.36*#REF!</f>
        <v>#REF!</v>
      </c>
      <c r="Y24" s="96" t="e">
        <f t="shared" si="3"/>
        <v>#REF!</v>
      </c>
      <c r="Z24" s="96" t="e">
        <f t="shared" si="4"/>
        <v>#REF!</v>
      </c>
      <c r="AA24" s="98" t="s">
        <v>149</v>
      </c>
      <c r="AB24" s="49"/>
      <c r="AC24" s="99"/>
      <c r="AD24" s="99"/>
      <c r="AE24" s="99"/>
      <c r="AF24" s="99"/>
      <c r="AG24" s="99"/>
      <c r="AH24" s="99"/>
      <c r="AI24" s="99"/>
      <c r="AJ24" s="99"/>
      <c r="AK24" s="99"/>
      <c r="AL24" s="49"/>
      <c r="AM24" s="49"/>
      <c r="AN24" s="49"/>
      <c r="AO24" s="49"/>
      <c r="AP24" s="49"/>
      <c r="AQ24" s="49"/>
      <c r="AR24" s="49"/>
      <c r="AS24" s="49"/>
      <c r="AT24" s="49"/>
      <c r="AU24" s="49"/>
      <c r="AV24" s="49"/>
      <c r="AW24" s="49"/>
    </row>
    <row r="25" s="47" customFormat="1" customHeight="1" spans="1:49">
      <c r="A25" s="101" t="s">
        <v>150</v>
      </c>
      <c r="B25" s="102"/>
      <c r="C25" s="102"/>
      <c r="D25" s="102"/>
      <c r="E25" s="102"/>
      <c r="F25" s="102"/>
      <c r="G25" s="102"/>
      <c r="H25" s="102"/>
      <c r="I25" s="103"/>
      <c r="J25" s="103"/>
      <c r="K25" s="104"/>
      <c r="L25" s="104"/>
      <c r="M25" s="105">
        <f t="shared" ref="M25:T25" si="7">SUM(M16:M24)</f>
        <v>0</v>
      </c>
      <c r="N25" s="106">
        <f t="shared" si="7"/>
        <v>47</v>
      </c>
      <c r="O25" s="106">
        <f t="shared" si="7"/>
        <v>146</v>
      </c>
      <c r="P25" s="106">
        <f t="shared" si="7"/>
        <v>164</v>
      </c>
      <c r="Q25" s="106">
        <f t="shared" si="7"/>
        <v>134</v>
      </c>
      <c r="R25" s="106">
        <f t="shared" si="7"/>
        <v>76</v>
      </c>
      <c r="S25" s="106">
        <f t="shared" si="7"/>
        <v>17</v>
      </c>
      <c r="T25" s="107">
        <f t="shared" si="7"/>
        <v>42</v>
      </c>
      <c r="U25" s="107"/>
      <c r="V25" s="107">
        <f t="shared" ref="V25:X25" si="8">SUM(V16:V24)</f>
        <v>584</v>
      </c>
      <c r="W25" s="108" t="e">
        <f t="shared" si="8"/>
        <v>#REF!</v>
      </c>
      <c r="X25" s="107" t="e">
        <f t="shared" si="8"/>
        <v>#REF!</v>
      </c>
      <c r="Y25" s="107"/>
      <c r="Z25" s="107"/>
      <c r="AA25" s="109"/>
      <c r="AB25" s="48"/>
      <c r="AC25" s="48"/>
      <c r="AD25" s="48"/>
      <c r="AE25" s="48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8"/>
      <c r="AT25" s="48"/>
      <c r="AU25" s="48"/>
      <c r="AV25" s="48"/>
      <c r="AW25" s="48"/>
    </row>
    <row r="26" s="48" customFormat="1" customHeight="1" spans="1:49">
      <c r="A26" s="110"/>
      <c r="B26" s="110"/>
      <c r="C26" s="110"/>
      <c r="D26" s="110"/>
      <c r="E26" s="110"/>
      <c r="F26" s="110"/>
      <c r="G26" s="110"/>
      <c r="H26" s="110"/>
      <c r="I26" s="111"/>
      <c r="J26" s="111"/>
      <c r="K26" s="112"/>
      <c r="L26" s="112"/>
      <c r="M26" s="113"/>
      <c r="N26" s="113"/>
      <c r="O26" s="113"/>
      <c r="P26" s="113"/>
      <c r="Q26" s="113"/>
      <c r="R26" s="113"/>
      <c r="S26" s="113"/>
      <c r="T26" s="113"/>
      <c r="U26" s="113"/>
      <c r="V26" s="113"/>
      <c r="W26" s="113"/>
      <c r="X26" s="113"/>
      <c r="Y26" s="113"/>
      <c r="Z26" s="113"/>
      <c r="AA26" s="113"/>
    </row>
    <row r="27" s="45" customFormat="1" spans="1:49">
      <c r="A27" s="80" t="s">
        <v>123</v>
      </c>
      <c r="B27" s="81"/>
      <c r="C27" s="81"/>
      <c r="D27" s="81" t="s">
        <v>124</v>
      </c>
      <c r="E27" s="81" t="s">
        <v>125</v>
      </c>
      <c r="F27" s="81" t="s">
        <v>126</v>
      </c>
      <c r="G27" s="81" t="s">
        <v>127</v>
      </c>
      <c r="H27" s="81" t="s">
        <v>128</v>
      </c>
      <c r="I27" s="81" t="s">
        <v>129</v>
      </c>
      <c r="J27" s="81" t="s">
        <v>130</v>
      </c>
      <c r="K27" s="81" t="s">
        <v>131</v>
      </c>
      <c r="L27" s="81"/>
      <c r="M27" s="82"/>
      <c r="N27" s="82"/>
      <c r="O27" s="82"/>
      <c r="P27" s="82"/>
      <c r="Q27" s="82"/>
      <c r="R27" s="82"/>
      <c r="S27" s="82"/>
      <c r="T27" s="83"/>
      <c r="U27" s="83"/>
      <c r="V27" s="83"/>
      <c r="W27" s="84"/>
      <c r="X27" s="84"/>
      <c r="Y27" s="84"/>
      <c r="Z27" s="84"/>
      <c r="AA27" s="85"/>
      <c r="AB27" s="56"/>
      <c r="AC27" s="56"/>
      <c r="AD27" s="56"/>
      <c r="AE27" s="56"/>
      <c r="AF27" s="56"/>
      <c r="AG27" s="56"/>
      <c r="AH27" s="56"/>
      <c r="AI27" s="56"/>
      <c r="AJ27" s="56"/>
      <c r="AK27" s="56"/>
      <c r="AL27" s="56"/>
      <c r="AM27" s="56"/>
      <c r="AN27" s="56"/>
      <c r="AO27" s="56"/>
      <c r="AP27" s="56"/>
      <c r="AQ27" s="56"/>
      <c r="AR27" s="56"/>
      <c r="AS27" s="56"/>
      <c r="AT27" s="56"/>
      <c r="AU27" s="56"/>
      <c r="AV27" s="56"/>
      <c r="AW27" s="56"/>
    </row>
    <row r="28" s="45" customFormat="1" ht="47.25" customHeight="1" spans="1:49">
      <c r="A28" s="86"/>
      <c r="B28" s="87"/>
      <c r="C28" s="87"/>
      <c r="D28" s="87"/>
      <c r="E28" s="87"/>
      <c r="F28" s="87"/>
      <c r="G28" s="87"/>
      <c r="H28" s="87"/>
      <c r="I28" s="87"/>
      <c r="J28" s="87"/>
      <c r="K28" s="87"/>
      <c r="L28" s="87"/>
      <c r="M28" s="88" t="s">
        <v>132</v>
      </c>
      <c r="N28" s="88" t="s">
        <v>133</v>
      </c>
      <c r="O28" s="88" t="s">
        <v>134</v>
      </c>
      <c r="P28" s="88" t="s">
        <v>135</v>
      </c>
      <c r="Q28" s="88" t="s">
        <v>136</v>
      </c>
      <c r="R28" s="88" t="s">
        <v>137</v>
      </c>
      <c r="S28" s="88" t="s">
        <v>138</v>
      </c>
      <c r="T28" s="87" t="s">
        <v>139</v>
      </c>
      <c r="U28" s="87" t="s">
        <v>140</v>
      </c>
      <c r="V28" s="87" t="s">
        <v>141</v>
      </c>
      <c r="W28" s="87" t="s">
        <v>142</v>
      </c>
      <c r="X28" s="87" t="s">
        <v>143</v>
      </c>
      <c r="Y28" s="87" t="s">
        <v>144</v>
      </c>
      <c r="Z28" s="87" t="s">
        <v>145</v>
      </c>
      <c r="AA28" s="89" t="s">
        <v>146</v>
      </c>
      <c r="AB28" s="56"/>
      <c r="AC28" s="56"/>
      <c r="AD28" s="56"/>
      <c r="AE28" s="56"/>
      <c r="AF28" s="56"/>
      <c r="AG28" s="56"/>
      <c r="AH28" s="56"/>
      <c r="AI28" s="56"/>
      <c r="AJ28" s="56"/>
      <c r="AK28" s="56"/>
      <c r="AL28" s="56"/>
      <c r="AM28" s="56"/>
      <c r="AN28" s="56"/>
      <c r="AO28" s="56"/>
      <c r="AP28" s="56"/>
      <c r="AQ28" s="56"/>
      <c r="AR28" s="56"/>
      <c r="AS28" s="56"/>
      <c r="AT28" s="56"/>
      <c r="AU28" s="56"/>
      <c r="AV28" s="56"/>
      <c r="AW28" s="56"/>
    </row>
    <row r="29" s="46" customFormat="1" ht="18" customHeight="1" spans="1:49">
      <c r="A29" s="90">
        <f>+C26+1</f>
        <v>1</v>
      </c>
      <c r="B29" s="91" t="s">
        <v>147</v>
      </c>
      <c r="C29" s="91">
        <f t="shared" ref="C29:C35" si="9">+A29+T29-1</f>
        <v>3</v>
      </c>
      <c r="D29" s="92">
        <v>4901893255</v>
      </c>
      <c r="E29" s="92">
        <v>50576239</v>
      </c>
      <c r="F29" s="92">
        <v>326565</v>
      </c>
      <c r="G29" s="92" t="s">
        <v>105</v>
      </c>
      <c r="H29" s="92">
        <v>10284171</v>
      </c>
      <c r="I29" s="92">
        <v>404</v>
      </c>
      <c r="J29" s="92" t="s">
        <v>96</v>
      </c>
      <c r="K29" s="92" t="s">
        <v>151</v>
      </c>
      <c r="L29" s="93"/>
      <c r="M29" s="94"/>
      <c r="N29" s="95"/>
      <c r="O29" s="95">
        <f>V29</f>
        <v>42</v>
      </c>
      <c r="P29" s="95"/>
      <c r="Q29" s="94"/>
      <c r="R29" s="94"/>
      <c r="S29" s="94"/>
      <c r="T29" s="94">
        <v>3</v>
      </c>
      <c r="U29" s="94">
        <v>14</v>
      </c>
      <c r="V29" s="95">
        <f t="shared" ref="V29:V34" si="10">+U29*T29</f>
        <v>42</v>
      </c>
      <c r="W29" s="96" t="e">
        <f t="shared" ref="W29:W35" si="11">+(1.9*T29)+(X29)</f>
        <v>#REF!</v>
      </c>
      <c r="X29" s="97" t="e">
        <f>0.25*M29+0.255*N29+0.3*O29+0.302*P29+0.306*Q29+0.31*R29+0.315*#REF!+0.35*#REF!+0.353*#REF!+0.36*#REF!</f>
        <v>#REF!</v>
      </c>
      <c r="Y29" s="96" t="e">
        <f t="shared" ref="Y29:Y35" si="12">+W29/T29</f>
        <v>#REF!</v>
      </c>
      <c r="Z29" s="96" t="e">
        <f t="shared" ref="Z29:Z35" si="13">+X29/T29</f>
        <v>#REF!</v>
      </c>
      <c r="AA29" s="98" t="s">
        <v>149</v>
      </c>
      <c r="AB29" s="49"/>
      <c r="AC29" s="99"/>
      <c r="AD29" s="99"/>
      <c r="AE29" s="99"/>
      <c r="AF29" s="99"/>
      <c r="AG29" s="99"/>
      <c r="AH29" s="99"/>
      <c r="AI29" s="99"/>
      <c r="AJ29" s="99"/>
      <c r="AK29" s="99"/>
      <c r="AL29" s="49"/>
      <c r="AM29" s="49"/>
      <c r="AN29" s="49"/>
      <c r="AO29" s="49"/>
      <c r="AP29" s="49"/>
      <c r="AQ29" s="49"/>
      <c r="AR29" s="49"/>
      <c r="AS29" s="49"/>
      <c r="AT29" s="49"/>
      <c r="AU29" s="49"/>
      <c r="AV29" s="49"/>
      <c r="AW29" s="49"/>
    </row>
    <row r="30" s="46" customFormat="1" ht="18" customHeight="1" spans="1:49">
      <c r="A30" s="90">
        <f t="shared" ref="A30:A35" si="14">+C29+1</f>
        <v>4</v>
      </c>
      <c r="B30" s="91" t="s">
        <v>147</v>
      </c>
      <c r="C30" s="91">
        <f t="shared" si="9"/>
        <v>8</v>
      </c>
      <c r="D30" s="92">
        <v>4901893255</v>
      </c>
      <c r="E30" s="92">
        <v>50576239</v>
      </c>
      <c r="F30" s="92">
        <v>326565</v>
      </c>
      <c r="G30" s="92" t="s">
        <v>105</v>
      </c>
      <c r="H30" s="92">
        <v>10284171</v>
      </c>
      <c r="I30" s="92">
        <v>404</v>
      </c>
      <c r="J30" s="92" t="s">
        <v>96</v>
      </c>
      <c r="K30" s="92" t="s">
        <v>151</v>
      </c>
      <c r="L30" s="100"/>
      <c r="M30" s="94"/>
      <c r="N30" s="94"/>
      <c r="O30" s="95"/>
      <c r="P30" s="95">
        <f>V30</f>
        <v>70</v>
      </c>
      <c r="Q30" s="94"/>
      <c r="R30" s="94"/>
      <c r="S30" s="94"/>
      <c r="T30" s="94">
        <v>5</v>
      </c>
      <c r="U30" s="94">
        <v>14</v>
      </c>
      <c r="V30" s="95">
        <f t="shared" si="10"/>
        <v>70</v>
      </c>
      <c r="W30" s="96" t="e">
        <f t="shared" si="11"/>
        <v>#REF!</v>
      </c>
      <c r="X30" s="97" t="e">
        <f>0.25*M30+0.255*N30+0.3*O30+0.302*P30+0.306*Q30+0.31*R30+0.315*#REF!+0.35*#REF!+0.353*#REF!+0.36*#REF!</f>
        <v>#REF!</v>
      </c>
      <c r="Y30" s="96" t="e">
        <f t="shared" si="12"/>
        <v>#REF!</v>
      </c>
      <c r="Z30" s="96" t="e">
        <f t="shared" si="13"/>
        <v>#REF!</v>
      </c>
      <c r="AA30" s="98" t="s">
        <v>149</v>
      </c>
      <c r="AB30" s="49"/>
      <c r="AC30" s="99"/>
      <c r="AD30" s="99"/>
      <c r="AE30" s="99"/>
      <c r="AF30" s="99"/>
      <c r="AG30" s="99"/>
      <c r="AH30" s="99"/>
      <c r="AI30" s="99"/>
      <c r="AJ30" s="99"/>
      <c r="AK30" s="99"/>
      <c r="AL30" s="49"/>
      <c r="AM30" s="49"/>
      <c r="AN30" s="49"/>
      <c r="AO30" s="49"/>
      <c r="AP30" s="49"/>
      <c r="AQ30" s="49"/>
      <c r="AR30" s="49"/>
      <c r="AS30" s="49"/>
      <c r="AT30" s="49"/>
      <c r="AU30" s="49"/>
      <c r="AV30" s="49"/>
      <c r="AW30" s="49"/>
    </row>
    <row r="31" s="46" customFormat="1" ht="18" customHeight="1" spans="1:49">
      <c r="A31" s="90">
        <f t="shared" si="14"/>
        <v>9</v>
      </c>
      <c r="B31" s="91" t="s">
        <v>147</v>
      </c>
      <c r="C31" s="91">
        <f t="shared" si="9"/>
        <v>10</v>
      </c>
      <c r="D31" s="92">
        <v>4901893255</v>
      </c>
      <c r="E31" s="92">
        <v>50576239</v>
      </c>
      <c r="F31" s="92">
        <v>326565</v>
      </c>
      <c r="G31" s="92" t="s">
        <v>105</v>
      </c>
      <c r="H31" s="92">
        <v>10284171</v>
      </c>
      <c r="I31" s="92">
        <v>404</v>
      </c>
      <c r="J31" s="92" t="s">
        <v>96</v>
      </c>
      <c r="K31" s="92" t="s">
        <v>151</v>
      </c>
      <c r="L31" s="100"/>
      <c r="M31" s="94"/>
      <c r="N31" s="94"/>
      <c r="O31" s="95"/>
      <c r="P31" s="95"/>
      <c r="Q31" s="94">
        <f>V31</f>
        <v>28</v>
      </c>
      <c r="R31" s="94"/>
      <c r="S31" s="94"/>
      <c r="T31" s="94">
        <v>2</v>
      </c>
      <c r="U31" s="94">
        <v>14</v>
      </c>
      <c r="V31" s="95">
        <f t="shared" si="10"/>
        <v>28</v>
      </c>
      <c r="W31" s="96" t="e">
        <f t="shared" si="11"/>
        <v>#REF!</v>
      </c>
      <c r="X31" s="97" t="e">
        <f>0.25*M31+0.255*N31+0.3*O31+0.302*P31+0.306*Q31+0.31*R31+0.315*#REF!+0.35*#REF!+0.353*#REF!+0.36*#REF!</f>
        <v>#REF!</v>
      </c>
      <c r="Y31" s="96" t="e">
        <f t="shared" si="12"/>
        <v>#REF!</v>
      </c>
      <c r="Z31" s="96" t="e">
        <f t="shared" si="13"/>
        <v>#REF!</v>
      </c>
      <c r="AA31" s="98" t="s">
        <v>149</v>
      </c>
      <c r="AB31" s="49"/>
      <c r="AC31" s="99"/>
      <c r="AD31" s="99"/>
      <c r="AE31" s="99"/>
      <c r="AF31" s="99"/>
      <c r="AG31" s="99"/>
      <c r="AH31" s="99"/>
      <c r="AI31" s="99"/>
      <c r="AJ31" s="99"/>
      <c r="AK31" s="99"/>
      <c r="AL31" s="49"/>
      <c r="AM31" s="49"/>
      <c r="AN31" s="49"/>
      <c r="AO31" s="49"/>
      <c r="AP31" s="49"/>
      <c r="AQ31" s="49"/>
      <c r="AR31" s="49"/>
      <c r="AS31" s="49"/>
      <c r="AT31" s="49"/>
      <c r="AU31" s="49"/>
      <c r="AV31" s="49"/>
      <c r="AW31" s="49"/>
    </row>
    <row r="32" s="46" customFormat="1" ht="18" customHeight="1" spans="1:49">
      <c r="A32" s="90">
        <f t="shared" si="14"/>
        <v>11</v>
      </c>
      <c r="B32" s="91" t="s">
        <v>147</v>
      </c>
      <c r="C32" s="91">
        <f t="shared" si="9"/>
        <v>11</v>
      </c>
      <c r="D32" s="92">
        <v>4901893255</v>
      </c>
      <c r="E32" s="92">
        <v>50576239</v>
      </c>
      <c r="F32" s="92">
        <v>326565</v>
      </c>
      <c r="G32" s="92" t="s">
        <v>105</v>
      </c>
      <c r="H32" s="92">
        <v>10284171</v>
      </c>
      <c r="I32" s="92">
        <v>404</v>
      </c>
      <c r="J32" s="92" t="s">
        <v>96</v>
      </c>
      <c r="K32" s="92" t="s">
        <v>151</v>
      </c>
      <c r="L32" s="100"/>
      <c r="M32" s="94"/>
      <c r="N32" s="94"/>
      <c r="O32" s="95"/>
      <c r="P32" s="95"/>
      <c r="Q32" s="94"/>
      <c r="R32" s="94">
        <f>V32</f>
        <v>14</v>
      </c>
      <c r="S32" s="94"/>
      <c r="T32" s="94">
        <v>1</v>
      </c>
      <c r="U32" s="94">
        <v>14</v>
      </c>
      <c r="V32" s="95">
        <f t="shared" si="10"/>
        <v>14</v>
      </c>
      <c r="W32" s="96" t="e">
        <f t="shared" si="11"/>
        <v>#REF!</v>
      </c>
      <c r="X32" s="97" t="e">
        <f>0.25*M32+0.255*N32+0.3*O32+0.302*P32+0.306*Q32+0.31*R32+0.315*#REF!+0.35*#REF!+0.353*#REF!+0.36*#REF!</f>
        <v>#REF!</v>
      </c>
      <c r="Y32" s="96" t="e">
        <f t="shared" si="12"/>
        <v>#REF!</v>
      </c>
      <c r="Z32" s="96" t="e">
        <f t="shared" si="13"/>
        <v>#REF!</v>
      </c>
      <c r="AA32" s="98" t="s">
        <v>149</v>
      </c>
      <c r="AB32" s="49"/>
      <c r="AC32" s="99"/>
      <c r="AD32" s="99"/>
      <c r="AE32" s="99"/>
      <c r="AF32" s="99"/>
      <c r="AG32" s="99"/>
      <c r="AH32" s="99"/>
      <c r="AI32" s="99"/>
      <c r="AJ32" s="99"/>
      <c r="AK32" s="99"/>
      <c r="AL32" s="49"/>
      <c r="AM32" s="49"/>
      <c r="AN32" s="49"/>
      <c r="AO32" s="49"/>
      <c r="AP32" s="49"/>
      <c r="AQ32" s="49"/>
      <c r="AR32" s="49"/>
      <c r="AS32" s="49"/>
      <c r="AT32" s="49"/>
      <c r="AU32" s="49"/>
      <c r="AV32" s="49"/>
      <c r="AW32" s="49"/>
    </row>
    <row r="33" s="46" customFormat="1" ht="18" customHeight="1" spans="1:49">
      <c r="A33" s="90">
        <f t="shared" si="14"/>
        <v>12</v>
      </c>
      <c r="B33" s="91" t="s">
        <v>147</v>
      </c>
      <c r="C33" s="91">
        <f t="shared" si="9"/>
        <v>12</v>
      </c>
      <c r="D33" s="92">
        <v>4901893255</v>
      </c>
      <c r="E33" s="92">
        <v>50576239</v>
      </c>
      <c r="F33" s="92">
        <v>326565</v>
      </c>
      <c r="G33" s="92" t="s">
        <v>105</v>
      </c>
      <c r="H33" s="92">
        <v>10284171</v>
      </c>
      <c r="I33" s="92">
        <v>404</v>
      </c>
      <c r="J33" s="92" t="s">
        <v>96</v>
      </c>
      <c r="K33" s="92" t="s">
        <v>151</v>
      </c>
      <c r="L33" s="100"/>
      <c r="M33" s="94"/>
      <c r="N33" s="94"/>
      <c r="O33" s="95">
        <v>8</v>
      </c>
      <c r="P33" s="95"/>
      <c r="Q33" s="94"/>
      <c r="R33" s="94">
        <v>6</v>
      </c>
      <c r="S33" s="94"/>
      <c r="T33" s="94">
        <v>1</v>
      </c>
      <c r="U33" s="94">
        <v>14</v>
      </c>
      <c r="V33" s="95">
        <f t="shared" si="10"/>
        <v>14</v>
      </c>
      <c r="W33" s="96" t="e">
        <f t="shared" si="11"/>
        <v>#REF!</v>
      </c>
      <c r="X33" s="97" t="e">
        <f>0.25*M33+0.255*N33+0.3*O33+0.302*P33+0.306*Q33+0.31*R33+0.315*#REF!+0.35*#REF!+0.353*#REF!+0.36*#REF!</f>
        <v>#REF!</v>
      </c>
      <c r="Y33" s="96" t="e">
        <f t="shared" si="12"/>
        <v>#REF!</v>
      </c>
      <c r="Z33" s="96" t="e">
        <f t="shared" si="13"/>
        <v>#REF!</v>
      </c>
      <c r="AA33" s="98" t="s">
        <v>149</v>
      </c>
      <c r="AB33" s="49"/>
      <c r="AC33" s="99"/>
      <c r="AD33" s="99"/>
      <c r="AE33" s="99"/>
      <c r="AF33" s="99"/>
      <c r="AG33" s="99"/>
      <c r="AH33" s="99"/>
      <c r="AI33" s="99"/>
      <c r="AJ33" s="99"/>
      <c r="AK33" s="99"/>
      <c r="AL33" s="49"/>
      <c r="AM33" s="49"/>
      <c r="AN33" s="49"/>
      <c r="AO33" s="49"/>
      <c r="AP33" s="49"/>
      <c r="AQ33" s="49"/>
      <c r="AR33" s="49"/>
      <c r="AS33" s="49"/>
      <c r="AT33" s="49"/>
      <c r="AU33" s="49"/>
      <c r="AV33" s="49"/>
      <c r="AW33" s="49"/>
    </row>
    <row r="34" s="46" customFormat="1" ht="18" customHeight="1" spans="1:49">
      <c r="A34" s="90">
        <f t="shared" si="14"/>
        <v>13</v>
      </c>
      <c r="B34" s="91" t="s">
        <v>147</v>
      </c>
      <c r="C34" s="91">
        <f t="shared" si="9"/>
        <v>13</v>
      </c>
      <c r="D34" s="92">
        <v>4901893255</v>
      </c>
      <c r="E34" s="92">
        <v>50576239</v>
      </c>
      <c r="F34" s="92">
        <v>326565</v>
      </c>
      <c r="G34" s="92" t="s">
        <v>105</v>
      </c>
      <c r="H34" s="92">
        <v>10284171</v>
      </c>
      <c r="I34" s="92">
        <v>404</v>
      </c>
      <c r="J34" s="92" t="s">
        <v>96</v>
      </c>
      <c r="K34" s="92" t="s">
        <v>151</v>
      </c>
      <c r="L34" s="100"/>
      <c r="M34" s="94"/>
      <c r="N34" s="94">
        <v>12</v>
      </c>
      <c r="O34" s="95"/>
      <c r="P34" s="95">
        <v>2</v>
      </c>
      <c r="Q34" s="94"/>
      <c r="R34" s="94"/>
      <c r="S34" s="94"/>
      <c r="T34" s="94">
        <v>1</v>
      </c>
      <c r="U34" s="94">
        <v>14</v>
      </c>
      <c r="V34" s="95">
        <f t="shared" si="10"/>
        <v>14</v>
      </c>
      <c r="W34" s="96" t="e">
        <f t="shared" si="11"/>
        <v>#REF!</v>
      </c>
      <c r="X34" s="97" t="e">
        <f>0.25*M34+0.255*N34+0.3*O34+0.302*P34+0.306*Q34+0.31*R34+0.315*#REF!+0.35*#REF!+0.353*#REF!+0.36*#REF!</f>
        <v>#REF!</v>
      </c>
      <c r="Y34" s="96" t="e">
        <f t="shared" si="12"/>
        <v>#REF!</v>
      </c>
      <c r="Z34" s="96" t="e">
        <f t="shared" si="13"/>
        <v>#REF!</v>
      </c>
      <c r="AA34" s="98" t="s">
        <v>149</v>
      </c>
      <c r="AB34" s="49"/>
      <c r="AC34" s="99"/>
      <c r="AD34" s="99"/>
      <c r="AE34" s="99"/>
      <c r="AF34" s="99"/>
      <c r="AG34" s="99"/>
      <c r="AH34" s="99"/>
      <c r="AI34" s="99"/>
      <c r="AJ34" s="99"/>
      <c r="AK34" s="99"/>
      <c r="AL34" s="49"/>
      <c r="AM34" s="49"/>
      <c r="AN34" s="49"/>
      <c r="AO34" s="49"/>
      <c r="AP34" s="49"/>
      <c r="AQ34" s="49"/>
      <c r="AR34" s="49"/>
      <c r="AS34" s="49"/>
      <c r="AT34" s="49"/>
      <c r="AU34" s="49"/>
      <c r="AV34" s="49"/>
      <c r="AW34" s="49"/>
    </row>
    <row r="35" s="46" customFormat="1" ht="18" customHeight="1" spans="1:49">
      <c r="A35" s="90">
        <f t="shared" si="14"/>
        <v>14</v>
      </c>
      <c r="B35" s="91" t="s">
        <v>147</v>
      </c>
      <c r="C35" s="91">
        <f t="shared" si="9"/>
        <v>14</v>
      </c>
      <c r="D35" s="92">
        <v>4901893255</v>
      </c>
      <c r="E35" s="92">
        <v>50576239</v>
      </c>
      <c r="F35" s="92">
        <v>326565</v>
      </c>
      <c r="G35" s="92" t="s">
        <v>105</v>
      </c>
      <c r="H35" s="92">
        <v>10284171</v>
      </c>
      <c r="I35" s="92">
        <v>404</v>
      </c>
      <c r="J35" s="92" t="s">
        <v>96</v>
      </c>
      <c r="K35" s="92" t="s">
        <v>151</v>
      </c>
      <c r="L35" s="100"/>
      <c r="M35" s="94"/>
      <c r="N35" s="94"/>
      <c r="O35" s="95"/>
      <c r="P35" s="95">
        <v>1</v>
      </c>
      <c r="Q35" s="94">
        <v>5</v>
      </c>
      <c r="R35" s="94"/>
      <c r="S35" s="94">
        <v>4</v>
      </c>
      <c r="T35" s="94">
        <v>1</v>
      </c>
      <c r="U35" s="94">
        <v>14</v>
      </c>
      <c r="V35" s="95">
        <f>SUM(M35:S35)</f>
        <v>10</v>
      </c>
      <c r="W35" s="96" t="e">
        <f t="shared" si="11"/>
        <v>#REF!</v>
      </c>
      <c r="X35" s="97" t="e">
        <f>0.25*M35+0.255*N35+0.3*O35+0.302*P35+0.306*Q35+0.31*R35+0.315*#REF!+0.35*#REF!+0.353*#REF!+0.36*#REF!</f>
        <v>#REF!</v>
      </c>
      <c r="Y35" s="96" t="e">
        <f t="shared" si="12"/>
        <v>#REF!</v>
      </c>
      <c r="Z35" s="96" t="e">
        <f t="shared" si="13"/>
        <v>#REF!</v>
      </c>
      <c r="AA35" s="98" t="s">
        <v>149</v>
      </c>
      <c r="AB35" s="49"/>
      <c r="AC35" s="99"/>
      <c r="AD35" s="99"/>
      <c r="AE35" s="99"/>
      <c r="AF35" s="99"/>
      <c r="AG35" s="99"/>
      <c r="AH35" s="99"/>
      <c r="AI35" s="99"/>
      <c r="AJ35" s="99"/>
      <c r="AK35" s="99"/>
      <c r="AL35" s="49"/>
      <c r="AM35" s="49"/>
      <c r="AN35" s="49"/>
      <c r="AO35" s="49"/>
      <c r="AP35" s="49"/>
      <c r="AQ35" s="49"/>
      <c r="AR35" s="49"/>
      <c r="AS35" s="49"/>
      <c r="AT35" s="49"/>
      <c r="AU35" s="49"/>
      <c r="AV35" s="49"/>
      <c r="AW35" s="49"/>
    </row>
    <row r="36" s="47" customFormat="1" customHeight="1" spans="1:49">
      <c r="A36" s="101" t="s">
        <v>150</v>
      </c>
      <c r="B36" s="102"/>
      <c r="C36" s="102"/>
      <c r="D36" s="102"/>
      <c r="E36" s="102"/>
      <c r="F36" s="102"/>
      <c r="G36" s="102"/>
      <c r="H36" s="102"/>
      <c r="I36" s="103"/>
      <c r="J36" s="103"/>
      <c r="K36" s="104"/>
      <c r="L36" s="104"/>
      <c r="M36" s="105">
        <f t="shared" ref="M36:T36" si="15">SUM(M29:M35)</f>
        <v>0</v>
      </c>
      <c r="N36" s="106">
        <f t="shared" si="15"/>
        <v>12</v>
      </c>
      <c r="O36" s="106">
        <f t="shared" si="15"/>
        <v>50</v>
      </c>
      <c r="P36" s="106">
        <f t="shared" si="15"/>
        <v>73</v>
      </c>
      <c r="Q36" s="106">
        <f t="shared" si="15"/>
        <v>33</v>
      </c>
      <c r="R36" s="106">
        <f t="shared" si="15"/>
        <v>20</v>
      </c>
      <c r="S36" s="106">
        <f t="shared" si="15"/>
        <v>4</v>
      </c>
      <c r="T36" s="107">
        <f t="shared" si="15"/>
        <v>14</v>
      </c>
      <c r="U36" s="107"/>
      <c r="V36" s="107">
        <f t="shared" ref="V36:X36" si="16">SUM(V29:V35)</f>
        <v>192</v>
      </c>
      <c r="W36" s="108" t="e">
        <f t="shared" si="16"/>
        <v>#REF!</v>
      </c>
      <c r="X36" s="107" t="e">
        <f t="shared" si="16"/>
        <v>#REF!</v>
      </c>
      <c r="Y36" s="107"/>
      <c r="Z36" s="107"/>
      <c r="AA36" s="109"/>
      <c r="AB36" s="48"/>
      <c r="AC36" s="48"/>
      <c r="AD36" s="48"/>
      <c r="AE36" s="48"/>
      <c r="AF36" s="48"/>
      <c r="AG36" s="48"/>
      <c r="AH36" s="48"/>
      <c r="AI36" s="48"/>
      <c r="AJ36" s="48"/>
      <c r="AK36" s="48"/>
      <c r="AL36" s="48"/>
      <c r="AM36" s="48"/>
      <c r="AN36" s="48"/>
      <c r="AO36" s="48"/>
      <c r="AP36" s="48"/>
      <c r="AQ36" s="48"/>
      <c r="AR36" s="48"/>
      <c r="AS36" s="48"/>
      <c r="AT36" s="48"/>
      <c r="AU36" s="48"/>
      <c r="AV36" s="48"/>
      <c r="AW36" s="48"/>
    </row>
    <row r="37" s="48" customFormat="1" customHeight="1" spans="1:49">
      <c r="A37" s="110"/>
      <c r="B37" s="110"/>
      <c r="C37" s="110"/>
      <c r="D37" s="110"/>
      <c r="E37" s="110"/>
      <c r="F37" s="110"/>
      <c r="G37" s="110"/>
      <c r="H37" s="110"/>
      <c r="I37" s="111"/>
      <c r="J37" s="111"/>
      <c r="K37" s="112"/>
      <c r="L37" s="112"/>
      <c r="M37" s="113"/>
      <c r="N37" s="113"/>
      <c r="O37" s="113"/>
      <c r="P37" s="113"/>
      <c r="Q37" s="113"/>
      <c r="R37" s="113"/>
      <c r="S37" s="113"/>
      <c r="T37" s="113"/>
      <c r="U37" s="113"/>
      <c r="V37" s="113"/>
      <c r="W37" s="113"/>
      <c r="X37" s="113"/>
      <c r="Y37" s="113"/>
      <c r="Z37" s="113"/>
      <c r="AA37" s="113"/>
    </row>
    <row r="38" s="45" customFormat="1" spans="1:49">
      <c r="A38" s="80" t="s">
        <v>123</v>
      </c>
      <c r="B38" s="81"/>
      <c r="C38" s="81"/>
      <c r="D38" s="81" t="s">
        <v>124</v>
      </c>
      <c r="E38" s="81" t="s">
        <v>125</v>
      </c>
      <c r="F38" s="81" t="s">
        <v>126</v>
      </c>
      <c r="G38" s="81" t="s">
        <v>127</v>
      </c>
      <c r="H38" s="81" t="s">
        <v>128</v>
      </c>
      <c r="I38" s="81" t="s">
        <v>129</v>
      </c>
      <c r="J38" s="81" t="s">
        <v>130</v>
      </c>
      <c r="K38" s="81" t="s">
        <v>131</v>
      </c>
      <c r="L38" s="81"/>
      <c r="M38" s="82"/>
      <c r="N38" s="82"/>
      <c r="O38" s="82"/>
      <c r="P38" s="82"/>
      <c r="Q38" s="82"/>
      <c r="R38" s="82"/>
      <c r="S38" s="82"/>
      <c r="T38" s="83"/>
      <c r="U38" s="83"/>
      <c r="V38" s="83"/>
      <c r="W38" s="84"/>
      <c r="X38" s="84"/>
      <c r="Y38" s="84"/>
      <c r="Z38" s="84"/>
      <c r="AA38" s="85"/>
      <c r="AB38" s="56"/>
      <c r="AC38" s="56"/>
      <c r="AD38" s="56"/>
      <c r="AE38" s="56"/>
      <c r="AF38" s="56"/>
      <c r="AG38" s="56"/>
      <c r="AH38" s="56"/>
      <c r="AI38" s="56"/>
      <c r="AJ38" s="56"/>
      <c r="AK38" s="56"/>
      <c r="AL38" s="56"/>
      <c r="AM38" s="56"/>
      <c r="AN38" s="56"/>
      <c r="AO38" s="56"/>
      <c r="AP38" s="56"/>
      <c r="AQ38" s="56"/>
      <c r="AR38" s="56"/>
      <c r="AS38" s="56"/>
      <c r="AT38" s="56"/>
      <c r="AU38" s="56"/>
      <c r="AV38" s="56"/>
      <c r="AW38" s="56"/>
    </row>
    <row r="39" s="45" customFormat="1" ht="47.25" customHeight="1" spans="1:49">
      <c r="A39" s="86"/>
      <c r="B39" s="87"/>
      <c r="C39" s="87"/>
      <c r="D39" s="87"/>
      <c r="E39" s="87"/>
      <c r="F39" s="87"/>
      <c r="G39" s="87"/>
      <c r="H39" s="87"/>
      <c r="I39" s="87"/>
      <c r="J39" s="87"/>
      <c r="K39" s="87"/>
      <c r="L39" s="87"/>
      <c r="M39" s="88" t="s">
        <v>132</v>
      </c>
      <c r="N39" s="88" t="s">
        <v>133</v>
      </c>
      <c r="O39" s="88" t="s">
        <v>134</v>
      </c>
      <c r="P39" s="88" t="s">
        <v>135</v>
      </c>
      <c r="Q39" s="88" t="s">
        <v>136</v>
      </c>
      <c r="R39" s="88" t="s">
        <v>137</v>
      </c>
      <c r="S39" s="88" t="s">
        <v>138</v>
      </c>
      <c r="T39" s="87" t="s">
        <v>139</v>
      </c>
      <c r="U39" s="87" t="s">
        <v>140</v>
      </c>
      <c r="V39" s="87" t="s">
        <v>141</v>
      </c>
      <c r="W39" s="87" t="s">
        <v>142</v>
      </c>
      <c r="X39" s="87" t="s">
        <v>143</v>
      </c>
      <c r="Y39" s="87" t="s">
        <v>144</v>
      </c>
      <c r="Z39" s="87" t="s">
        <v>145</v>
      </c>
      <c r="AA39" s="89" t="s">
        <v>146</v>
      </c>
      <c r="AB39" s="56"/>
      <c r="AC39" s="56"/>
      <c r="AD39" s="56"/>
      <c r="AE39" s="56"/>
      <c r="AF39" s="56"/>
      <c r="AG39" s="56"/>
      <c r="AH39" s="56"/>
      <c r="AI39" s="56"/>
      <c r="AJ39" s="56"/>
      <c r="AK39" s="56"/>
      <c r="AL39" s="56"/>
      <c r="AM39" s="56"/>
      <c r="AN39" s="56"/>
      <c r="AO39" s="56"/>
      <c r="AP39" s="56"/>
      <c r="AQ39" s="56"/>
      <c r="AR39" s="56"/>
      <c r="AS39" s="56"/>
      <c r="AT39" s="56"/>
      <c r="AU39" s="56"/>
      <c r="AV39" s="56"/>
      <c r="AW39" s="56"/>
    </row>
    <row r="40" s="46" customFormat="1" ht="18" customHeight="1" spans="1:49">
      <c r="A40" s="90">
        <f>+C37+1</f>
        <v>1</v>
      </c>
      <c r="B40" s="91" t="s">
        <v>147</v>
      </c>
      <c r="C40" s="91">
        <f t="shared" ref="C40:C48" si="17">+A40+T40-1</f>
        <v>11</v>
      </c>
      <c r="D40" s="92">
        <v>4901893255</v>
      </c>
      <c r="E40" s="92">
        <v>50576239</v>
      </c>
      <c r="F40" s="92">
        <v>326565</v>
      </c>
      <c r="G40" s="92" t="s">
        <v>105</v>
      </c>
      <c r="H40" s="92">
        <v>10284171</v>
      </c>
      <c r="I40" s="92">
        <v>923</v>
      </c>
      <c r="J40" s="92" t="s">
        <v>113</v>
      </c>
      <c r="K40" s="92" t="s">
        <v>152</v>
      </c>
      <c r="L40" s="93"/>
      <c r="M40" s="94"/>
      <c r="N40" s="95">
        <f>V40</f>
        <v>154</v>
      </c>
      <c r="O40" s="95"/>
      <c r="P40" s="95"/>
      <c r="Q40" s="94"/>
      <c r="R40" s="94"/>
      <c r="S40" s="94"/>
      <c r="T40" s="94">
        <v>11</v>
      </c>
      <c r="U40" s="94">
        <v>14</v>
      </c>
      <c r="V40" s="95">
        <f t="shared" ref="V40:V45" si="18">+U40*T40</f>
        <v>154</v>
      </c>
      <c r="W40" s="96" t="e">
        <f t="shared" ref="W40:W48" si="19">+(1.9*T40)+(X40)</f>
        <v>#REF!</v>
      </c>
      <c r="X40" s="97" t="e">
        <f>0.25*M40+0.255*N40+0.3*O40+0.302*P40+0.306*Q40+0.31*R40+0.315*#REF!+0.35*#REF!+0.353*#REF!+0.36*#REF!</f>
        <v>#REF!</v>
      </c>
      <c r="Y40" s="96" t="e">
        <f t="shared" ref="Y40:Y48" si="20">+W40/T40</f>
        <v>#REF!</v>
      </c>
      <c r="Z40" s="96" t="e">
        <f t="shared" ref="Z40:Z48" si="21">+X40/T40</f>
        <v>#REF!</v>
      </c>
      <c r="AA40" s="98" t="s">
        <v>149</v>
      </c>
      <c r="AB40" s="49"/>
      <c r="AC40" s="99"/>
      <c r="AD40" s="99"/>
      <c r="AE40" s="99"/>
      <c r="AF40" s="99"/>
      <c r="AG40" s="99"/>
      <c r="AH40" s="99"/>
      <c r="AI40" s="99"/>
      <c r="AJ40" s="99"/>
      <c r="AK40" s="99"/>
      <c r="AL40" s="49"/>
      <c r="AM40" s="49"/>
      <c r="AN40" s="49"/>
      <c r="AO40" s="49"/>
      <c r="AP40" s="49"/>
      <c r="AQ40" s="49"/>
      <c r="AR40" s="49"/>
      <c r="AS40" s="49"/>
      <c r="AT40" s="49"/>
      <c r="AU40" s="49"/>
      <c r="AV40" s="49"/>
      <c r="AW40" s="49"/>
    </row>
    <row r="41" s="46" customFormat="1" ht="18" customHeight="1" spans="1:49">
      <c r="A41" s="90">
        <f t="shared" ref="A41:A45" si="22">+C40+1</f>
        <v>12</v>
      </c>
      <c r="B41" s="91" t="s">
        <v>147</v>
      </c>
      <c r="C41" s="91">
        <f t="shared" si="17"/>
        <v>43</v>
      </c>
      <c r="D41" s="92">
        <v>4901893255</v>
      </c>
      <c r="E41" s="92">
        <v>50576239</v>
      </c>
      <c r="F41" s="92">
        <v>326565</v>
      </c>
      <c r="G41" s="92" t="s">
        <v>105</v>
      </c>
      <c r="H41" s="92">
        <v>10284171</v>
      </c>
      <c r="I41" s="92">
        <v>923</v>
      </c>
      <c r="J41" s="92" t="s">
        <v>113</v>
      </c>
      <c r="K41" s="92" t="s">
        <v>152</v>
      </c>
      <c r="L41" s="100"/>
      <c r="M41" s="94"/>
      <c r="N41" s="94"/>
      <c r="O41" s="95">
        <f>V41</f>
        <v>448</v>
      </c>
      <c r="P41" s="95"/>
      <c r="Q41" s="94"/>
      <c r="R41" s="94"/>
      <c r="S41" s="94"/>
      <c r="T41" s="94">
        <v>32</v>
      </c>
      <c r="U41" s="94">
        <v>14</v>
      </c>
      <c r="V41" s="95">
        <f t="shared" si="18"/>
        <v>448</v>
      </c>
      <c r="W41" s="96" t="e">
        <f t="shared" si="19"/>
        <v>#REF!</v>
      </c>
      <c r="X41" s="97" t="e">
        <f>0.25*M41+0.255*N41+0.3*O41+0.302*P41+0.306*Q41+0.31*R41+0.315*#REF!+0.35*#REF!+0.353*#REF!+0.36*#REF!</f>
        <v>#REF!</v>
      </c>
      <c r="Y41" s="96" t="e">
        <f t="shared" si="20"/>
        <v>#REF!</v>
      </c>
      <c r="Z41" s="96" t="e">
        <f t="shared" si="21"/>
        <v>#REF!</v>
      </c>
      <c r="AA41" s="98" t="s">
        <v>149</v>
      </c>
      <c r="AB41" s="49"/>
      <c r="AC41" s="99"/>
      <c r="AD41" s="99"/>
      <c r="AE41" s="99"/>
      <c r="AF41" s="99"/>
      <c r="AG41" s="99"/>
      <c r="AH41" s="99"/>
      <c r="AI41" s="99"/>
      <c r="AJ41" s="99"/>
      <c r="AK41" s="99"/>
      <c r="AL41" s="49"/>
      <c r="AM41" s="49"/>
      <c r="AN41" s="49"/>
      <c r="AO41" s="49"/>
      <c r="AP41" s="49"/>
      <c r="AQ41" s="49"/>
      <c r="AR41" s="49"/>
      <c r="AS41" s="49"/>
      <c r="AT41" s="49"/>
      <c r="AU41" s="49"/>
      <c r="AV41" s="49"/>
      <c r="AW41" s="49"/>
    </row>
    <row r="42" s="46" customFormat="1" ht="18" customHeight="1" spans="1:49">
      <c r="A42" s="90">
        <f t="shared" si="22"/>
        <v>44</v>
      </c>
      <c r="B42" s="91" t="s">
        <v>147</v>
      </c>
      <c r="C42" s="91">
        <f t="shared" si="17"/>
        <v>79</v>
      </c>
      <c r="D42" s="92">
        <v>4901893255</v>
      </c>
      <c r="E42" s="92">
        <v>50576239</v>
      </c>
      <c r="F42" s="92">
        <v>326565</v>
      </c>
      <c r="G42" s="92" t="s">
        <v>105</v>
      </c>
      <c r="H42" s="92">
        <v>10284171</v>
      </c>
      <c r="I42" s="92">
        <v>923</v>
      </c>
      <c r="J42" s="92" t="s">
        <v>113</v>
      </c>
      <c r="K42" s="92" t="s">
        <v>152</v>
      </c>
      <c r="L42" s="100"/>
      <c r="M42" s="94"/>
      <c r="N42" s="94"/>
      <c r="O42" s="95"/>
      <c r="P42" s="95">
        <f>V42</f>
        <v>504</v>
      </c>
      <c r="Q42" s="94"/>
      <c r="R42" s="94"/>
      <c r="S42" s="94"/>
      <c r="T42" s="94">
        <v>36</v>
      </c>
      <c r="U42" s="94">
        <v>14</v>
      </c>
      <c r="V42" s="95">
        <f t="shared" si="18"/>
        <v>504</v>
      </c>
      <c r="W42" s="96" t="e">
        <f t="shared" si="19"/>
        <v>#REF!</v>
      </c>
      <c r="X42" s="97" t="e">
        <f>0.25*M42+0.255*N42+0.3*O42+0.302*P42+0.306*Q42+0.31*R42+0.315*#REF!+0.35*#REF!+0.353*#REF!+0.36*#REF!</f>
        <v>#REF!</v>
      </c>
      <c r="Y42" s="96" t="e">
        <f t="shared" si="20"/>
        <v>#REF!</v>
      </c>
      <c r="Z42" s="96" t="e">
        <f t="shared" si="21"/>
        <v>#REF!</v>
      </c>
      <c r="AA42" s="98" t="s">
        <v>149</v>
      </c>
      <c r="AB42" s="49"/>
      <c r="AC42" s="99"/>
      <c r="AD42" s="99"/>
      <c r="AE42" s="99"/>
      <c r="AF42" s="99"/>
      <c r="AG42" s="99"/>
      <c r="AH42" s="99"/>
      <c r="AI42" s="99"/>
      <c r="AJ42" s="99"/>
      <c r="AK42" s="99"/>
      <c r="AL42" s="49"/>
      <c r="AM42" s="49"/>
      <c r="AN42" s="49"/>
      <c r="AO42" s="49"/>
      <c r="AP42" s="49"/>
      <c r="AQ42" s="49"/>
      <c r="AR42" s="49"/>
      <c r="AS42" s="49"/>
      <c r="AT42" s="49"/>
      <c r="AU42" s="49"/>
      <c r="AV42" s="49"/>
      <c r="AW42" s="49"/>
    </row>
    <row r="43" s="46" customFormat="1" ht="18" customHeight="1" spans="1:49">
      <c r="A43" s="90">
        <f t="shared" si="22"/>
        <v>80</v>
      </c>
      <c r="B43" s="91" t="s">
        <v>147</v>
      </c>
      <c r="C43" s="91">
        <f t="shared" si="17"/>
        <v>106</v>
      </c>
      <c r="D43" s="92">
        <v>4901893255</v>
      </c>
      <c r="E43" s="92">
        <v>50576239</v>
      </c>
      <c r="F43" s="92">
        <v>326565</v>
      </c>
      <c r="G43" s="92" t="s">
        <v>105</v>
      </c>
      <c r="H43" s="92">
        <v>10284171</v>
      </c>
      <c r="I43" s="92">
        <v>923</v>
      </c>
      <c r="J43" s="92" t="s">
        <v>113</v>
      </c>
      <c r="K43" s="92" t="s">
        <v>152</v>
      </c>
      <c r="L43" s="100"/>
      <c r="M43" s="94"/>
      <c r="N43" s="94"/>
      <c r="O43" s="95"/>
      <c r="P43" s="95"/>
      <c r="Q43" s="94">
        <f>V43</f>
        <v>378</v>
      </c>
      <c r="R43" s="94"/>
      <c r="S43" s="94"/>
      <c r="T43" s="94">
        <v>27</v>
      </c>
      <c r="U43" s="94">
        <v>14</v>
      </c>
      <c r="V43" s="95">
        <f t="shared" si="18"/>
        <v>378</v>
      </c>
      <c r="W43" s="96" t="e">
        <f t="shared" si="19"/>
        <v>#REF!</v>
      </c>
      <c r="X43" s="97" t="e">
        <f>0.25*M43+0.255*N43+0.3*O43+0.302*P43+0.306*Q43+0.31*R43+0.315*#REF!+0.35*#REF!+0.353*#REF!+0.36*#REF!</f>
        <v>#REF!</v>
      </c>
      <c r="Y43" s="96" t="e">
        <f t="shared" si="20"/>
        <v>#REF!</v>
      </c>
      <c r="Z43" s="96" t="e">
        <f t="shared" si="21"/>
        <v>#REF!</v>
      </c>
      <c r="AA43" s="98" t="s">
        <v>149</v>
      </c>
      <c r="AB43" s="49"/>
      <c r="AC43" s="99"/>
      <c r="AD43" s="99"/>
      <c r="AE43" s="99"/>
      <c r="AF43" s="99"/>
      <c r="AG43" s="99"/>
      <c r="AH43" s="99"/>
      <c r="AI43" s="99"/>
      <c r="AJ43" s="99"/>
      <c r="AK43" s="99"/>
      <c r="AL43" s="49"/>
      <c r="AM43" s="49"/>
      <c r="AN43" s="49"/>
      <c r="AO43" s="49"/>
      <c r="AP43" s="49"/>
      <c r="AQ43" s="49"/>
      <c r="AR43" s="49"/>
      <c r="AS43" s="49"/>
      <c r="AT43" s="49"/>
      <c r="AU43" s="49"/>
      <c r="AV43" s="49"/>
      <c r="AW43" s="49"/>
    </row>
    <row r="44" s="46" customFormat="1" ht="18" customHeight="1" spans="1:49">
      <c r="A44" s="90">
        <f t="shared" si="22"/>
        <v>107</v>
      </c>
      <c r="B44" s="91" t="s">
        <v>147</v>
      </c>
      <c r="C44" s="91">
        <f t="shared" si="17"/>
        <v>119</v>
      </c>
      <c r="D44" s="92">
        <v>4901893255</v>
      </c>
      <c r="E44" s="92">
        <v>50576239</v>
      </c>
      <c r="F44" s="92">
        <v>326565</v>
      </c>
      <c r="G44" s="92" t="s">
        <v>105</v>
      </c>
      <c r="H44" s="92">
        <v>10284171</v>
      </c>
      <c r="I44" s="92">
        <v>923</v>
      </c>
      <c r="J44" s="92" t="s">
        <v>113</v>
      </c>
      <c r="K44" s="92" t="s">
        <v>152</v>
      </c>
      <c r="L44" s="100"/>
      <c r="M44" s="94"/>
      <c r="N44" s="94"/>
      <c r="O44" s="95"/>
      <c r="P44" s="95"/>
      <c r="Q44" s="94"/>
      <c r="R44" s="94">
        <f>V44</f>
        <v>182</v>
      </c>
      <c r="S44" s="94"/>
      <c r="T44" s="94">
        <v>13</v>
      </c>
      <c r="U44" s="94">
        <v>14</v>
      </c>
      <c r="V44" s="95">
        <f t="shared" si="18"/>
        <v>182</v>
      </c>
      <c r="W44" s="96" t="e">
        <f t="shared" si="19"/>
        <v>#REF!</v>
      </c>
      <c r="X44" s="97" t="e">
        <f>0.25*M44+0.255*N44+0.3*O44+0.302*P44+0.306*Q44+0.31*R44+0.315*#REF!+0.35*#REF!+0.353*#REF!+0.36*#REF!</f>
        <v>#REF!</v>
      </c>
      <c r="Y44" s="96" t="e">
        <f t="shared" si="20"/>
        <v>#REF!</v>
      </c>
      <c r="Z44" s="96" t="e">
        <f t="shared" si="21"/>
        <v>#REF!</v>
      </c>
      <c r="AA44" s="98" t="s">
        <v>149</v>
      </c>
      <c r="AB44" s="49"/>
      <c r="AC44" s="99"/>
      <c r="AD44" s="99"/>
      <c r="AE44" s="99"/>
      <c r="AF44" s="99"/>
      <c r="AG44" s="99"/>
      <c r="AH44" s="99"/>
      <c r="AI44" s="99"/>
      <c r="AJ44" s="99"/>
      <c r="AK44" s="99"/>
      <c r="AL44" s="49"/>
      <c r="AM44" s="49"/>
      <c r="AN44" s="49"/>
      <c r="AO44" s="49"/>
      <c r="AP44" s="49"/>
      <c r="AQ44" s="49"/>
      <c r="AR44" s="49"/>
      <c r="AS44" s="49"/>
      <c r="AT44" s="49"/>
      <c r="AU44" s="49"/>
      <c r="AV44" s="49"/>
      <c r="AW44" s="49"/>
    </row>
    <row r="45" s="46" customFormat="1" ht="18" customHeight="1" spans="1:49">
      <c r="A45" s="90">
        <f t="shared" si="22"/>
        <v>120</v>
      </c>
      <c r="B45" s="91" t="s">
        <v>147</v>
      </c>
      <c r="C45" s="91">
        <f t="shared" si="17"/>
        <v>121</v>
      </c>
      <c r="D45" s="92">
        <v>4901893255</v>
      </c>
      <c r="E45" s="92">
        <v>50576239</v>
      </c>
      <c r="F45" s="92">
        <v>326565</v>
      </c>
      <c r="G45" s="92" t="s">
        <v>105</v>
      </c>
      <c r="H45" s="92">
        <v>10284171</v>
      </c>
      <c r="I45" s="92">
        <v>923</v>
      </c>
      <c r="J45" s="92" t="s">
        <v>113</v>
      </c>
      <c r="K45" s="92" t="s">
        <v>152</v>
      </c>
      <c r="L45" s="100"/>
      <c r="M45" s="94"/>
      <c r="N45" s="94"/>
      <c r="O45" s="95"/>
      <c r="P45" s="95"/>
      <c r="Q45" s="94"/>
      <c r="R45" s="94"/>
      <c r="S45" s="94">
        <f>V45</f>
        <v>28</v>
      </c>
      <c r="T45" s="94">
        <v>2</v>
      </c>
      <c r="U45" s="94">
        <v>14</v>
      </c>
      <c r="V45" s="95">
        <f t="shared" si="18"/>
        <v>28</v>
      </c>
      <c r="W45" s="96" t="e">
        <f t="shared" si="19"/>
        <v>#REF!</v>
      </c>
      <c r="X45" s="97" t="e">
        <f>0.25*M45+0.255*N45+0.3*O45+0.302*P45+0.306*Q45+0.31*R45+0.315*#REF!+0.35*#REF!+0.353*#REF!+0.36*#REF!</f>
        <v>#REF!</v>
      </c>
      <c r="Y45" s="96" t="e">
        <f t="shared" si="20"/>
        <v>#REF!</v>
      </c>
      <c r="Z45" s="96" t="e">
        <f t="shared" si="21"/>
        <v>#REF!</v>
      </c>
      <c r="AA45" s="98" t="s">
        <v>149</v>
      </c>
      <c r="AB45" s="49"/>
      <c r="AC45" s="99"/>
      <c r="AD45" s="99"/>
      <c r="AE45" s="99"/>
      <c r="AF45" s="99"/>
      <c r="AG45" s="99"/>
      <c r="AH45" s="99"/>
      <c r="AI45" s="99"/>
      <c r="AJ45" s="99"/>
      <c r="AK45" s="99"/>
      <c r="AL45" s="49"/>
      <c r="AM45" s="49"/>
      <c r="AN45" s="49"/>
      <c r="AO45" s="49"/>
      <c r="AP45" s="49"/>
      <c r="AQ45" s="49"/>
      <c r="AR45" s="49"/>
      <c r="AS45" s="49"/>
      <c r="AT45" s="49"/>
      <c r="AU45" s="49"/>
      <c r="AV45" s="49"/>
      <c r="AW45" s="49"/>
    </row>
    <row r="46" s="46" customFormat="1" ht="18" customHeight="1" spans="1:49">
      <c r="A46" s="90">
        <f t="shared" ref="A46:A48" si="23">+C42+1</f>
        <v>80</v>
      </c>
      <c r="B46" s="91" t="s">
        <v>147</v>
      </c>
      <c r="C46" s="91">
        <f t="shared" si="17"/>
        <v>80</v>
      </c>
      <c r="D46" s="92">
        <v>4901893255</v>
      </c>
      <c r="E46" s="92">
        <v>50576239</v>
      </c>
      <c r="F46" s="92">
        <v>326565</v>
      </c>
      <c r="G46" s="92" t="s">
        <v>105</v>
      </c>
      <c r="H46" s="92">
        <v>10284171</v>
      </c>
      <c r="I46" s="92">
        <v>923</v>
      </c>
      <c r="J46" s="92" t="s">
        <v>113</v>
      </c>
      <c r="K46" s="92" t="s">
        <v>152</v>
      </c>
      <c r="L46" s="100"/>
      <c r="M46" s="94"/>
      <c r="N46" s="94">
        <v>1</v>
      </c>
      <c r="O46" s="95"/>
      <c r="P46" s="95">
        <v>4</v>
      </c>
      <c r="Q46" s="94">
        <v>9</v>
      </c>
      <c r="R46" s="94"/>
      <c r="S46" s="94"/>
      <c r="T46" s="94">
        <v>1</v>
      </c>
      <c r="U46" s="94">
        <v>14</v>
      </c>
      <c r="V46" s="95">
        <f t="shared" ref="V46:V48" si="24">SUM(M46:S46)</f>
        <v>14</v>
      </c>
      <c r="W46" s="96" t="e">
        <f t="shared" si="19"/>
        <v>#REF!</v>
      </c>
      <c r="X46" s="97" t="e">
        <f>0.25*M46+0.255*N46+0.3*O46+0.302*P46+0.306*Q46+0.31*R46+0.315*#REF!+0.35*#REF!+0.353*#REF!+0.36*#REF!</f>
        <v>#REF!</v>
      </c>
      <c r="Y46" s="96" t="e">
        <f t="shared" si="20"/>
        <v>#REF!</v>
      </c>
      <c r="Z46" s="96" t="e">
        <f t="shared" si="21"/>
        <v>#REF!</v>
      </c>
      <c r="AA46" s="98" t="s">
        <v>149</v>
      </c>
      <c r="AB46" s="49"/>
      <c r="AC46" s="99"/>
      <c r="AD46" s="99"/>
      <c r="AE46" s="99"/>
      <c r="AF46" s="99"/>
      <c r="AG46" s="99"/>
      <c r="AH46" s="99"/>
      <c r="AI46" s="99"/>
      <c r="AJ46" s="99"/>
      <c r="AK46" s="99"/>
      <c r="AL46" s="49"/>
      <c r="AM46" s="49"/>
      <c r="AN46" s="49"/>
      <c r="AO46" s="49"/>
      <c r="AP46" s="49"/>
      <c r="AQ46" s="49"/>
      <c r="AR46" s="49"/>
      <c r="AS46" s="49"/>
      <c r="AT46" s="49"/>
      <c r="AU46" s="49"/>
      <c r="AV46" s="49"/>
      <c r="AW46" s="49"/>
    </row>
    <row r="47" s="46" customFormat="1" ht="18" customHeight="1" spans="1:49">
      <c r="A47" s="90">
        <f t="shared" si="23"/>
        <v>107</v>
      </c>
      <c r="B47" s="91" t="s">
        <v>147</v>
      </c>
      <c r="C47" s="91">
        <f t="shared" si="17"/>
        <v>107</v>
      </c>
      <c r="D47" s="92">
        <v>4901893255</v>
      </c>
      <c r="E47" s="92">
        <v>50576239</v>
      </c>
      <c r="F47" s="92">
        <v>326565</v>
      </c>
      <c r="G47" s="92" t="s">
        <v>105</v>
      </c>
      <c r="H47" s="92">
        <v>10284171</v>
      </c>
      <c r="I47" s="92">
        <v>923</v>
      </c>
      <c r="J47" s="92" t="s">
        <v>113</v>
      </c>
      <c r="K47" s="92" t="s">
        <v>152</v>
      </c>
      <c r="L47" s="100"/>
      <c r="M47" s="94"/>
      <c r="N47" s="94"/>
      <c r="O47" s="95"/>
      <c r="P47" s="95"/>
      <c r="Q47" s="94"/>
      <c r="R47" s="94">
        <v>8</v>
      </c>
      <c r="S47" s="94">
        <v>5</v>
      </c>
      <c r="T47" s="94">
        <v>1</v>
      </c>
      <c r="U47" s="94">
        <v>14</v>
      </c>
      <c r="V47" s="95">
        <f t="shared" si="24"/>
        <v>13</v>
      </c>
      <c r="W47" s="96" t="e">
        <f t="shared" si="19"/>
        <v>#REF!</v>
      </c>
      <c r="X47" s="97" t="e">
        <f>0.25*M47+0.255*N47+0.3*O47+0.302*P47+0.306*Q47+0.31*R47+0.315*#REF!+0.35*#REF!+0.353*#REF!+0.36*#REF!</f>
        <v>#REF!</v>
      </c>
      <c r="Y47" s="96" t="e">
        <f t="shared" si="20"/>
        <v>#REF!</v>
      </c>
      <c r="Z47" s="96" t="e">
        <f t="shared" si="21"/>
        <v>#REF!</v>
      </c>
      <c r="AA47" s="98" t="s">
        <v>149</v>
      </c>
      <c r="AB47" s="49"/>
      <c r="AC47" s="99"/>
      <c r="AD47" s="99"/>
      <c r="AE47" s="99"/>
      <c r="AF47" s="99"/>
      <c r="AG47" s="99"/>
      <c r="AH47" s="99"/>
      <c r="AI47" s="99"/>
      <c r="AJ47" s="99"/>
      <c r="AK47" s="99"/>
      <c r="AL47" s="49"/>
      <c r="AM47" s="49"/>
      <c r="AN47" s="49"/>
      <c r="AO47" s="49"/>
      <c r="AP47" s="49"/>
      <c r="AQ47" s="49"/>
      <c r="AR47" s="49"/>
      <c r="AS47" s="49"/>
      <c r="AT47" s="49"/>
      <c r="AU47" s="49"/>
      <c r="AV47" s="49"/>
      <c r="AW47" s="49"/>
    </row>
    <row r="48" s="46" customFormat="1" ht="18" customHeight="1" spans="1:49">
      <c r="A48" s="90">
        <f t="shared" si="23"/>
        <v>120</v>
      </c>
      <c r="B48" s="91" t="s">
        <v>147</v>
      </c>
      <c r="C48" s="91">
        <f t="shared" si="17"/>
        <v>120</v>
      </c>
      <c r="D48" s="92">
        <v>4901893255</v>
      </c>
      <c r="E48" s="92">
        <v>50576239</v>
      </c>
      <c r="F48" s="92">
        <v>326565</v>
      </c>
      <c r="G48" s="92" t="s">
        <v>105</v>
      </c>
      <c r="H48" s="92">
        <v>10284171</v>
      </c>
      <c r="I48" s="92">
        <v>923</v>
      </c>
      <c r="J48" s="92" t="s">
        <v>113</v>
      </c>
      <c r="K48" s="92" t="s">
        <v>152</v>
      </c>
      <c r="L48" s="100"/>
      <c r="M48" s="94"/>
      <c r="N48" s="94"/>
      <c r="O48" s="95">
        <v>8</v>
      </c>
      <c r="P48" s="95"/>
      <c r="Q48" s="94"/>
      <c r="R48" s="94"/>
      <c r="S48" s="94"/>
      <c r="T48" s="94">
        <v>1</v>
      </c>
      <c r="U48" s="94">
        <v>14</v>
      </c>
      <c r="V48" s="95">
        <f t="shared" si="24"/>
        <v>8</v>
      </c>
      <c r="W48" s="96" t="e">
        <f t="shared" si="19"/>
        <v>#REF!</v>
      </c>
      <c r="X48" s="97" t="e">
        <f>0.25*M48+0.255*N48+0.3*O48+0.302*P48+0.306*Q48+0.31*R48+0.315*#REF!+0.35*#REF!+0.353*#REF!+0.36*#REF!</f>
        <v>#REF!</v>
      </c>
      <c r="Y48" s="96" t="e">
        <f t="shared" si="20"/>
        <v>#REF!</v>
      </c>
      <c r="Z48" s="96" t="e">
        <f t="shared" si="21"/>
        <v>#REF!</v>
      </c>
      <c r="AA48" s="98" t="s">
        <v>149</v>
      </c>
      <c r="AB48" s="49"/>
      <c r="AC48" s="99"/>
      <c r="AD48" s="99"/>
      <c r="AE48" s="99"/>
      <c r="AF48" s="99"/>
      <c r="AG48" s="99"/>
      <c r="AH48" s="99"/>
      <c r="AI48" s="99"/>
      <c r="AJ48" s="99"/>
      <c r="AK48" s="99"/>
      <c r="AL48" s="49"/>
      <c r="AM48" s="49"/>
      <c r="AN48" s="49"/>
      <c r="AO48" s="49"/>
      <c r="AP48" s="49"/>
      <c r="AQ48" s="49"/>
      <c r="AR48" s="49"/>
      <c r="AS48" s="49"/>
      <c r="AT48" s="49"/>
      <c r="AU48" s="49"/>
      <c r="AV48" s="49"/>
      <c r="AW48" s="49"/>
    </row>
    <row r="49" s="47" customFormat="1" customHeight="1" spans="1:49">
      <c r="A49" s="101" t="s">
        <v>150</v>
      </c>
      <c r="B49" s="102"/>
      <c r="C49" s="102"/>
      <c r="D49" s="102"/>
      <c r="E49" s="102"/>
      <c r="F49" s="102"/>
      <c r="G49" s="102"/>
      <c r="H49" s="102"/>
      <c r="I49" s="103"/>
      <c r="J49" s="103"/>
      <c r="K49" s="104"/>
      <c r="L49" s="104"/>
      <c r="M49" s="105">
        <f t="shared" ref="M49:T49" si="25">SUM(M40:M48)</f>
        <v>0</v>
      </c>
      <c r="N49" s="106">
        <f t="shared" si="25"/>
        <v>155</v>
      </c>
      <c r="O49" s="106">
        <f t="shared" si="25"/>
        <v>456</v>
      </c>
      <c r="P49" s="106">
        <f t="shared" si="25"/>
        <v>508</v>
      </c>
      <c r="Q49" s="106">
        <f t="shared" si="25"/>
        <v>387</v>
      </c>
      <c r="R49" s="106">
        <f t="shared" si="25"/>
        <v>190</v>
      </c>
      <c r="S49" s="106">
        <f t="shared" si="25"/>
        <v>33</v>
      </c>
      <c r="T49" s="107">
        <f t="shared" si="25"/>
        <v>124</v>
      </c>
      <c r="U49" s="107"/>
      <c r="V49" s="107">
        <f t="shared" ref="V49:X49" si="26">SUM(V40:V48)</f>
        <v>1729</v>
      </c>
      <c r="W49" s="108" t="e">
        <f t="shared" si="26"/>
        <v>#REF!</v>
      </c>
      <c r="X49" s="107" t="e">
        <f t="shared" si="26"/>
        <v>#REF!</v>
      </c>
      <c r="Y49" s="107"/>
      <c r="Z49" s="107"/>
      <c r="AA49" s="109"/>
      <c r="AB49" s="48"/>
      <c r="AC49" s="48"/>
      <c r="AD49" s="48"/>
      <c r="AE49" s="48"/>
      <c r="AF49" s="48"/>
      <c r="AG49" s="48"/>
      <c r="AH49" s="48"/>
      <c r="AI49" s="48"/>
      <c r="AJ49" s="48"/>
      <c r="AK49" s="48"/>
      <c r="AL49" s="48"/>
      <c r="AM49" s="48"/>
      <c r="AN49" s="48"/>
      <c r="AO49" s="48"/>
      <c r="AP49" s="48"/>
      <c r="AQ49" s="48"/>
      <c r="AR49" s="48"/>
      <c r="AS49" s="48"/>
      <c r="AT49" s="48"/>
      <c r="AU49" s="48"/>
      <c r="AV49" s="48"/>
      <c r="AW49" s="48"/>
    </row>
    <row r="50" s="48" customFormat="1" customHeight="1" spans="1:49">
      <c r="A50" s="110"/>
      <c r="B50" s="110"/>
      <c r="C50" s="110"/>
      <c r="D50" s="110"/>
      <c r="E50" s="110"/>
      <c r="F50" s="110"/>
      <c r="G50" s="110"/>
      <c r="H50" s="110"/>
      <c r="I50" s="111"/>
      <c r="J50" s="111"/>
      <c r="K50" s="112"/>
      <c r="L50" s="112"/>
      <c r="M50" s="113"/>
      <c r="N50" s="113"/>
      <c r="O50" s="113"/>
      <c r="P50" s="113"/>
      <c r="Q50" s="113"/>
      <c r="R50" s="113"/>
      <c r="S50" s="113"/>
      <c r="T50" s="113"/>
      <c r="U50" s="113"/>
      <c r="V50" s="113"/>
      <c r="W50" s="113"/>
      <c r="X50" s="113"/>
      <c r="Y50" s="113"/>
      <c r="Z50" s="113"/>
      <c r="AA50" s="113"/>
    </row>
    <row r="51" s="48" customFormat="1" customHeight="1" spans="1:49">
      <c r="A51" s="110"/>
      <c r="B51" s="110"/>
      <c r="C51" s="110"/>
      <c r="D51" s="110"/>
      <c r="E51" s="110"/>
      <c r="F51" s="110"/>
      <c r="G51" s="110"/>
      <c r="H51" s="110"/>
      <c r="I51" s="111"/>
      <c r="J51" s="111"/>
      <c r="K51" s="112"/>
      <c r="L51" s="112"/>
      <c r="M51" s="113"/>
      <c r="N51" s="113"/>
      <c r="O51" s="113"/>
      <c r="P51" s="113"/>
      <c r="Q51" s="113"/>
      <c r="R51" s="113"/>
      <c r="S51" s="113"/>
      <c r="T51" s="113"/>
      <c r="U51" s="113"/>
      <c r="V51" s="113"/>
      <c r="W51" s="113"/>
      <c r="X51" s="113"/>
      <c r="Y51" s="113"/>
      <c r="Z51" s="113"/>
      <c r="AA51" s="113"/>
    </row>
    <row r="52" s="49" customFormat="1" ht="18" customHeight="1" spans="1:49">
      <c r="A52" s="114"/>
      <c r="B52" s="115"/>
      <c r="C52" s="115"/>
      <c r="D52" s="115"/>
      <c r="E52" s="115"/>
      <c r="F52" s="115"/>
      <c r="G52" s="115"/>
      <c r="H52" s="115"/>
      <c r="I52" s="115"/>
      <c r="J52" s="115"/>
      <c r="K52" s="115" t="s">
        <v>153</v>
      </c>
      <c r="L52" s="115"/>
      <c r="M52" s="116">
        <f t="shared" ref="M52:X52" si="27">M25+M36+M49</f>
        <v>0</v>
      </c>
      <c r="N52" s="116">
        <f t="shared" si="27"/>
        <v>214</v>
      </c>
      <c r="O52" s="116">
        <f t="shared" si="27"/>
        <v>652</v>
      </c>
      <c r="P52" s="116">
        <f t="shared" si="27"/>
        <v>745</v>
      </c>
      <c r="Q52" s="116">
        <f t="shared" si="27"/>
        <v>554</v>
      </c>
      <c r="R52" s="116">
        <f t="shared" si="27"/>
        <v>286</v>
      </c>
      <c r="S52" s="116">
        <f t="shared" si="27"/>
        <v>54</v>
      </c>
      <c r="T52" s="116">
        <f t="shared" si="27"/>
        <v>180</v>
      </c>
      <c r="U52" s="116">
        <f t="shared" si="27"/>
        <v>0</v>
      </c>
      <c r="V52" s="116">
        <f t="shared" si="27"/>
        <v>2505</v>
      </c>
      <c r="W52" s="116" t="e">
        <f t="shared" si="27"/>
        <v>#REF!</v>
      </c>
      <c r="X52" s="116" t="e">
        <f t="shared" si="27"/>
        <v>#REF!</v>
      </c>
      <c r="Y52" s="117" t="e">
        <f>+#REF!+Y25</f>
        <v>#REF!</v>
      </c>
      <c r="Z52" s="117" t="e">
        <f>+#REF!+Z25</f>
        <v>#REF!</v>
      </c>
      <c r="AA52" s="118"/>
    </row>
    <row r="53" s="49" customFormat="1" ht="18" customHeight="1" spans="1:49">
      <c r="A53" s="119"/>
      <c r="B53" s="119"/>
      <c r="C53" s="119"/>
      <c r="D53" s="119"/>
      <c r="E53" s="119"/>
      <c r="F53" s="119"/>
      <c r="G53" s="119"/>
      <c r="H53" s="119"/>
      <c r="I53" s="119"/>
      <c r="J53" s="119"/>
      <c r="K53" s="119"/>
      <c r="L53" s="119"/>
      <c r="M53" s="120"/>
      <c r="N53" s="120"/>
      <c r="O53" s="120"/>
      <c r="P53" s="120"/>
      <c r="Q53" s="120"/>
      <c r="R53" s="120"/>
      <c r="S53" s="120"/>
      <c r="T53" s="121"/>
      <c r="U53" s="121"/>
      <c r="V53" s="121"/>
      <c r="W53" s="121"/>
      <c r="X53" s="121"/>
      <c r="Y53" s="121"/>
      <c r="Z53" s="121"/>
      <c r="AA53" s="121"/>
    </row>
    <row r="54" s="49" customFormat="1" ht="18" customHeight="1" spans="1:49">
      <c r="A54" s="119"/>
      <c r="B54" s="119"/>
      <c r="C54" s="119"/>
      <c r="D54" s="119"/>
      <c r="E54" s="119"/>
      <c r="F54" s="119"/>
      <c r="G54" s="119"/>
      <c r="H54" s="119"/>
      <c r="I54" s="119"/>
      <c r="J54" s="119"/>
      <c r="K54" s="119"/>
      <c r="L54" s="119"/>
      <c r="M54" s="121"/>
      <c r="N54" s="121"/>
      <c r="O54" s="121"/>
      <c r="P54" s="121"/>
      <c r="Q54" s="121"/>
      <c r="R54" s="121"/>
      <c r="S54" s="121"/>
      <c r="T54" s="121"/>
      <c r="U54" s="121"/>
      <c r="V54" s="121"/>
      <c r="W54" s="121"/>
      <c r="X54" s="121"/>
      <c r="Y54" s="121"/>
      <c r="Z54" s="121"/>
      <c r="AA54" s="121"/>
    </row>
    <row r="55" spans="1:49">
      <c r="W55" s="122" t="s">
        <v>149</v>
      </c>
      <c r="X55" s="123"/>
      <c r="Y55" s="122"/>
      <c r="Z55" s="123"/>
      <c r="AA55" s="123">
        <f>T52-AA56-AA57-AA58</f>
        <v>177</v>
      </c>
    </row>
    <row r="56" ht="19.5" spans="1:49">
      <c r="L56" s="124" t="s">
        <v>154</v>
      </c>
      <c r="M56" s="124"/>
      <c r="N56" s="124"/>
      <c r="O56" s="124"/>
      <c r="P56" s="124"/>
      <c r="Q56" s="124"/>
      <c r="R56" s="124"/>
      <c r="S56" s="124"/>
      <c r="T56" s="124"/>
      <c r="U56" s="124"/>
      <c r="W56" s="122" t="s">
        <v>155</v>
      </c>
      <c r="X56" s="123"/>
      <c r="Y56" s="122"/>
      <c r="Z56" s="123"/>
      <c r="AA56" s="123">
        <v>1</v>
      </c>
    </row>
    <row r="57" ht="19.5" spans="1:49">
      <c r="K57" s="125" t="s">
        <v>131</v>
      </c>
      <c r="L57" s="126" t="s">
        <v>156</v>
      </c>
      <c r="M57" s="127" t="str">
        <f>+J16</f>
        <v>Open White</v>
      </c>
      <c r="N57" s="128"/>
      <c r="O57" s="128"/>
      <c r="P57" s="128"/>
      <c r="Q57" s="128"/>
      <c r="R57" s="128"/>
      <c r="S57" s="128"/>
      <c r="T57" s="129"/>
      <c r="U57" s="130"/>
      <c r="W57" s="122" t="s">
        <v>157</v>
      </c>
      <c r="X57" s="123"/>
      <c r="Y57" s="122"/>
      <c r="Z57" s="123"/>
      <c r="AA57" s="123">
        <v>2</v>
      </c>
    </row>
    <row r="58" ht="20.25" customHeight="1" spans="1:49">
      <c r="K58" s="131" t="str">
        <f>+K16</f>
        <v>00010</v>
      </c>
      <c r="L58" s="132" t="s">
        <v>158</v>
      </c>
      <c r="M58" s="133" t="s">
        <v>132</v>
      </c>
      <c r="N58" s="133" t="s">
        <v>133</v>
      </c>
      <c r="O58" s="133" t="s">
        <v>134</v>
      </c>
      <c r="P58" s="133" t="s">
        <v>135</v>
      </c>
      <c r="Q58" s="133" t="s">
        <v>136</v>
      </c>
      <c r="R58" s="133" t="s">
        <v>137</v>
      </c>
      <c r="S58" s="133" t="s">
        <v>138</v>
      </c>
      <c r="T58" s="134" t="s">
        <v>153</v>
      </c>
      <c r="U58" s="135"/>
      <c r="W58" s="122" t="s">
        <v>159</v>
      </c>
      <c r="X58" s="123"/>
      <c r="Y58" s="122"/>
      <c r="Z58" s="123"/>
      <c r="AA58" s="122"/>
    </row>
    <row r="59" ht="20.25" customHeight="1" spans="1:49">
      <c r="K59" s="125"/>
      <c r="L59" s="136" t="s">
        <v>160</v>
      </c>
      <c r="M59" s="137">
        <v>0</v>
      </c>
      <c r="N59" s="137">
        <v>47</v>
      </c>
      <c r="O59" s="137">
        <v>146</v>
      </c>
      <c r="P59" s="137">
        <v>164</v>
      </c>
      <c r="Q59" s="137">
        <v>134</v>
      </c>
      <c r="R59" s="137">
        <v>76</v>
      </c>
      <c r="S59" s="137">
        <v>17</v>
      </c>
      <c r="T59" s="138">
        <f t="shared" ref="T59:T62" si="28">SUM(M59:S59)</f>
        <v>584</v>
      </c>
      <c r="U59" s="139"/>
      <c r="W59" s="140" t="s">
        <v>153</v>
      </c>
      <c r="X59" s="141"/>
      <c r="Y59" s="140"/>
      <c r="Z59" s="141"/>
      <c r="AA59" s="122">
        <f>SUM(AA55:AA58)</f>
        <v>180</v>
      </c>
    </row>
    <row r="60" ht="19.5" spans="1:49">
      <c r="K60" s="125"/>
      <c r="L60" s="142" t="s">
        <v>161</v>
      </c>
      <c r="M60" s="137"/>
      <c r="N60" s="137"/>
      <c r="O60" s="137"/>
      <c r="P60" s="137"/>
      <c r="Q60" s="137"/>
      <c r="R60" s="137"/>
      <c r="S60" s="137"/>
      <c r="T60" s="138">
        <f t="shared" si="28"/>
        <v>0</v>
      </c>
      <c r="U60" s="143"/>
    </row>
    <row r="61" s="50" customFormat="1" ht="19.5" spans="1:49">
      <c r="K61" s="125"/>
      <c r="L61" s="144" t="s">
        <v>162</v>
      </c>
      <c r="M61" s="138">
        <f t="shared" ref="M61:S61" si="29">+M25</f>
        <v>0</v>
      </c>
      <c r="N61" s="138">
        <f t="shared" si="29"/>
        <v>47</v>
      </c>
      <c r="O61" s="138">
        <f t="shared" si="29"/>
        <v>146</v>
      </c>
      <c r="P61" s="138">
        <f t="shared" si="29"/>
        <v>164</v>
      </c>
      <c r="Q61" s="138">
        <f t="shared" si="29"/>
        <v>134</v>
      </c>
      <c r="R61" s="138">
        <f t="shared" si="29"/>
        <v>76</v>
      </c>
      <c r="S61" s="138">
        <f t="shared" si="29"/>
        <v>17</v>
      </c>
      <c r="T61" s="138">
        <f t="shared" si="28"/>
        <v>584</v>
      </c>
      <c r="U61" s="145"/>
      <c r="V61" s="52"/>
      <c r="W61" s="52"/>
      <c r="X61" s="52"/>
      <c r="Y61" s="146"/>
      <c r="Z61" s="146"/>
      <c r="AB61" s="147"/>
      <c r="AC61" s="147"/>
      <c r="AD61" s="147"/>
      <c r="AE61" s="147"/>
      <c r="AF61" s="147"/>
      <c r="AG61" s="147"/>
      <c r="AH61" s="147"/>
      <c r="AI61" s="147"/>
      <c r="AJ61" s="147"/>
      <c r="AK61" s="147"/>
      <c r="AL61" s="147"/>
      <c r="AM61" s="147"/>
      <c r="AN61" s="147"/>
      <c r="AO61" s="147"/>
      <c r="AP61" s="147"/>
      <c r="AQ61" s="147"/>
      <c r="AR61" s="147"/>
      <c r="AS61" s="147"/>
      <c r="AT61" s="147"/>
      <c r="AU61" s="147"/>
      <c r="AV61" s="147"/>
      <c r="AW61" s="147"/>
    </row>
    <row r="62" s="51" customFormat="1" ht="18" customHeight="1" spans="1:49">
      <c r="A62" s="52"/>
      <c r="B62" s="52"/>
      <c r="C62" s="52"/>
      <c r="D62" s="52"/>
      <c r="E62" s="52"/>
      <c r="F62" s="52"/>
      <c r="G62" s="52"/>
      <c r="H62" s="52"/>
      <c r="I62" s="52"/>
      <c r="J62" s="52"/>
      <c r="K62" s="125"/>
      <c r="L62" s="192" t="s">
        <v>163</v>
      </c>
      <c r="M62" s="138">
        <f t="shared" ref="M62:S62" si="30">SUM(F62:L62)</f>
        <v>0</v>
      </c>
      <c r="N62" s="138">
        <f t="shared" si="30"/>
        <v>0</v>
      </c>
      <c r="O62" s="138">
        <f t="shared" si="30"/>
        <v>0</v>
      </c>
      <c r="P62" s="138">
        <f t="shared" si="30"/>
        <v>0</v>
      </c>
      <c r="Q62" s="138">
        <f t="shared" si="30"/>
        <v>0</v>
      </c>
      <c r="R62" s="138">
        <f t="shared" si="30"/>
        <v>0</v>
      </c>
      <c r="S62" s="138">
        <f t="shared" si="30"/>
        <v>0</v>
      </c>
      <c r="T62" s="138">
        <f t="shared" si="28"/>
        <v>0</v>
      </c>
      <c r="U62" s="149"/>
      <c r="V62" s="150"/>
      <c r="W62" s="151"/>
      <c r="X62" s="152"/>
      <c r="Y62" s="153"/>
      <c r="Z62" s="153"/>
      <c r="AA62" s="52"/>
    </row>
    <row r="63" ht="19.5" spans="1:49">
      <c r="K63" s="125"/>
      <c r="L63" s="154" t="s">
        <v>164</v>
      </c>
      <c r="M63" s="155" t="e">
        <f t="shared" ref="M63:T63" si="31">M61/M59</f>
        <v>#DIV/0!</v>
      </c>
      <c r="N63" s="155">
        <f t="shared" si="31"/>
        <v>1</v>
      </c>
      <c r="O63" s="155">
        <f t="shared" si="31"/>
        <v>1</v>
      </c>
      <c r="P63" s="155">
        <f t="shared" si="31"/>
        <v>1</v>
      </c>
      <c r="Q63" s="155">
        <f t="shared" si="31"/>
        <v>1</v>
      </c>
      <c r="R63" s="155">
        <f t="shared" si="31"/>
        <v>1</v>
      </c>
      <c r="S63" s="155">
        <f t="shared" si="31"/>
        <v>1</v>
      </c>
      <c r="T63" s="155">
        <f t="shared" si="31"/>
        <v>1</v>
      </c>
      <c r="U63" s="156"/>
      <c r="V63" s="150"/>
      <c r="W63" s="151"/>
      <c r="X63" s="152"/>
    </row>
    <row r="65" ht="19.5" spans="11:24">
      <c r="L65" s="124" t="s">
        <v>154</v>
      </c>
      <c r="M65" s="124"/>
      <c r="N65" s="124"/>
      <c r="O65" s="124"/>
      <c r="P65" s="124"/>
      <c r="Q65" s="124"/>
      <c r="R65" s="124"/>
      <c r="S65" s="124"/>
      <c r="T65" s="124"/>
      <c r="U65" s="124"/>
    </row>
    <row r="66" ht="19.5" spans="11:24">
      <c r="K66" s="125" t="s">
        <v>131</v>
      </c>
      <c r="L66" s="126" t="s">
        <v>156</v>
      </c>
      <c r="M66" s="127" t="str">
        <f>+J29</f>
        <v>Dark Blue</v>
      </c>
      <c r="N66" s="128"/>
      <c r="O66" s="128"/>
      <c r="P66" s="128"/>
      <c r="Q66" s="128"/>
      <c r="R66" s="128"/>
      <c r="S66" s="128"/>
      <c r="T66" s="129"/>
      <c r="U66" s="130"/>
    </row>
    <row r="67" ht="19.5" spans="11:24">
      <c r="K67" s="131" t="str">
        <f>+K29</f>
        <v>00020</v>
      </c>
      <c r="L67" s="132" t="s">
        <v>158</v>
      </c>
      <c r="M67" s="133" t="s">
        <v>132</v>
      </c>
      <c r="N67" s="133" t="s">
        <v>133</v>
      </c>
      <c r="O67" s="133" t="s">
        <v>134</v>
      </c>
      <c r="P67" s="133" t="s">
        <v>135</v>
      </c>
      <c r="Q67" s="133" t="s">
        <v>136</v>
      </c>
      <c r="R67" s="133" t="s">
        <v>137</v>
      </c>
      <c r="S67" s="133" t="s">
        <v>138</v>
      </c>
      <c r="T67" s="134" t="s">
        <v>153</v>
      </c>
      <c r="U67" s="135"/>
    </row>
    <row r="68" ht="19.5" spans="11:24">
      <c r="K68" s="125"/>
      <c r="L68" s="136" t="s">
        <v>160</v>
      </c>
      <c r="M68" s="137">
        <v>0</v>
      </c>
      <c r="N68" s="137">
        <v>12</v>
      </c>
      <c r="O68" s="137">
        <v>50</v>
      </c>
      <c r="P68" s="137">
        <v>73</v>
      </c>
      <c r="Q68" s="137">
        <v>33</v>
      </c>
      <c r="R68" s="137">
        <v>20</v>
      </c>
      <c r="S68" s="137">
        <v>4</v>
      </c>
      <c r="T68" s="138">
        <f t="shared" ref="T68:T71" si="32">SUM(M68:S68)</f>
        <v>192</v>
      </c>
      <c r="U68" s="139"/>
    </row>
    <row r="69" ht="19.5" spans="11:24">
      <c r="K69" s="125"/>
      <c r="L69" s="142" t="s">
        <v>161</v>
      </c>
      <c r="M69" s="137"/>
      <c r="N69" s="137"/>
      <c r="O69" s="137"/>
      <c r="P69" s="137"/>
      <c r="Q69" s="137"/>
      <c r="R69" s="137"/>
      <c r="S69" s="137"/>
      <c r="T69" s="138">
        <f t="shared" si="32"/>
        <v>0</v>
      </c>
      <c r="U69" s="143"/>
    </row>
    <row r="70" ht="19.5" spans="11:24">
      <c r="K70" s="125"/>
      <c r="L70" s="144" t="s">
        <v>162</v>
      </c>
      <c r="M70" s="138">
        <f t="shared" ref="M70:S70" si="33">+M36</f>
        <v>0</v>
      </c>
      <c r="N70" s="138">
        <f t="shared" si="33"/>
        <v>12</v>
      </c>
      <c r="O70" s="138">
        <f t="shared" si="33"/>
        <v>50</v>
      </c>
      <c r="P70" s="138">
        <f t="shared" si="33"/>
        <v>73</v>
      </c>
      <c r="Q70" s="138">
        <f t="shared" si="33"/>
        <v>33</v>
      </c>
      <c r="R70" s="138">
        <f t="shared" si="33"/>
        <v>20</v>
      </c>
      <c r="S70" s="138">
        <f t="shared" si="33"/>
        <v>4</v>
      </c>
      <c r="T70" s="138">
        <f t="shared" si="32"/>
        <v>192</v>
      </c>
      <c r="U70" s="145"/>
    </row>
    <row r="71" ht="19.5" spans="11:24">
      <c r="K71" s="125"/>
      <c r="L71" s="192" t="s">
        <v>163</v>
      </c>
      <c r="M71" s="138">
        <f>+M68-M70</f>
        <v>0</v>
      </c>
      <c r="N71" s="138">
        <f t="shared" ref="N71:S71" si="34">SUM(G71:M71)</f>
        <v>0</v>
      </c>
      <c r="O71" s="138">
        <f t="shared" si="34"/>
        <v>0</v>
      </c>
      <c r="P71" s="138">
        <f t="shared" si="34"/>
        <v>0</v>
      </c>
      <c r="Q71" s="138">
        <f t="shared" si="34"/>
        <v>0</v>
      </c>
      <c r="R71" s="138">
        <f t="shared" si="34"/>
        <v>0</v>
      </c>
      <c r="S71" s="138">
        <f t="shared" si="34"/>
        <v>0</v>
      </c>
      <c r="T71" s="138">
        <f t="shared" si="32"/>
        <v>0</v>
      </c>
      <c r="U71" s="149"/>
      <c r="V71" s="150"/>
      <c r="W71" s="151"/>
      <c r="X71" s="152"/>
    </row>
    <row r="72" ht="19.5" spans="11:24">
      <c r="K72" s="125"/>
      <c r="L72" s="154" t="s">
        <v>164</v>
      </c>
      <c r="M72" s="155" t="e">
        <f t="shared" ref="M72:T72" si="35">M70/M68</f>
        <v>#DIV/0!</v>
      </c>
      <c r="N72" s="155">
        <f t="shared" si="35"/>
        <v>1</v>
      </c>
      <c r="O72" s="155">
        <f t="shared" si="35"/>
        <v>1</v>
      </c>
      <c r="P72" s="155">
        <f t="shared" si="35"/>
        <v>1</v>
      </c>
      <c r="Q72" s="155">
        <f t="shared" si="35"/>
        <v>1</v>
      </c>
      <c r="R72" s="155">
        <f t="shared" si="35"/>
        <v>1</v>
      </c>
      <c r="S72" s="155">
        <f t="shared" si="35"/>
        <v>1</v>
      </c>
      <c r="T72" s="155">
        <f t="shared" si="35"/>
        <v>1</v>
      </c>
      <c r="U72" s="156"/>
      <c r="V72" s="150"/>
      <c r="W72" s="151"/>
      <c r="X72" s="152"/>
    </row>
    <row r="74" ht="19.5" spans="11:24">
      <c r="L74" s="124" t="s">
        <v>154</v>
      </c>
      <c r="M74" s="124"/>
      <c r="N74" s="124"/>
      <c r="O74" s="124"/>
      <c r="P74" s="124"/>
      <c r="Q74" s="124"/>
      <c r="R74" s="124"/>
      <c r="S74" s="124"/>
      <c r="T74" s="124"/>
      <c r="U74" s="124"/>
    </row>
    <row r="75" ht="19.5" spans="11:24">
      <c r="K75" s="125" t="s">
        <v>131</v>
      </c>
      <c r="L75" s="126" t="s">
        <v>156</v>
      </c>
      <c r="M75" s="127" t="str">
        <f>+J40</f>
        <v>Beige Overflow</v>
      </c>
      <c r="N75" s="128"/>
      <c r="O75" s="128"/>
      <c r="P75" s="128"/>
      <c r="Q75" s="128"/>
      <c r="R75" s="128"/>
      <c r="S75" s="128"/>
      <c r="T75" s="129"/>
      <c r="U75" s="130"/>
    </row>
    <row r="76" ht="19.5" spans="11:24">
      <c r="K76" s="131" t="str">
        <f>+K41</f>
        <v>00030</v>
      </c>
      <c r="L76" s="132" t="s">
        <v>158</v>
      </c>
      <c r="M76" s="133" t="s">
        <v>132</v>
      </c>
      <c r="N76" s="133" t="s">
        <v>133</v>
      </c>
      <c r="O76" s="133" t="s">
        <v>134</v>
      </c>
      <c r="P76" s="133" t="s">
        <v>135</v>
      </c>
      <c r="Q76" s="133" t="s">
        <v>136</v>
      </c>
      <c r="R76" s="133" t="s">
        <v>137</v>
      </c>
      <c r="S76" s="133" t="s">
        <v>138</v>
      </c>
      <c r="T76" s="134" t="s">
        <v>153</v>
      </c>
      <c r="U76" s="135"/>
    </row>
    <row r="77" ht="19.5" spans="11:24">
      <c r="K77" s="125"/>
      <c r="L77" s="136" t="s">
        <v>160</v>
      </c>
      <c r="M77" s="137">
        <v>0</v>
      </c>
      <c r="N77" s="137">
        <v>155</v>
      </c>
      <c r="O77" s="137">
        <v>456</v>
      </c>
      <c r="P77" s="137">
        <v>508</v>
      </c>
      <c r="Q77" s="137">
        <v>387</v>
      </c>
      <c r="R77" s="137">
        <v>190</v>
      </c>
      <c r="S77" s="137">
        <v>33</v>
      </c>
      <c r="T77" s="138">
        <f t="shared" ref="T77:T80" si="36">SUM(M77:S77)</f>
        <v>1729</v>
      </c>
      <c r="U77" s="139"/>
    </row>
    <row r="78" ht="19.5" spans="11:24">
      <c r="K78" s="125"/>
      <c r="L78" s="142" t="s">
        <v>161</v>
      </c>
      <c r="M78" s="137"/>
      <c r="N78" s="137"/>
      <c r="O78" s="137"/>
      <c r="P78" s="137"/>
      <c r="Q78" s="137"/>
      <c r="R78" s="137"/>
      <c r="S78" s="137"/>
      <c r="T78" s="138">
        <f t="shared" si="36"/>
        <v>0</v>
      </c>
      <c r="U78" s="143"/>
    </row>
    <row r="79" ht="19.5" spans="11:24">
      <c r="K79" s="125"/>
      <c r="L79" s="144" t="s">
        <v>162</v>
      </c>
      <c r="M79" s="138">
        <f t="shared" ref="M79:S79" si="37">+M49</f>
        <v>0</v>
      </c>
      <c r="N79" s="138">
        <f t="shared" si="37"/>
        <v>155</v>
      </c>
      <c r="O79" s="138">
        <f t="shared" si="37"/>
        <v>456</v>
      </c>
      <c r="P79" s="138">
        <f t="shared" si="37"/>
        <v>508</v>
      </c>
      <c r="Q79" s="138">
        <f t="shared" si="37"/>
        <v>387</v>
      </c>
      <c r="R79" s="138">
        <f t="shared" si="37"/>
        <v>190</v>
      </c>
      <c r="S79" s="138">
        <f t="shared" si="37"/>
        <v>33</v>
      </c>
      <c r="T79" s="138">
        <f t="shared" si="36"/>
        <v>1729</v>
      </c>
      <c r="U79" s="145"/>
    </row>
    <row r="80" ht="19.5" spans="11:24">
      <c r="K80" s="125"/>
      <c r="L80" s="192" t="s">
        <v>163</v>
      </c>
      <c r="M80" s="138">
        <f t="shared" ref="M80:S80" si="38">SUM(F80:L80)</f>
        <v>0</v>
      </c>
      <c r="N80" s="138">
        <f t="shared" si="38"/>
        <v>0</v>
      </c>
      <c r="O80" s="138">
        <f t="shared" si="38"/>
        <v>0</v>
      </c>
      <c r="P80" s="138">
        <f t="shared" si="38"/>
        <v>0</v>
      </c>
      <c r="Q80" s="138">
        <f t="shared" si="38"/>
        <v>0</v>
      </c>
      <c r="R80" s="138">
        <f t="shared" si="38"/>
        <v>0</v>
      </c>
      <c r="S80" s="138">
        <f t="shared" si="38"/>
        <v>0</v>
      </c>
      <c r="T80" s="138">
        <f t="shared" si="36"/>
        <v>0</v>
      </c>
      <c r="U80" s="149"/>
      <c r="V80" s="150"/>
      <c r="W80" s="151"/>
      <c r="X80" s="152"/>
    </row>
    <row r="81" ht="19.5" spans="11:24">
      <c r="K81" s="125"/>
      <c r="L81" s="154" t="s">
        <v>164</v>
      </c>
      <c r="M81" s="155" t="e">
        <f t="shared" ref="M81:T81" si="39">M79/M77</f>
        <v>#DIV/0!</v>
      </c>
      <c r="N81" s="155">
        <f t="shared" si="39"/>
        <v>1</v>
      </c>
      <c r="O81" s="155">
        <f t="shared" si="39"/>
        <v>1</v>
      </c>
      <c r="P81" s="155">
        <f t="shared" si="39"/>
        <v>1</v>
      </c>
      <c r="Q81" s="155">
        <f t="shared" si="39"/>
        <v>1</v>
      </c>
      <c r="R81" s="155">
        <f t="shared" si="39"/>
        <v>1</v>
      </c>
      <c r="S81" s="155">
        <f t="shared" si="39"/>
        <v>1</v>
      </c>
      <c r="T81" s="155">
        <f t="shared" si="39"/>
        <v>1</v>
      </c>
      <c r="U81" s="156"/>
      <c r="V81" s="150"/>
      <c r="W81" s="151"/>
      <c r="X81" s="152"/>
    </row>
  </sheetData>
  <mergeCells count="52">
    <mergeCell ref="A1:AA1"/>
    <mergeCell ref="M14:R14"/>
    <mergeCell ref="A25:C25"/>
    <mergeCell ref="M27:R27"/>
    <mergeCell ref="A36:C36"/>
    <mergeCell ref="M38:R38"/>
    <mergeCell ref="A49:C49"/>
    <mergeCell ref="A52:I52"/>
    <mergeCell ref="M57:T57"/>
    <mergeCell ref="W59:X59"/>
    <mergeCell ref="Y59:Z59"/>
    <mergeCell ref="V62:X62"/>
    <mergeCell ref="V63:X63"/>
    <mergeCell ref="M66:T66"/>
    <mergeCell ref="V71:X71"/>
    <mergeCell ref="V72:X72"/>
    <mergeCell ref="M75:T75"/>
    <mergeCell ref="V80:X80"/>
    <mergeCell ref="V81:X81"/>
    <mergeCell ref="D14:D15"/>
    <mergeCell ref="D27:D28"/>
    <mergeCell ref="D38:D39"/>
    <mergeCell ref="E14:E15"/>
    <mergeCell ref="E27:E28"/>
    <mergeCell ref="E38:E39"/>
    <mergeCell ref="F14:F15"/>
    <mergeCell ref="F27:F28"/>
    <mergeCell ref="F38:F39"/>
    <mergeCell ref="G14:G15"/>
    <mergeCell ref="G27:G28"/>
    <mergeCell ref="G38:G39"/>
    <mergeCell ref="H14:H15"/>
    <mergeCell ref="H27:H28"/>
    <mergeCell ref="H38:H39"/>
    <mergeCell ref="I14:I15"/>
    <mergeCell ref="I27:I28"/>
    <mergeCell ref="I38:I39"/>
    <mergeCell ref="J14:J15"/>
    <mergeCell ref="J27:J28"/>
    <mergeCell ref="J38:J39"/>
    <mergeCell ref="K14:K15"/>
    <mergeCell ref="K27:K28"/>
    <mergeCell ref="K38:K39"/>
    <mergeCell ref="K58:K63"/>
    <mergeCell ref="K67:K72"/>
    <mergeCell ref="K76:K81"/>
    <mergeCell ref="L16:L24"/>
    <mergeCell ref="L29:L35"/>
    <mergeCell ref="L40:L48"/>
    <mergeCell ref="A14:C15"/>
    <mergeCell ref="A27:C28"/>
    <mergeCell ref="A38:C39"/>
  </mergeCells>
  <pageMargins left="0.156944444444444" right="0.156944444444444" top="0.0784722222222222" bottom="0.0388888888888889" header="0.118055555555556" footer="0.314583333333333"/>
  <pageSetup paperSize="9" scale="25" fitToHeight="2" orientation="landscape"/>
  <headerFooter/>
  <rowBreaks count="1" manualBreakCount="1">
    <brk id="54" max="56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">
    <tabColor rgb="FF888888"/>
  </sheetPr>
  <dimension ref="A1:Q34"/>
  <sheetViews>
    <sheetView showGridLines="0" workbookViewId="0">
      <selection activeCell="F26" sqref="F26"/>
    </sheetView>
  </sheetViews>
  <sheetFormatPr defaultColWidth="9" defaultRowHeight="15"/>
  <cols>
    <col min="1" max="1" width="8" customWidth="1"/>
    <col min="2" max="3" width="22" customWidth="1"/>
    <col min="4" max="4" width="16.5714285714286" customWidth="1"/>
    <col min="5" max="5" width="4" customWidth="1"/>
    <col min="6" max="6" width="12" customWidth="1"/>
    <col min="7" max="9" width="6" customWidth="1"/>
    <col min="10" max="10" width="8" customWidth="1"/>
    <col min="11" max="11" width="4" customWidth="1"/>
    <col min="12" max="12" width="12" customWidth="1"/>
    <col min="13" max="13" width="22" customWidth="1"/>
    <col min="14" max="17" width="10" customWidth="1"/>
  </cols>
  <sheetData>
    <row r="1" ht="30" customHeight="1" spans="1:17">
      <c r="A1" s="1" t="s">
        <v>165</v>
      </c>
    </row>
    <row r="3" spans="1:17">
      <c r="A3" s="41" t="s">
        <v>166</v>
      </c>
      <c r="B3" s="42"/>
      <c r="D3" s="41" t="s">
        <v>167</v>
      </c>
      <c r="F3" s="41" t="s">
        <v>168</v>
      </c>
      <c r="G3" s="42"/>
      <c r="H3" s="42"/>
      <c r="I3" s="42"/>
      <c r="J3" s="42"/>
      <c r="L3" s="41" t="s">
        <v>169</v>
      </c>
      <c r="M3" s="42"/>
      <c r="N3" s="42"/>
      <c r="O3" s="42"/>
      <c r="P3" s="42"/>
      <c r="Q3" s="42"/>
    </row>
    <row r="4" spans="1:17">
      <c r="A4" s="10" t="s">
        <v>170</v>
      </c>
      <c r="B4" s="10" t="s">
        <v>13</v>
      </c>
      <c r="D4" s="10" t="s">
        <v>171</v>
      </c>
      <c r="F4" s="10" t="s">
        <v>172</v>
      </c>
      <c r="G4" s="10" t="s">
        <v>135</v>
      </c>
      <c r="H4" s="10" t="s">
        <v>173</v>
      </c>
      <c r="I4" s="10" t="s">
        <v>174</v>
      </c>
      <c r="J4" s="10" t="s">
        <v>175</v>
      </c>
      <c r="L4" s="10" t="s">
        <v>62</v>
      </c>
      <c r="M4" s="10" t="s">
        <v>64</v>
      </c>
      <c r="N4" s="10" t="s">
        <v>176</v>
      </c>
      <c r="O4" s="10" t="s">
        <v>177</v>
      </c>
      <c r="P4" s="10" t="s">
        <v>158</v>
      </c>
      <c r="Q4" s="10" t="s">
        <v>172</v>
      </c>
    </row>
    <row r="5" spans="1:17">
      <c r="A5" s="43" t="s">
        <v>87</v>
      </c>
      <c r="B5" s="43" t="s">
        <v>88</v>
      </c>
      <c r="D5" s="43" t="s">
        <v>178</v>
      </c>
      <c r="F5" s="43" t="s">
        <v>179</v>
      </c>
      <c r="G5" s="43" t="s">
        <v>180</v>
      </c>
      <c r="H5" s="43" t="s">
        <v>181</v>
      </c>
      <c r="I5" s="43" t="s">
        <v>182</v>
      </c>
      <c r="J5" s="43" t="s">
        <v>183</v>
      </c>
      <c r="L5" s="43" t="s">
        <v>83</v>
      </c>
      <c r="M5" s="43" t="s">
        <v>85</v>
      </c>
      <c r="N5" s="43" t="s">
        <v>184</v>
      </c>
      <c r="O5" s="43" t="s">
        <v>185</v>
      </c>
      <c r="P5" s="43" t="s">
        <v>186</v>
      </c>
      <c r="Q5" s="43" t="s">
        <v>187</v>
      </c>
    </row>
    <row r="6" spans="1:17">
      <c r="A6" s="44" t="s">
        <v>93</v>
      </c>
      <c r="B6" s="44" t="s">
        <v>94</v>
      </c>
      <c r="D6" s="44" t="s">
        <v>188</v>
      </c>
      <c r="F6" s="44" t="s">
        <v>189</v>
      </c>
      <c r="G6" s="44" t="s">
        <v>190</v>
      </c>
      <c r="H6" s="44" t="s">
        <v>191</v>
      </c>
      <c r="I6" s="44" t="s">
        <v>181</v>
      </c>
      <c r="J6" s="44" t="s">
        <v>192</v>
      </c>
      <c r="L6" s="44" t="s">
        <v>103</v>
      </c>
      <c r="M6" s="44" t="s">
        <v>105</v>
      </c>
      <c r="N6" s="44" t="s">
        <v>193</v>
      </c>
      <c r="O6" s="44" t="s">
        <v>185</v>
      </c>
      <c r="P6" s="44" t="s">
        <v>194</v>
      </c>
      <c r="Q6" s="44" t="s">
        <v>195</v>
      </c>
    </row>
    <row r="7" spans="1:17">
      <c r="A7" s="43" t="s">
        <v>107</v>
      </c>
      <c r="B7" s="43" t="s">
        <v>108</v>
      </c>
      <c r="D7" s="43" t="s">
        <v>196</v>
      </c>
      <c r="F7" s="43" t="s">
        <v>197</v>
      </c>
      <c r="G7" s="43" t="s">
        <v>191</v>
      </c>
      <c r="H7" s="43" t="s">
        <v>198</v>
      </c>
      <c r="I7" s="43" t="s">
        <v>199</v>
      </c>
      <c r="J7" s="43" t="s">
        <v>200</v>
      </c>
    </row>
    <row r="8" spans="1:17">
      <c r="A8" s="44" t="s">
        <v>95</v>
      </c>
      <c r="B8" s="44" t="s">
        <v>96</v>
      </c>
      <c r="D8" s="44" t="s">
        <v>181</v>
      </c>
    </row>
    <row r="9" spans="1:17">
      <c r="A9" s="43" t="s">
        <v>97</v>
      </c>
      <c r="B9" s="43" t="s">
        <v>98</v>
      </c>
      <c r="D9" s="43" t="s">
        <v>201</v>
      </c>
    </row>
    <row r="10" spans="1:17">
      <c r="A10" s="44" t="s">
        <v>112</v>
      </c>
      <c r="B10" s="44" t="s">
        <v>113</v>
      </c>
      <c r="D10" s="44" t="s">
        <v>202</v>
      </c>
    </row>
    <row r="11" spans="1:17">
      <c r="D11" s="43" t="s">
        <v>203</v>
      </c>
    </row>
    <row r="12" spans="1:17">
      <c r="A12" s="41" t="s">
        <v>204</v>
      </c>
      <c r="B12" s="42"/>
      <c r="D12" s="44" t="s">
        <v>205</v>
      </c>
    </row>
    <row r="13" spans="1:17">
      <c r="A13" s="10" t="s">
        <v>206</v>
      </c>
      <c r="B13" s="10" t="s">
        <v>207</v>
      </c>
      <c r="D13" s="43" t="s">
        <v>208</v>
      </c>
    </row>
    <row r="14" spans="1:17">
      <c r="A14" s="43" t="s">
        <v>209</v>
      </c>
      <c r="B14" s="43" t="s">
        <v>210</v>
      </c>
      <c r="D14" s="44" t="s">
        <v>211</v>
      </c>
    </row>
    <row r="15" spans="1:17">
      <c r="A15" s="44" t="s">
        <v>212</v>
      </c>
      <c r="B15" s="44" t="s">
        <v>213</v>
      </c>
      <c r="D15" s="43" t="s">
        <v>214</v>
      </c>
    </row>
    <row r="16" spans="1:17">
      <c r="A16" s="43" t="s">
        <v>215</v>
      </c>
      <c r="B16" s="43" t="s">
        <v>216</v>
      </c>
      <c r="D16" s="44" t="s">
        <v>217</v>
      </c>
    </row>
    <row r="17" spans="1:4">
      <c r="A17" s="44" t="s">
        <v>218</v>
      </c>
      <c r="B17" s="44" t="s">
        <v>219</v>
      </c>
      <c r="D17" s="43" t="s">
        <v>220</v>
      </c>
    </row>
    <row r="18" spans="1:4">
      <c r="A18" s="43" t="s">
        <v>221</v>
      </c>
      <c r="B18" s="43" t="s">
        <v>222</v>
      </c>
      <c r="D18" s="44" t="s">
        <v>191</v>
      </c>
    </row>
    <row r="19" spans="1:4">
      <c r="D19" s="43" t="s">
        <v>223</v>
      </c>
    </row>
    <row r="20" spans="1:4">
      <c r="A20" s="41" t="s">
        <v>224</v>
      </c>
      <c r="B20" s="42"/>
      <c r="C20" s="42"/>
      <c r="D20" s="44" t="s">
        <v>225</v>
      </c>
    </row>
    <row r="21" spans="1:4">
      <c r="A21" s="10" t="s">
        <v>226</v>
      </c>
      <c r="B21" s="10" t="s">
        <v>227</v>
      </c>
      <c r="C21" s="10" t="s">
        <v>228</v>
      </c>
      <c r="D21" s="43" t="s">
        <v>229</v>
      </c>
    </row>
    <row r="22" spans="1:4">
      <c r="A22" s="43" t="s">
        <v>82</v>
      </c>
      <c r="B22" s="43" t="s">
        <v>230</v>
      </c>
      <c r="C22" s="43" t="s">
        <v>231</v>
      </c>
      <c r="D22" s="44" t="s">
        <v>232</v>
      </c>
    </row>
    <row r="24" spans="1:4">
      <c r="A24" s="41" t="s">
        <v>233</v>
      </c>
      <c r="B24" s="42"/>
      <c r="D24" s="41" t="s">
        <v>234</v>
      </c>
    </row>
    <row r="25" spans="1:4">
      <c r="A25" s="10" t="s">
        <v>170</v>
      </c>
      <c r="B25" s="10" t="s">
        <v>13</v>
      </c>
      <c r="D25" s="10" t="s">
        <v>171</v>
      </c>
    </row>
    <row r="26" spans="1:4">
      <c r="A26" s="43" t="s">
        <v>235</v>
      </c>
      <c r="B26" s="43" t="s">
        <v>236</v>
      </c>
      <c r="D26" s="43" t="s">
        <v>132</v>
      </c>
    </row>
    <row r="27" spans="1:4">
      <c r="A27" s="44" t="s">
        <v>237</v>
      </c>
      <c r="B27" s="44" t="s">
        <v>238</v>
      </c>
      <c r="D27" s="44" t="s">
        <v>133</v>
      </c>
    </row>
    <row r="28" spans="1:4">
      <c r="A28" s="43" t="s">
        <v>239</v>
      </c>
      <c r="B28" s="43" t="s">
        <v>240</v>
      </c>
      <c r="D28" s="43" t="s">
        <v>134</v>
      </c>
    </row>
    <row r="29" spans="1:4">
      <c r="A29" s="44" t="s">
        <v>241</v>
      </c>
      <c r="B29" s="44" t="s">
        <v>242</v>
      </c>
      <c r="D29" s="44" t="s">
        <v>135</v>
      </c>
    </row>
    <row r="30" spans="1:4">
      <c r="D30" s="43" t="s">
        <v>136</v>
      </c>
    </row>
    <row r="31" spans="1:4">
      <c r="D31" s="44" t="s">
        <v>137</v>
      </c>
    </row>
    <row r="32" spans="1:4">
      <c r="D32" s="43" t="s">
        <v>138</v>
      </c>
    </row>
    <row r="33" spans="4:4">
      <c r="D33" s="44" t="s">
        <v>243</v>
      </c>
    </row>
    <row r="34" spans="4:4">
      <c r="D34" s="43" t="s">
        <v>244</v>
      </c>
    </row>
  </sheetData>
  <mergeCells count="1">
    <mergeCell ref="A1:P1"/>
  </mergeCells>
  <pageMargins left="0.75" right="0.75" top="1" bottom="1" header="0.5" footer="0.5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">
    <tabColor rgb="FF9B59B6"/>
  </sheetPr>
  <dimension ref="A1:F15"/>
  <sheetViews>
    <sheetView showGridLines="0" workbookViewId="0">
      <selection activeCell="C19" sqref="C19"/>
    </sheetView>
  </sheetViews>
  <sheetFormatPr defaultColWidth="9" defaultRowHeight="15" outlineLevelCol="5"/>
  <cols>
    <col min="1" max="1" width="32" customWidth="1"/>
    <col min="2" max="2" width="41.1428571428571" customWidth="1"/>
    <col min="3" max="3" width="14" customWidth="1"/>
    <col min="4" max="4" width="40" customWidth="1"/>
  </cols>
  <sheetData>
    <row r="1" ht="30" customHeight="1" spans="1:4">
      <c r="A1" s="1" t="s">
        <v>245</v>
      </c>
    </row>
    <row r="3" spans="1:4">
      <c r="A3" s="35" t="s">
        <v>246</v>
      </c>
      <c r="B3" s="35" t="s">
        <v>247</v>
      </c>
      <c r="C3" s="35" t="s">
        <v>248</v>
      </c>
      <c r="D3" s="35" t="s">
        <v>249</v>
      </c>
    </row>
    <row r="4" spans="1:4">
      <c r="A4" s="36" t="s">
        <v>250</v>
      </c>
      <c r="B4" s="37">
        <v>14</v>
      </c>
      <c r="C4" s="38" t="s">
        <v>251</v>
      </c>
      <c r="D4" s="38" t="s">
        <v>252</v>
      </c>
    </row>
    <row r="5" spans="1:4">
      <c r="A5" s="39" t="s">
        <v>253</v>
      </c>
      <c r="B5" s="37">
        <v>0.34</v>
      </c>
      <c r="C5" s="40" t="s">
        <v>254</v>
      </c>
      <c r="D5" s="40" t="s">
        <v>255</v>
      </c>
    </row>
    <row r="6" spans="1:4">
      <c r="A6" s="36" t="s">
        <v>256</v>
      </c>
      <c r="B6" s="37" t="s">
        <v>185</v>
      </c>
      <c r="C6" s="38" t="s">
        <v>254</v>
      </c>
      <c r="D6" s="38" t="s">
        <v>257</v>
      </c>
    </row>
    <row r="7" spans="1:4">
      <c r="A7" s="39" t="s">
        <v>258</v>
      </c>
      <c r="B7" s="37" t="s">
        <v>259</v>
      </c>
      <c r="C7" s="40" t="s">
        <v>260</v>
      </c>
      <c r="D7" s="40" t="s">
        <v>261</v>
      </c>
    </row>
    <row r="8" spans="1:4">
      <c r="A8" s="36" t="s">
        <v>262</v>
      </c>
      <c r="B8" s="37" t="s">
        <v>263</v>
      </c>
      <c r="C8" s="38" t="s">
        <v>260</v>
      </c>
      <c r="D8" s="38" t="s">
        <v>264</v>
      </c>
    </row>
    <row r="9" spans="1:4">
      <c r="A9" s="39" t="s">
        <v>265</v>
      </c>
      <c r="B9" s="37" t="s">
        <v>266</v>
      </c>
      <c r="C9" s="40" t="s">
        <v>260</v>
      </c>
      <c r="D9" s="40" t="s">
        <v>267</v>
      </c>
    </row>
    <row r="10" spans="1:4">
      <c r="A10" s="36" t="s">
        <v>268</v>
      </c>
      <c r="B10" s="37" t="s">
        <v>269</v>
      </c>
      <c r="C10" s="38" t="s">
        <v>270</v>
      </c>
      <c r="D10" s="38" t="s">
        <v>271</v>
      </c>
    </row>
    <row r="11" spans="1:4">
      <c r="A11" s="39" t="s">
        <v>272</v>
      </c>
      <c r="B11" s="37" t="s">
        <v>273</v>
      </c>
      <c r="C11" s="40" t="s">
        <v>260</v>
      </c>
      <c r="D11" s="40" t="s">
        <v>274</v>
      </c>
    </row>
    <row r="12" spans="1:4">
      <c r="A12" s="36" t="s">
        <v>275</v>
      </c>
      <c r="B12" s="37" t="s">
        <v>82</v>
      </c>
      <c r="C12" s="38" t="s">
        <v>260</v>
      </c>
      <c r="D12" s="38" t="s">
        <v>276</v>
      </c>
    </row>
    <row r="13" spans="1:4">
      <c r="A13" s="39" t="s">
        <v>277</v>
      </c>
      <c r="B13" s="37" t="s">
        <v>79</v>
      </c>
      <c r="C13" s="40" t="s">
        <v>260</v>
      </c>
      <c r="D13" s="40" t="s">
        <v>278</v>
      </c>
    </row>
    <row r="14" spans="1:4">
      <c r="A14" s="36" t="s">
        <v>279</v>
      </c>
      <c r="B14" s="37" t="s">
        <v>82</v>
      </c>
      <c r="C14" s="38" t="s">
        <v>260</v>
      </c>
      <c r="D14" s="38" t="s">
        <v>278</v>
      </c>
    </row>
    <row r="15" spans="1:4">
      <c r="A15" s="39" t="s">
        <v>280</v>
      </c>
      <c r="B15" s="37" t="s">
        <v>281</v>
      </c>
      <c r="C15" s="40" t="s">
        <v>260</v>
      </c>
      <c r="D15" s="40" t="s">
        <v>278</v>
      </c>
    </row>
  </sheetData>
  <mergeCells count="1">
    <mergeCell ref="A1:F1"/>
  </mergeCells>
  <pageMargins left="0.75" right="0.75" top="1" bottom="1" header="0.5" footer="0.5"/>
  <headerFooter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8">
    <tabColor rgb="FFC8A84B"/>
  </sheetPr>
  <dimension ref="A1:P34"/>
  <sheetViews>
    <sheetView showGridLines="0" workbookViewId="0">
      <selection activeCell="E24" sqref="E24"/>
    </sheetView>
  </sheetViews>
  <sheetFormatPr defaultColWidth="9" defaultRowHeight="15"/>
  <cols>
    <col min="1" max="1" width="22" customWidth="1"/>
    <col min="2" max="16" width="12" customWidth="1"/>
  </cols>
  <sheetData>
    <row r="1" ht="40" customHeight="1" spans="1:14">
      <c r="A1" s="8" t="s">
        <v>282</v>
      </c>
    </row>
    <row r="2" spans="1:14">
      <c r="A2" s="9" t="s">
        <v>283</v>
      </c>
    </row>
    <row r="4" ht="24" customHeight="1" spans="1:14">
      <c r="A4" s="10" t="s">
        <v>284</v>
      </c>
      <c r="B4" s="11"/>
      <c r="C4" s="11"/>
      <c r="D4" s="12"/>
      <c r="F4" s="13" t="s">
        <v>285</v>
      </c>
      <c r="G4" s="11"/>
      <c r="H4" s="11"/>
      <c r="I4" s="12"/>
      <c r="K4" s="14" t="s">
        <v>74</v>
      </c>
      <c r="L4" s="11"/>
      <c r="M4" s="11"/>
      <c r="N4" s="12"/>
    </row>
    <row r="5" ht="24" customHeight="1" spans="1:14">
      <c r="A5" s="15"/>
      <c r="B5" s="16"/>
      <c r="C5" s="16"/>
      <c r="D5" s="17"/>
      <c r="F5" s="15"/>
      <c r="G5" s="16"/>
      <c r="H5" s="16"/>
      <c r="I5" s="17"/>
      <c r="K5" s="15"/>
      <c r="L5" s="16"/>
      <c r="M5" s="16"/>
      <c r="N5" s="17"/>
    </row>
    <row r="6" ht="24" customHeight="1" spans="1:14">
      <c r="A6" s="18" t="s">
        <v>286</v>
      </c>
      <c r="B6" s="11"/>
      <c r="C6" s="11"/>
      <c r="D6" s="12"/>
      <c r="F6" s="19" t="s">
        <v>287</v>
      </c>
      <c r="G6" s="11"/>
      <c r="H6" s="11"/>
      <c r="I6" s="12"/>
      <c r="K6" s="20" t="s">
        <v>288</v>
      </c>
      <c r="L6" s="11"/>
      <c r="M6" s="11"/>
      <c r="N6" s="12"/>
    </row>
    <row r="7" ht="24" customHeight="1" spans="1:14">
      <c r="A7" s="15"/>
      <c r="B7" s="16"/>
      <c r="C7" s="16"/>
      <c r="D7" s="17"/>
      <c r="F7" s="15"/>
      <c r="G7" s="16"/>
      <c r="H7" s="16"/>
      <c r="I7" s="17"/>
      <c r="K7" s="15"/>
      <c r="L7" s="16"/>
      <c r="M7" s="16"/>
      <c r="N7" s="17"/>
    </row>
    <row r="8" ht="24" customHeight="1"/>
    <row r="9" ht="24" customHeight="1" spans="1:14">
      <c r="A9" s="21" t="s">
        <v>9</v>
      </c>
      <c r="B9" s="11"/>
      <c r="C9" s="11"/>
      <c r="D9" s="12"/>
      <c r="F9" s="22" t="s">
        <v>289</v>
      </c>
      <c r="G9" s="11"/>
      <c r="H9" s="11"/>
      <c r="I9" s="12"/>
      <c r="K9" s="23" t="s">
        <v>290</v>
      </c>
      <c r="L9" s="11"/>
      <c r="M9" s="11"/>
      <c r="N9" s="12"/>
    </row>
    <row r="10" ht="24" customHeight="1" spans="1:14">
      <c r="A10" s="15"/>
      <c r="B10" s="16"/>
      <c r="C10" s="16"/>
      <c r="D10" s="17"/>
      <c r="F10" s="15"/>
      <c r="G10" s="16"/>
      <c r="H10" s="16"/>
      <c r="I10" s="17"/>
      <c r="K10" s="15"/>
      <c r="L10" s="16"/>
      <c r="M10" s="16"/>
      <c r="N10" s="17"/>
    </row>
    <row r="11" ht="24" customHeight="1" spans="1:14">
      <c r="A11" s="24">
        <f>COUNTA(#REF!)</f>
        <v>1</v>
      </c>
      <c r="B11" s="11"/>
      <c r="C11" s="11"/>
      <c r="D11" s="12"/>
      <c r="F11" s="25">
        <f>IFERROR(SUM(#REF!),0)</f>
        <v>0</v>
      </c>
      <c r="G11" s="11"/>
      <c r="H11" s="11"/>
      <c r="I11" s="12"/>
      <c r="K11" s="26">
        <f>IFERROR(SUMPRODUCT((PO_MASTER!S3:S9))/SUMPRODUCT((PO_MASTER!N3:N9)),0)</f>
        <v>0</v>
      </c>
      <c r="L11" s="11"/>
      <c r="M11" s="11"/>
      <c r="N11" s="12"/>
    </row>
    <row r="12" ht="24" customHeight="1" spans="1:14">
      <c r="A12" s="15"/>
      <c r="B12" s="16"/>
      <c r="C12" s="16"/>
      <c r="D12" s="17"/>
      <c r="F12" s="15"/>
      <c r="G12" s="16"/>
      <c r="H12" s="16"/>
      <c r="I12" s="17"/>
      <c r="K12" s="15"/>
      <c r="L12" s="16"/>
      <c r="M12" s="16"/>
      <c r="N12" s="17"/>
    </row>
    <row r="13" ht="24" customHeight="1"/>
    <row r="15" ht="15.75" spans="1:14">
      <c r="A15" s="27" t="s">
        <v>291</v>
      </c>
    </row>
    <row r="16" spans="1:14">
      <c r="A16" s="10" t="s">
        <v>292</v>
      </c>
      <c r="B16" s="10" t="s">
        <v>69</v>
      </c>
      <c r="C16" s="10" t="s">
        <v>74</v>
      </c>
      <c r="D16" s="10" t="s">
        <v>293</v>
      </c>
    </row>
    <row r="17" spans="1:5">
      <c r="A17" s="28" t="s">
        <v>294</v>
      </c>
      <c r="B17" s="29">
        <v>6512</v>
      </c>
      <c r="C17" s="29">
        <v>0</v>
      </c>
      <c r="D17" s="30">
        <f t="shared" ref="D17:D22" si="0">IFERROR(C17/B17,0)</f>
        <v>0</v>
      </c>
    </row>
    <row r="18" spans="1:5">
      <c r="A18" s="31" t="s">
        <v>295</v>
      </c>
      <c r="B18" s="32">
        <v>4967</v>
      </c>
      <c r="C18" s="32">
        <v>0</v>
      </c>
      <c r="D18" s="33">
        <f t="shared" si="0"/>
        <v>0</v>
      </c>
    </row>
    <row r="19" spans="1:5">
      <c r="A19" s="28" t="s">
        <v>296</v>
      </c>
      <c r="B19" s="29">
        <v>3881</v>
      </c>
      <c r="C19" s="29">
        <v>0</v>
      </c>
      <c r="D19" s="30">
        <f t="shared" si="0"/>
        <v>0</v>
      </c>
    </row>
    <row r="20" spans="1:5">
      <c r="A20" s="31" t="s">
        <v>297</v>
      </c>
      <c r="B20" s="32">
        <v>1777</v>
      </c>
      <c r="C20" s="32">
        <v>0</v>
      </c>
      <c r="D20" s="33">
        <f t="shared" si="0"/>
        <v>0</v>
      </c>
    </row>
    <row r="21" spans="1:5">
      <c r="A21" s="28" t="s">
        <v>298</v>
      </c>
      <c r="B21" s="29">
        <v>584</v>
      </c>
      <c r="C21" s="29">
        <v>0</v>
      </c>
      <c r="D21" s="30">
        <f t="shared" si="0"/>
        <v>0</v>
      </c>
    </row>
    <row r="22" spans="1:5">
      <c r="A22" s="31" t="s">
        <v>299</v>
      </c>
      <c r="B22" s="32">
        <v>1729</v>
      </c>
      <c r="C22" s="32">
        <v>0</v>
      </c>
      <c r="D22" s="33">
        <f t="shared" si="0"/>
        <v>0</v>
      </c>
    </row>
    <row r="26" ht="15.75" spans="1:5">
      <c r="A26" s="27" t="s">
        <v>300</v>
      </c>
    </row>
    <row r="27" spans="1:5">
      <c r="A27" s="10" t="s">
        <v>171</v>
      </c>
      <c r="B27" s="10" t="s">
        <v>108</v>
      </c>
      <c r="C27" s="10" t="s">
        <v>96</v>
      </c>
      <c r="D27" s="10" t="s">
        <v>301</v>
      </c>
      <c r="E27" s="10" t="s">
        <v>302</v>
      </c>
    </row>
    <row r="28" spans="1:5">
      <c r="A28" s="28" t="s">
        <v>133</v>
      </c>
      <c r="B28" s="29">
        <v>47</v>
      </c>
      <c r="C28" s="29">
        <v>12</v>
      </c>
      <c r="D28" s="29">
        <v>155</v>
      </c>
      <c r="E28" s="29">
        <f t="shared" ref="E28:E33" si="1">SUM(B28:D28)</f>
        <v>214</v>
      </c>
    </row>
    <row r="29" spans="1:5">
      <c r="A29" s="31" t="s">
        <v>134</v>
      </c>
      <c r="B29" s="32">
        <v>146</v>
      </c>
      <c r="C29" s="32">
        <v>50</v>
      </c>
      <c r="D29" s="32">
        <v>456</v>
      </c>
      <c r="E29" s="32">
        <f t="shared" si="1"/>
        <v>652</v>
      </c>
    </row>
    <row r="30" spans="1:5">
      <c r="A30" s="28" t="s">
        <v>135</v>
      </c>
      <c r="B30" s="29">
        <v>164</v>
      </c>
      <c r="C30" s="29">
        <v>73</v>
      </c>
      <c r="D30" s="29">
        <v>508</v>
      </c>
      <c r="E30" s="29">
        <f t="shared" si="1"/>
        <v>745</v>
      </c>
    </row>
    <row r="31" spans="1:5">
      <c r="A31" s="31" t="s">
        <v>136</v>
      </c>
      <c r="B31" s="32">
        <v>134</v>
      </c>
      <c r="C31" s="32">
        <v>33</v>
      </c>
      <c r="D31" s="32">
        <v>387</v>
      </c>
      <c r="E31" s="32">
        <f t="shared" si="1"/>
        <v>554</v>
      </c>
    </row>
    <row r="32" spans="1:5">
      <c r="A32" s="28" t="s">
        <v>137</v>
      </c>
      <c r="B32" s="29">
        <v>76</v>
      </c>
      <c r="C32" s="29">
        <v>20</v>
      </c>
      <c r="D32" s="29">
        <v>190</v>
      </c>
      <c r="E32" s="29">
        <f t="shared" si="1"/>
        <v>286</v>
      </c>
    </row>
    <row r="33" spans="1:5">
      <c r="A33" s="31" t="s">
        <v>138</v>
      </c>
      <c r="B33" s="32">
        <v>17</v>
      </c>
      <c r="C33" s="32">
        <v>4</v>
      </c>
      <c r="D33" s="32">
        <v>33</v>
      </c>
      <c r="E33" s="32">
        <f t="shared" si="1"/>
        <v>54</v>
      </c>
    </row>
    <row r="34" spans="1:5">
      <c r="A34" s="10" t="s">
        <v>302</v>
      </c>
      <c r="B34" s="34">
        <f>SUM(B28:B33)</f>
        <v>584</v>
      </c>
      <c r="C34" s="34">
        <f>SUM(C28:C33)</f>
        <v>192</v>
      </c>
      <c r="D34" s="34">
        <f>SUM(D28:D33)</f>
        <v>1729</v>
      </c>
      <c r="E34" s="34">
        <f>SUM(E28:E33)</f>
        <v>2505</v>
      </c>
    </row>
  </sheetData>
  <mergeCells count="14">
    <mergeCell ref="A1:P1"/>
    <mergeCell ref="A2:P2"/>
    <mergeCell ref="F6:I7"/>
    <mergeCell ref="K11:N12"/>
    <mergeCell ref="A9:D10"/>
    <mergeCell ref="F9:I10"/>
    <mergeCell ref="K9:N10"/>
    <mergeCell ref="A4:D5"/>
    <mergeCell ref="F4:I5"/>
    <mergeCell ref="F11:I12"/>
    <mergeCell ref="K4:N5"/>
    <mergeCell ref="K6:N7"/>
    <mergeCell ref="A11:D12"/>
    <mergeCell ref="A6:D7"/>
  </mergeCells>
  <pageMargins left="0.75" right="0.75" top="1" bottom="1" header="0.5" footer="0.5"/>
  <headerFooter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9">
    <tabColor rgb="FFC0392B"/>
  </sheetPr>
  <dimension ref="A1:J16"/>
  <sheetViews>
    <sheetView showGridLines="0" workbookViewId="0">
      <selection activeCell="C24" sqref="C24"/>
    </sheetView>
  </sheetViews>
  <sheetFormatPr defaultColWidth="9" defaultRowHeight="15"/>
  <cols>
    <col min="1" max="1" width="18" customWidth="1"/>
    <col min="2" max="10" width="14" customWidth="1"/>
  </cols>
  <sheetData>
    <row r="1" ht="30" customHeight="1" spans="1:10">
      <c r="A1" s="1" t="s">
        <v>303</v>
      </c>
    </row>
    <row r="3" spans="1:10">
      <c r="A3" s="2" t="s">
        <v>304</v>
      </c>
      <c r="B3" s="3"/>
      <c r="C3" s="3"/>
      <c r="D3" s="3"/>
      <c r="E3" s="3"/>
      <c r="F3" s="3"/>
      <c r="G3" s="3"/>
      <c r="H3" s="3"/>
      <c r="I3" s="3"/>
      <c r="J3" s="3"/>
    </row>
    <row r="4" spans="1:10">
      <c r="A4" s="4" t="s">
        <v>305</v>
      </c>
      <c r="B4" s="3"/>
      <c r="C4" s="3"/>
      <c r="D4" s="5" t="s">
        <v>306</v>
      </c>
      <c r="E4" s="3"/>
      <c r="F4" s="3"/>
      <c r="G4" s="3"/>
      <c r="H4" s="3"/>
      <c r="I4" s="3"/>
      <c r="J4" s="3"/>
    </row>
    <row r="5" spans="1:10">
      <c r="A5" s="3"/>
      <c r="B5" s="3"/>
      <c r="C5" s="3"/>
      <c r="D5" s="3"/>
      <c r="E5" s="3"/>
      <c r="F5" s="3"/>
      <c r="G5" s="3"/>
      <c r="H5" s="3"/>
      <c r="I5" s="3"/>
      <c r="J5" s="3"/>
    </row>
    <row r="6" spans="1:10">
      <c r="A6" s="4" t="s">
        <v>307</v>
      </c>
      <c r="B6" s="3"/>
      <c r="C6" s="3"/>
      <c r="D6" s="5" t="s">
        <v>308</v>
      </c>
      <c r="E6" s="3"/>
      <c r="F6" s="3"/>
      <c r="G6" s="3"/>
      <c r="H6" s="3"/>
      <c r="I6" s="3"/>
      <c r="J6" s="3"/>
    </row>
    <row r="7" spans="1:10">
      <c r="A7" s="3"/>
      <c r="B7" s="3"/>
      <c r="C7" s="3"/>
      <c r="D7" s="3"/>
      <c r="E7" s="3"/>
      <c r="F7" s="3"/>
      <c r="G7" s="3"/>
      <c r="H7" s="3"/>
      <c r="I7" s="3"/>
      <c r="J7" s="3"/>
    </row>
    <row r="8" spans="1:10">
      <c r="A8" s="4" t="s">
        <v>309</v>
      </c>
      <c r="B8" s="3"/>
      <c r="C8" s="3"/>
      <c r="D8" s="5" t="s">
        <v>310</v>
      </c>
      <c r="E8" s="3"/>
      <c r="F8" s="3"/>
      <c r="G8" s="3"/>
      <c r="H8" s="3"/>
      <c r="I8" s="3"/>
      <c r="J8" s="3"/>
    </row>
    <row r="9" spans="1:10">
      <c r="A9" s="3"/>
      <c r="B9" s="3"/>
      <c r="C9" s="3"/>
      <c r="D9" s="3"/>
      <c r="E9" s="3"/>
      <c r="F9" s="3"/>
      <c r="G9" s="3"/>
      <c r="H9" s="3"/>
      <c r="I9" s="3"/>
      <c r="J9" s="3"/>
    </row>
    <row r="10" spans="1:10">
      <c r="A10" s="4" t="s">
        <v>311</v>
      </c>
      <c r="B10" s="3"/>
      <c r="C10" s="3"/>
      <c r="D10" s="5" t="s">
        <v>312</v>
      </c>
      <c r="E10" s="3"/>
      <c r="F10" s="3"/>
      <c r="G10" s="3"/>
      <c r="H10" s="3"/>
      <c r="I10" s="3"/>
      <c r="J10" s="3"/>
    </row>
    <row r="11" spans="1:10">
      <c r="A11" s="3"/>
      <c r="B11" s="3"/>
      <c r="C11" s="3"/>
      <c r="D11" s="3"/>
      <c r="E11" s="3"/>
      <c r="F11" s="3"/>
      <c r="G11" s="3"/>
      <c r="H11" s="3"/>
      <c r="I11" s="3"/>
      <c r="J11" s="3"/>
    </row>
    <row r="16" spans="1:10">
      <c r="A16" s="6" t="s">
        <v>313</v>
      </c>
      <c r="B16" s="7" t="s">
        <v>314</v>
      </c>
    </row>
  </sheetData>
  <mergeCells count="10">
    <mergeCell ref="A1:J1"/>
    <mergeCell ref="A3:J3"/>
    <mergeCell ref="D6:J7"/>
    <mergeCell ref="A6:C7"/>
    <mergeCell ref="A10:C11"/>
    <mergeCell ref="D10:J11"/>
    <mergeCell ref="A8:C9"/>
    <mergeCell ref="D8:J9"/>
    <mergeCell ref="D4:J5"/>
    <mergeCell ref="A4:C5"/>
  </mergeCells>
  <pageMargins left="0.75" right="0.75" top="1" bottom="1" header="0.5" footer="0.5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Compatible / Openpyxl 3.1.5</Application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HOME</vt:lpstr>
      <vt:lpstr>PO_MASTER</vt:lpstr>
      <vt:lpstr>PACKING_LIST</vt:lpstr>
      <vt:lpstr>MASTER_DATA</vt:lpstr>
      <vt:lpstr>SETTINGS</vt:lpstr>
      <vt:lpstr>DASHBOARD</vt:lpstr>
      <vt:lpstr>EXPORT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YASH</cp:lastModifiedBy>
  <dcterms:created xsi:type="dcterms:W3CDTF">2026-07-02T17:35:00Z</dcterms:created>
  <dcterms:modified xsi:type="dcterms:W3CDTF">2026-07-03T17:24:08Z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A34BAF53FBC7448CA8E38F825A936DEC_13</vt:lpwstr>
  </property>
  <property fmtid="{D5CDD505-2E9C-101B-9397-08002B2CF9AE}" pid="3" name="KSOProductBuildVer">
    <vt:lpwstr>1033-12.1.0.26880</vt:lpwstr>
  </property>
  <property fmtid="{D5CDD505-2E9C-101B-9397-08002B2CF9AE}" pid="4" name="CalculationRule">
    <vt:i4>0</vt:i4>
  </property>
</Properties>
</file>