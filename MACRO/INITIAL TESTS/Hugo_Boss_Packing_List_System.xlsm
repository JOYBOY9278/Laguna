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7945" windowHeight="12375"/>
  </bookViews>
  <sheets>
    <sheet name="HOME" sheetId="1" r:id="rId1"/>
    <sheet name="PO_MASTER" sheetId="2" r:id="rId2"/>
    <sheet name="PACKING_LIST" sheetId="3" r:id="rId3"/>
    <sheet name="CARTON_ALLOCATION" sheetId="4" r:id="rId4"/>
    <sheet name="CUT_SHEET" sheetId="5" r:id="rId5"/>
    <sheet name="MASTER_DATA" sheetId="6" r:id="rId6"/>
    <sheet name="SETTINGS" sheetId="7" r:id="rId7"/>
    <sheet name="DASHBOARD" sheetId="8" r:id="rId8"/>
    <sheet name="EXPORT" sheetId="9" r:id="rId9"/>
  </sheets>
  <definedNames>
    <definedName name="_xlnm._FilterDatabase" localSheetId="1" hidden="1">PO_MASTER!$A$2:$U$59</definedName>
    <definedName name="_xlnm._FilterDatabase" localSheetId="3" hidden="1">CARTON_ALLOCATION!$A$3:$N$200</definedName>
    <definedName name="_xlnm._FilterDatabase" localSheetId="4" hidden="1">CUT_SHEET!$A$2:$K$200</definedName>
    <definedName name="_xlnm.Print_Titles" localSheetId="2">PACKING_LIST!$1:$11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<sst xmlns="http://schemas.openxmlformats.org/spreadsheetml/2006/main" count="595" uniqueCount="301">
  <si>
    <t>HUGO BOSS  ·  PACKING LIST MANAGEMENT SYSTEM</t>
  </si>
  <si>
    <t>LAGUNA INDIA PRIVATE LIMITED  ·  Vendor 6094373</t>
  </si>
  <si>
    <t>Current User:</t>
  </si>
  <si>
    <t>Packing Dept</t>
  </si>
  <si>
    <t>Date:</t>
  </si>
  <si>
    <t>02 Jul 2026</t>
  </si>
  <si>
    <t>Workbook Version:</t>
  </si>
  <si>
    <t>v1.0 – July 2026</t>
  </si>
  <si>
    <t>Total Active POs</t>
  </si>
  <si>
    <t>Total Ordered Qty</t>
  </si>
  <si>
    <t>Total Cartons</t>
  </si>
  <si>
    <t>NAVIGATION &amp; QUICK ACTIONS</t>
  </si>
  <si>
    <t>Button / Action</t>
  </si>
  <si>
    <t>Sheet</t>
  </si>
  <si>
    <t>Description</t>
  </si>
  <si>
    <t>Shortcut</t>
  </si>
  <si>
    <t>Import PO</t>
  </si>
  <si>
    <t>PO_MASTER</t>
  </si>
  <si>
    <t>Read &amp; append new POs – no duplicates</t>
  </si>
  <si>
    <t>Ctrl+I</t>
  </si>
  <si>
    <t>Generate Packing</t>
  </si>
  <si>
    <t>PACKING_LIST</t>
  </si>
  <si>
    <t>One-click packing sheet with dynamic sizes</t>
  </si>
  <si>
    <t>Ctrl+G</t>
  </si>
  <si>
    <t>Auto Allocate</t>
  </si>
  <si>
    <t>CARTON_ALLOCATION</t>
  </si>
  <si>
    <t>Distribute garments into cartons (14 pcs)</t>
  </si>
  <si>
    <t>Ctrl+A</t>
  </si>
  <si>
    <t>Validate</t>
  </si>
  <si>
    <t>Check packed = ordered, weights, blanks</t>
  </si>
  <si>
    <t>Ctrl+V</t>
  </si>
  <si>
    <t>Dashboard</t>
  </si>
  <si>
    <t>DASHBOARD</t>
  </si>
  <si>
    <t>KPI charts and progress summary</t>
  </si>
  <si>
    <t>Ctrl+D</t>
  </si>
  <si>
    <t>Export PDF</t>
  </si>
  <si>
    <t>EXPORT</t>
  </si>
  <si>
    <t>Print-ready A4 landscape PDF</t>
  </si>
  <si>
    <t>Ctrl+P</t>
  </si>
  <si>
    <t>Export XLSX</t>
  </si>
  <si>
    <t>Macro-free values-only workbook</t>
  </si>
  <si>
    <t>Ctrl+E</t>
  </si>
  <si>
    <t>Clear Data</t>
  </si>
  <si>
    <t>HOME</t>
  </si>
  <si>
    <t>Clear working sheets (keeps master data)</t>
  </si>
  <si>
    <t>Ctrl+L</t>
  </si>
  <si>
    <t>⚙  VBA AUTOMATION  –  Open Visual Basic Editor (Alt+F11), import VBA_Source_Code.txt into a new Module named 'Main', then assign each macro to the corresponding button on this sheet. Buttons can be inserted via Developer → Insert → Form Controls → Button.</t>
  </si>
  <si>
    <t>PO MASTER DATABASE – Hugo Boss Packing System</t>
  </si>
  <si>
    <t>PO Number</t>
  </si>
  <si>
    <t>Season</t>
  </si>
  <si>
    <t>Customer</t>
  </si>
  <si>
    <t>Brand</t>
  </si>
  <si>
    <t>Division</t>
  </si>
  <si>
    <t>Factory</t>
  </si>
  <si>
    <t>Style</t>
  </si>
  <si>
    <t>Form</t>
  </si>
  <si>
    <t>Form Name</t>
  </si>
  <si>
    <t>Quality</t>
  </si>
  <si>
    <t>Color Code</t>
  </si>
  <si>
    <t>Color Description</t>
  </si>
  <si>
    <t>Size Range</t>
  </si>
  <si>
    <t>Ordered Qty</t>
  </si>
  <si>
    <t>Delivery Date</t>
  </si>
  <si>
    <t>Destination</t>
  </si>
  <si>
    <t>Unit Price (USD)</t>
  </si>
  <si>
    <t>Status</t>
  </si>
  <si>
    <t>Packed Qty</t>
  </si>
  <si>
    <t>Balance</t>
  </si>
  <si>
    <t>% Complete</t>
  </si>
  <si>
    <t>4901873568</t>
  </si>
  <si>
    <t>S26 Black</t>
  </si>
  <si>
    <t>Hugo Boss Ticino SA</t>
  </si>
  <si>
    <t>BOSS</t>
  </si>
  <si>
    <t>Shirts</t>
  </si>
  <si>
    <t>Laguna India Pvt Ltd</t>
  </si>
  <si>
    <t>50473265</t>
  </si>
  <si>
    <t>251087</t>
  </si>
  <si>
    <t>H-JOE-kent-C1-214</t>
  </si>
  <si>
    <t>10219212</t>
  </si>
  <si>
    <t>001</t>
  </si>
  <si>
    <t>Black</t>
  </si>
  <si>
    <t>37-50 / 42L-45L</t>
  </si>
  <si>
    <t>17.06.2026</t>
  </si>
  <si>
    <t>DC FPG Filderstadt, Germany</t>
  </si>
  <si>
    <t>Open</t>
  </si>
  <si>
    <t>100</t>
  </si>
  <si>
    <t>White</t>
  </si>
  <si>
    <t>404</t>
  </si>
  <si>
    <t>Dark Blue</t>
  </si>
  <si>
    <t>452</t>
  </si>
  <si>
    <t>Light/Pastel Blue</t>
  </si>
  <si>
    <t>24.06.2026</t>
  </si>
  <si>
    <t>4901893255</t>
  </si>
  <si>
    <t>S27 Bulk</t>
  </si>
  <si>
    <t>Hugo Boss Fashions Inc</t>
  </si>
  <si>
    <t>50576239</t>
  </si>
  <si>
    <t>326565</t>
  </si>
  <si>
    <t>P-LIAM-BD-271</t>
  </si>
  <si>
    <t>10284171</t>
  </si>
  <si>
    <t>118</t>
  </si>
  <si>
    <t>Open White</t>
  </si>
  <si>
    <t>S/M/L/XL/XXL/XXXL</t>
  </si>
  <si>
    <t>21.10.2026</t>
  </si>
  <si>
    <t>DC Savannah, USA</t>
  </si>
  <si>
    <t>923</t>
  </si>
  <si>
    <t>Beige Overflow</t>
  </si>
  <si>
    <t>HUGO BOSS  ·  PACKING LIST</t>
  </si>
  <si>
    <t>PO Number:</t>
  </si>
  <si>
    <t>Factory:</t>
  </si>
  <si>
    <t>Invoice No:</t>
  </si>
  <si>
    <t>Container:</t>
  </si>
  <si>
    <t>Style:</t>
  </si>
  <si>
    <t>Customer:</t>
  </si>
  <si>
    <t>Form:</t>
  </si>
  <si>
    <t>Destination:</t>
  </si>
  <si>
    <t>Form Name:</t>
  </si>
  <si>
    <t>Color:</t>
  </si>
  <si>
    <t>118 – Open White</t>
  </si>
  <si>
    <t>Shipment:</t>
  </si>
  <si>
    <t>Sea Freight</t>
  </si>
  <si>
    <t>Packing Date:</t>
  </si>
  <si>
    <t>02.07.2026</t>
  </si>
  <si>
    <t>Carton No</t>
  </si>
  <si>
    <t>Color</t>
  </si>
  <si>
    <t>S</t>
  </si>
  <si>
    <t>M</t>
  </si>
  <si>
    <t>L</t>
  </si>
  <si>
    <t>XL</t>
  </si>
  <si>
    <t>XXL</t>
  </si>
  <si>
    <t>XXXL</t>
  </si>
  <si>
    <t>Total Qty</t>
  </si>
  <si>
    <t>Net Wt (kg)</t>
  </si>
  <si>
    <t>Gross Wt (kg)</t>
  </si>
  <si>
    <t>Carton Wt (kg)</t>
  </si>
  <si>
    <t>L (cm)</t>
  </si>
  <si>
    <t>W (cm)</t>
  </si>
  <si>
    <t>H (cm)</t>
  </si>
  <si>
    <t>CBM</t>
  </si>
  <si>
    <t>Remarks</t>
  </si>
  <si>
    <t>TOTALS</t>
  </si>
  <si>
    <t>CARTON ALLOCATION ENGINE</t>
  </si>
  <si>
    <t>Carton Capacity:</t>
  </si>
  <si>
    <t>(Options: 10, 12, 14, 15, 18, 20)</t>
  </si>
  <si>
    <t>Size</t>
  </si>
  <si>
    <t>Order Qty</t>
  </si>
  <si>
    <t>Cartons Needed</t>
  </si>
  <si>
    <t>Pcs/Carton (Full)</t>
  </si>
  <si>
    <t>Last Carton Qty</t>
  </si>
  <si>
    <t>Net Wt/pc (kg)</t>
  </si>
  <si>
    <t>Net Wt Total (kg)</t>
  </si>
  <si>
    <t>Gross Wt Total (kg)</t>
  </si>
  <si>
    <t>CUT SHEET – PRODUCTION COMPARISON</t>
  </si>
  <si>
    <t>Cut Qty</t>
  </si>
  <si>
    <t>Diff %</t>
  </si>
  <si>
    <t>MASTER DATA – Reference Tables</t>
  </si>
  <si>
    <t>COLOR MASTER</t>
  </si>
  <si>
    <t>NUMERIC SIZES</t>
  </si>
  <si>
    <t>CARTON SIZES (cm)</t>
  </si>
  <si>
    <t>WEIGHT MASTER</t>
  </si>
  <si>
    <t>Code</t>
  </si>
  <si>
    <t>Type</t>
  </si>
  <si>
    <t>W</t>
  </si>
  <si>
    <t>H</t>
  </si>
  <si>
    <t>Net Wt/pc</t>
  </si>
  <si>
    <t>Ctn Wt</t>
  </si>
  <si>
    <t>Sizes</t>
  </si>
  <si>
    <t>37</t>
  </si>
  <si>
    <t>Standard</t>
  </si>
  <si>
    <t>60</t>
  </si>
  <si>
    <t>40</t>
  </si>
  <si>
    <t>30</t>
  </si>
  <si>
    <t>0.072</t>
  </si>
  <si>
    <t>0.340</t>
  </si>
  <si>
    <t>1.200</t>
  </si>
  <si>
    <t>37-50</t>
  </si>
  <si>
    <t>Numeric</t>
  </si>
  <si>
    <t>38</t>
  </si>
  <si>
    <t>Large</t>
  </si>
  <si>
    <t>70</t>
  </si>
  <si>
    <t>50</t>
  </si>
  <si>
    <t>0.140</t>
  </si>
  <si>
    <t>0.350</t>
  </si>
  <si>
    <t>S-XXXL</t>
  </si>
  <si>
    <t>Alpha</t>
  </si>
  <si>
    <t>39</t>
  </si>
  <si>
    <t>Small</t>
  </si>
  <si>
    <t>35</t>
  </si>
  <si>
    <t>25</t>
  </si>
  <si>
    <t>0.044</t>
  </si>
  <si>
    <t>41</t>
  </si>
  <si>
    <t>42</t>
  </si>
  <si>
    <t>43</t>
  </si>
  <si>
    <t>DESTINATIONS</t>
  </si>
  <si>
    <t>44</t>
  </si>
  <si>
    <t>Country</t>
  </si>
  <si>
    <t>Address</t>
  </si>
  <si>
    <t>45</t>
  </si>
  <si>
    <t>Germany</t>
  </si>
  <si>
    <t>DC FPG Filderstadt</t>
  </si>
  <si>
    <t>46</t>
  </si>
  <si>
    <t>USA</t>
  </si>
  <si>
    <t>DC Savannah</t>
  </si>
  <si>
    <t>47</t>
  </si>
  <si>
    <t>Netherlands</t>
  </si>
  <si>
    <t>DC Amsterdam</t>
  </si>
  <si>
    <t>48</t>
  </si>
  <si>
    <t>UK</t>
  </si>
  <si>
    <t>DC Milton Keynes</t>
  </si>
  <si>
    <t>49</t>
  </si>
  <si>
    <t>Switzerland</t>
  </si>
  <si>
    <t>CH-Coldrerio</t>
  </si>
  <si>
    <t>42L</t>
  </si>
  <si>
    <t>FACTORIES</t>
  </si>
  <si>
    <t>43L</t>
  </si>
  <si>
    <t>Name</t>
  </si>
  <si>
    <t>Location</t>
  </si>
  <si>
    <t>Vendor No</t>
  </si>
  <si>
    <t>44L</t>
  </si>
  <si>
    <t>Kanakapura, India</t>
  </si>
  <si>
    <t>6094373</t>
  </si>
  <si>
    <t>45L</t>
  </si>
  <si>
    <t>SHIPMENT TYPES</t>
  </si>
  <si>
    <t>ALPHA SIZES</t>
  </si>
  <si>
    <t>SCC</t>
  </si>
  <si>
    <t>XS</t>
  </si>
  <si>
    <t>AIR</t>
  </si>
  <si>
    <t>Air Freight</t>
  </si>
  <si>
    <t>RD</t>
  </si>
  <si>
    <t>Road</t>
  </si>
  <si>
    <t>COU</t>
  </si>
  <si>
    <t>Courier</t>
  </si>
  <si>
    <t>4XL</t>
  </si>
  <si>
    <t>5XL</t>
  </si>
  <si>
    <t>SYSTEM SETTINGS</t>
  </si>
  <si>
    <t>Setting</t>
  </si>
  <si>
    <t>Value</t>
  </si>
  <si>
    <t>Unit</t>
  </si>
  <si>
    <t>Notes</t>
  </si>
  <si>
    <t>Carton Capacity (default)</t>
  </si>
  <si>
    <t>14</t>
  </si>
  <si>
    <t>pcs / carton</t>
  </si>
  <si>
    <t>Adjust per PO requirement</t>
  </si>
  <si>
    <t>Default Net Wt / pc</t>
  </si>
  <si>
    <t>kg</t>
  </si>
  <si>
    <t>Overridden by Weight Master</t>
  </si>
  <si>
    <t>Default Carton Weight</t>
  </si>
  <si>
    <t>Empty carton tare weight</t>
  </si>
  <si>
    <t>Carton Tolerance (±%)</t>
  </si>
  <si>
    <t>5%</t>
  </si>
  <si>
    <t>Allowed packing variance</t>
  </si>
  <si>
    <t>Print Area</t>
  </si>
  <si>
    <t>A4 Landscape</t>
  </si>
  <si>
    <t>Packing List print format</t>
  </si>
  <si>
    <t>Export Folder</t>
  </si>
  <si>
    <t>C:\HugoBoss\Exports\</t>
  </si>
  <si>
    <t>PDF &amp; XLSX export path</t>
  </si>
  <si>
    <t>Auto Save Interval</t>
  </si>
  <si>
    <t>15</t>
  </si>
  <si>
    <t>minutes</t>
  </si>
  <si>
    <t>0 = disabled</t>
  </si>
  <si>
    <t>Sheet Protection Password</t>
  </si>
  <si>
    <t>****</t>
  </si>
  <si>
    <t>Keep confidential</t>
  </si>
  <si>
    <t>Company Name</t>
  </si>
  <si>
    <t>Appears in headers</t>
  </si>
  <si>
    <t>Default Customer</t>
  </si>
  <si>
    <t>Pre-filled in new PL</t>
  </si>
  <si>
    <t>Default Factory</t>
  </si>
  <si>
    <t>Default Shipment Mode</t>
  </si>
  <si>
    <t>Sea Freight (SCC)</t>
  </si>
  <si>
    <t>EXECUTIVE DASHBOARD – Hugo Boss Packing System</t>
  </si>
  <si>
    <t>Generated: 02 July 2026 17:13  |  Season: S26 Black / S27 Bulk</t>
  </si>
  <si>
    <t>Total POs</t>
  </si>
  <si>
    <t>Total Ordered</t>
  </si>
  <si>
    <t>2</t>
  </si>
  <si>
    <t>19,450 pcs</t>
  </si>
  <si>
    <t>0 pcs</t>
  </si>
  <si>
    <t>Completion</t>
  </si>
  <si>
    <t>Color Summary</t>
  </si>
  <si>
    <t>% Done</t>
  </si>
  <si>
    <t>Black (001)</t>
  </si>
  <si>
    <t>White (100)</t>
  </si>
  <si>
    <t>Dark Blue (404)</t>
  </si>
  <si>
    <t>Pastel Blue (452)</t>
  </si>
  <si>
    <t>Open White (118)</t>
  </si>
  <si>
    <t>Beige Ovfl (923)</t>
  </si>
  <si>
    <t>Size Summary – PO 4901893255</t>
  </si>
  <si>
    <t>Beige Ovfl</t>
  </si>
  <si>
    <t>Total</t>
  </si>
  <si>
    <t>EXPORT – Print &amp; Distribution</t>
  </si>
  <si>
    <t>Export Options</t>
  </si>
  <si>
    <t>PDF Export</t>
  </si>
  <si>
    <t>Generates A4 landscape print-ready PDF of the active Packing List sheet. Includes header repeat on each page.</t>
  </si>
  <si>
    <t>XLSX Export</t>
  </si>
  <si>
    <t>Creates a macro-free copy: filename PackingList_POxxxx.xlsx. Contains values only – no VBA. Sheets: Packing List, Summary, Dashboard.</t>
  </si>
  <si>
    <t>Email Version</t>
  </si>
  <si>
    <t>Attaches the macro-free XLSX and opens a draft email via Outlook automation.</t>
  </si>
  <si>
    <t>Print Preview</t>
  </si>
  <si>
    <t>Shows print preview of the Packing List at A4 Landscape with fitted columns.</t>
  </si>
  <si>
    <t>Filename convention:</t>
  </si>
  <si>
    <t>PackingList_PO{PO_NUMBER}_{YYYY-MM-DD}.xlsx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</si>
</sst>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8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0.0%"/>
    <numFmt numFmtId="181" formatCode="0.000"/>
    <numFmt numFmtId="182" formatCode="0.00000"/>
    <numFmt numFmtId="183" formatCode="&quot;$&quot;#,##0.00"/>
  </numFmts>
  <fonts count="38">
    <font>
      <sz val="11"/>
      <color theme="1"/>
      <name val="Calibri"/>
      <charset val="134"/>
      <scheme val="minor"/>
    </font>
    <font>
      <b/>
      <sz val="12"/>
      <color rgb="FFC8A84B"/>
      <name val="Arial"/>
      <charset val="134"/>
    </font>
    <font>
      <b/>
      <sz val="11"/>
      <color rgb="FFFFFFFF"/>
      <name val="Arial"/>
      <charset val="134"/>
    </font>
    <font>
      <b/>
      <sz val="11"/>
      <color rgb="FF1B3A5C"/>
      <name val="Arial"/>
      <charset val="134"/>
    </font>
    <font>
      <sz val="10"/>
      <color rgb="FF1A1A1A"/>
      <name val="Arial"/>
      <charset val="134"/>
    </font>
    <font>
      <b/>
      <sz val="10"/>
      <color rgb="FF1B3A5C"/>
      <name val="Arial"/>
      <charset val="134"/>
    </font>
    <font>
      <i/>
      <sz val="10"/>
      <color rgb="FF1A1A1A"/>
      <name val="Arial"/>
      <charset val="134"/>
    </font>
    <font>
      <b/>
      <sz val="16"/>
      <color rgb="FFC8A84B"/>
      <name val="Arial"/>
      <charset val="134"/>
    </font>
    <font>
      <i/>
      <sz val="9"/>
      <color rgb="FF404040"/>
      <name val="Arial"/>
      <charset val="134"/>
    </font>
    <font>
      <b/>
      <sz val="9"/>
      <color rgb="FFFFFFFF"/>
      <name val="Arial"/>
      <charset val="134"/>
    </font>
    <font>
      <b/>
      <sz val="14"/>
      <color rgb="FFC8A84B"/>
      <name val="Arial"/>
      <charset val="134"/>
    </font>
    <font>
      <sz val="9"/>
      <color rgb="FF1A1A1A"/>
      <name val="Arial"/>
      <charset val="134"/>
    </font>
    <font>
      <b/>
      <sz val="10"/>
      <color rgb="FFFFFFFF"/>
      <name val="Arial"/>
      <charset val="134"/>
    </font>
    <font>
      <b/>
      <sz val="10"/>
      <color rgb="FF1A1A1A"/>
      <name val="Arial"/>
      <charset val="134"/>
    </font>
    <font>
      <b/>
      <sz val="10"/>
      <name val="Arial"/>
      <charset val="134"/>
    </font>
    <font>
      <b/>
      <sz val="22"/>
      <color rgb="FFC8A84B"/>
      <name val="Arial"/>
      <charset val="134"/>
    </font>
    <font>
      <i/>
      <sz val="11"/>
      <color rgb="FF1B3A5C"/>
      <name val="Arial"/>
      <charset val="134"/>
    </font>
    <font>
      <b/>
      <sz val="18"/>
      <color rgb="FFC8A84B"/>
      <name val="Arial"/>
      <charset val="134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1B3A5C"/>
        <bgColor rgb="FF1B3A5C"/>
      </patternFill>
    </fill>
    <fill>
      <patternFill patternType="solid">
        <fgColor rgb="FF2E5D8C"/>
        <bgColor rgb="FF2E5D8C"/>
      </patternFill>
    </fill>
    <fill>
      <patternFill patternType="solid">
        <fgColor rgb="FFE8EFF7"/>
        <bgColor rgb="FFE8EFF7"/>
      </patternFill>
    </fill>
    <fill>
      <patternFill patternType="solid">
        <fgColor rgb="FFFFFFFF"/>
        <bgColor rgb="FFFFFFFF"/>
      </patternFill>
    </fill>
    <fill>
      <patternFill patternType="solid">
        <fgColor rgb="FFC8763B"/>
        <bgColor rgb="FFC8763B"/>
      </patternFill>
    </fill>
    <fill>
      <patternFill patternType="solid">
        <fgColor rgb="FF2E8B57"/>
        <bgColor rgb="FF2E8B57"/>
      </patternFill>
    </fill>
    <fill>
      <patternFill patternType="solid">
        <fgColor rgb="FF8B4513"/>
        <bgColor rgb="FF8B4513"/>
      </patternFill>
    </fill>
    <fill>
      <patternFill patternType="solid">
        <fgColor rgb="FF1B5E20"/>
        <bgColor rgb="FF1B5E20"/>
      </patternFill>
    </fill>
    <fill>
      <patternFill patternType="solid">
        <fgColor rgb="FFFFF9C4"/>
        <bgColor rgb="FFFFF9C4"/>
      </patternFill>
    </fill>
    <fill>
      <patternFill patternType="solid">
        <fgColor rgb="FFC8A84B"/>
        <bgColor rgb="FFC8A84B"/>
      </patternFill>
    </fill>
    <fill>
      <patternFill patternType="solid">
        <fgColor rgb="FFF5F5F5"/>
        <bgColor rgb="FFF5F5F5"/>
      </patternFill>
    </fill>
    <fill>
      <patternFill patternType="solid">
        <fgColor rgb="FFFFFDE7"/>
        <bgColor rgb="FFFFFDE7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/>
      <right/>
      <top/>
      <bottom style="medium">
        <color rgb="FF1B3A5C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18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14" borderId="11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12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6" fillId="0" borderId="13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15" borderId="14" applyNumberFormat="0" applyAlignment="0" applyProtection="0">
      <alignment vertical="center"/>
    </xf>
    <xf numFmtId="0" fontId="28" fillId="16" borderId="15" applyNumberFormat="0" applyAlignment="0" applyProtection="0">
      <alignment vertical="center"/>
    </xf>
    <xf numFmtId="0" fontId="29" fillId="16" borderId="14" applyNumberFormat="0" applyAlignment="0" applyProtection="0">
      <alignment vertical="center"/>
    </xf>
    <xf numFmtId="0" fontId="30" fillId="17" borderId="16" applyNumberFormat="0" applyAlignment="0" applyProtection="0">
      <alignment vertical="center"/>
    </xf>
    <xf numFmtId="0" fontId="31" fillId="0" borderId="17" applyNumberFormat="0" applyFill="0" applyAlignment="0" applyProtection="0">
      <alignment vertical="center"/>
    </xf>
    <xf numFmtId="0" fontId="32" fillId="0" borderId="18" applyNumberFormat="0" applyFill="0" applyAlignment="0" applyProtection="0">
      <alignment vertical="center"/>
    </xf>
    <xf numFmtId="0" fontId="33" fillId="18" borderId="0" applyNumberFormat="0" applyBorder="0" applyAlignment="0" applyProtection="0">
      <alignment vertical="center"/>
    </xf>
    <xf numFmtId="0" fontId="34" fillId="19" borderId="0" applyNumberFormat="0" applyBorder="0" applyAlignment="0" applyProtection="0">
      <alignment vertical="center"/>
    </xf>
    <xf numFmtId="0" fontId="35" fillId="20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6" fillId="24" borderId="0" applyNumberFormat="0" applyBorder="0" applyAlignment="0" applyProtection="0">
      <alignment vertical="center"/>
    </xf>
    <xf numFmtId="0" fontId="36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7" fillId="27" borderId="0" applyNumberFormat="0" applyBorder="0" applyAlignment="0" applyProtection="0">
      <alignment vertical="center"/>
    </xf>
    <xf numFmtId="0" fontId="36" fillId="28" borderId="0" applyNumberFormat="0" applyBorder="0" applyAlignment="0" applyProtection="0">
      <alignment vertical="center"/>
    </xf>
    <xf numFmtId="0" fontId="36" fillId="29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6" fillId="32" borderId="0" applyNumberFormat="0" applyBorder="0" applyAlignment="0" applyProtection="0">
      <alignment vertical="center"/>
    </xf>
    <xf numFmtId="0" fontId="36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7" fillId="35" borderId="0" applyNumberFormat="0" applyBorder="0" applyAlignment="0" applyProtection="0">
      <alignment vertical="center"/>
    </xf>
    <xf numFmtId="0" fontId="36" fillId="36" borderId="0" applyNumberFormat="0" applyBorder="0" applyAlignment="0" applyProtection="0">
      <alignment vertical="center"/>
    </xf>
    <xf numFmtId="0" fontId="36" fillId="37" borderId="0" applyNumberFormat="0" applyBorder="0" applyAlignment="0" applyProtection="0">
      <alignment vertical="center"/>
    </xf>
    <xf numFmtId="0" fontId="37" fillId="38" borderId="0" applyNumberFormat="0" applyBorder="0" applyAlignment="0" applyProtection="0">
      <alignment vertical="center"/>
    </xf>
    <xf numFmtId="0" fontId="37" fillId="39" borderId="0" applyNumberFormat="0" applyBorder="0" applyAlignment="0" applyProtection="0">
      <alignment vertical="center"/>
    </xf>
    <xf numFmtId="0" fontId="36" fillId="40" borderId="0" applyNumberFormat="0" applyBorder="0" applyAlignment="0" applyProtection="0">
      <alignment vertical="center"/>
    </xf>
    <xf numFmtId="0" fontId="36" fillId="41" borderId="0" applyNumberFormat="0" applyBorder="0" applyAlignment="0" applyProtection="0">
      <alignment vertical="center"/>
    </xf>
    <xf numFmtId="0" fontId="37" fillId="42" borderId="0" applyNumberFormat="0" applyBorder="0" applyAlignment="0" applyProtection="0">
      <alignment vertical="center"/>
    </xf>
    <xf numFmtId="0" fontId="37" fillId="43" borderId="0" applyNumberFormat="0" applyBorder="0" applyAlignment="0" applyProtection="0">
      <alignment vertical="center"/>
    </xf>
    <xf numFmtId="0" fontId="36" fillId="44" borderId="0" applyNumberFormat="0" applyBorder="0" applyAlignment="0" applyProtection="0">
      <alignment vertical="center"/>
    </xf>
  </cellStyleXfs>
  <cellXfs count="10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0" fillId="0" borderId="1" xfId="0" applyBorder="1"/>
    <xf numFmtId="0" fontId="4" fillId="5" borderId="1" xfId="0" applyFont="1" applyFill="1" applyBorder="1" applyAlignment="1">
      <alignment horizontal="left" vertical="center" wrapText="1"/>
    </xf>
    <xf numFmtId="0" fontId="5" fillId="0" borderId="0" xfId="0" applyFont="1"/>
    <xf numFmtId="0" fontId="6" fillId="0" borderId="0" xfId="0" applyFont="1"/>
    <xf numFmtId="0" fontId="7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9" fillId="3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0" fillId="2" borderId="2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3" fontId="10" fillId="7" borderId="2" xfId="0" applyNumberFormat="1" applyFont="1" applyFill="1" applyBorder="1" applyAlignment="1">
      <alignment horizontal="center" vertical="center"/>
    </xf>
    <xf numFmtId="4" fontId="10" fillId="8" borderId="2" xfId="0" applyNumberFormat="1" applyFont="1" applyFill="1" applyBorder="1" applyAlignment="1">
      <alignment horizontal="center" vertical="center"/>
    </xf>
    <xf numFmtId="180" fontId="10" fillId="9" borderId="2" xfId="0" applyNumberFormat="1" applyFont="1" applyFill="1" applyBorder="1" applyAlignment="1">
      <alignment horizontal="center" vertical="center"/>
    </xf>
    <xf numFmtId="0" fontId="5" fillId="0" borderId="8" xfId="0" applyFont="1" applyBorder="1"/>
    <xf numFmtId="0" fontId="11" fillId="5" borderId="2" xfId="0" applyFont="1" applyFill="1" applyBorder="1" applyAlignment="1">
      <alignment horizontal="center" vertical="center"/>
    </xf>
    <xf numFmtId="3" fontId="11" fillId="5" borderId="2" xfId="0" applyNumberFormat="1" applyFont="1" applyFill="1" applyBorder="1" applyAlignment="1">
      <alignment horizontal="center" vertical="center"/>
    </xf>
    <xf numFmtId="180" fontId="11" fillId="5" borderId="2" xfId="0" applyNumberFormat="1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3" fontId="11" fillId="4" borderId="2" xfId="0" applyNumberFormat="1" applyFont="1" applyFill="1" applyBorder="1" applyAlignment="1">
      <alignment horizontal="center" vertical="center"/>
    </xf>
    <xf numFmtId="180" fontId="11" fillId="4" borderId="2" xfId="0" applyNumberFormat="1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left" vertical="center"/>
    </xf>
    <xf numFmtId="0" fontId="4" fillId="10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left" vertical="center"/>
    </xf>
    <xf numFmtId="0" fontId="13" fillId="5" borderId="2" xfId="0" applyFont="1" applyFill="1" applyBorder="1" applyAlignment="1">
      <alignment horizontal="left" vertical="center"/>
    </xf>
    <xf numFmtId="0" fontId="4" fillId="5" borderId="2" xfId="0" applyFont="1" applyFill="1" applyBorder="1" applyAlignment="1">
      <alignment horizontal="left" vertical="center"/>
    </xf>
    <xf numFmtId="0" fontId="12" fillId="3" borderId="2" xfId="0" applyFont="1" applyFill="1" applyBorder="1" applyAlignment="1">
      <alignment horizontal="left" vertical="center"/>
    </xf>
    <xf numFmtId="0" fontId="0" fillId="3" borderId="2" xfId="0" applyFill="1" applyBorder="1"/>
    <xf numFmtId="0" fontId="11" fillId="4" borderId="2" xfId="0" applyFont="1" applyFill="1" applyBorder="1" applyAlignment="1">
      <alignment horizontal="left" vertical="center"/>
    </xf>
    <xf numFmtId="0" fontId="11" fillId="5" borderId="2" xfId="0" applyFont="1" applyFill="1" applyBorder="1" applyAlignment="1">
      <alignment horizontal="left" vertical="center"/>
    </xf>
    <xf numFmtId="0" fontId="12" fillId="2" borderId="2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/>
    </xf>
    <xf numFmtId="3" fontId="4" fillId="4" borderId="2" xfId="0" applyNumberFormat="1" applyFont="1" applyFill="1" applyBorder="1" applyAlignment="1">
      <alignment horizontal="center" vertical="center"/>
    </xf>
    <xf numFmtId="3" fontId="4" fillId="10" borderId="2" xfId="0" applyNumberFormat="1" applyFont="1" applyFill="1" applyBorder="1" applyAlignment="1">
      <alignment horizontal="center" vertical="center"/>
    </xf>
    <xf numFmtId="3" fontId="4" fillId="4" borderId="2" xfId="0" applyNumberFormat="1" applyFont="1" applyFill="1" applyBorder="1"/>
    <xf numFmtId="180" fontId="4" fillId="4" borderId="2" xfId="0" applyNumberFormat="1" applyFont="1" applyFill="1" applyBorder="1"/>
    <xf numFmtId="0" fontId="4" fillId="4" borderId="2" xfId="0" applyFont="1" applyFill="1" applyBorder="1"/>
    <xf numFmtId="0" fontId="4" fillId="5" borderId="2" xfId="0" applyFont="1" applyFill="1" applyBorder="1" applyAlignment="1">
      <alignment horizontal="center" vertical="center"/>
    </xf>
    <xf numFmtId="3" fontId="4" fillId="5" borderId="2" xfId="0" applyNumberFormat="1" applyFont="1" applyFill="1" applyBorder="1" applyAlignment="1">
      <alignment horizontal="center" vertical="center"/>
    </xf>
    <xf numFmtId="3" fontId="4" fillId="5" borderId="2" xfId="0" applyNumberFormat="1" applyFont="1" applyFill="1" applyBorder="1"/>
    <xf numFmtId="180" fontId="4" fillId="5" borderId="2" xfId="0" applyNumberFormat="1" applyFont="1" applyFill="1" applyBorder="1"/>
    <xf numFmtId="0" fontId="4" fillId="5" borderId="2" xfId="0" applyFont="1" applyFill="1" applyBorder="1"/>
    <xf numFmtId="0" fontId="14" fillId="10" borderId="2" xfId="0" applyFont="1" applyFill="1" applyBorder="1"/>
    <xf numFmtId="0" fontId="8" fillId="0" borderId="0" xfId="0" applyFont="1"/>
    <xf numFmtId="0" fontId="13" fillId="4" borderId="2" xfId="0" applyFont="1" applyFill="1" applyBorder="1" applyAlignment="1">
      <alignment horizontal="center" vertical="center"/>
    </xf>
    <xf numFmtId="181" fontId="4" fillId="10" borderId="2" xfId="0" applyNumberFormat="1" applyFont="1" applyFill="1" applyBorder="1" applyAlignment="1">
      <alignment horizontal="center" vertical="center"/>
    </xf>
    <xf numFmtId="181" fontId="4" fillId="4" borderId="2" xfId="0" applyNumberFormat="1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181" fontId="4" fillId="5" borderId="2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10" borderId="2" xfId="0" applyFont="1" applyFill="1" applyBorder="1"/>
    <xf numFmtId="0" fontId="4" fillId="10" borderId="2" xfId="0" applyFont="1" applyFill="1" applyBorder="1" applyAlignment="1">
      <alignment horizontal="center" vertical="center"/>
    </xf>
    <xf numFmtId="3" fontId="13" fillId="4" borderId="2" xfId="0" applyNumberFormat="1" applyFont="1" applyFill="1" applyBorder="1" applyAlignment="1">
      <alignment horizontal="center" vertical="center"/>
    </xf>
    <xf numFmtId="1" fontId="4" fillId="10" borderId="2" xfId="0" applyNumberFormat="1" applyFont="1" applyFill="1" applyBorder="1" applyAlignment="1">
      <alignment horizontal="center" vertical="center"/>
    </xf>
    <xf numFmtId="182" fontId="4" fillId="4" borderId="2" xfId="0" applyNumberFormat="1" applyFont="1" applyFill="1" applyBorder="1" applyAlignment="1">
      <alignment horizontal="center" vertical="center"/>
    </xf>
    <xf numFmtId="0" fontId="0" fillId="10" borderId="2" xfId="0" applyFill="1" applyBorder="1"/>
    <xf numFmtId="3" fontId="13" fillId="5" borderId="2" xfId="0" applyNumberFormat="1" applyFont="1" applyFill="1" applyBorder="1" applyAlignment="1">
      <alignment horizontal="center" vertical="center"/>
    </xf>
    <xf numFmtId="182" fontId="4" fillId="5" borderId="2" xfId="0" applyNumberFormat="1" applyFont="1" applyFill="1" applyBorder="1" applyAlignment="1">
      <alignment horizontal="center" vertical="center"/>
    </xf>
    <xf numFmtId="3" fontId="12" fillId="2" borderId="2" xfId="0" applyNumberFormat="1" applyFont="1" applyFill="1" applyBorder="1" applyAlignment="1">
      <alignment horizontal="center" vertical="center"/>
    </xf>
    <xf numFmtId="181" fontId="12" fillId="2" borderId="2" xfId="0" applyNumberFormat="1" applyFont="1" applyFill="1" applyBorder="1" applyAlignment="1">
      <alignment horizontal="center" vertical="center"/>
    </xf>
    <xf numFmtId="182" fontId="12" fillId="2" borderId="2" xfId="0" applyNumberFormat="1" applyFont="1" applyFill="1" applyBorder="1" applyAlignment="1">
      <alignment horizontal="center" vertical="center"/>
    </xf>
    <xf numFmtId="183" fontId="4" fillId="4" borderId="2" xfId="0" applyNumberFormat="1" applyFont="1" applyFill="1" applyBorder="1" applyAlignment="1">
      <alignment horizontal="center" vertical="center"/>
    </xf>
    <xf numFmtId="3" fontId="0" fillId="10" borderId="2" xfId="0" applyNumberFormat="1" applyFill="1" applyBorder="1"/>
    <xf numFmtId="3" fontId="0" fillId="4" borderId="2" xfId="0" applyNumberFormat="1" applyFill="1" applyBorder="1"/>
    <xf numFmtId="180" fontId="0" fillId="4" borderId="2" xfId="0" applyNumberFormat="1" applyFill="1" applyBorder="1"/>
    <xf numFmtId="183" fontId="4" fillId="5" borderId="2" xfId="0" applyNumberFormat="1" applyFont="1" applyFill="1" applyBorder="1" applyAlignment="1">
      <alignment horizontal="center" vertical="center"/>
    </xf>
    <xf numFmtId="3" fontId="0" fillId="5" borderId="2" xfId="0" applyNumberFormat="1" applyFill="1" applyBorder="1"/>
    <xf numFmtId="180" fontId="0" fillId="5" borderId="2" xfId="0" applyNumberFormat="1" applyFill="1" applyBorder="1"/>
    <xf numFmtId="0" fontId="15" fillId="2" borderId="0" xfId="0" applyFont="1" applyFill="1" applyAlignment="1">
      <alignment horizontal="center" vertical="center"/>
    </xf>
    <xf numFmtId="0" fontId="0" fillId="11" borderId="0" xfId="0" applyFill="1"/>
    <xf numFmtId="0" fontId="0" fillId="5" borderId="0" xfId="0" applyFill="1"/>
    <xf numFmtId="0" fontId="16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17" fillId="2" borderId="2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5" fillId="12" borderId="2" xfId="0" applyFont="1" applyFill="1" applyBorder="1" applyAlignment="1">
      <alignment horizontal="left" vertical="center"/>
    </xf>
    <xf numFmtId="0" fontId="4" fillId="12" borderId="2" xfId="0" applyFont="1" applyFill="1" applyBorder="1" applyAlignment="1">
      <alignment horizontal="left" vertical="center"/>
    </xf>
    <xf numFmtId="0" fontId="5" fillId="12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left" vertical="center"/>
    </xf>
    <xf numFmtId="0" fontId="5" fillId="5" borderId="2" xfId="0" applyFont="1" applyFill="1" applyBorder="1" applyAlignment="1">
      <alignment horizontal="center" vertical="center"/>
    </xf>
    <xf numFmtId="0" fontId="8" fillId="13" borderId="2" xfId="0" applyFont="1" applyFill="1" applyBorder="1" applyAlignment="1">
      <alignment horizontal="left" vertical="center" wrapText="1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4">
    <dxf>
      <fill>
        <patternFill patternType="solid">
          <fgColor rgb="FFD4EDDA"/>
          <bgColor rgb="FFD4EDDA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FDE8C8"/>
          <bgColor rgb="FFFDE8C8"/>
        </patternFill>
      </fill>
    </dxf>
    <dxf>
      <fill>
        <patternFill patternType="solid">
          <fgColor rgb="FFF8D7DA"/>
          <bgColor rgb="FFF8D7DA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openxmlformats.org/officeDocument/2006/relationships/styles" Target="styles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Ordered Qty by Color</a:t>
            </a:r>
            <a:endParaRPr lang="en-IN"/>
          </a:p>
        </c:rich>
      </c:tx>
      <c:layout/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DASHBOARD!$B$16</c:f>
              <c:strCache>
                <c:ptCount val="1"/>
                <c:pt idx="0">
                  <c:v>Ordered Qty</c:v>
                </c:pt>
              </c:strCache>
            </c:strRef>
          </c:tx>
          <c:spPr>
            <a:solidFill>
              <a:srgbClr val="1B3A5C"/>
            </a:solidFill>
            <a:ln w="9525" cap="flat" cmpd="sng" algn="ctr">
              <a:solidFill>
                <a:schemeClr val="lt1">
                  <a:shade val="95000"/>
                  <a:satMod val="105000"/>
                </a:schemeClr>
              </a:solidFill>
              <a:prstDash val="solid"/>
              <a:round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1B3A5C"/>
              </a:solidFill>
              <a:ln w="9525" cap="flat" cmpd="sng" algn="ctr">
                <a:solidFill>
                  <a:schemeClr val="lt1">
                    <a:shade val="95000"/>
                    <a:satMod val="105000"/>
                  </a:schemeClr>
                </a:solidFill>
                <a:prstDash val="solid"/>
                <a:round/>
              </a:ln>
            </c:spPr>
          </c:dPt>
          <c:dPt>
            <c:idx val="1"/>
            <c:invertIfNegative val="1"/>
            <c:bubble3D val="0"/>
            <c:spPr>
              <a:solidFill>
                <a:srgbClr val="1B3A5C"/>
              </a:solidFill>
              <a:ln w="9525" cap="flat" cmpd="sng" algn="ctr">
                <a:solidFill>
                  <a:schemeClr val="lt1">
                    <a:shade val="95000"/>
                    <a:satMod val="105000"/>
                  </a:schemeClr>
                </a:solidFill>
                <a:prstDash val="solid"/>
                <a:round/>
              </a:ln>
            </c:spPr>
          </c:dPt>
          <c:dPt>
            <c:idx val="2"/>
            <c:invertIfNegative val="1"/>
            <c:bubble3D val="0"/>
            <c:spPr>
              <a:solidFill>
                <a:srgbClr val="1B3A5C"/>
              </a:solidFill>
              <a:ln w="9525" cap="flat" cmpd="sng" algn="ctr">
                <a:solidFill>
                  <a:schemeClr val="lt1">
                    <a:shade val="95000"/>
                    <a:satMod val="105000"/>
                  </a:schemeClr>
                </a:solidFill>
                <a:prstDash val="solid"/>
                <a:round/>
              </a:ln>
            </c:spPr>
          </c:dPt>
          <c:dPt>
            <c:idx val="3"/>
            <c:invertIfNegative val="1"/>
            <c:bubble3D val="0"/>
            <c:spPr>
              <a:solidFill>
                <a:srgbClr val="1B3A5C"/>
              </a:solidFill>
              <a:ln w="9525" cap="flat" cmpd="sng" algn="ctr">
                <a:solidFill>
                  <a:schemeClr val="lt1">
                    <a:shade val="95000"/>
                    <a:satMod val="105000"/>
                  </a:schemeClr>
                </a:solidFill>
                <a:prstDash val="solid"/>
                <a:round/>
              </a:ln>
            </c:spPr>
          </c:dPt>
          <c:dPt>
            <c:idx val="4"/>
            <c:invertIfNegative val="1"/>
            <c:bubble3D val="0"/>
            <c:spPr>
              <a:solidFill>
                <a:srgbClr val="1B3A5C"/>
              </a:solidFill>
              <a:ln w="9525" cap="flat" cmpd="sng" algn="ctr">
                <a:solidFill>
                  <a:schemeClr val="lt1">
                    <a:shade val="95000"/>
                    <a:satMod val="105000"/>
                  </a:schemeClr>
                </a:solidFill>
                <a:prstDash val="solid"/>
                <a:round/>
              </a:ln>
            </c:spPr>
          </c:dPt>
          <c:dPt>
            <c:idx val="5"/>
            <c:invertIfNegative val="1"/>
            <c:bubble3D val="0"/>
            <c:spPr>
              <a:solidFill>
                <a:srgbClr val="1B3A5C"/>
              </a:solidFill>
              <a:ln w="9525" cap="flat" cmpd="sng" algn="ctr">
                <a:solidFill>
                  <a:schemeClr val="lt1">
                    <a:shade val="95000"/>
                    <a:satMod val="105000"/>
                  </a:schemeClr>
                </a:solidFill>
                <a:prstDash val="solid"/>
                <a:round/>
              </a:ln>
            </c:spPr>
          </c:dPt>
          <c:dLbls>
            <c:delete val="1"/>
          </c:dLbls>
          <c:cat>
            <c:strRef>
              <c:f>DASHBOARD!$A$17:$A$22</c:f>
              <c:strCache>
                <c:ptCount val="6"/>
                <c:pt idx="0">
                  <c:v>Black (001)</c:v>
                </c:pt>
                <c:pt idx="1">
                  <c:v>White (100)</c:v>
                </c:pt>
                <c:pt idx="2">
                  <c:v>Dark Blue (404)</c:v>
                </c:pt>
                <c:pt idx="3">
                  <c:v>Pastel Blue (452)</c:v>
                </c:pt>
                <c:pt idx="4">
                  <c:v>Open White (118)</c:v>
                </c:pt>
                <c:pt idx="5">
                  <c:v>Beige Ovfl (923)</c:v>
                </c:pt>
              </c:strCache>
            </c:strRef>
          </c:cat>
          <c:val>
            <c:numRef>
              <c:f>DASHBOARD!$B$17:$B$22</c:f>
              <c:numCache>
                <c:formatCode>#,##0</c:formatCode>
                <c:ptCount val="6"/>
                <c:pt idx="0">
                  <c:v>6512</c:v>
                </c:pt>
                <c:pt idx="1">
                  <c:v>4967</c:v>
                </c:pt>
                <c:pt idx="2">
                  <c:v>3881</c:v>
                </c:pt>
                <c:pt idx="3">
                  <c:v>1777</c:v>
                </c:pt>
                <c:pt idx="4">
                  <c:v>584</c:v>
                </c:pt>
                <c:pt idx="5">
                  <c:v>1729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7931120"/>
        <c:axId val="1782332944"/>
      </c:barChart>
      <c:catAx>
        <c:axId val="1687931120"/>
        <c:scaling>
          <c:orientation val="minMax"/>
        </c:scaling>
        <c:delete val="1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Color</a:t>
                </a:r>
                <a:endParaRPr lang="en-IN"/>
              </a:p>
            </c:rich>
          </c:tx>
          <c:layout/>
          <c:overlay val="1"/>
        </c:title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782332944"/>
        <c:crosses val="autoZero"/>
        <c:auto val="1"/>
        <c:lblAlgn val="ctr"/>
        <c:lblOffset val="100"/>
        <c:noMultiLvlLbl val="1"/>
      </c:catAx>
      <c:valAx>
        <c:axId val="1782332944"/>
        <c:scaling>
          <c:orientation val="minMax"/>
        </c:scaling>
        <c:delete val="1"/>
        <c:axPos val="l"/>
        <c:majorGridlines/>
        <c:title>
          <c:tx>
            <c:rich>
              <a:bodyPr rot="-5400000" spcFirstLastPara="0" vertOverflow="ellipsis" vert="horz" wrap="square" anchor="ctr" anchorCtr="1"/>
              <a:lstStyle/>
              <a:p>
                <a:pPr>
                  <a:defRPr lang="en-US"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Qty (pcs)</a:t>
                </a:r>
                <a:endParaRPr lang="en-IN"/>
              </a:p>
            </c:rich>
          </c:tx>
          <c:layout/>
          <c:overlay val="1"/>
        </c:title>
        <c:numFmt formatCode="#,##0" sourceLinked="0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687931120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1"/>
    <c:extLst>
      <c:ext uri="{0b15fc19-7d7d-44ad-8c2d-2c3a37ce22c3}">
        <chartProps xmlns="https://web.wps.cn/et/2018/main" chartId="{0ca3ee9f-719f-4949-81ab-f656dfd24f02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457200</xdr:colOff>
          <xdr:row>19</xdr:row>
          <xdr:rowOff>171450</xdr:rowOff>
        </xdr:from>
        <xdr:to>
          <xdr:col>17</xdr:col>
          <xdr:colOff>257175</xdr:colOff>
          <xdr:row>21</xdr:row>
          <xdr:rowOff>0</xdr:rowOff>
        </xdr:to>
        <xdr:sp macro="[0]!ImportPO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0791825" y="4732020"/>
              <a:ext cx="1133475" cy="209550"/>
            </a:xfrm>
            <a:prstGeom prst="rect">
              <a:avLst/>
            </a:prstGeom>
          </xdr:spPr>
          <xdr:txBody>
            <a:bodyPr wrap="square" anchor="ctr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Button 1</a:t>
              </a:r>
              <a:endParaRPr lang="zh-CN" altLang="en-US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523875</xdr:colOff>
          <xdr:row>21</xdr:row>
          <xdr:rowOff>19050</xdr:rowOff>
        </xdr:from>
        <xdr:to>
          <xdr:col>17</xdr:col>
          <xdr:colOff>352425</xdr:colOff>
          <xdr:row>21</xdr:row>
          <xdr:rowOff>171450</xdr:rowOff>
        </xdr:to>
        <xdr:sp macro="[0]!GeneratePackingList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10858500" y="4960620"/>
              <a:ext cx="1162050" cy="152400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Button 2</a:t>
              </a:r>
              <a:endParaRPr lang="zh-CN" altLang="en-US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22</xdr:row>
          <xdr:rowOff>9525</xdr:rowOff>
        </xdr:from>
        <xdr:to>
          <xdr:col>17</xdr:col>
          <xdr:colOff>381000</xdr:colOff>
          <xdr:row>22</xdr:row>
          <xdr:rowOff>171450</xdr:rowOff>
        </xdr:to>
        <xdr:sp macro="[0]!AutoAllocate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10772775" y="5141595"/>
              <a:ext cx="1276350" cy="161925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Button 3</a:t>
              </a:r>
              <a:endParaRPr lang="zh-CN" altLang="en-US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495300</xdr:colOff>
          <xdr:row>23</xdr:row>
          <xdr:rowOff>19050</xdr:rowOff>
        </xdr:from>
        <xdr:to>
          <xdr:col>17</xdr:col>
          <xdr:colOff>257175</xdr:colOff>
          <xdr:row>24</xdr:row>
          <xdr:rowOff>0</xdr:rowOff>
        </xdr:to>
        <xdr:sp macro="[0]!Validate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10829925" y="5341620"/>
              <a:ext cx="1095375" cy="171450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Button 4</a:t>
              </a:r>
              <a:endParaRPr lang="zh-CN" altLang="en-US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447675</xdr:colOff>
          <xdr:row>24</xdr:row>
          <xdr:rowOff>66675</xdr:rowOff>
        </xdr:from>
        <xdr:to>
          <xdr:col>17</xdr:col>
          <xdr:colOff>438150</xdr:colOff>
          <xdr:row>25</xdr:row>
          <xdr:rowOff>9525</xdr:rowOff>
        </xdr:to>
        <xdr:sp macro="[0]!RefreshDashboard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10782300" y="5579745"/>
              <a:ext cx="1323975" cy="133350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Button 5</a:t>
              </a:r>
              <a:endParaRPr lang="zh-CN" altLang="en-US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447675</xdr:colOff>
          <xdr:row>25</xdr:row>
          <xdr:rowOff>28575</xdr:rowOff>
        </xdr:from>
        <xdr:to>
          <xdr:col>17</xdr:col>
          <xdr:colOff>342900</xdr:colOff>
          <xdr:row>25</xdr:row>
          <xdr:rowOff>171450</xdr:rowOff>
        </xdr:to>
        <xdr:sp macro="[0]!ExportPDF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10782300" y="5732145"/>
              <a:ext cx="1228725" cy="142875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Button 6</a:t>
              </a:r>
              <a:endParaRPr lang="zh-CN" altLang="en-US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26</xdr:row>
          <xdr:rowOff>9525</xdr:rowOff>
        </xdr:from>
        <xdr:to>
          <xdr:col>17</xdr:col>
          <xdr:colOff>276225</xdr:colOff>
          <xdr:row>26</xdr:row>
          <xdr:rowOff>180975</xdr:rowOff>
        </xdr:to>
        <xdr:sp macro="[0]!ExportXLSX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10887075" y="5903595"/>
              <a:ext cx="1057275" cy="171450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Button 7</a:t>
              </a:r>
              <a:endParaRPr lang="zh-CN" altLang="en-US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533400</xdr:colOff>
          <xdr:row>27</xdr:row>
          <xdr:rowOff>9525</xdr:rowOff>
        </xdr:from>
        <xdr:to>
          <xdr:col>17</xdr:col>
          <xdr:colOff>400050</xdr:colOff>
          <xdr:row>28</xdr:row>
          <xdr:rowOff>0</xdr:rowOff>
        </xdr:to>
        <xdr:sp macro="[0]!ClearWorkingData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10868025" y="6094095"/>
              <a:ext cx="1200150" cy="180975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Button 8</a:t>
              </a:r>
              <a:endParaRPr lang="zh-CN" altLang="en-US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5</xdr:col>
      <xdr:colOff>0</xdr:colOff>
      <xdr:row>14</xdr:row>
      <xdr:rowOff>0</xdr:rowOff>
    </xdr:from>
    <xdr:ext cx="7200000" cy="4339050"/>
    <xdr:graphicFrame>
      <xdr:nvGraphicFramePr>
        <xdr:cNvPr id="2" name="Chart 1"/>
        <xdr:cNvGraphicFramePr/>
      </xdr:nvGraphicFramePr>
      <xdr:xfrm>
        <a:off x="4667250" y="4126865"/>
        <a:ext cx="7199630" cy="433895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1B3A5C"/>
  </sheetPr>
  <dimension ref="A1:S59"/>
  <sheetViews>
    <sheetView showGridLines="0" tabSelected="1" topLeftCell="A12" workbookViewId="0">
      <selection activeCell="J8" sqref="J8"/>
    </sheetView>
  </sheetViews>
  <sheetFormatPr defaultColWidth="9" defaultRowHeight="15"/>
  <cols>
    <col min="1" max="1" width="3" customWidth="1"/>
    <col min="2" max="2" width="14" customWidth="1"/>
    <col min="3" max="5" width="10" customWidth="1"/>
    <col min="6" max="6" width="14" customWidth="1"/>
    <col min="7" max="9" width="10" customWidth="1"/>
    <col min="10" max="10" width="14" customWidth="1"/>
    <col min="11" max="18" width="10" customWidth="1"/>
  </cols>
  <sheetData>
    <row r="1" ht="60" customHeight="1" spans="1:19">
      <c r="A1" s="83" t="s">
        <v>0</v>
      </c>
    </row>
    <row r="2" customHeight="1"/>
    <row r="3" customHeight="1"/>
    <row r="4" customHeight="1"/>
    <row r="5" spans="1:19">
      <c r="A5" s="84"/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</row>
    <row r="6" ht="8.1" customHeight="1" spans="1:19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</row>
    <row r="7" spans="1:19">
      <c r="A7" s="86" t="s">
        <v>1</v>
      </c>
    </row>
    <row r="8" spans="1:19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</row>
    <row r="9" spans="1:19">
      <c r="A9" s="85"/>
      <c r="B9" s="87" t="s">
        <v>2</v>
      </c>
      <c r="C9" s="88" t="s">
        <v>3</v>
      </c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</row>
    <row r="10" spans="1:19">
      <c r="A10" s="85"/>
      <c r="B10" s="87" t="s">
        <v>4</v>
      </c>
      <c r="C10" s="88" t="s">
        <v>5</v>
      </c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</row>
    <row r="11" spans="1:19">
      <c r="A11" s="85"/>
      <c r="B11" s="87" t="s">
        <v>6</v>
      </c>
      <c r="C11" s="88" t="s">
        <v>7</v>
      </c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</row>
    <row r="12" spans="1:19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</row>
    <row r="13" ht="24" customHeight="1" spans="1:19">
      <c r="A13" s="85"/>
      <c r="B13" s="10" t="s">
        <v>8</v>
      </c>
      <c r="C13" s="11"/>
      <c r="D13" s="12"/>
      <c r="E13" s="85"/>
      <c r="F13" s="13" t="s">
        <v>9</v>
      </c>
      <c r="G13" s="11"/>
      <c r="H13" s="12"/>
      <c r="I13" s="85"/>
      <c r="J13" s="10" t="s">
        <v>10</v>
      </c>
      <c r="K13" s="11"/>
      <c r="L13" s="12"/>
      <c r="M13" s="85"/>
      <c r="N13" s="85"/>
      <c r="O13" s="85"/>
      <c r="P13" s="85"/>
      <c r="Q13" s="85"/>
      <c r="R13" s="85"/>
      <c r="S13" s="85"/>
    </row>
    <row r="14" ht="24" customHeight="1" spans="1:19">
      <c r="A14" s="85"/>
      <c r="B14" s="15"/>
      <c r="C14" s="16"/>
      <c r="D14" s="17"/>
      <c r="E14" s="85"/>
      <c r="F14" s="15"/>
      <c r="G14" s="16"/>
      <c r="H14" s="17"/>
      <c r="I14" s="85"/>
      <c r="J14" s="15"/>
      <c r="K14" s="16"/>
      <c r="L14" s="17"/>
      <c r="M14" s="85"/>
      <c r="N14" s="85"/>
      <c r="O14" s="85"/>
      <c r="P14" s="85"/>
      <c r="Q14" s="85"/>
      <c r="R14" s="85"/>
      <c r="S14" s="85"/>
    </row>
    <row r="15" ht="24" customHeight="1" spans="1:19">
      <c r="A15" s="85"/>
      <c r="B15" s="89">
        <f>COUNTA(PO_MASTER!A2:A5000)-COUNTBLANK(PO_MASTER!A2:A5000)</f>
        <v>-4983</v>
      </c>
      <c r="C15" s="11"/>
      <c r="D15" s="12"/>
      <c r="E15" s="85"/>
      <c r="F15" s="90">
        <f>SUMIF(PO_MASTER!R2:R5000,"Open",PO_MASTER!N2:N5000)</f>
        <v>19450</v>
      </c>
      <c r="G15" s="11"/>
      <c r="H15" s="12"/>
      <c r="I15" s="85"/>
      <c r="J15" s="89">
        <f>COUNTA(CARTON_ALLOCATION!A2:A5000)-COUNTBLANK(CARTON_ALLOCATION!A2:A5000)</f>
        <v>-4995</v>
      </c>
      <c r="K15" s="11"/>
      <c r="L15" s="12"/>
      <c r="M15" s="85"/>
      <c r="N15" s="85"/>
      <c r="O15" s="85"/>
      <c r="P15" s="85"/>
      <c r="Q15" s="85"/>
      <c r="R15" s="85"/>
      <c r="S15" s="85"/>
    </row>
    <row r="16" ht="24" customHeight="1" spans="1:19">
      <c r="A16" s="85"/>
      <c r="B16" s="15"/>
      <c r="C16" s="16"/>
      <c r="D16" s="17"/>
      <c r="E16" s="85"/>
      <c r="F16" s="15"/>
      <c r="G16" s="16"/>
      <c r="H16" s="17"/>
      <c r="I16" s="85"/>
      <c r="J16" s="15"/>
      <c r="K16" s="16"/>
      <c r="L16" s="17"/>
      <c r="M16" s="85"/>
      <c r="N16" s="85"/>
      <c r="O16" s="85"/>
      <c r="P16" s="85"/>
      <c r="Q16" s="85"/>
      <c r="R16" s="85"/>
      <c r="S16" s="85"/>
    </row>
    <row r="17" spans="1:19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</row>
    <row r="18" spans="1:19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</row>
    <row r="19" spans="1:19">
      <c r="A19" s="85"/>
      <c r="B19" s="91" t="s">
        <v>11</v>
      </c>
      <c r="S19" s="85"/>
    </row>
    <row r="20" spans="1:19">
      <c r="A20" s="85"/>
      <c r="B20" s="92" t="s">
        <v>12</v>
      </c>
      <c r="C20" s="93"/>
      <c r="D20" s="94"/>
      <c r="E20" s="85"/>
      <c r="F20" s="92" t="s">
        <v>13</v>
      </c>
      <c r="G20" s="93"/>
      <c r="H20" s="94"/>
      <c r="I20" s="85"/>
      <c r="J20" s="92" t="s">
        <v>14</v>
      </c>
      <c r="K20" s="93"/>
      <c r="L20" s="94"/>
      <c r="M20" s="85"/>
      <c r="N20" s="92" t="s">
        <v>15</v>
      </c>
      <c r="O20" s="93"/>
      <c r="P20" s="94"/>
      <c r="Q20" s="85"/>
      <c r="R20" s="85"/>
      <c r="S20" s="85"/>
    </row>
    <row r="21" spans="1:19">
      <c r="A21" s="85"/>
      <c r="B21" s="95" t="s">
        <v>16</v>
      </c>
      <c r="C21" s="93"/>
      <c r="D21" s="93"/>
      <c r="E21" s="94"/>
      <c r="F21" s="96" t="s">
        <v>17</v>
      </c>
      <c r="G21" s="93"/>
      <c r="H21" s="93"/>
      <c r="I21" s="94"/>
      <c r="J21" s="96" t="s">
        <v>18</v>
      </c>
      <c r="K21" s="93"/>
      <c r="L21" s="93"/>
      <c r="M21" s="93"/>
      <c r="N21" s="93"/>
      <c r="O21" s="94"/>
      <c r="P21" s="97" t="s">
        <v>19</v>
      </c>
      <c r="Q21" s="93"/>
      <c r="R21" s="94"/>
      <c r="S21" s="85"/>
    </row>
    <row r="22" spans="1:19">
      <c r="A22" s="85"/>
      <c r="B22" s="98" t="s">
        <v>20</v>
      </c>
      <c r="C22" s="93"/>
      <c r="D22" s="93"/>
      <c r="E22" s="94"/>
      <c r="F22" s="40" t="s">
        <v>21</v>
      </c>
      <c r="G22" s="93"/>
      <c r="H22" s="93"/>
      <c r="I22" s="94"/>
      <c r="J22" s="40" t="s">
        <v>22</v>
      </c>
      <c r="K22" s="93"/>
      <c r="L22" s="93"/>
      <c r="M22" s="93"/>
      <c r="N22" s="93"/>
      <c r="O22" s="94"/>
      <c r="P22" s="99" t="s">
        <v>23</v>
      </c>
      <c r="Q22" s="93"/>
      <c r="R22" s="94"/>
      <c r="S22" s="85"/>
    </row>
    <row r="23" spans="1:19">
      <c r="A23" s="85"/>
      <c r="B23" s="95" t="s">
        <v>24</v>
      </c>
      <c r="C23" s="93"/>
      <c r="D23" s="93"/>
      <c r="E23" s="94"/>
      <c r="F23" s="96" t="s">
        <v>25</v>
      </c>
      <c r="G23" s="93"/>
      <c r="H23" s="93"/>
      <c r="I23" s="94"/>
      <c r="J23" s="96" t="s">
        <v>26</v>
      </c>
      <c r="K23" s="93"/>
      <c r="L23" s="93"/>
      <c r="M23" s="93"/>
      <c r="N23" s="93"/>
      <c r="O23" s="94"/>
      <c r="P23" s="97" t="s">
        <v>27</v>
      </c>
      <c r="Q23" s="93"/>
      <c r="R23" s="94"/>
      <c r="S23" s="85"/>
    </row>
    <row r="24" spans="1:19">
      <c r="A24" s="85"/>
      <c r="B24" s="98" t="s">
        <v>28</v>
      </c>
      <c r="C24" s="93"/>
      <c r="D24" s="93"/>
      <c r="E24" s="94"/>
      <c r="F24" s="40" t="s">
        <v>21</v>
      </c>
      <c r="G24" s="93"/>
      <c r="H24" s="93"/>
      <c r="I24" s="94"/>
      <c r="J24" s="40" t="s">
        <v>29</v>
      </c>
      <c r="K24" s="93"/>
      <c r="L24" s="93"/>
      <c r="M24" s="93"/>
      <c r="N24" s="93"/>
      <c r="O24" s="94"/>
      <c r="P24" s="99" t="s">
        <v>30</v>
      </c>
      <c r="Q24" s="93"/>
      <c r="R24" s="94"/>
      <c r="S24" s="85"/>
    </row>
    <row r="25" spans="1:19">
      <c r="A25" s="85"/>
      <c r="B25" s="95" t="s">
        <v>31</v>
      </c>
      <c r="C25" s="93"/>
      <c r="D25" s="93"/>
      <c r="E25" s="94"/>
      <c r="F25" s="96" t="s">
        <v>32</v>
      </c>
      <c r="G25" s="93"/>
      <c r="H25" s="93"/>
      <c r="I25" s="94"/>
      <c r="J25" s="96" t="s">
        <v>33</v>
      </c>
      <c r="K25" s="93"/>
      <c r="L25" s="93"/>
      <c r="M25" s="93"/>
      <c r="N25" s="93"/>
      <c r="O25" s="94"/>
      <c r="P25" s="97" t="s">
        <v>34</v>
      </c>
      <c r="Q25" s="93"/>
      <c r="R25" s="94"/>
      <c r="S25" s="85"/>
    </row>
    <row r="26" spans="1:19">
      <c r="A26" s="85"/>
      <c r="B26" s="98" t="s">
        <v>35</v>
      </c>
      <c r="C26" s="93"/>
      <c r="D26" s="93"/>
      <c r="E26" s="94"/>
      <c r="F26" s="40" t="s">
        <v>36</v>
      </c>
      <c r="G26" s="93"/>
      <c r="H26" s="93"/>
      <c r="I26" s="94"/>
      <c r="J26" s="40" t="s">
        <v>37</v>
      </c>
      <c r="K26" s="93"/>
      <c r="L26" s="93"/>
      <c r="M26" s="93"/>
      <c r="N26" s="93"/>
      <c r="O26" s="94"/>
      <c r="P26" s="99" t="s">
        <v>38</v>
      </c>
      <c r="Q26" s="93"/>
      <c r="R26" s="94"/>
      <c r="S26" s="85"/>
    </row>
    <row r="27" spans="1:19">
      <c r="A27" s="85"/>
      <c r="B27" s="95" t="s">
        <v>39</v>
      </c>
      <c r="C27" s="93"/>
      <c r="D27" s="93"/>
      <c r="E27" s="94"/>
      <c r="F27" s="96" t="s">
        <v>36</v>
      </c>
      <c r="G27" s="93"/>
      <c r="H27" s="93"/>
      <c r="I27" s="94"/>
      <c r="J27" s="96" t="s">
        <v>40</v>
      </c>
      <c r="K27" s="93"/>
      <c r="L27" s="93"/>
      <c r="M27" s="93"/>
      <c r="N27" s="93"/>
      <c r="O27" s="94"/>
      <c r="P27" s="97" t="s">
        <v>41</v>
      </c>
      <c r="Q27" s="93"/>
      <c r="R27" s="94"/>
      <c r="S27" s="85"/>
    </row>
    <row r="28" spans="1:19">
      <c r="A28" s="85"/>
      <c r="B28" s="98" t="s">
        <v>42</v>
      </c>
      <c r="C28" s="93"/>
      <c r="D28" s="93"/>
      <c r="E28" s="94"/>
      <c r="F28" s="40" t="s">
        <v>43</v>
      </c>
      <c r="G28" s="93"/>
      <c r="H28" s="93"/>
      <c r="I28" s="94"/>
      <c r="J28" s="40" t="s">
        <v>44</v>
      </c>
      <c r="K28" s="93"/>
      <c r="L28" s="93"/>
      <c r="M28" s="93"/>
      <c r="N28" s="93"/>
      <c r="O28" s="94"/>
      <c r="P28" s="99" t="s">
        <v>45</v>
      </c>
      <c r="Q28" s="93"/>
      <c r="R28" s="94"/>
      <c r="S28" s="85"/>
    </row>
    <row r="29" spans="1:19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</row>
    <row r="30" spans="1:19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</row>
    <row r="31" spans="1:19">
      <c r="A31" s="85"/>
      <c r="B31" s="100" t="s">
        <v>46</v>
      </c>
      <c r="S31" s="85"/>
    </row>
    <row r="32" spans="1:19">
      <c r="A32" s="85"/>
      <c r="S32" s="85"/>
    </row>
    <row r="33" spans="1:19">
      <c r="A33" s="85"/>
      <c r="S33" s="85"/>
    </row>
    <row r="34" spans="1:19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  <c r="S34" s="85"/>
    </row>
    <row r="35" spans="1:19">
      <c r="A35" s="85"/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</row>
    <row r="36" spans="1:19">
      <c r="A36" s="85"/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</row>
    <row r="37" spans="1:19">
      <c r="A37" s="85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</row>
    <row r="38" spans="1:19">
      <c r="A38" s="85"/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</row>
    <row r="39" spans="1:19">
      <c r="A39" s="85"/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</row>
    <row r="40" spans="1:19">
      <c r="A40" s="85"/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</row>
    <row r="41" spans="1:19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</row>
    <row r="42" spans="1:19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</row>
    <row r="43" spans="1:19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</row>
    <row r="44" spans="1:19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</row>
    <row r="45" spans="1:19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</row>
    <row r="46" spans="1:19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</row>
    <row r="47" spans="1:19">
      <c r="A47" s="85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</row>
    <row r="48" spans="1:19">
      <c r="A48" s="85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</row>
    <row r="49" spans="1:19">
      <c r="A49" s="85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</row>
    <row r="50" spans="1:19">
      <c r="A50" s="85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</row>
    <row r="51" spans="1:19">
      <c r="A51" s="85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</row>
    <row r="52" spans="1:19">
      <c r="A52" s="85"/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</row>
    <row r="53" spans="1:19">
      <c r="A53" s="85"/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</row>
    <row r="54" spans="1:19">
      <c r="A54" s="85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</row>
    <row r="55" spans="1:19">
      <c r="A55" s="85"/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</row>
    <row r="56" spans="1:19">
      <c r="A56" s="85"/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</row>
    <row r="57" spans="1:19">
      <c r="A57" s="85"/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</row>
    <row r="58" spans="1:19">
      <c r="A58" s="85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</row>
    <row r="59" spans="1:19">
      <c r="A59" s="85"/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</row>
  </sheetData>
  <mergeCells count="46">
    <mergeCell ref="A7:S7"/>
    <mergeCell ref="B19:R19"/>
    <mergeCell ref="B20:D20"/>
    <mergeCell ref="F20:H20"/>
    <mergeCell ref="J20:L20"/>
    <mergeCell ref="N20:P20"/>
    <mergeCell ref="B21:E21"/>
    <mergeCell ref="F21:I21"/>
    <mergeCell ref="J21:O21"/>
    <mergeCell ref="P21:R21"/>
    <mergeCell ref="B22:E22"/>
    <mergeCell ref="F22:I22"/>
    <mergeCell ref="J22:O22"/>
    <mergeCell ref="P22:R22"/>
    <mergeCell ref="B23:E23"/>
    <mergeCell ref="F23:I23"/>
    <mergeCell ref="J23:O23"/>
    <mergeCell ref="P23:R23"/>
    <mergeCell ref="B24:E24"/>
    <mergeCell ref="F24:I24"/>
    <mergeCell ref="J24:O24"/>
    <mergeCell ref="P24:R24"/>
    <mergeCell ref="B25:E25"/>
    <mergeCell ref="F25:I25"/>
    <mergeCell ref="J25:O25"/>
    <mergeCell ref="P25:R25"/>
    <mergeCell ref="B26:E26"/>
    <mergeCell ref="F26:I26"/>
    <mergeCell ref="J26:O26"/>
    <mergeCell ref="P26:R26"/>
    <mergeCell ref="B27:E27"/>
    <mergeCell ref="F27:I27"/>
    <mergeCell ref="J27:O27"/>
    <mergeCell ref="P27:R27"/>
    <mergeCell ref="B28:E28"/>
    <mergeCell ref="F28:I28"/>
    <mergeCell ref="J28:O28"/>
    <mergeCell ref="P28:R28"/>
    <mergeCell ref="B13:D14"/>
    <mergeCell ref="B15:D16"/>
    <mergeCell ref="F13:H14"/>
    <mergeCell ref="A1:S4"/>
    <mergeCell ref="F15:H16"/>
    <mergeCell ref="J13:L14"/>
    <mergeCell ref="J15:L16"/>
    <mergeCell ref="B31:R33"/>
  </mergeCells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15</xdr:col>
                    <xdr:colOff>457200</xdr:colOff>
                    <xdr:row>19</xdr:row>
                    <xdr:rowOff>171450</xdr:rowOff>
                  </from>
                  <to>
                    <xdr:col>17</xdr:col>
                    <xdr:colOff>257175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15</xdr:col>
                    <xdr:colOff>523875</xdr:colOff>
                    <xdr:row>21</xdr:row>
                    <xdr:rowOff>19050</xdr:rowOff>
                  </from>
                  <to>
                    <xdr:col>17</xdr:col>
                    <xdr:colOff>352425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5">
              <controlPr print="0" defaultSize="0">
                <anchor moveWithCells="1">
                  <from>
                    <xdr:col>15</xdr:col>
                    <xdr:colOff>438150</xdr:colOff>
                    <xdr:row>22</xdr:row>
                    <xdr:rowOff>9525</xdr:rowOff>
                  </from>
                  <to>
                    <xdr:col>17</xdr:col>
                    <xdr:colOff>381000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6">
              <controlPr print="0" defaultSize="0">
                <anchor moveWithCells="1">
                  <from>
                    <xdr:col>15</xdr:col>
                    <xdr:colOff>495300</xdr:colOff>
                    <xdr:row>23</xdr:row>
                    <xdr:rowOff>19050</xdr:rowOff>
                  </from>
                  <to>
                    <xdr:col>17</xdr:col>
                    <xdr:colOff>257175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7">
              <controlPr print="0" defaultSize="0">
                <anchor moveWithCells="1">
                  <from>
                    <xdr:col>15</xdr:col>
                    <xdr:colOff>447675</xdr:colOff>
                    <xdr:row>24</xdr:row>
                    <xdr:rowOff>66675</xdr:rowOff>
                  </from>
                  <to>
                    <xdr:col>17</xdr:col>
                    <xdr:colOff>438150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Button 6" r:id="rId8">
              <controlPr print="0" defaultSize="0">
                <anchor moveWithCells="1">
                  <from>
                    <xdr:col>15</xdr:col>
                    <xdr:colOff>447675</xdr:colOff>
                    <xdr:row>25</xdr:row>
                    <xdr:rowOff>28575</xdr:rowOff>
                  </from>
                  <to>
                    <xdr:col>17</xdr:col>
                    <xdr:colOff>342900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name="Button 7" r:id="rId9">
              <controlPr print="0" defaultSize="0">
                <anchor moveWithCells="1">
                  <from>
                    <xdr:col>15</xdr:col>
                    <xdr:colOff>552450</xdr:colOff>
                    <xdr:row>26</xdr:row>
                    <xdr:rowOff>9525</xdr:rowOff>
                  </from>
                  <to>
                    <xdr:col>17</xdr:col>
                    <xdr:colOff>276225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name="Button 8" r:id="rId10">
              <controlPr print="0" defaultSize="0">
                <anchor moveWithCells="1">
                  <from>
                    <xdr:col>15</xdr:col>
                    <xdr:colOff>533400</xdr:colOff>
                    <xdr:row>27</xdr:row>
                    <xdr:rowOff>9525</xdr:rowOff>
                  </from>
                  <to>
                    <xdr:col>17</xdr:col>
                    <xdr:colOff>400050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2E5D8C"/>
  </sheetPr>
  <dimension ref="A1:U9"/>
  <sheetViews>
    <sheetView showGridLines="0" workbookViewId="0">
      <pane ySplit="2" topLeftCell="A3" activePane="bottomLeft" state="frozen"/>
      <selection/>
      <selection pane="bottomLeft" activeCell="A1" sqref="A1:U1"/>
    </sheetView>
  </sheetViews>
  <sheetFormatPr defaultColWidth="9" defaultRowHeight="15"/>
  <cols>
    <col min="1" max="1" width="14" customWidth="1"/>
    <col min="2" max="2" width="12" customWidth="1"/>
    <col min="3" max="3" width="22" customWidth="1"/>
    <col min="4" max="4" width="8" customWidth="1"/>
    <col min="5" max="5" width="10" customWidth="1"/>
    <col min="6" max="6" width="24" customWidth="1"/>
    <col min="7" max="7" width="12" customWidth="1"/>
    <col min="8" max="8" width="10" customWidth="1"/>
    <col min="9" max="9" width="22" customWidth="1"/>
    <col min="10" max="10" width="12" customWidth="1"/>
    <col min="11" max="11" width="10" customWidth="1"/>
    <col min="12" max="12" width="20" customWidth="1"/>
    <col min="13" max="13" width="16" customWidth="1"/>
    <col min="14" max="14" width="12" customWidth="1"/>
    <col min="15" max="15" width="14" customWidth="1"/>
    <col min="16" max="16" width="28" customWidth="1"/>
    <col min="17" max="17" width="14" customWidth="1"/>
    <col min="18" max="18" width="10" customWidth="1"/>
    <col min="19" max="19" width="12" customWidth="1"/>
    <col min="20" max="20" width="10" customWidth="1"/>
    <col min="21" max="21" width="12" customWidth="1"/>
  </cols>
  <sheetData>
    <row r="1" ht="30" customHeight="1" spans="1:21">
      <c r="A1" s="1" t="s">
        <v>47</v>
      </c>
    </row>
    <row r="2" ht="36" customHeight="1" spans="1:21">
      <c r="A2" s="45" t="s">
        <v>48</v>
      </c>
      <c r="B2" s="45" t="s">
        <v>49</v>
      </c>
      <c r="C2" s="45" t="s">
        <v>50</v>
      </c>
      <c r="D2" s="45" t="s">
        <v>51</v>
      </c>
      <c r="E2" s="45" t="s">
        <v>52</v>
      </c>
      <c r="F2" s="45" t="s">
        <v>53</v>
      </c>
      <c r="G2" s="45" t="s">
        <v>54</v>
      </c>
      <c r="H2" s="45" t="s">
        <v>55</v>
      </c>
      <c r="I2" s="45" t="s">
        <v>56</v>
      </c>
      <c r="J2" s="45" t="s">
        <v>57</v>
      </c>
      <c r="K2" s="45" t="s">
        <v>58</v>
      </c>
      <c r="L2" s="45" t="s">
        <v>59</v>
      </c>
      <c r="M2" s="45" t="s">
        <v>60</v>
      </c>
      <c r="N2" s="45" t="s">
        <v>61</v>
      </c>
      <c r="O2" s="45" t="s">
        <v>62</v>
      </c>
      <c r="P2" s="45" t="s">
        <v>63</v>
      </c>
      <c r="Q2" s="45" t="s">
        <v>64</v>
      </c>
      <c r="R2" s="45" t="s">
        <v>65</v>
      </c>
      <c r="S2" s="45" t="s">
        <v>66</v>
      </c>
      <c r="T2" s="45" t="s">
        <v>67</v>
      </c>
      <c r="U2" s="45" t="s">
        <v>68</v>
      </c>
    </row>
    <row r="3" spans="1:21">
      <c r="A3" s="38" t="s">
        <v>69</v>
      </c>
      <c r="B3" s="38" t="s">
        <v>70</v>
      </c>
      <c r="C3" s="38" t="s">
        <v>71</v>
      </c>
      <c r="D3" s="46" t="s">
        <v>72</v>
      </c>
      <c r="E3" s="46" t="s">
        <v>73</v>
      </c>
      <c r="F3" s="46" t="s">
        <v>74</v>
      </c>
      <c r="G3" s="46" t="s">
        <v>75</v>
      </c>
      <c r="H3" s="46" t="s">
        <v>76</v>
      </c>
      <c r="I3" s="38" t="s">
        <v>77</v>
      </c>
      <c r="J3" s="38" t="s">
        <v>78</v>
      </c>
      <c r="K3" s="46" t="s">
        <v>79</v>
      </c>
      <c r="L3" s="38" t="s">
        <v>80</v>
      </c>
      <c r="M3" s="46" t="s">
        <v>81</v>
      </c>
      <c r="N3" s="47">
        <v>4168</v>
      </c>
      <c r="O3" s="38" t="s">
        <v>82</v>
      </c>
      <c r="P3" s="38" t="s">
        <v>83</v>
      </c>
      <c r="Q3" s="76">
        <v>13.3</v>
      </c>
      <c r="R3" s="46" t="s">
        <v>84</v>
      </c>
      <c r="S3" s="77">
        <v>0</v>
      </c>
      <c r="T3" s="78">
        <f t="shared" ref="T3:T9" si="0">N3-S3</f>
        <v>4168</v>
      </c>
      <c r="U3" s="79">
        <f t="shared" ref="U3:U9" si="1">IFERROR(S3/N3,0)</f>
        <v>0</v>
      </c>
    </row>
    <row r="4" spans="1:21">
      <c r="A4" s="40" t="s">
        <v>69</v>
      </c>
      <c r="B4" s="40" t="s">
        <v>70</v>
      </c>
      <c r="C4" s="40" t="s">
        <v>71</v>
      </c>
      <c r="D4" s="52" t="s">
        <v>72</v>
      </c>
      <c r="E4" s="52" t="s">
        <v>73</v>
      </c>
      <c r="F4" s="52" t="s">
        <v>74</v>
      </c>
      <c r="G4" s="52" t="s">
        <v>75</v>
      </c>
      <c r="H4" s="52" t="s">
        <v>76</v>
      </c>
      <c r="I4" s="40" t="s">
        <v>77</v>
      </c>
      <c r="J4" s="40" t="s">
        <v>78</v>
      </c>
      <c r="K4" s="52" t="s">
        <v>85</v>
      </c>
      <c r="L4" s="40" t="s">
        <v>86</v>
      </c>
      <c r="M4" s="52" t="s">
        <v>81</v>
      </c>
      <c r="N4" s="53">
        <v>6182</v>
      </c>
      <c r="O4" s="40" t="s">
        <v>82</v>
      </c>
      <c r="P4" s="40" t="s">
        <v>83</v>
      </c>
      <c r="Q4" s="80">
        <v>13.3</v>
      </c>
      <c r="R4" s="52" t="s">
        <v>84</v>
      </c>
      <c r="S4" s="77">
        <v>0</v>
      </c>
      <c r="T4" s="81">
        <f t="shared" si="0"/>
        <v>6182</v>
      </c>
      <c r="U4" s="82">
        <f t="shared" si="1"/>
        <v>0</v>
      </c>
    </row>
    <row r="5" spans="1:21">
      <c r="A5" s="38" t="s">
        <v>69</v>
      </c>
      <c r="B5" s="38" t="s">
        <v>70</v>
      </c>
      <c r="C5" s="38" t="s">
        <v>71</v>
      </c>
      <c r="D5" s="46" t="s">
        <v>72</v>
      </c>
      <c r="E5" s="46" t="s">
        <v>73</v>
      </c>
      <c r="F5" s="46" t="s">
        <v>74</v>
      </c>
      <c r="G5" s="46" t="s">
        <v>75</v>
      </c>
      <c r="H5" s="46" t="s">
        <v>76</v>
      </c>
      <c r="I5" s="38" t="s">
        <v>77</v>
      </c>
      <c r="J5" s="38" t="s">
        <v>78</v>
      </c>
      <c r="K5" s="46" t="s">
        <v>87</v>
      </c>
      <c r="L5" s="38" t="s">
        <v>88</v>
      </c>
      <c r="M5" s="46" t="s">
        <v>81</v>
      </c>
      <c r="N5" s="47">
        <v>3759</v>
      </c>
      <c r="O5" s="38" t="s">
        <v>82</v>
      </c>
      <c r="P5" s="38" t="s">
        <v>83</v>
      </c>
      <c r="Q5" s="76">
        <v>13.3</v>
      </c>
      <c r="R5" s="46" t="s">
        <v>84</v>
      </c>
      <c r="S5" s="77">
        <v>0</v>
      </c>
      <c r="T5" s="78">
        <f t="shared" si="0"/>
        <v>3759</v>
      </c>
      <c r="U5" s="79">
        <f t="shared" si="1"/>
        <v>0</v>
      </c>
    </row>
    <row r="6" spans="1:21">
      <c r="A6" s="40" t="s">
        <v>69</v>
      </c>
      <c r="B6" s="40" t="s">
        <v>70</v>
      </c>
      <c r="C6" s="40" t="s">
        <v>71</v>
      </c>
      <c r="D6" s="52" t="s">
        <v>72</v>
      </c>
      <c r="E6" s="52" t="s">
        <v>73</v>
      </c>
      <c r="F6" s="52" t="s">
        <v>74</v>
      </c>
      <c r="G6" s="52" t="s">
        <v>75</v>
      </c>
      <c r="H6" s="52" t="s">
        <v>76</v>
      </c>
      <c r="I6" s="40" t="s">
        <v>77</v>
      </c>
      <c r="J6" s="40" t="s">
        <v>78</v>
      </c>
      <c r="K6" s="52" t="s">
        <v>89</v>
      </c>
      <c r="L6" s="40" t="s">
        <v>90</v>
      </c>
      <c r="M6" s="52" t="s">
        <v>81</v>
      </c>
      <c r="N6" s="53">
        <v>2836</v>
      </c>
      <c r="O6" s="40" t="s">
        <v>91</v>
      </c>
      <c r="P6" s="40" t="s">
        <v>83</v>
      </c>
      <c r="Q6" s="80">
        <v>13.3</v>
      </c>
      <c r="R6" s="52" t="s">
        <v>84</v>
      </c>
      <c r="S6" s="77">
        <v>0</v>
      </c>
      <c r="T6" s="81">
        <f t="shared" si="0"/>
        <v>2836</v>
      </c>
      <c r="U6" s="82">
        <f t="shared" si="1"/>
        <v>0</v>
      </c>
    </row>
    <row r="7" spans="1:21">
      <c r="A7" s="38" t="s">
        <v>92</v>
      </c>
      <c r="B7" s="38" t="s">
        <v>93</v>
      </c>
      <c r="C7" s="38" t="s">
        <v>94</v>
      </c>
      <c r="D7" s="46" t="s">
        <v>72</v>
      </c>
      <c r="E7" s="46" t="s">
        <v>73</v>
      </c>
      <c r="F7" s="46" t="s">
        <v>74</v>
      </c>
      <c r="G7" s="46" t="s">
        <v>95</v>
      </c>
      <c r="H7" s="46" t="s">
        <v>96</v>
      </c>
      <c r="I7" s="38" t="s">
        <v>97</v>
      </c>
      <c r="J7" s="38" t="s">
        <v>98</v>
      </c>
      <c r="K7" s="46" t="s">
        <v>99</v>
      </c>
      <c r="L7" s="38" t="s">
        <v>100</v>
      </c>
      <c r="M7" s="46" t="s">
        <v>101</v>
      </c>
      <c r="N7" s="47">
        <v>584</v>
      </c>
      <c r="O7" s="38" t="s">
        <v>102</v>
      </c>
      <c r="P7" s="38" t="s">
        <v>103</v>
      </c>
      <c r="Q7" s="76">
        <v>17.8</v>
      </c>
      <c r="R7" s="46" t="s">
        <v>84</v>
      </c>
      <c r="S7" s="77">
        <v>0</v>
      </c>
      <c r="T7" s="78">
        <f t="shared" si="0"/>
        <v>584</v>
      </c>
      <c r="U7" s="79">
        <f t="shared" si="1"/>
        <v>0</v>
      </c>
    </row>
    <row r="8" spans="1:21">
      <c r="A8" s="40" t="s">
        <v>92</v>
      </c>
      <c r="B8" s="40" t="s">
        <v>93</v>
      </c>
      <c r="C8" s="40" t="s">
        <v>94</v>
      </c>
      <c r="D8" s="52" t="s">
        <v>72</v>
      </c>
      <c r="E8" s="52" t="s">
        <v>73</v>
      </c>
      <c r="F8" s="52" t="s">
        <v>74</v>
      </c>
      <c r="G8" s="52" t="s">
        <v>95</v>
      </c>
      <c r="H8" s="52" t="s">
        <v>96</v>
      </c>
      <c r="I8" s="40" t="s">
        <v>97</v>
      </c>
      <c r="J8" s="40" t="s">
        <v>98</v>
      </c>
      <c r="K8" s="52" t="s">
        <v>87</v>
      </c>
      <c r="L8" s="40" t="s">
        <v>88</v>
      </c>
      <c r="M8" s="52" t="s">
        <v>101</v>
      </c>
      <c r="N8" s="53">
        <v>192</v>
      </c>
      <c r="O8" s="40" t="s">
        <v>102</v>
      </c>
      <c r="P8" s="40" t="s">
        <v>103</v>
      </c>
      <c r="Q8" s="80">
        <v>17.8</v>
      </c>
      <c r="R8" s="52" t="s">
        <v>84</v>
      </c>
      <c r="S8" s="77">
        <v>0</v>
      </c>
      <c r="T8" s="81">
        <f t="shared" si="0"/>
        <v>192</v>
      </c>
      <c r="U8" s="82">
        <f t="shared" si="1"/>
        <v>0</v>
      </c>
    </row>
    <row r="9" spans="1:21">
      <c r="A9" s="38" t="s">
        <v>92</v>
      </c>
      <c r="B9" s="38" t="s">
        <v>93</v>
      </c>
      <c r="C9" s="38" t="s">
        <v>94</v>
      </c>
      <c r="D9" s="46" t="s">
        <v>72</v>
      </c>
      <c r="E9" s="46" t="s">
        <v>73</v>
      </c>
      <c r="F9" s="46" t="s">
        <v>74</v>
      </c>
      <c r="G9" s="46" t="s">
        <v>95</v>
      </c>
      <c r="H9" s="46" t="s">
        <v>96</v>
      </c>
      <c r="I9" s="38" t="s">
        <v>97</v>
      </c>
      <c r="J9" s="38" t="s">
        <v>98</v>
      </c>
      <c r="K9" s="46" t="s">
        <v>104</v>
      </c>
      <c r="L9" s="38" t="s">
        <v>105</v>
      </c>
      <c r="M9" s="46" t="s">
        <v>101</v>
      </c>
      <c r="N9" s="47">
        <v>1729</v>
      </c>
      <c r="O9" s="38" t="s">
        <v>102</v>
      </c>
      <c r="P9" s="38" t="s">
        <v>103</v>
      </c>
      <c r="Q9" s="76">
        <v>17.8</v>
      </c>
      <c r="R9" s="46" t="s">
        <v>84</v>
      </c>
      <c r="S9" s="77">
        <v>0</v>
      </c>
      <c r="T9" s="78">
        <f t="shared" si="0"/>
        <v>1729</v>
      </c>
      <c r="U9" s="79">
        <f t="shared" si="1"/>
        <v>0</v>
      </c>
    </row>
  </sheetData>
  <autoFilter xmlns:etc="http://www.wps.cn/officeDocument/2017/etCustomData" ref="A2:U59" etc:filterBottomFollowUsedRange="0">
    <extLst/>
  </autoFilter>
  <mergeCells count="1">
    <mergeCell ref="A1:U1"/>
  </mergeCells>
  <conditionalFormatting sqref="R3:R59">
    <cfRule type="cellIs" dxfId="0" priority="1" operator="equal">
      <formula>"Open"</formula>
    </cfRule>
    <cfRule type="cellIs" dxfId="1" priority="2" operator="equal">
      <formula>"Closed"</formula>
    </cfRule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rgb="FFC8A84B"/>
    <pageSetUpPr fitToPage="1"/>
  </sheetPr>
  <dimension ref="A1:S54"/>
  <sheetViews>
    <sheetView showGridLines="0" workbookViewId="0">
      <pane xSplit="2" ySplit="11" topLeftCell="C12" activePane="bottomRight" state="frozen"/>
      <selection/>
      <selection pane="topRight"/>
      <selection pane="bottomLeft"/>
      <selection pane="bottomRight" activeCell="A1" sqref="A1:S1"/>
    </sheetView>
  </sheetViews>
  <sheetFormatPr defaultColWidth="9" defaultRowHeight="15"/>
  <cols>
    <col min="1" max="1" width="10" customWidth="1"/>
    <col min="2" max="2" width="22" customWidth="1"/>
    <col min="3" max="8" width="8" customWidth="1"/>
    <col min="9" max="12" width="11" customWidth="1"/>
    <col min="13" max="15" width="9" customWidth="1"/>
    <col min="16" max="16" width="11" customWidth="1"/>
    <col min="17" max="17" width="14" customWidth="1"/>
  </cols>
  <sheetData>
    <row r="1" ht="36" customHeight="1" spans="1:17">
      <c r="A1" s="8" t="s">
        <v>106</v>
      </c>
    </row>
    <row r="3" spans="1:17">
      <c r="A3" s="64" t="s">
        <v>107</v>
      </c>
      <c r="B3" s="65" t="s">
        <v>92</v>
      </c>
      <c r="G3" s="64" t="s">
        <v>108</v>
      </c>
      <c r="H3" s="65" t="s">
        <v>74</v>
      </c>
    </row>
    <row r="4" spans="1:17">
      <c r="A4" s="64" t="s">
        <v>109</v>
      </c>
      <c r="B4" s="65"/>
      <c r="G4" s="64" t="s">
        <v>110</v>
      </c>
      <c r="H4" s="65"/>
    </row>
    <row r="5" spans="1:17">
      <c r="A5" s="64" t="s">
        <v>111</v>
      </c>
      <c r="B5" s="65" t="s">
        <v>95</v>
      </c>
      <c r="G5" s="64" t="s">
        <v>112</v>
      </c>
      <c r="H5" s="65" t="s">
        <v>94</v>
      </c>
    </row>
    <row r="6" spans="1:17">
      <c r="A6" s="64" t="s">
        <v>113</v>
      </c>
      <c r="B6" s="65" t="s">
        <v>96</v>
      </c>
      <c r="G6" s="64" t="s">
        <v>114</v>
      </c>
      <c r="H6" s="65" t="s">
        <v>103</v>
      </c>
    </row>
    <row r="7" spans="1:17">
      <c r="A7" s="64" t="s">
        <v>115</v>
      </c>
      <c r="B7" s="65" t="s">
        <v>97</v>
      </c>
      <c r="G7" s="64" t="s">
        <v>116</v>
      </c>
      <c r="H7" s="65" t="s">
        <v>117</v>
      </c>
    </row>
    <row r="8" spans="1:17">
      <c r="A8" s="64" t="s">
        <v>118</v>
      </c>
      <c r="B8" s="65" t="s">
        <v>119</v>
      </c>
      <c r="G8" s="64" t="s">
        <v>120</v>
      </c>
      <c r="H8" s="65" t="s">
        <v>121</v>
      </c>
    </row>
    <row r="11" ht="36" customHeight="1" spans="1:17">
      <c r="A11" s="45" t="s">
        <v>122</v>
      </c>
      <c r="B11" s="45" t="s">
        <v>123</v>
      </c>
      <c r="C11" s="45" t="s">
        <v>124</v>
      </c>
      <c r="D11" s="45" t="s">
        <v>125</v>
      </c>
      <c r="E11" s="45" t="s">
        <v>126</v>
      </c>
      <c r="F11" s="45" t="s">
        <v>127</v>
      </c>
      <c r="G11" s="45" t="s">
        <v>128</v>
      </c>
      <c r="H11" s="45" t="s">
        <v>129</v>
      </c>
      <c r="I11" s="45" t="s">
        <v>130</v>
      </c>
      <c r="J11" s="45" t="s">
        <v>131</v>
      </c>
      <c r="K11" s="45" t="s">
        <v>132</v>
      </c>
      <c r="L11" s="45" t="s">
        <v>133</v>
      </c>
      <c r="M11" s="45" t="s">
        <v>134</v>
      </c>
      <c r="N11" s="45" t="s">
        <v>135</v>
      </c>
      <c r="O11" s="45" t="s">
        <v>136</v>
      </c>
      <c r="P11" s="45" t="s">
        <v>137</v>
      </c>
      <c r="Q11" s="45" t="s">
        <v>138</v>
      </c>
    </row>
    <row r="12" spans="1:17">
      <c r="A12" s="59">
        <v>1</v>
      </c>
      <c r="B12" s="38" t="s">
        <v>117</v>
      </c>
      <c r="C12" s="66">
        <v>6</v>
      </c>
      <c r="D12" s="66">
        <v>3</v>
      </c>
      <c r="E12" s="66">
        <v>2</v>
      </c>
      <c r="F12" s="66">
        <v>1</v>
      </c>
      <c r="G12" s="66">
        <v>1</v>
      </c>
      <c r="H12" s="66">
        <v>1</v>
      </c>
      <c r="I12" s="67">
        <f t="shared" ref="I12:I53" si="0">SUM(C12:H12)</f>
        <v>14</v>
      </c>
      <c r="J12" s="60">
        <v>0.35</v>
      </c>
      <c r="K12" s="61">
        <f t="shared" ref="K12:K53" si="1">(I12*J12)+L12</f>
        <v>6.1</v>
      </c>
      <c r="L12" s="60">
        <v>1.2</v>
      </c>
      <c r="M12" s="68">
        <v>60</v>
      </c>
      <c r="N12" s="68">
        <v>40</v>
      </c>
      <c r="O12" s="68">
        <v>30</v>
      </c>
      <c r="P12" s="69">
        <f t="shared" ref="P12:P53" si="2">M12*N12*O12/1000000</f>
        <v>0.072</v>
      </c>
      <c r="Q12" s="70"/>
    </row>
    <row r="13" spans="1:17">
      <c r="A13" s="62">
        <v>2</v>
      </c>
      <c r="B13" s="40" t="s">
        <v>117</v>
      </c>
      <c r="C13" s="66">
        <v>6</v>
      </c>
      <c r="D13" s="66">
        <v>3</v>
      </c>
      <c r="E13" s="66">
        <v>2</v>
      </c>
      <c r="F13" s="66">
        <v>1</v>
      </c>
      <c r="G13" s="66">
        <v>1</v>
      </c>
      <c r="H13" s="66">
        <v>1</v>
      </c>
      <c r="I13" s="71">
        <f t="shared" si="0"/>
        <v>14</v>
      </c>
      <c r="J13" s="60">
        <v>0.35</v>
      </c>
      <c r="K13" s="63">
        <f t="shared" si="1"/>
        <v>6.1</v>
      </c>
      <c r="L13" s="60">
        <v>1.2</v>
      </c>
      <c r="M13" s="68">
        <v>60</v>
      </c>
      <c r="N13" s="68">
        <v>40</v>
      </c>
      <c r="O13" s="68">
        <v>30</v>
      </c>
      <c r="P13" s="72">
        <f t="shared" si="2"/>
        <v>0.072</v>
      </c>
      <c r="Q13" s="70"/>
    </row>
    <row r="14" spans="1:17">
      <c r="A14" s="59">
        <v>3</v>
      </c>
      <c r="B14" s="38" t="s">
        <v>117</v>
      </c>
      <c r="C14" s="66">
        <v>6</v>
      </c>
      <c r="D14" s="66">
        <v>3</v>
      </c>
      <c r="E14" s="66">
        <v>2</v>
      </c>
      <c r="F14" s="66">
        <v>1</v>
      </c>
      <c r="G14" s="66">
        <v>1</v>
      </c>
      <c r="H14" s="66">
        <v>1</v>
      </c>
      <c r="I14" s="67">
        <f t="shared" si="0"/>
        <v>14</v>
      </c>
      <c r="J14" s="60">
        <v>0.35</v>
      </c>
      <c r="K14" s="61">
        <f t="shared" si="1"/>
        <v>6.1</v>
      </c>
      <c r="L14" s="60">
        <v>1.2</v>
      </c>
      <c r="M14" s="68">
        <v>60</v>
      </c>
      <c r="N14" s="68">
        <v>40</v>
      </c>
      <c r="O14" s="68">
        <v>30</v>
      </c>
      <c r="P14" s="69">
        <f t="shared" si="2"/>
        <v>0.072</v>
      </c>
      <c r="Q14" s="70"/>
    </row>
    <row r="15" spans="1:17">
      <c r="A15" s="62">
        <v>4</v>
      </c>
      <c r="B15" s="40" t="s">
        <v>117</v>
      </c>
      <c r="C15" s="66">
        <v>6</v>
      </c>
      <c r="D15" s="66">
        <v>3</v>
      </c>
      <c r="E15" s="66">
        <v>2</v>
      </c>
      <c r="F15" s="66">
        <v>1</v>
      </c>
      <c r="G15" s="66">
        <v>1</v>
      </c>
      <c r="H15" s="66">
        <v>1</v>
      </c>
      <c r="I15" s="71">
        <f t="shared" si="0"/>
        <v>14</v>
      </c>
      <c r="J15" s="60">
        <v>0.35</v>
      </c>
      <c r="K15" s="63">
        <f t="shared" si="1"/>
        <v>6.1</v>
      </c>
      <c r="L15" s="60">
        <v>1.2</v>
      </c>
      <c r="M15" s="68">
        <v>60</v>
      </c>
      <c r="N15" s="68">
        <v>40</v>
      </c>
      <c r="O15" s="68">
        <v>30</v>
      </c>
      <c r="P15" s="72">
        <f t="shared" si="2"/>
        <v>0.072</v>
      </c>
      <c r="Q15" s="70"/>
    </row>
    <row r="16" spans="1:17">
      <c r="A16" s="59">
        <v>5</v>
      </c>
      <c r="B16" s="38" t="s">
        <v>117</v>
      </c>
      <c r="C16" s="66">
        <v>6</v>
      </c>
      <c r="D16" s="66">
        <v>3</v>
      </c>
      <c r="E16" s="66">
        <v>2</v>
      </c>
      <c r="F16" s="66">
        <v>1</v>
      </c>
      <c r="G16" s="66">
        <v>1</v>
      </c>
      <c r="H16" s="66">
        <v>1</v>
      </c>
      <c r="I16" s="67">
        <f t="shared" si="0"/>
        <v>14</v>
      </c>
      <c r="J16" s="60">
        <v>0.35</v>
      </c>
      <c r="K16" s="61">
        <f t="shared" si="1"/>
        <v>6.1</v>
      </c>
      <c r="L16" s="60">
        <v>1.2</v>
      </c>
      <c r="M16" s="68">
        <v>60</v>
      </c>
      <c r="N16" s="68">
        <v>40</v>
      </c>
      <c r="O16" s="68">
        <v>30</v>
      </c>
      <c r="P16" s="69">
        <f t="shared" si="2"/>
        <v>0.072</v>
      </c>
      <c r="Q16" s="70"/>
    </row>
    <row r="17" spans="1:17">
      <c r="A17" s="62">
        <v>6</v>
      </c>
      <c r="B17" s="40" t="s">
        <v>117</v>
      </c>
      <c r="C17" s="66">
        <v>5</v>
      </c>
      <c r="D17" s="66">
        <v>3</v>
      </c>
      <c r="E17" s="66">
        <v>3</v>
      </c>
      <c r="F17" s="66">
        <v>1</v>
      </c>
      <c r="G17" s="66">
        <v>1</v>
      </c>
      <c r="H17" s="66">
        <v>1</v>
      </c>
      <c r="I17" s="71">
        <f t="shared" si="0"/>
        <v>14</v>
      </c>
      <c r="J17" s="60">
        <v>0.35</v>
      </c>
      <c r="K17" s="63">
        <f t="shared" si="1"/>
        <v>6.1</v>
      </c>
      <c r="L17" s="60">
        <v>1.2</v>
      </c>
      <c r="M17" s="68">
        <v>60</v>
      </c>
      <c r="N17" s="68">
        <v>40</v>
      </c>
      <c r="O17" s="68">
        <v>30</v>
      </c>
      <c r="P17" s="72">
        <f t="shared" si="2"/>
        <v>0.072</v>
      </c>
      <c r="Q17" s="70"/>
    </row>
    <row r="18" spans="1:17">
      <c r="A18" s="59">
        <v>7</v>
      </c>
      <c r="B18" s="38" t="s">
        <v>117</v>
      </c>
      <c r="C18" s="66">
        <v>5</v>
      </c>
      <c r="D18" s="66">
        <v>3</v>
      </c>
      <c r="E18" s="66">
        <v>3</v>
      </c>
      <c r="F18" s="66">
        <v>1</v>
      </c>
      <c r="G18" s="66">
        <v>1</v>
      </c>
      <c r="H18" s="66">
        <v>1</v>
      </c>
      <c r="I18" s="67">
        <f t="shared" si="0"/>
        <v>14</v>
      </c>
      <c r="J18" s="60">
        <v>0.35</v>
      </c>
      <c r="K18" s="61">
        <f t="shared" si="1"/>
        <v>6.1</v>
      </c>
      <c r="L18" s="60">
        <v>1.2</v>
      </c>
      <c r="M18" s="68">
        <v>60</v>
      </c>
      <c r="N18" s="68">
        <v>40</v>
      </c>
      <c r="O18" s="68">
        <v>30</v>
      </c>
      <c r="P18" s="69">
        <f t="shared" si="2"/>
        <v>0.072</v>
      </c>
      <c r="Q18" s="70"/>
    </row>
    <row r="19" spans="1:17">
      <c r="A19" s="62">
        <v>8</v>
      </c>
      <c r="B19" s="40" t="s">
        <v>117</v>
      </c>
      <c r="C19" s="66">
        <v>5</v>
      </c>
      <c r="D19" s="66">
        <v>3</v>
      </c>
      <c r="E19" s="66">
        <v>3</v>
      </c>
      <c r="F19" s="66">
        <v>1</v>
      </c>
      <c r="G19" s="66">
        <v>1</v>
      </c>
      <c r="H19" s="66">
        <v>1</v>
      </c>
      <c r="I19" s="71">
        <f t="shared" si="0"/>
        <v>14</v>
      </c>
      <c r="J19" s="60">
        <v>0.35</v>
      </c>
      <c r="K19" s="63">
        <f t="shared" si="1"/>
        <v>6.1</v>
      </c>
      <c r="L19" s="60">
        <v>1.2</v>
      </c>
      <c r="M19" s="68">
        <v>60</v>
      </c>
      <c r="N19" s="68">
        <v>40</v>
      </c>
      <c r="O19" s="68">
        <v>30</v>
      </c>
      <c r="P19" s="72">
        <f t="shared" si="2"/>
        <v>0.072</v>
      </c>
      <c r="Q19" s="70"/>
    </row>
    <row r="20" spans="1:17">
      <c r="A20" s="59">
        <v>9</v>
      </c>
      <c r="B20" s="38" t="s">
        <v>117</v>
      </c>
      <c r="C20" s="66">
        <v>2</v>
      </c>
      <c r="D20" s="66">
        <v>6</v>
      </c>
      <c r="E20" s="66">
        <v>3</v>
      </c>
      <c r="F20" s="66">
        <v>1</v>
      </c>
      <c r="G20" s="66">
        <v>1</v>
      </c>
      <c r="H20" s="66">
        <v>1</v>
      </c>
      <c r="I20" s="67">
        <f t="shared" si="0"/>
        <v>14</v>
      </c>
      <c r="J20" s="60">
        <v>0.35</v>
      </c>
      <c r="K20" s="61">
        <f t="shared" si="1"/>
        <v>6.1</v>
      </c>
      <c r="L20" s="60">
        <v>1.2</v>
      </c>
      <c r="M20" s="68">
        <v>60</v>
      </c>
      <c r="N20" s="68">
        <v>40</v>
      </c>
      <c r="O20" s="68">
        <v>30</v>
      </c>
      <c r="P20" s="69">
        <f t="shared" si="2"/>
        <v>0.072</v>
      </c>
      <c r="Q20" s="70"/>
    </row>
    <row r="21" spans="1:17">
      <c r="A21" s="62">
        <v>10</v>
      </c>
      <c r="B21" s="40" t="s">
        <v>117</v>
      </c>
      <c r="C21" s="66"/>
      <c r="D21" s="66">
        <v>7</v>
      </c>
      <c r="E21" s="66">
        <v>3</v>
      </c>
      <c r="F21" s="66">
        <v>2</v>
      </c>
      <c r="G21" s="66">
        <v>1</v>
      </c>
      <c r="H21" s="66">
        <v>1</v>
      </c>
      <c r="I21" s="71">
        <f t="shared" si="0"/>
        <v>14</v>
      </c>
      <c r="J21" s="60">
        <v>0.35</v>
      </c>
      <c r="K21" s="63">
        <f t="shared" si="1"/>
        <v>6.1</v>
      </c>
      <c r="L21" s="60">
        <v>1.2</v>
      </c>
      <c r="M21" s="68">
        <v>60</v>
      </c>
      <c r="N21" s="68">
        <v>40</v>
      </c>
      <c r="O21" s="68">
        <v>30</v>
      </c>
      <c r="P21" s="72">
        <f t="shared" si="2"/>
        <v>0.072</v>
      </c>
      <c r="Q21" s="70"/>
    </row>
    <row r="22" spans="1:17">
      <c r="A22" s="59">
        <v>11</v>
      </c>
      <c r="B22" s="38" t="s">
        <v>117</v>
      </c>
      <c r="C22" s="66"/>
      <c r="D22" s="66">
        <v>7</v>
      </c>
      <c r="E22" s="66">
        <v>3</v>
      </c>
      <c r="F22" s="66">
        <v>2</v>
      </c>
      <c r="G22" s="66">
        <v>1</v>
      </c>
      <c r="H22" s="66">
        <v>1</v>
      </c>
      <c r="I22" s="67">
        <f t="shared" si="0"/>
        <v>14</v>
      </c>
      <c r="J22" s="60">
        <v>0.35</v>
      </c>
      <c r="K22" s="61">
        <f t="shared" si="1"/>
        <v>6.1</v>
      </c>
      <c r="L22" s="60">
        <v>1.2</v>
      </c>
      <c r="M22" s="68">
        <v>60</v>
      </c>
      <c r="N22" s="68">
        <v>40</v>
      </c>
      <c r="O22" s="68">
        <v>30</v>
      </c>
      <c r="P22" s="69">
        <f t="shared" si="2"/>
        <v>0.072</v>
      </c>
      <c r="Q22" s="70"/>
    </row>
    <row r="23" spans="1:17">
      <c r="A23" s="62">
        <v>12</v>
      </c>
      <c r="B23" s="40" t="s">
        <v>117</v>
      </c>
      <c r="C23" s="66"/>
      <c r="D23" s="66">
        <v>7</v>
      </c>
      <c r="E23" s="66">
        <v>3</v>
      </c>
      <c r="F23" s="66">
        <v>2</v>
      </c>
      <c r="G23" s="66">
        <v>1</v>
      </c>
      <c r="H23" s="66">
        <v>1</v>
      </c>
      <c r="I23" s="71">
        <f t="shared" si="0"/>
        <v>14</v>
      </c>
      <c r="J23" s="60">
        <v>0.35</v>
      </c>
      <c r="K23" s="63">
        <f t="shared" si="1"/>
        <v>6.1</v>
      </c>
      <c r="L23" s="60">
        <v>1.2</v>
      </c>
      <c r="M23" s="68">
        <v>60</v>
      </c>
      <c r="N23" s="68">
        <v>40</v>
      </c>
      <c r="O23" s="68">
        <v>30</v>
      </c>
      <c r="P23" s="72">
        <f t="shared" si="2"/>
        <v>0.072</v>
      </c>
      <c r="Q23" s="70"/>
    </row>
    <row r="24" spans="1:17">
      <c r="A24" s="59">
        <v>13</v>
      </c>
      <c r="B24" s="38" t="s">
        <v>117</v>
      </c>
      <c r="C24" s="66"/>
      <c r="D24" s="66">
        <v>7</v>
      </c>
      <c r="E24" s="66">
        <v>3</v>
      </c>
      <c r="F24" s="66">
        <v>2</v>
      </c>
      <c r="G24" s="66">
        <v>1</v>
      </c>
      <c r="H24" s="66">
        <v>1</v>
      </c>
      <c r="I24" s="67">
        <f t="shared" si="0"/>
        <v>14</v>
      </c>
      <c r="J24" s="60">
        <v>0.35</v>
      </c>
      <c r="K24" s="61">
        <f t="shared" si="1"/>
        <v>6.1</v>
      </c>
      <c r="L24" s="60">
        <v>1.2</v>
      </c>
      <c r="M24" s="68">
        <v>60</v>
      </c>
      <c r="N24" s="68">
        <v>40</v>
      </c>
      <c r="O24" s="68">
        <v>30</v>
      </c>
      <c r="P24" s="69">
        <f t="shared" si="2"/>
        <v>0.072</v>
      </c>
      <c r="Q24" s="70"/>
    </row>
    <row r="25" spans="1:17">
      <c r="A25" s="62">
        <v>14</v>
      </c>
      <c r="B25" s="40" t="s">
        <v>117</v>
      </c>
      <c r="C25" s="66"/>
      <c r="D25" s="66">
        <v>7</v>
      </c>
      <c r="E25" s="66">
        <v>3</v>
      </c>
      <c r="F25" s="66">
        <v>2</v>
      </c>
      <c r="G25" s="66">
        <v>1</v>
      </c>
      <c r="H25" s="66">
        <v>1</v>
      </c>
      <c r="I25" s="71">
        <f t="shared" si="0"/>
        <v>14</v>
      </c>
      <c r="J25" s="60">
        <v>0.35</v>
      </c>
      <c r="K25" s="63">
        <f t="shared" si="1"/>
        <v>6.1</v>
      </c>
      <c r="L25" s="60">
        <v>1.2</v>
      </c>
      <c r="M25" s="68">
        <v>60</v>
      </c>
      <c r="N25" s="68">
        <v>40</v>
      </c>
      <c r="O25" s="68">
        <v>30</v>
      </c>
      <c r="P25" s="72">
        <f t="shared" si="2"/>
        <v>0.072</v>
      </c>
      <c r="Q25" s="70"/>
    </row>
    <row r="26" spans="1:17">
      <c r="A26" s="59">
        <v>15</v>
      </c>
      <c r="B26" s="38" t="s">
        <v>117</v>
      </c>
      <c r="C26" s="66"/>
      <c r="D26" s="66">
        <v>7</v>
      </c>
      <c r="E26" s="66">
        <v>3</v>
      </c>
      <c r="F26" s="66">
        <v>2</v>
      </c>
      <c r="G26" s="66">
        <v>1</v>
      </c>
      <c r="H26" s="66">
        <v>1</v>
      </c>
      <c r="I26" s="67">
        <f t="shared" si="0"/>
        <v>14</v>
      </c>
      <c r="J26" s="60">
        <v>0.35</v>
      </c>
      <c r="K26" s="61">
        <f t="shared" si="1"/>
        <v>6.1</v>
      </c>
      <c r="L26" s="60">
        <v>1.2</v>
      </c>
      <c r="M26" s="68">
        <v>60</v>
      </c>
      <c r="N26" s="68">
        <v>40</v>
      </c>
      <c r="O26" s="68">
        <v>30</v>
      </c>
      <c r="P26" s="69">
        <f t="shared" si="2"/>
        <v>0.072</v>
      </c>
      <c r="Q26" s="70"/>
    </row>
    <row r="27" spans="1:17">
      <c r="A27" s="62">
        <v>16</v>
      </c>
      <c r="B27" s="40" t="s">
        <v>117</v>
      </c>
      <c r="C27" s="66"/>
      <c r="D27" s="66">
        <v>6</v>
      </c>
      <c r="E27" s="66">
        <v>4</v>
      </c>
      <c r="F27" s="66">
        <v>2</v>
      </c>
      <c r="G27" s="66">
        <v>1</v>
      </c>
      <c r="H27" s="66">
        <v>1</v>
      </c>
      <c r="I27" s="71">
        <f t="shared" si="0"/>
        <v>14</v>
      </c>
      <c r="J27" s="60">
        <v>0.35</v>
      </c>
      <c r="K27" s="63">
        <f t="shared" si="1"/>
        <v>6.1</v>
      </c>
      <c r="L27" s="60">
        <v>1.2</v>
      </c>
      <c r="M27" s="68">
        <v>60</v>
      </c>
      <c r="N27" s="68">
        <v>40</v>
      </c>
      <c r="O27" s="68">
        <v>30</v>
      </c>
      <c r="P27" s="72">
        <f t="shared" si="2"/>
        <v>0.072</v>
      </c>
      <c r="Q27" s="70"/>
    </row>
    <row r="28" spans="1:17">
      <c r="A28" s="59">
        <v>17</v>
      </c>
      <c r="B28" s="38" t="s">
        <v>117</v>
      </c>
      <c r="C28" s="66"/>
      <c r="D28" s="66">
        <v>6</v>
      </c>
      <c r="E28" s="66">
        <v>4</v>
      </c>
      <c r="F28" s="66">
        <v>2</v>
      </c>
      <c r="G28" s="66">
        <v>1</v>
      </c>
      <c r="H28" s="66">
        <v>1</v>
      </c>
      <c r="I28" s="67">
        <f t="shared" si="0"/>
        <v>14</v>
      </c>
      <c r="J28" s="60">
        <v>0.35</v>
      </c>
      <c r="K28" s="61">
        <f t="shared" si="1"/>
        <v>6.1</v>
      </c>
      <c r="L28" s="60">
        <v>1.2</v>
      </c>
      <c r="M28" s="68">
        <v>60</v>
      </c>
      <c r="N28" s="68">
        <v>40</v>
      </c>
      <c r="O28" s="68">
        <v>30</v>
      </c>
      <c r="P28" s="69">
        <f t="shared" si="2"/>
        <v>0.072</v>
      </c>
      <c r="Q28" s="70"/>
    </row>
    <row r="29" spans="1:17">
      <c r="A29" s="62">
        <v>18</v>
      </c>
      <c r="B29" s="40" t="s">
        <v>117</v>
      </c>
      <c r="C29" s="66"/>
      <c r="D29" s="66">
        <v>7</v>
      </c>
      <c r="E29" s="66">
        <v>4</v>
      </c>
      <c r="F29" s="66">
        <v>2</v>
      </c>
      <c r="G29" s="66">
        <v>1</v>
      </c>
      <c r="H29" s="66"/>
      <c r="I29" s="71">
        <f t="shared" si="0"/>
        <v>14</v>
      </c>
      <c r="J29" s="60">
        <v>0.35</v>
      </c>
      <c r="K29" s="63">
        <f t="shared" si="1"/>
        <v>6.1</v>
      </c>
      <c r="L29" s="60">
        <v>1.2</v>
      </c>
      <c r="M29" s="68">
        <v>60</v>
      </c>
      <c r="N29" s="68">
        <v>40</v>
      </c>
      <c r="O29" s="68">
        <v>30</v>
      </c>
      <c r="P29" s="72">
        <f t="shared" si="2"/>
        <v>0.072</v>
      </c>
      <c r="Q29" s="70"/>
    </row>
    <row r="30" spans="1:17">
      <c r="A30" s="59">
        <v>19</v>
      </c>
      <c r="B30" s="38" t="s">
        <v>117</v>
      </c>
      <c r="C30" s="66"/>
      <c r="D30" s="66">
        <v>7</v>
      </c>
      <c r="E30" s="66">
        <v>4</v>
      </c>
      <c r="F30" s="66">
        <v>2</v>
      </c>
      <c r="G30" s="66">
        <v>1</v>
      </c>
      <c r="H30" s="66"/>
      <c r="I30" s="67">
        <f t="shared" si="0"/>
        <v>14</v>
      </c>
      <c r="J30" s="60">
        <v>0.35</v>
      </c>
      <c r="K30" s="61">
        <f t="shared" si="1"/>
        <v>6.1</v>
      </c>
      <c r="L30" s="60">
        <v>1.2</v>
      </c>
      <c r="M30" s="68">
        <v>60</v>
      </c>
      <c r="N30" s="68">
        <v>40</v>
      </c>
      <c r="O30" s="68">
        <v>30</v>
      </c>
      <c r="P30" s="69">
        <f t="shared" si="2"/>
        <v>0.072</v>
      </c>
      <c r="Q30" s="70"/>
    </row>
    <row r="31" spans="1:17">
      <c r="A31" s="62">
        <v>20</v>
      </c>
      <c r="B31" s="40" t="s">
        <v>117</v>
      </c>
      <c r="C31" s="66"/>
      <c r="D31" s="66">
        <v>7</v>
      </c>
      <c r="E31" s="66">
        <v>4</v>
      </c>
      <c r="F31" s="66">
        <v>2</v>
      </c>
      <c r="G31" s="66">
        <v>1</v>
      </c>
      <c r="H31" s="66"/>
      <c r="I31" s="71">
        <f t="shared" si="0"/>
        <v>14</v>
      </c>
      <c r="J31" s="60">
        <v>0.35</v>
      </c>
      <c r="K31" s="63">
        <f t="shared" si="1"/>
        <v>6.1</v>
      </c>
      <c r="L31" s="60">
        <v>1.2</v>
      </c>
      <c r="M31" s="68">
        <v>60</v>
      </c>
      <c r="N31" s="68">
        <v>40</v>
      </c>
      <c r="O31" s="68">
        <v>30</v>
      </c>
      <c r="P31" s="72">
        <f t="shared" si="2"/>
        <v>0.072</v>
      </c>
      <c r="Q31" s="70"/>
    </row>
    <row r="32" spans="1:17">
      <c r="A32" s="59">
        <v>21</v>
      </c>
      <c r="B32" s="38" t="s">
        <v>117</v>
      </c>
      <c r="C32" s="66"/>
      <c r="D32" s="66">
        <v>6</v>
      </c>
      <c r="E32" s="66">
        <v>4</v>
      </c>
      <c r="F32" s="66">
        <v>3</v>
      </c>
      <c r="G32" s="66">
        <v>1</v>
      </c>
      <c r="H32" s="66"/>
      <c r="I32" s="67">
        <f t="shared" si="0"/>
        <v>14</v>
      </c>
      <c r="J32" s="60">
        <v>0.35</v>
      </c>
      <c r="K32" s="61">
        <f t="shared" si="1"/>
        <v>6.1</v>
      </c>
      <c r="L32" s="60">
        <v>1.2</v>
      </c>
      <c r="M32" s="68">
        <v>60</v>
      </c>
      <c r="N32" s="68">
        <v>40</v>
      </c>
      <c r="O32" s="68">
        <v>30</v>
      </c>
      <c r="P32" s="69">
        <f t="shared" si="2"/>
        <v>0.072</v>
      </c>
      <c r="Q32" s="70"/>
    </row>
    <row r="33" spans="1:17">
      <c r="A33" s="62">
        <v>22</v>
      </c>
      <c r="B33" s="40" t="s">
        <v>117</v>
      </c>
      <c r="C33" s="66"/>
      <c r="D33" s="66">
        <v>6</v>
      </c>
      <c r="E33" s="66">
        <v>4</v>
      </c>
      <c r="F33" s="66">
        <v>3</v>
      </c>
      <c r="G33" s="66">
        <v>1</v>
      </c>
      <c r="H33" s="66"/>
      <c r="I33" s="71">
        <f t="shared" si="0"/>
        <v>14</v>
      </c>
      <c r="J33" s="60">
        <v>0.35</v>
      </c>
      <c r="K33" s="63">
        <f t="shared" si="1"/>
        <v>6.1</v>
      </c>
      <c r="L33" s="60">
        <v>1.2</v>
      </c>
      <c r="M33" s="68">
        <v>60</v>
      </c>
      <c r="N33" s="68">
        <v>40</v>
      </c>
      <c r="O33" s="68">
        <v>30</v>
      </c>
      <c r="P33" s="72">
        <f t="shared" si="2"/>
        <v>0.072</v>
      </c>
      <c r="Q33" s="70"/>
    </row>
    <row r="34" spans="1:17">
      <c r="A34" s="59">
        <v>23</v>
      </c>
      <c r="B34" s="38" t="s">
        <v>117</v>
      </c>
      <c r="C34" s="66"/>
      <c r="D34" s="66">
        <v>6</v>
      </c>
      <c r="E34" s="66">
        <v>4</v>
      </c>
      <c r="F34" s="66">
        <v>3</v>
      </c>
      <c r="G34" s="66">
        <v>1</v>
      </c>
      <c r="H34" s="66"/>
      <c r="I34" s="67">
        <f t="shared" si="0"/>
        <v>14</v>
      </c>
      <c r="J34" s="60">
        <v>0.35</v>
      </c>
      <c r="K34" s="61">
        <f t="shared" si="1"/>
        <v>6.1</v>
      </c>
      <c r="L34" s="60">
        <v>1.2</v>
      </c>
      <c r="M34" s="68">
        <v>60</v>
      </c>
      <c r="N34" s="68">
        <v>40</v>
      </c>
      <c r="O34" s="68">
        <v>30</v>
      </c>
      <c r="P34" s="69">
        <f t="shared" si="2"/>
        <v>0.072</v>
      </c>
      <c r="Q34" s="70"/>
    </row>
    <row r="35" spans="1:17">
      <c r="A35" s="62">
        <v>24</v>
      </c>
      <c r="B35" s="40" t="s">
        <v>117</v>
      </c>
      <c r="C35" s="66"/>
      <c r="D35" s="66">
        <v>6</v>
      </c>
      <c r="E35" s="66">
        <v>4</v>
      </c>
      <c r="F35" s="66">
        <v>3</v>
      </c>
      <c r="G35" s="66">
        <v>1</v>
      </c>
      <c r="H35" s="66"/>
      <c r="I35" s="71">
        <f t="shared" si="0"/>
        <v>14</v>
      </c>
      <c r="J35" s="60">
        <v>0.35</v>
      </c>
      <c r="K35" s="63">
        <f t="shared" si="1"/>
        <v>6.1</v>
      </c>
      <c r="L35" s="60">
        <v>1.2</v>
      </c>
      <c r="M35" s="68">
        <v>60</v>
      </c>
      <c r="N35" s="68">
        <v>40</v>
      </c>
      <c r="O35" s="68">
        <v>30</v>
      </c>
      <c r="P35" s="72">
        <f t="shared" si="2"/>
        <v>0.072</v>
      </c>
      <c r="Q35" s="70"/>
    </row>
    <row r="36" spans="1:17">
      <c r="A36" s="59">
        <v>25</v>
      </c>
      <c r="B36" s="38" t="s">
        <v>117</v>
      </c>
      <c r="C36" s="66"/>
      <c r="D36" s="66">
        <v>6</v>
      </c>
      <c r="E36" s="66">
        <v>4</v>
      </c>
      <c r="F36" s="66">
        <v>3</v>
      </c>
      <c r="G36" s="66">
        <v>1</v>
      </c>
      <c r="H36" s="66"/>
      <c r="I36" s="67">
        <f t="shared" si="0"/>
        <v>14</v>
      </c>
      <c r="J36" s="60">
        <v>0.35</v>
      </c>
      <c r="K36" s="61">
        <f t="shared" si="1"/>
        <v>6.1</v>
      </c>
      <c r="L36" s="60">
        <v>1.2</v>
      </c>
      <c r="M36" s="68">
        <v>60</v>
      </c>
      <c r="N36" s="68">
        <v>40</v>
      </c>
      <c r="O36" s="68">
        <v>30</v>
      </c>
      <c r="P36" s="69">
        <f t="shared" si="2"/>
        <v>0.072</v>
      </c>
      <c r="Q36" s="70"/>
    </row>
    <row r="37" spans="1:17">
      <c r="A37" s="62">
        <v>26</v>
      </c>
      <c r="B37" s="40" t="s">
        <v>117</v>
      </c>
      <c r="C37" s="66"/>
      <c r="D37" s="66">
        <v>6</v>
      </c>
      <c r="E37" s="66">
        <v>4</v>
      </c>
      <c r="F37" s="66">
        <v>3</v>
      </c>
      <c r="G37" s="66">
        <v>1</v>
      </c>
      <c r="H37" s="66"/>
      <c r="I37" s="71">
        <f t="shared" si="0"/>
        <v>14</v>
      </c>
      <c r="J37" s="60">
        <v>0.35</v>
      </c>
      <c r="K37" s="63">
        <f t="shared" si="1"/>
        <v>6.1</v>
      </c>
      <c r="L37" s="60">
        <v>1.2</v>
      </c>
      <c r="M37" s="68">
        <v>60</v>
      </c>
      <c r="N37" s="68">
        <v>40</v>
      </c>
      <c r="O37" s="68">
        <v>30</v>
      </c>
      <c r="P37" s="72">
        <f t="shared" si="2"/>
        <v>0.072</v>
      </c>
      <c r="Q37" s="70"/>
    </row>
    <row r="38" spans="1:17">
      <c r="A38" s="59">
        <v>27</v>
      </c>
      <c r="B38" s="38" t="s">
        <v>117</v>
      </c>
      <c r="C38" s="66"/>
      <c r="D38" s="66">
        <v>5</v>
      </c>
      <c r="E38" s="66">
        <v>5</v>
      </c>
      <c r="F38" s="66">
        <v>3</v>
      </c>
      <c r="G38" s="66">
        <v>1</v>
      </c>
      <c r="H38" s="66"/>
      <c r="I38" s="67">
        <f t="shared" si="0"/>
        <v>14</v>
      </c>
      <c r="J38" s="60">
        <v>0.35</v>
      </c>
      <c r="K38" s="61">
        <f t="shared" si="1"/>
        <v>6.1</v>
      </c>
      <c r="L38" s="60">
        <v>1.2</v>
      </c>
      <c r="M38" s="68">
        <v>60</v>
      </c>
      <c r="N38" s="68">
        <v>40</v>
      </c>
      <c r="O38" s="68">
        <v>30</v>
      </c>
      <c r="P38" s="69">
        <f t="shared" si="2"/>
        <v>0.072</v>
      </c>
      <c r="Q38" s="70"/>
    </row>
    <row r="39" spans="1:17">
      <c r="A39" s="62">
        <v>28</v>
      </c>
      <c r="B39" s="40" t="s">
        <v>117</v>
      </c>
      <c r="C39" s="66"/>
      <c r="D39" s="66"/>
      <c r="E39" s="66">
        <v>10</v>
      </c>
      <c r="F39" s="66">
        <v>3</v>
      </c>
      <c r="G39" s="66">
        <v>1</v>
      </c>
      <c r="H39" s="66"/>
      <c r="I39" s="71">
        <f t="shared" si="0"/>
        <v>14</v>
      </c>
      <c r="J39" s="60">
        <v>0.35</v>
      </c>
      <c r="K39" s="63">
        <f t="shared" si="1"/>
        <v>6.1</v>
      </c>
      <c r="L39" s="60">
        <v>1.2</v>
      </c>
      <c r="M39" s="68">
        <v>60</v>
      </c>
      <c r="N39" s="68">
        <v>40</v>
      </c>
      <c r="O39" s="68">
        <v>30</v>
      </c>
      <c r="P39" s="72">
        <f t="shared" si="2"/>
        <v>0.072</v>
      </c>
      <c r="Q39" s="70"/>
    </row>
    <row r="40" spans="1:17">
      <c r="A40" s="59">
        <v>29</v>
      </c>
      <c r="B40" s="38" t="s">
        <v>117</v>
      </c>
      <c r="C40" s="66"/>
      <c r="D40" s="66"/>
      <c r="E40" s="66">
        <v>9</v>
      </c>
      <c r="F40" s="66">
        <v>4</v>
      </c>
      <c r="G40" s="66">
        <v>1</v>
      </c>
      <c r="H40" s="66"/>
      <c r="I40" s="67">
        <f t="shared" si="0"/>
        <v>14</v>
      </c>
      <c r="J40" s="60">
        <v>0.35</v>
      </c>
      <c r="K40" s="61">
        <f t="shared" si="1"/>
        <v>6.1</v>
      </c>
      <c r="L40" s="60">
        <v>1.2</v>
      </c>
      <c r="M40" s="68">
        <v>60</v>
      </c>
      <c r="N40" s="68">
        <v>40</v>
      </c>
      <c r="O40" s="68">
        <v>30</v>
      </c>
      <c r="P40" s="69">
        <f t="shared" si="2"/>
        <v>0.072</v>
      </c>
      <c r="Q40" s="70"/>
    </row>
    <row r="41" spans="1:17">
      <c r="A41" s="62">
        <v>30</v>
      </c>
      <c r="B41" s="40" t="s">
        <v>117</v>
      </c>
      <c r="C41" s="66"/>
      <c r="D41" s="66"/>
      <c r="E41" s="66">
        <v>9</v>
      </c>
      <c r="F41" s="66">
        <v>4</v>
      </c>
      <c r="G41" s="66">
        <v>1</v>
      </c>
      <c r="H41" s="66"/>
      <c r="I41" s="71">
        <f t="shared" si="0"/>
        <v>14</v>
      </c>
      <c r="J41" s="60">
        <v>0.35</v>
      </c>
      <c r="K41" s="63">
        <f t="shared" si="1"/>
        <v>6.1</v>
      </c>
      <c r="L41" s="60">
        <v>1.2</v>
      </c>
      <c r="M41" s="68">
        <v>60</v>
      </c>
      <c r="N41" s="68">
        <v>40</v>
      </c>
      <c r="O41" s="68">
        <v>30</v>
      </c>
      <c r="P41" s="72">
        <f t="shared" si="2"/>
        <v>0.072</v>
      </c>
      <c r="Q41" s="70"/>
    </row>
    <row r="42" spans="1:17">
      <c r="A42" s="59">
        <v>31</v>
      </c>
      <c r="B42" s="38" t="s">
        <v>117</v>
      </c>
      <c r="C42" s="66"/>
      <c r="D42" s="66"/>
      <c r="E42" s="66">
        <v>9</v>
      </c>
      <c r="F42" s="66">
        <v>4</v>
      </c>
      <c r="G42" s="66">
        <v>1</v>
      </c>
      <c r="H42" s="66"/>
      <c r="I42" s="67">
        <f t="shared" si="0"/>
        <v>14</v>
      </c>
      <c r="J42" s="60">
        <v>0.35</v>
      </c>
      <c r="K42" s="61">
        <f t="shared" si="1"/>
        <v>6.1</v>
      </c>
      <c r="L42" s="60">
        <v>1.2</v>
      </c>
      <c r="M42" s="68">
        <v>60</v>
      </c>
      <c r="N42" s="68">
        <v>40</v>
      </c>
      <c r="O42" s="68">
        <v>30</v>
      </c>
      <c r="P42" s="69">
        <f t="shared" si="2"/>
        <v>0.072</v>
      </c>
      <c r="Q42" s="70"/>
    </row>
    <row r="43" spans="1:17">
      <c r="A43" s="62">
        <v>32</v>
      </c>
      <c r="B43" s="40" t="s">
        <v>117</v>
      </c>
      <c r="C43" s="66"/>
      <c r="D43" s="66"/>
      <c r="E43" s="66">
        <v>8</v>
      </c>
      <c r="F43" s="66">
        <v>5</v>
      </c>
      <c r="G43" s="66">
        <v>1</v>
      </c>
      <c r="H43" s="66"/>
      <c r="I43" s="71">
        <f t="shared" si="0"/>
        <v>14</v>
      </c>
      <c r="J43" s="60">
        <v>0.35</v>
      </c>
      <c r="K43" s="63">
        <f t="shared" si="1"/>
        <v>6.1</v>
      </c>
      <c r="L43" s="60">
        <v>1.2</v>
      </c>
      <c r="M43" s="68">
        <v>60</v>
      </c>
      <c r="N43" s="68">
        <v>40</v>
      </c>
      <c r="O43" s="68">
        <v>30</v>
      </c>
      <c r="P43" s="72">
        <f t="shared" si="2"/>
        <v>0.072</v>
      </c>
      <c r="Q43" s="70"/>
    </row>
    <row r="44" spans="1:17">
      <c r="A44" s="59">
        <v>33</v>
      </c>
      <c r="B44" s="38" t="s">
        <v>117</v>
      </c>
      <c r="C44" s="66"/>
      <c r="D44" s="66"/>
      <c r="E44" s="66">
        <v>7</v>
      </c>
      <c r="F44" s="66">
        <v>5</v>
      </c>
      <c r="G44" s="66">
        <v>2</v>
      </c>
      <c r="H44" s="66"/>
      <c r="I44" s="67">
        <f t="shared" si="0"/>
        <v>14</v>
      </c>
      <c r="J44" s="60">
        <v>0.35</v>
      </c>
      <c r="K44" s="61">
        <f t="shared" si="1"/>
        <v>6.1</v>
      </c>
      <c r="L44" s="60">
        <v>1.2</v>
      </c>
      <c r="M44" s="68">
        <v>60</v>
      </c>
      <c r="N44" s="68">
        <v>40</v>
      </c>
      <c r="O44" s="68">
        <v>30</v>
      </c>
      <c r="P44" s="69">
        <f t="shared" si="2"/>
        <v>0.072</v>
      </c>
      <c r="Q44" s="70"/>
    </row>
    <row r="45" spans="1:17">
      <c r="A45" s="62">
        <v>34</v>
      </c>
      <c r="B45" s="40" t="s">
        <v>117</v>
      </c>
      <c r="C45" s="66"/>
      <c r="D45" s="66"/>
      <c r="E45" s="66">
        <v>7</v>
      </c>
      <c r="F45" s="66">
        <v>5</v>
      </c>
      <c r="G45" s="66">
        <v>2</v>
      </c>
      <c r="H45" s="66"/>
      <c r="I45" s="71">
        <f t="shared" si="0"/>
        <v>14</v>
      </c>
      <c r="J45" s="60">
        <v>0.35</v>
      </c>
      <c r="K45" s="63">
        <f t="shared" si="1"/>
        <v>6.1</v>
      </c>
      <c r="L45" s="60">
        <v>1.2</v>
      </c>
      <c r="M45" s="68">
        <v>60</v>
      </c>
      <c r="N45" s="68">
        <v>40</v>
      </c>
      <c r="O45" s="68">
        <v>30</v>
      </c>
      <c r="P45" s="72">
        <f t="shared" si="2"/>
        <v>0.072</v>
      </c>
      <c r="Q45" s="70"/>
    </row>
    <row r="46" spans="1:17">
      <c r="A46" s="59">
        <v>35</v>
      </c>
      <c r="B46" s="38" t="s">
        <v>117</v>
      </c>
      <c r="C46" s="66"/>
      <c r="D46" s="66"/>
      <c r="E46" s="66">
        <v>7</v>
      </c>
      <c r="F46" s="66">
        <v>5</v>
      </c>
      <c r="G46" s="66">
        <v>2</v>
      </c>
      <c r="H46" s="66"/>
      <c r="I46" s="67">
        <f t="shared" si="0"/>
        <v>14</v>
      </c>
      <c r="J46" s="60">
        <v>0.35</v>
      </c>
      <c r="K46" s="61">
        <f t="shared" si="1"/>
        <v>6.1</v>
      </c>
      <c r="L46" s="60">
        <v>1.2</v>
      </c>
      <c r="M46" s="68">
        <v>60</v>
      </c>
      <c r="N46" s="68">
        <v>40</v>
      </c>
      <c r="O46" s="68">
        <v>30</v>
      </c>
      <c r="P46" s="69">
        <f t="shared" si="2"/>
        <v>0.072</v>
      </c>
      <c r="Q46" s="70"/>
    </row>
    <row r="47" spans="1:17">
      <c r="A47" s="62">
        <v>36</v>
      </c>
      <c r="B47" s="40" t="s">
        <v>117</v>
      </c>
      <c r="C47" s="66"/>
      <c r="D47" s="66"/>
      <c r="E47" s="66">
        <v>5</v>
      </c>
      <c r="F47" s="66">
        <v>6</v>
      </c>
      <c r="G47" s="66">
        <v>3</v>
      </c>
      <c r="H47" s="66"/>
      <c r="I47" s="71">
        <f t="shared" si="0"/>
        <v>14</v>
      </c>
      <c r="J47" s="60">
        <v>0.35</v>
      </c>
      <c r="K47" s="63">
        <f t="shared" si="1"/>
        <v>6.1</v>
      </c>
      <c r="L47" s="60">
        <v>1.2</v>
      </c>
      <c r="M47" s="68">
        <v>60</v>
      </c>
      <c r="N47" s="68">
        <v>40</v>
      </c>
      <c r="O47" s="68">
        <v>30</v>
      </c>
      <c r="P47" s="72">
        <f t="shared" si="2"/>
        <v>0.072</v>
      </c>
      <c r="Q47" s="70"/>
    </row>
    <row r="48" spans="1:17">
      <c r="A48" s="59">
        <v>37</v>
      </c>
      <c r="B48" s="38" t="s">
        <v>117</v>
      </c>
      <c r="C48" s="66"/>
      <c r="D48" s="66"/>
      <c r="E48" s="66">
        <v>4</v>
      </c>
      <c r="F48" s="66">
        <v>7</v>
      </c>
      <c r="G48" s="66">
        <v>3</v>
      </c>
      <c r="H48" s="66"/>
      <c r="I48" s="67">
        <f t="shared" si="0"/>
        <v>14</v>
      </c>
      <c r="J48" s="60">
        <v>0.35</v>
      </c>
      <c r="K48" s="61">
        <f t="shared" si="1"/>
        <v>6.1</v>
      </c>
      <c r="L48" s="60">
        <v>1.2</v>
      </c>
      <c r="M48" s="68">
        <v>60</v>
      </c>
      <c r="N48" s="68">
        <v>40</v>
      </c>
      <c r="O48" s="68">
        <v>30</v>
      </c>
      <c r="P48" s="69">
        <f t="shared" si="2"/>
        <v>0.072</v>
      </c>
      <c r="Q48" s="70"/>
    </row>
    <row r="49" spans="1:17">
      <c r="A49" s="62">
        <v>38</v>
      </c>
      <c r="B49" s="40" t="s">
        <v>117</v>
      </c>
      <c r="C49" s="66"/>
      <c r="D49" s="66"/>
      <c r="E49" s="66"/>
      <c r="F49" s="66">
        <v>11</v>
      </c>
      <c r="G49" s="66">
        <v>3</v>
      </c>
      <c r="H49" s="66"/>
      <c r="I49" s="71">
        <f t="shared" si="0"/>
        <v>14</v>
      </c>
      <c r="J49" s="60">
        <v>0.35</v>
      </c>
      <c r="K49" s="63">
        <f t="shared" si="1"/>
        <v>6.1</v>
      </c>
      <c r="L49" s="60">
        <v>1.2</v>
      </c>
      <c r="M49" s="68">
        <v>60</v>
      </c>
      <c r="N49" s="68">
        <v>40</v>
      </c>
      <c r="O49" s="68">
        <v>30</v>
      </c>
      <c r="P49" s="72">
        <f t="shared" si="2"/>
        <v>0.072</v>
      </c>
      <c r="Q49" s="70"/>
    </row>
    <row r="50" spans="1:17">
      <c r="A50" s="59">
        <v>39</v>
      </c>
      <c r="B50" s="38" t="s">
        <v>117</v>
      </c>
      <c r="C50" s="66"/>
      <c r="D50" s="66"/>
      <c r="E50" s="66"/>
      <c r="F50" s="66">
        <v>9</v>
      </c>
      <c r="G50" s="66">
        <v>5</v>
      </c>
      <c r="H50" s="66"/>
      <c r="I50" s="67">
        <f t="shared" si="0"/>
        <v>14</v>
      </c>
      <c r="J50" s="60">
        <v>0.35</v>
      </c>
      <c r="K50" s="61">
        <f t="shared" si="1"/>
        <v>6.1</v>
      </c>
      <c r="L50" s="60">
        <v>1.2</v>
      </c>
      <c r="M50" s="68">
        <v>60</v>
      </c>
      <c r="N50" s="68">
        <v>40</v>
      </c>
      <c r="O50" s="68">
        <v>30</v>
      </c>
      <c r="P50" s="69">
        <f t="shared" si="2"/>
        <v>0.072</v>
      </c>
      <c r="Q50" s="70"/>
    </row>
    <row r="51" spans="1:17">
      <c r="A51" s="62">
        <v>40</v>
      </c>
      <c r="B51" s="40" t="s">
        <v>117</v>
      </c>
      <c r="C51" s="66"/>
      <c r="D51" s="66"/>
      <c r="E51" s="66"/>
      <c r="F51" s="66">
        <v>8</v>
      </c>
      <c r="G51" s="66">
        <v>6</v>
      </c>
      <c r="H51" s="66"/>
      <c r="I51" s="71">
        <f t="shared" si="0"/>
        <v>14</v>
      </c>
      <c r="J51" s="60">
        <v>0.35</v>
      </c>
      <c r="K51" s="63">
        <f t="shared" si="1"/>
        <v>6.1</v>
      </c>
      <c r="L51" s="60">
        <v>1.2</v>
      </c>
      <c r="M51" s="68">
        <v>60</v>
      </c>
      <c r="N51" s="68">
        <v>40</v>
      </c>
      <c r="O51" s="68">
        <v>30</v>
      </c>
      <c r="P51" s="72">
        <f t="shared" si="2"/>
        <v>0.072</v>
      </c>
      <c r="Q51" s="70"/>
    </row>
    <row r="52" spans="1:17">
      <c r="A52" s="59">
        <v>41</v>
      </c>
      <c r="B52" s="38" t="s">
        <v>117</v>
      </c>
      <c r="C52" s="66"/>
      <c r="D52" s="66"/>
      <c r="E52" s="66"/>
      <c r="F52" s="66">
        <v>5</v>
      </c>
      <c r="G52" s="66">
        <v>9</v>
      </c>
      <c r="H52" s="66"/>
      <c r="I52" s="67">
        <f t="shared" si="0"/>
        <v>14</v>
      </c>
      <c r="J52" s="60">
        <v>0.35</v>
      </c>
      <c r="K52" s="61">
        <f t="shared" si="1"/>
        <v>6.1</v>
      </c>
      <c r="L52" s="60">
        <v>1.2</v>
      </c>
      <c r="M52" s="68">
        <v>60</v>
      </c>
      <c r="N52" s="68">
        <v>40</v>
      </c>
      <c r="O52" s="68">
        <v>30</v>
      </c>
      <c r="P52" s="69">
        <f t="shared" si="2"/>
        <v>0.072</v>
      </c>
      <c r="Q52" s="70"/>
    </row>
    <row r="53" spans="1:17">
      <c r="A53" s="62">
        <v>42</v>
      </c>
      <c r="B53" s="40" t="s">
        <v>117</v>
      </c>
      <c r="C53" s="66"/>
      <c r="D53" s="66"/>
      <c r="E53" s="66"/>
      <c r="F53" s="66">
        <v>1</v>
      </c>
      <c r="G53" s="66">
        <v>9</v>
      </c>
      <c r="H53" s="66"/>
      <c r="I53" s="71">
        <f t="shared" si="0"/>
        <v>10</v>
      </c>
      <c r="J53" s="60">
        <v>0.35</v>
      </c>
      <c r="K53" s="63">
        <f t="shared" si="1"/>
        <v>4.7</v>
      </c>
      <c r="L53" s="60">
        <v>1.2</v>
      </c>
      <c r="M53" s="68">
        <v>60</v>
      </c>
      <c r="N53" s="68">
        <v>40</v>
      </c>
      <c r="O53" s="68">
        <v>30</v>
      </c>
      <c r="P53" s="72">
        <f t="shared" si="2"/>
        <v>0.072</v>
      </c>
      <c r="Q53" s="70"/>
    </row>
    <row r="54" spans="1:17">
      <c r="A54" s="35" t="s">
        <v>139</v>
      </c>
      <c r="C54" s="73">
        <f t="shared" ref="C54:I54" si="3">SUM(C12:C53)</f>
        <v>47</v>
      </c>
      <c r="D54" s="73">
        <f t="shared" si="3"/>
        <v>146</v>
      </c>
      <c r="E54" s="73">
        <f t="shared" si="3"/>
        <v>164</v>
      </c>
      <c r="F54" s="73">
        <f t="shared" si="3"/>
        <v>134</v>
      </c>
      <c r="G54" s="73">
        <f t="shared" si="3"/>
        <v>76</v>
      </c>
      <c r="H54" s="73">
        <f t="shared" si="3"/>
        <v>17</v>
      </c>
      <c r="I54" s="73">
        <f t="shared" si="3"/>
        <v>584</v>
      </c>
      <c r="K54" s="74">
        <f>SUM(K12:K53)</f>
        <v>254.8</v>
      </c>
      <c r="P54" s="75">
        <f>SUM(P12:P53)</f>
        <v>3.024</v>
      </c>
    </row>
  </sheetData>
  <mergeCells count="14">
    <mergeCell ref="A1:S1"/>
    <mergeCell ref="B3:E3"/>
    <mergeCell ref="H3:K3"/>
    <mergeCell ref="B4:E4"/>
    <mergeCell ref="H4:K4"/>
    <mergeCell ref="B5:E5"/>
    <mergeCell ref="H5:K5"/>
    <mergeCell ref="B6:E6"/>
    <mergeCell ref="H6:K6"/>
    <mergeCell ref="B7:E7"/>
    <mergeCell ref="H7:K7"/>
    <mergeCell ref="B8:E8"/>
    <mergeCell ref="H8:K8"/>
    <mergeCell ref="A54:B54"/>
  </mergeCells>
  <pageMargins left="0.4" right="0.4" top="0.6" bottom="0.6" header="0.3" footer="0.3"/>
  <pageSetup paperSize="9" fitToHeight="0" orientation="landscape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rgb="FF7DC4A0"/>
  </sheetPr>
  <dimension ref="A1:N10"/>
  <sheetViews>
    <sheetView showGridLines="0" workbookViewId="0">
      <pane ySplit="3" topLeftCell="A4" activePane="bottomLeft" state="frozen"/>
      <selection/>
      <selection pane="bottomLeft" activeCell="A1" sqref="A1:N1"/>
    </sheetView>
  </sheetViews>
  <sheetFormatPr defaultColWidth="9" defaultRowHeight="15"/>
  <cols>
    <col min="1" max="1" width="10" customWidth="1"/>
    <col min="2" max="2" width="14" customWidth="1"/>
    <col min="3" max="3" width="12" customWidth="1"/>
    <col min="4" max="4" width="22" customWidth="1"/>
    <col min="5" max="5" width="10" customWidth="1"/>
    <col min="6" max="6" width="22" customWidth="1"/>
    <col min="7" max="7" width="10" customWidth="1"/>
    <col min="8" max="8" width="11" customWidth="1"/>
    <col min="9" max="12" width="14" customWidth="1"/>
    <col min="13" max="14" width="16" customWidth="1"/>
  </cols>
  <sheetData>
    <row r="1" ht="30" customHeight="1" spans="1:14">
      <c r="A1" s="1" t="s">
        <v>140</v>
      </c>
    </row>
    <row r="2" spans="1:14">
      <c r="A2" s="6" t="s">
        <v>141</v>
      </c>
      <c r="B2" s="57">
        <v>14</v>
      </c>
      <c r="C2" s="58" t="s">
        <v>142</v>
      </c>
    </row>
    <row r="3" ht="36" customHeight="1" spans="1:14">
      <c r="A3" s="45" t="s">
        <v>122</v>
      </c>
      <c r="B3" s="45" t="s">
        <v>48</v>
      </c>
      <c r="C3" s="45" t="s">
        <v>54</v>
      </c>
      <c r="D3" s="45" t="s">
        <v>56</v>
      </c>
      <c r="E3" s="45" t="s">
        <v>58</v>
      </c>
      <c r="F3" s="45" t="s">
        <v>59</v>
      </c>
      <c r="G3" s="45" t="s">
        <v>143</v>
      </c>
      <c r="H3" s="45" t="s">
        <v>144</v>
      </c>
      <c r="I3" s="45" t="s">
        <v>145</v>
      </c>
      <c r="J3" s="45" t="s">
        <v>146</v>
      </c>
      <c r="K3" s="45" t="s">
        <v>147</v>
      </c>
      <c r="L3" s="45" t="s">
        <v>148</v>
      </c>
      <c r="M3" s="45" t="s">
        <v>149</v>
      </c>
      <c r="N3" s="45" t="s">
        <v>150</v>
      </c>
    </row>
    <row r="4" spans="1:14">
      <c r="A4" s="59"/>
      <c r="B4" s="38"/>
      <c r="C4" s="38"/>
      <c r="D4" s="38"/>
      <c r="E4" s="46"/>
      <c r="F4" s="38"/>
      <c r="G4" s="38"/>
      <c r="H4" s="47"/>
      <c r="I4" s="47"/>
      <c r="J4" s="47"/>
      <c r="K4" s="47"/>
      <c r="L4" s="60"/>
      <c r="M4" s="61"/>
      <c r="N4" s="61"/>
    </row>
    <row r="5" spans="1:14">
      <c r="A5" s="62"/>
      <c r="B5" s="40"/>
      <c r="C5" s="40"/>
      <c r="D5" s="40"/>
      <c r="E5" s="52"/>
      <c r="F5" s="40"/>
      <c r="G5" s="40"/>
      <c r="H5" s="53"/>
      <c r="I5" s="53"/>
      <c r="J5" s="53"/>
      <c r="K5" s="53"/>
      <c r="L5" s="60"/>
      <c r="M5" s="63"/>
      <c r="N5" s="63"/>
    </row>
    <row r="6" spans="1:14">
      <c r="A6" s="59"/>
      <c r="B6" s="38"/>
      <c r="C6" s="38"/>
      <c r="D6" s="38"/>
      <c r="E6" s="46"/>
      <c r="F6" s="38"/>
      <c r="G6" s="38"/>
      <c r="H6" s="47"/>
      <c r="I6" s="47"/>
      <c r="J6" s="47"/>
      <c r="K6" s="47"/>
      <c r="L6" s="60"/>
      <c r="M6" s="61"/>
      <c r="N6" s="61"/>
    </row>
    <row r="7" spans="1:14">
      <c r="A7" s="62"/>
      <c r="B7" s="40"/>
      <c r="C7" s="40"/>
      <c r="D7" s="40"/>
      <c r="E7" s="52"/>
      <c r="F7" s="40"/>
      <c r="G7" s="40"/>
      <c r="H7" s="53"/>
      <c r="I7" s="53"/>
      <c r="J7" s="53"/>
      <c r="K7" s="53"/>
      <c r="L7" s="60"/>
      <c r="M7" s="63"/>
      <c r="N7" s="63"/>
    </row>
    <row r="8" spans="1:14">
      <c r="A8" s="59"/>
      <c r="B8" s="38"/>
      <c r="C8" s="38"/>
      <c r="D8" s="38"/>
      <c r="E8" s="46"/>
      <c r="F8" s="38"/>
      <c r="G8" s="38"/>
      <c r="H8" s="47"/>
      <c r="I8" s="47"/>
      <c r="J8" s="47"/>
      <c r="K8" s="47"/>
      <c r="L8" s="60"/>
      <c r="M8" s="61"/>
      <c r="N8" s="61"/>
    </row>
    <row r="9" spans="1:14">
      <c r="A9" s="62"/>
      <c r="B9" s="40"/>
      <c r="C9" s="40"/>
      <c r="D9" s="40"/>
      <c r="E9" s="52"/>
      <c r="F9" s="40"/>
      <c r="G9" s="40"/>
      <c r="H9" s="53"/>
      <c r="I9" s="53"/>
      <c r="J9" s="53"/>
      <c r="K9" s="53"/>
      <c r="L9" s="60"/>
      <c r="M9" s="63"/>
      <c r="N9" s="63"/>
    </row>
    <row r="10" spans="1:14">
      <c r="A10" s="59"/>
      <c r="B10" s="38"/>
      <c r="C10" s="38"/>
      <c r="D10" s="38"/>
      <c r="E10" s="46"/>
      <c r="F10" s="38"/>
      <c r="G10" s="38"/>
      <c r="H10" s="47"/>
      <c r="I10" s="47"/>
      <c r="J10" s="47"/>
      <c r="K10" s="47"/>
      <c r="L10" s="60"/>
      <c r="M10" s="61"/>
      <c r="N10" s="61"/>
    </row>
  </sheetData>
  <autoFilter xmlns:etc="http://www.wps.cn/officeDocument/2017/etCustomData" ref="A3:N200" etc:filterBottomFollowUsedRange="0">
    <extLst/>
  </autoFilter>
  <mergeCells count="1">
    <mergeCell ref="A1:N1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rgb="FFE07B54"/>
  </sheetPr>
  <dimension ref="A1:K20"/>
  <sheetViews>
    <sheetView showGridLines="0" workbookViewId="0">
      <pane ySplit="2" topLeftCell="A3" activePane="bottomLeft" state="frozen"/>
      <selection/>
      <selection pane="bottomLeft" activeCell="A1" sqref="A1:J1"/>
    </sheetView>
  </sheetViews>
  <sheetFormatPr defaultColWidth="9" defaultRowHeight="15"/>
  <cols>
    <col min="1" max="1" width="14" customWidth="1"/>
    <col min="2" max="2" width="12" customWidth="1"/>
    <col min="3" max="3" width="10" customWidth="1"/>
    <col min="4" max="4" width="22" customWidth="1"/>
    <col min="5" max="5" width="8" customWidth="1"/>
    <col min="6" max="9" width="11" customWidth="1"/>
    <col min="10" max="10" width="10" customWidth="1"/>
    <col min="11" max="11" width="14" customWidth="1"/>
  </cols>
  <sheetData>
    <row r="1" ht="30" customHeight="1" spans="1:11">
      <c r="A1" s="1" t="s">
        <v>151</v>
      </c>
    </row>
    <row r="2" ht="36" customHeight="1" spans="1:11">
      <c r="A2" s="45" t="s">
        <v>48</v>
      </c>
      <c r="B2" s="45" t="s">
        <v>54</v>
      </c>
      <c r="C2" s="45" t="s">
        <v>58</v>
      </c>
      <c r="D2" s="45" t="s">
        <v>59</v>
      </c>
      <c r="E2" s="45" t="s">
        <v>143</v>
      </c>
      <c r="F2" s="45" t="s">
        <v>144</v>
      </c>
      <c r="G2" s="45" t="s">
        <v>152</v>
      </c>
      <c r="H2" s="45" t="s">
        <v>66</v>
      </c>
      <c r="I2" s="45" t="s">
        <v>67</v>
      </c>
      <c r="J2" s="45" t="s">
        <v>153</v>
      </c>
      <c r="K2" s="45" t="s">
        <v>65</v>
      </c>
    </row>
    <row r="3" spans="1:11">
      <c r="A3" s="38" t="s">
        <v>92</v>
      </c>
      <c r="B3" s="38" t="s">
        <v>95</v>
      </c>
      <c r="C3" s="46" t="s">
        <v>99</v>
      </c>
      <c r="D3" s="38" t="s">
        <v>100</v>
      </c>
      <c r="E3" s="46" t="s">
        <v>124</v>
      </c>
      <c r="F3" s="47">
        <v>47</v>
      </c>
      <c r="G3" s="48">
        <v>47</v>
      </c>
      <c r="H3" s="48">
        <v>0</v>
      </c>
      <c r="I3" s="49">
        <f t="shared" ref="I3:I20" si="0">F3-H3</f>
        <v>47</v>
      </c>
      <c r="J3" s="50">
        <f t="shared" ref="J3:J20" si="1">IFERROR((H3-F3)/F3,0)</f>
        <v>-1</v>
      </c>
      <c r="K3" s="51" t="str">
        <f t="shared" ref="K3:K20" si="2">IF(I3=0,"Complete",IF(I3&gt;0,"Under Packed","OVER PACKED"))</f>
        <v>Under Packed</v>
      </c>
    </row>
    <row r="4" spans="1:11">
      <c r="A4" s="40" t="s">
        <v>92</v>
      </c>
      <c r="B4" s="40" t="s">
        <v>95</v>
      </c>
      <c r="C4" s="52" t="s">
        <v>99</v>
      </c>
      <c r="D4" s="40" t="s">
        <v>100</v>
      </c>
      <c r="E4" s="52" t="s">
        <v>125</v>
      </c>
      <c r="F4" s="53">
        <v>146</v>
      </c>
      <c r="G4" s="48">
        <v>146</v>
      </c>
      <c r="H4" s="48">
        <v>0</v>
      </c>
      <c r="I4" s="54">
        <f t="shared" si="0"/>
        <v>146</v>
      </c>
      <c r="J4" s="55">
        <f t="shared" si="1"/>
        <v>-1</v>
      </c>
      <c r="K4" s="56" t="str">
        <f t="shared" si="2"/>
        <v>Under Packed</v>
      </c>
    </row>
    <row r="5" spans="1:11">
      <c r="A5" s="38" t="s">
        <v>92</v>
      </c>
      <c r="B5" s="38" t="s">
        <v>95</v>
      </c>
      <c r="C5" s="46" t="s">
        <v>99</v>
      </c>
      <c r="D5" s="38" t="s">
        <v>100</v>
      </c>
      <c r="E5" s="46" t="s">
        <v>126</v>
      </c>
      <c r="F5" s="47">
        <v>164</v>
      </c>
      <c r="G5" s="48">
        <v>164</v>
      </c>
      <c r="H5" s="48">
        <v>0</v>
      </c>
      <c r="I5" s="49">
        <f t="shared" si="0"/>
        <v>164</v>
      </c>
      <c r="J5" s="50">
        <f t="shared" si="1"/>
        <v>-1</v>
      </c>
      <c r="K5" s="51" t="str">
        <f t="shared" si="2"/>
        <v>Under Packed</v>
      </c>
    </row>
    <row r="6" spans="1:11">
      <c r="A6" s="40" t="s">
        <v>92</v>
      </c>
      <c r="B6" s="40" t="s">
        <v>95</v>
      </c>
      <c r="C6" s="52" t="s">
        <v>99</v>
      </c>
      <c r="D6" s="40" t="s">
        <v>100</v>
      </c>
      <c r="E6" s="52" t="s">
        <v>127</v>
      </c>
      <c r="F6" s="53">
        <v>134</v>
      </c>
      <c r="G6" s="48">
        <v>134</v>
      </c>
      <c r="H6" s="48">
        <v>0</v>
      </c>
      <c r="I6" s="54">
        <f t="shared" si="0"/>
        <v>134</v>
      </c>
      <c r="J6" s="55">
        <f t="shared" si="1"/>
        <v>-1</v>
      </c>
      <c r="K6" s="56" t="str">
        <f t="shared" si="2"/>
        <v>Under Packed</v>
      </c>
    </row>
    <row r="7" spans="1:11">
      <c r="A7" s="38" t="s">
        <v>92</v>
      </c>
      <c r="B7" s="38" t="s">
        <v>95</v>
      </c>
      <c r="C7" s="46" t="s">
        <v>99</v>
      </c>
      <c r="D7" s="38" t="s">
        <v>100</v>
      </c>
      <c r="E7" s="46" t="s">
        <v>128</v>
      </c>
      <c r="F7" s="47">
        <v>76</v>
      </c>
      <c r="G7" s="48">
        <v>76</v>
      </c>
      <c r="H7" s="48">
        <v>0</v>
      </c>
      <c r="I7" s="49">
        <f t="shared" si="0"/>
        <v>76</v>
      </c>
      <c r="J7" s="50">
        <f t="shared" si="1"/>
        <v>-1</v>
      </c>
      <c r="K7" s="51" t="str">
        <f t="shared" si="2"/>
        <v>Under Packed</v>
      </c>
    </row>
    <row r="8" spans="1:11">
      <c r="A8" s="40" t="s">
        <v>92</v>
      </c>
      <c r="B8" s="40" t="s">
        <v>95</v>
      </c>
      <c r="C8" s="52" t="s">
        <v>99</v>
      </c>
      <c r="D8" s="40" t="s">
        <v>100</v>
      </c>
      <c r="E8" s="52" t="s">
        <v>129</v>
      </c>
      <c r="F8" s="53">
        <v>17</v>
      </c>
      <c r="G8" s="48">
        <v>17</v>
      </c>
      <c r="H8" s="48">
        <v>0</v>
      </c>
      <c r="I8" s="54">
        <f t="shared" si="0"/>
        <v>17</v>
      </c>
      <c r="J8" s="55">
        <f t="shared" si="1"/>
        <v>-1</v>
      </c>
      <c r="K8" s="56" t="str">
        <f t="shared" si="2"/>
        <v>Under Packed</v>
      </c>
    </row>
    <row r="9" spans="1:11">
      <c r="A9" s="38" t="s">
        <v>92</v>
      </c>
      <c r="B9" s="38" t="s">
        <v>95</v>
      </c>
      <c r="C9" s="46" t="s">
        <v>87</v>
      </c>
      <c r="D9" s="38" t="s">
        <v>88</v>
      </c>
      <c r="E9" s="46" t="s">
        <v>124</v>
      </c>
      <c r="F9" s="47">
        <v>12</v>
      </c>
      <c r="G9" s="48">
        <v>12</v>
      </c>
      <c r="H9" s="48">
        <v>0</v>
      </c>
      <c r="I9" s="49">
        <f t="shared" si="0"/>
        <v>12</v>
      </c>
      <c r="J9" s="50">
        <f t="shared" si="1"/>
        <v>-1</v>
      </c>
      <c r="K9" s="51" t="str">
        <f t="shared" si="2"/>
        <v>Under Packed</v>
      </c>
    </row>
    <row r="10" spans="1:11">
      <c r="A10" s="40" t="s">
        <v>92</v>
      </c>
      <c r="B10" s="40" t="s">
        <v>95</v>
      </c>
      <c r="C10" s="52" t="s">
        <v>87</v>
      </c>
      <c r="D10" s="40" t="s">
        <v>88</v>
      </c>
      <c r="E10" s="52" t="s">
        <v>125</v>
      </c>
      <c r="F10" s="53">
        <v>50</v>
      </c>
      <c r="G10" s="48">
        <v>50</v>
      </c>
      <c r="H10" s="48">
        <v>0</v>
      </c>
      <c r="I10" s="54">
        <f t="shared" si="0"/>
        <v>50</v>
      </c>
      <c r="J10" s="55">
        <f t="shared" si="1"/>
        <v>-1</v>
      </c>
      <c r="K10" s="56" t="str">
        <f t="shared" si="2"/>
        <v>Under Packed</v>
      </c>
    </row>
    <row r="11" spans="1:11">
      <c r="A11" s="38" t="s">
        <v>92</v>
      </c>
      <c r="B11" s="38" t="s">
        <v>95</v>
      </c>
      <c r="C11" s="46" t="s">
        <v>87</v>
      </c>
      <c r="D11" s="38" t="s">
        <v>88</v>
      </c>
      <c r="E11" s="46" t="s">
        <v>126</v>
      </c>
      <c r="F11" s="47">
        <v>73</v>
      </c>
      <c r="G11" s="48">
        <v>73</v>
      </c>
      <c r="H11" s="48">
        <v>0</v>
      </c>
      <c r="I11" s="49">
        <f t="shared" si="0"/>
        <v>73</v>
      </c>
      <c r="J11" s="50">
        <f t="shared" si="1"/>
        <v>-1</v>
      </c>
      <c r="K11" s="51" t="str">
        <f t="shared" si="2"/>
        <v>Under Packed</v>
      </c>
    </row>
    <row r="12" spans="1:11">
      <c r="A12" s="40" t="s">
        <v>92</v>
      </c>
      <c r="B12" s="40" t="s">
        <v>95</v>
      </c>
      <c r="C12" s="52" t="s">
        <v>87</v>
      </c>
      <c r="D12" s="40" t="s">
        <v>88</v>
      </c>
      <c r="E12" s="52" t="s">
        <v>127</v>
      </c>
      <c r="F12" s="53">
        <v>33</v>
      </c>
      <c r="G12" s="48">
        <v>33</v>
      </c>
      <c r="H12" s="48">
        <v>0</v>
      </c>
      <c r="I12" s="54">
        <f t="shared" si="0"/>
        <v>33</v>
      </c>
      <c r="J12" s="55">
        <f t="shared" si="1"/>
        <v>-1</v>
      </c>
      <c r="K12" s="56" t="str">
        <f t="shared" si="2"/>
        <v>Under Packed</v>
      </c>
    </row>
    <row r="13" spans="1:11">
      <c r="A13" s="38" t="s">
        <v>92</v>
      </c>
      <c r="B13" s="38" t="s">
        <v>95</v>
      </c>
      <c r="C13" s="46" t="s">
        <v>87</v>
      </c>
      <c r="D13" s="38" t="s">
        <v>88</v>
      </c>
      <c r="E13" s="46" t="s">
        <v>128</v>
      </c>
      <c r="F13" s="47">
        <v>20</v>
      </c>
      <c r="G13" s="48">
        <v>20</v>
      </c>
      <c r="H13" s="48">
        <v>0</v>
      </c>
      <c r="I13" s="49">
        <f t="shared" si="0"/>
        <v>20</v>
      </c>
      <c r="J13" s="50">
        <f t="shared" si="1"/>
        <v>-1</v>
      </c>
      <c r="K13" s="51" t="str">
        <f t="shared" si="2"/>
        <v>Under Packed</v>
      </c>
    </row>
    <row r="14" spans="1:11">
      <c r="A14" s="40" t="s">
        <v>92</v>
      </c>
      <c r="B14" s="40" t="s">
        <v>95</v>
      </c>
      <c r="C14" s="52" t="s">
        <v>87</v>
      </c>
      <c r="D14" s="40" t="s">
        <v>88</v>
      </c>
      <c r="E14" s="52" t="s">
        <v>129</v>
      </c>
      <c r="F14" s="53">
        <v>4</v>
      </c>
      <c r="G14" s="48">
        <v>4</v>
      </c>
      <c r="H14" s="48">
        <v>0</v>
      </c>
      <c r="I14" s="54">
        <f t="shared" si="0"/>
        <v>4</v>
      </c>
      <c r="J14" s="55">
        <f t="shared" si="1"/>
        <v>-1</v>
      </c>
      <c r="K14" s="56" t="str">
        <f t="shared" si="2"/>
        <v>Under Packed</v>
      </c>
    </row>
    <row r="15" spans="1:11">
      <c r="A15" s="38" t="s">
        <v>92</v>
      </c>
      <c r="B15" s="38" t="s">
        <v>95</v>
      </c>
      <c r="C15" s="46" t="s">
        <v>104</v>
      </c>
      <c r="D15" s="38" t="s">
        <v>105</v>
      </c>
      <c r="E15" s="46" t="s">
        <v>124</v>
      </c>
      <c r="F15" s="47">
        <v>155</v>
      </c>
      <c r="G15" s="48">
        <v>155</v>
      </c>
      <c r="H15" s="48">
        <v>0</v>
      </c>
      <c r="I15" s="49">
        <f t="shared" si="0"/>
        <v>155</v>
      </c>
      <c r="J15" s="50">
        <f t="shared" si="1"/>
        <v>-1</v>
      </c>
      <c r="K15" s="51" t="str">
        <f t="shared" si="2"/>
        <v>Under Packed</v>
      </c>
    </row>
    <row r="16" spans="1:11">
      <c r="A16" s="40" t="s">
        <v>92</v>
      </c>
      <c r="B16" s="40" t="s">
        <v>95</v>
      </c>
      <c r="C16" s="52" t="s">
        <v>104</v>
      </c>
      <c r="D16" s="40" t="s">
        <v>105</v>
      </c>
      <c r="E16" s="52" t="s">
        <v>125</v>
      </c>
      <c r="F16" s="53">
        <v>456</v>
      </c>
      <c r="G16" s="48">
        <v>456</v>
      </c>
      <c r="H16" s="48">
        <v>0</v>
      </c>
      <c r="I16" s="54">
        <f t="shared" si="0"/>
        <v>456</v>
      </c>
      <c r="J16" s="55">
        <f t="shared" si="1"/>
        <v>-1</v>
      </c>
      <c r="K16" s="56" t="str">
        <f t="shared" si="2"/>
        <v>Under Packed</v>
      </c>
    </row>
    <row r="17" spans="1:11">
      <c r="A17" s="38" t="s">
        <v>92</v>
      </c>
      <c r="B17" s="38" t="s">
        <v>95</v>
      </c>
      <c r="C17" s="46" t="s">
        <v>104</v>
      </c>
      <c r="D17" s="38" t="s">
        <v>105</v>
      </c>
      <c r="E17" s="46" t="s">
        <v>126</v>
      </c>
      <c r="F17" s="47">
        <v>508</v>
      </c>
      <c r="G17" s="48">
        <v>508</v>
      </c>
      <c r="H17" s="48">
        <v>0</v>
      </c>
      <c r="I17" s="49">
        <f t="shared" si="0"/>
        <v>508</v>
      </c>
      <c r="J17" s="50">
        <f t="shared" si="1"/>
        <v>-1</v>
      </c>
      <c r="K17" s="51" t="str">
        <f t="shared" si="2"/>
        <v>Under Packed</v>
      </c>
    </row>
    <row r="18" spans="1:11">
      <c r="A18" s="40" t="s">
        <v>92</v>
      </c>
      <c r="B18" s="40" t="s">
        <v>95</v>
      </c>
      <c r="C18" s="52" t="s">
        <v>104</v>
      </c>
      <c r="D18" s="40" t="s">
        <v>105</v>
      </c>
      <c r="E18" s="52" t="s">
        <v>127</v>
      </c>
      <c r="F18" s="53">
        <v>387</v>
      </c>
      <c r="G18" s="48">
        <v>387</v>
      </c>
      <c r="H18" s="48">
        <v>0</v>
      </c>
      <c r="I18" s="54">
        <f t="shared" si="0"/>
        <v>387</v>
      </c>
      <c r="J18" s="55">
        <f t="shared" si="1"/>
        <v>-1</v>
      </c>
      <c r="K18" s="56" t="str">
        <f t="shared" si="2"/>
        <v>Under Packed</v>
      </c>
    </row>
    <row r="19" spans="1:11">
      <c r="A19" s="38" t="s">
        <v>92</v>
      </c>
      <c r="B19" s="38" t="s">
        <v>95</v>
      </c>
      <c r="C19" s="46" t="s">
        <v>104</v>
      </c>
      <c r="D19" s="38" t="s">
        <v>105</v>
      </c>
      <c r="E19" s="46" t="s">
        <v>128</v>
      </c>
      <c r="F19" s="47">
        <v>190</v>
      </c>
      <c r="G19" s="48">
        <v>190</v>
      </c>
      <c r="H19" s="48">
        <v>0</v>
      </c>
      <c r="I19" s="49">
        <f t="shared" si="0"/>
        <v>190</v>
      </c>
      <c r="J19" s="50">
        <f t="shared" si="1"/>
        <v>-1</v>
      </c>
      <c r="K19" s="51" t="str">
        <f t="shared" si="2"/>
        <v>Under Packed</v>
      </c>
    </row>
    <row r="20" spans="1:11">
      <c r="A20" s="40" t="s">
        <v>92</v>
      </c>
      <c r="B20" s="40" t="s">
        <v>95</v>
      </c>
      <c r="C20" s="52" t="s">
        <v>104</v>
      </c>
      <c r="D20" s="40" t="s">
        <v>105</v>
      </c>
      <c r="E20" s="52" t="s">
        <v>129</v>
      </c>
      <c r="F20" s="53">
        <v>33</v>
      </c>
      <c r="G20" s="48">
        <v>33</v>
      </c>
      <c r="H20" s="48">
        <v>0</v>
      </c>
      <c r="I20" s="54">
        <f t="shared" si="0"/>
        <v>33</v>
      </c>
      <c r="J20" s="55">
        <f t="shared" si="1"/>
        <v>-1</v>
      </c>
      <c r="K20" s="56" t="str">
        <f t="shared" si="2"/>
        <v>Under Packed</v>
      </c>
    </row>
  </sheetData>
  <autoFilter xmlns:etc="http://www.wps.cn/officeDocument/2017/etCustomData" ref="A2:K200" etc:filterBottomFollowUsedRange="0">
    <extLst/>
  </autoFilter>
  <mergeCells count="1">
    <mergeCell ref="A1:J1"/>
  </mergeCells>
  <conditionalFormatting sqref="K3:K40">
    <cfRule type="cellIs" dxfId="0" priority="1" operator="equal">
      <formula>"Complete"</formula>
    </cfRule>
    <cfRule type="cellIs" dxfId="2" priority="2" operator="equal">
      <formula>"Under Packed"</formula>
    </cfRule>
    <cfRule type="cellIs" dxfId="3" priority="3" operator="equal">
      <formula>"OVER PACKED"</formula>
    </cfRule>
  </conditionalFormatting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rgb="FF888888"/>
  </sheetPr>
  <dimension ref="A1:Q34"/>
  <sheetViews>
    <sheetView showGridLines="0" workbookViewId="0">
      <selection activeCell="A1" sqref="A1:P1"/>
    </sheetView>
  </sheetViews>
  <sheetFormatPr defaultColWidth="9" defaultRowHeight="15"/>
  <cols>
    <col min="1" max="1" width="8" customWidth="1"/>
    <col min="2" max="3" width="22" customWidth="1"/>
    <col min="4" max="4" width="10" customWidth="1"/>
    <col min="5" max="5" width="4" customWidth="1"/>
    <col min="6" max="6" width="12" customWidth="1"/>
    <col min="7" max="9" width="6" customWidth="1"/>
    <col min="10" max="10" width="8" customWidth="1"/>
    <col min="11" max="11" width="4" customWidth="1"/>
    <col min="12" max="12" width="12" customWidth="1"/>
    <col min="13" max="13" width="22" customWidth="1"/>
    <col min="14" max="17" width="10" customWidth="1"/>
  </cols>
  <sheetData>
    <row r="1" ht="30" customHeight="1" spans="1:17">
      <c r="A1" s="1" t="s">
        <v>154</v>
      </c>
    </row>
    <row r="3" spans="1:17">
      <c r="A3" s="41" t="s">
        <v>155</v>
      </c>
      <c r="B3" s="42"/>
      <c r="D3" s="41" t="s">
        <v>156</v>
      </c>
      <c r="F3" s="41" t="s">
        <v>157</v>
      </c>
      <c r="G3" s="42"/>
      <c r="H3" s="42"/>
      <c r="I3" s="42"/>
      <c r="J3" s="42"/>
      <c r="L3" s="41" t="s">
        <v>158</v>
      </c>
      <c r="M3" s="42"/>
      <c r="N3" s="42"/>
      <c r="O3" s="42"/>
      <c r="P3" s="42"/>
      <c r="Q3" s="42"/>
    </row>
    <row r="4" spans="1:17">
      <c r="A4" s="10" t="s">
        <v>159</v>
      </c>
      <c r="B4" s="10" t="s">
        <v>14</v>
      </c>
      <c r="D4" s="10" t="s">
        <v>143</v>
      </c>
      <c r="F4" s="10" t="s">
        <v>160</v>
      </c>
      <c r="G4" s="10" t="s">
        <v>126</v>
      </c>
      <c r="H4" s="10" t="s">
        <v>161</v>
      </c>
      <c r="I4" s="10" t="s">
        <v>162</v>
      </c>
      <c r="J4" s="10" t="s">
        <v>137</v>
      </c>
      <c r="L4" s="10" t="s">
        <v>54</v>
      </c>
      <c r="M4" s="10" t="s">
        <v>56</v>
      </c>
      <c r="N4" s="10" t="s">
        <v>163</v>
      </c>
      <c r="O4" s="10" t="s">
        <v>164</v>
      </c>
      <c r="P4" s="10" t="s">
        <v>165</v>
      </c>
      <c r="Q4" s="10" t="s">
        <v>160</v>
      </c>
    </row>
    <row r="5" spans="1:17">
      <c r="A5" s="43" t="s">
        <v>79</v>
      </c>
      <c r="B5" s="43" t="s">
        <v>80</v>
      </c>
      <c r="D5" s="43" t="s">
        <v>166</v>
      </c>
      <c r="F5" s="43" t="s">
        <v>167</v>
      </c>
      <c r="G5" s="43" t="s">
        <v>168</v>
      </c>
      <c r="H5" s="43" t="s">
        <v>169</v>
      </c>
      <c r="I5" s="43" t="s">
        <v>170</v>
      </c>
      <c r="J5" s="43" t="s">
        <v>171</v>
      </c>
      <c r="L5" s="43" t="s">
        <v>75</v>
      </c>
      <c r="M5" s="43" t="s">
        <v>77</v>
      </c>
      <c r="N5" s="43" t="s">
        <v>172</v>
      </c>
      <c r="O5" s="43" t="s">
        <v>173</v>
      </c>
      <c r="P5" s="43" t="s">
        <v>174</v>
      </c>
      <c r="Q5" s="43" t="s">
        <v>175</v>
      </c>
    </row>
    <row r="6" spans="1:17">
      <c r="A6" s="44" t="s">
        <v>85</v>
      </c>
      <c r="B6" s="44" t="s">
        <v>86</v>
      </c>
      <c r="D6" s="44" t="s">
        <v>176</v>
      </c>
      <c r="F6" s="44" t="s">
        <v>177</v>
      </c>
      <c r="G6" s="44" t="s">
        <v>178</v>
      </c>
      <c r="H6" s="44" t="s">
        <v>179</v>
      </c>
      <c r="I6" s="44" t="s">
        <v>169</v>
      </c>
      <c r="J6" s="44" t="s">
        <v>180</v>
      </c>
      <c r="L6" s="44" t="s">
        <v>95</v>
      </c>
      <c r="M6" s="44" t="s">
        <v>97</v>
      </c>
      <c r="N6" s="44" t="s">
        <v>181</v>
      </c>
      <c r="O6" s="44" t="s">
        <v>173</v>
      </c>
      <c r="P6" s="44" t="s">
        <v>182</v>
      </c>
      <c r="Q6" s="44" t="s">
        <v>183</v>
      </c>
    </row>
    <row r="7" spans="1:17">
      <c r="A7" s="43" t="s">
        <v>99</v>
      </c>
      <c r="B7" s="43" t="s">
        <v>100</v>
      </c>
      <c r="D7" s="43" t="s">
        <v>184</v>
      </c>
      <c r="F7" s="43" t="s">
        <v>185</v>
      </c>
      <c r="G7" s="43" t="s">
        <v>179</v>
      </c>
      <c r="H7" s="43" t="s">
        <v>186</v>
      </c>
      <c r="I7" s="43" t="s">
        <v>187</v>
      </c>
      <c r="J7" s="43" t="s">
        <v>188</v>
      </c>
    </row>
    <row r="8" spans="1:17">
      <c r="A8" s="44" t="s">
        <v>87</v>
      </c>
      <c r="B8" s="44" t="s">
        <v>88</v>
      </c>
      <c r="D8" s="44" t="s">
        <v>169</v>
      </c>
    </row>
    <row r="9" spans="1:17">
      <c r="A9" s="43" t="s">
        <v>89</v>
      </c>
      <c r="B9" s="43" t="s">
        <v>90</v>
      </c>
      <c r="D9" s="43" t="s">
        <v>189</v>
      </c>
    </row>
    <row r="10" spans="1:17">
      <c r="A10" s="44" t="s">
        <v>104</v>
      </c>
      <c r="B10" s="44" t="s">
        <v>105</v>
      </c>
      <c r="D10" s="44" t="s">
        <v>190</v>
      </c>
    </row>
    <row r="11" spans="1:17">
      <c r="D11" s="43" t="s">
        <v>191</v>
      </c>
    </row>
    <row r="12" spans="1:17">
      <c r="A12" s="41" t="s">
        <v>192</v>
      </c>
      <c r="B12" s="42"/>
      <c r="D12" s="44" t="s">
        <v>193</v>
      </c>
    </row>
    <row r="13" spans="1:17">
      <c r="A13" s="10" t="s">
        <v>194</v>
      </c>
      <c r="B13" s="10" t="s">
        <v>195</v>
      </c>
      <c r="D13" s="43" t="s">
        <v>196</v>
      </c>
    </row>
    <row r="14" spans="1:17">
      <c r="A14" s="43" t="s">
        <v>197</v>
      </c>
      <c r="B14" s="43" t="s">
        <v>198</v>
      </c>
      <c r="D14" s="44" t="s">
        <v>199</v>
      </c>
    </row>
    <row r="15" spans="1:17">
      <c r="A15" s="44" t="s">
        <v>200</v>
      </c>
      <c r="B15" s="44" t="s">
        <v>201</v>
      </c>
      <c r="D15" s="43" t="s">
        <v>202</v>
      </c>
    </row>
    <row r="16" spans="1:17">
      <c r="A16" s="43" t="s">
        <v>203</v>
      </c>
      <c r="B16" s="43" t="s">
        <v>204</v>
      </c>
      <c r="D16" s="44" t="s">
        <v>205</v>
      </c>
    </row>
    <row r="17" spans="1:4">
      <c r="A17" s="44" t="s">
        <v>206</v>
      </c>
      <c r="B17" s="44" t="s">
        <v>207</v>
      </c>
      <c r="D17" s="43" t="s">
        <v>208</v>
      </c>
    </row>
    <row r="18" spans="1:4">
      <c r="A18" s="43" t="s">
        <v>209</v>
      </c>
      <c r="B18" s="43" t="s">
        <v>210</v>
      </c>
      <c r="D18" s="44" t="s">
        <v>179</v>
      </c>
    </row>
    <row r="19" spans="1:4">
      <c r="D19" s="43" t="s">
        <v>211</v>
      </c>
    </row>
    <row r="20" spans="1:4">
      <c r="A20" s="41" t="s">
        <v>212</v>
      </c>
      <c r="B20" s="42"/>
      <c r="C20" s="42"/>
      <c r="D20" s="44" t="s">
        <v>213</v>
      </c>
    </row>
    <row r="21" spans="1:4">
      <c r="A21" s="10" t="s">
        <v>214</v>
      </c>
      <c r="B21" s="10" t="s">
        <v>215</v>
      </c>
      <c r="C21" s="10" t="s">
        <v>216</v>
      </c>
      <c r="D21" s="43" t="s">
        <v>217</v>
      </c>
    </row>
    <row r="22" spans="1:4">
      <c r="A22" s="43" t="s">
        <v>74</v>
      </c>
      <c r="B22" s="43" t="s">
        <v>218</v>
      </c>
      <c r="C22" s="43" t="s">
        <v>219</v>
      </c>
      <c r="D22" s="44" t="s">
        <v>220</v>
      </c>
    </row>
    <row r="24" spans="1:4">
      <c r="A24" s="41" t="s">
        <v>221</v>
      </c>
      <c r="B24" s="42"/>
      <c r="D24" s="41" t="s">
        <v>222</v>
      </c>
    </row>
    <row r="25" spans="1:4">
      <c r="A25" s="10" t="s">
        <v>159</v>
      </c>
      <c r="B25" s="10" t="s">
        <v>14</v>
      </c>
      <c r="D25" s="10" t="s">
        <v>143</v>
      </c>
    </row>
    <row r="26" spans="1:4">
      <c r="A26" s="43" t="s">
        <v>223</v>
      </c>
      <c r="B26" s="43" t="s">
        <v>119</v>
      </c>
      <c r="D26" s="43" t="s">
        <v>224</v>
      </c>
    </row>
    <row r="27" spans="1:4">
      <c r="A27" s="44" t="s">
        <v>225</v>
      </c>
      <c r="B27" s="44" t="s">
        <v>226</v>
      </c>
      <c r="D27" s="44" t="s">
        <v>124</v>
      </c>
    </row>
    <row r="28" spans="1:4">
      <c r="A28" s="43" t="s">
        <v>227</v>
      </c>
      <c r="B28" s="43" t="s">
        <v>228</v>
      </c>
      <c r="D28" s="43" t="s">
        <v>125</v>
      </c>
    </row>
    <row r="29" spans="1:4">
      <c r="A29" s="44" t="s">
        <v>229</v>
      </c>
      <c r="B29" s="44" t="s">
        <v>230</v>
      </c>
      <c r="D29" s="44" t="s">
        <v>126</v>
      </c>
    </row>
    <row r="30" spans="1:4">
      <c r="D30" s="43" t="s">
        <v>127</v>
      </c>
    </row>
    <row r="31" spans="1:4">
      <c r="D31" s="44" t="s">
        <v>128</v>
      </c>
    </row>
    <row r="32" spans="1:4">
      <c r="D32" s="43" t="s">
        <v>129</v>
      </c>
    </row>
    <row r="33" spans="4:4">
      <c r="D33" s="44" t="s">
        <v>231</v>
      </c>
    </row>
    <row r="34" spans="4:4">
      <c r="D34" s="43" t="s">
        <v>232</v>
      </c>
    </row>
  </sheetData>
  <mergeCells count="1">
    <mergeCell ref="A1:P1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rgb="FF9B59B6"/>
  </sheetPr>
  <dimension ref="A1:F15"/>
  <sheetViews>
    <sheetView showGridLines="0" workbookViewId="0">
      <selection activeCell="A1" sqref="A1:F1"/>
    </sheetView>
  </sheetViews>
  <sheetFormatPr defaultColWidth="9" defaultRowHeight="15" outlineLevelCol="5"/>
  <cols>
    <col min="1" max="1" width="32" customWidth="1"/>
    <col min="2" max="2" width="24" customWidth="1"/>
    <col min="3" max="3" width="14" customWidth="1"/>
    <col min="4" max="4" width="40" customWidth="1"/>
  </cols>
  <sheetData>
    <row r="1" ht="30" customHeight="1" spans="1:4">
      <c r="A1" s="1" t="s">
        <v>233</v>
      </c>
    </row>
    <row r="3" spans="1:4">
      <c r="A3" s="35" t="s">
        <v>234</v>
      </c>
      <c r="B3" s="35" t="s">
        <v>235</v>
      </c>
      <c r="C3" s="35" t="s">
        <v>236</v>
      </c>
      <c r="D3" s="35" t="s">
        <v>237</v>
      </c>
    </row>
    <row r="4" spans="1:4">
      <c r="A4" s="36" t="s">
        <v>238</v>
      </c>
      <c r="B4" s="37" t="s">
        <v>239</v>
      </c>
      <c r="C4" s="38" t="s">
        <v>240</v>
      </c>
      <c r="D4" s="38" t="s">
        <v>241</v>
      </c>
    </row>
    <row r="5" spans="1:4">
      <c r="A5" s="39" t="s">
        <v>242</v>
      </c>
      <c r="B5" s="37" t="s">
        <v>172</v>
      </c>
      <c r="C5" s="40" t="s">
        <v>243</v>
      </c>
      <c r="D5" s="40" t="s">
        <v>244</v>
      </c>
    </row>
    <row r="6" spans="1:4">
      <c r="A6" s="36" t="s">
        <v>245</v>
      </c>
      <c r="B6" s="37" t="s">
        <v>173</v>
      </c>
      <c r="C6" s="38" t="s">
        <v>243</v>
      </c>
      <c r="D6" s="38" t="s">
        <v>246</v>
      </c>
    </row>
    <row r="7" spans="1:4">
      <c r="A7" s="39" t="s">
        <v>247</v>
      </c>
      <c r="B7" s="37" t="s">
        <v>248</v>
      </c>
      <c r="C7" s="40"/>
      <c r="D7" s="40" t="s">
        <v>249</v>
      </c>
    </row>
    <row r="8" spans="1:4">
      <c r="A8" s="36" t="s">
        <v>250</v>
      </c>
      <c r="B8" s="37" t="s">
        <v>251</v>
      </c>
      <c r="C8" s="38"/>
      <c r="D8" s="38" t="s">
        <v>252</v>
      </c>
    </row>
    <row r="9" spans="1:4">
      <c r="A9" s="39" t="s">
        <v>253</v>
      </c>
      <c r="B9" s="37" t="s">
        <v>254</v>
      </c>
      <c r="C9" s="40"/>
      <c r="D9" s="40" t="s">
        <v>255</v>
      </c>
    </row>
    <row r="10" spans="1:4">
      <c r="A10" s="36" t="s">
        <v>256</v>
      </c>
      <c r="B10" s="37" t="s">
        <v>257</v>
      </c>
      <c r="C10" s="38" t="s">
        <v>258</v>
      </c>
      <c r="D10" s="38" t="s">
        <v>259</v>
      </c>
    </row>
    <row r="11" spans="1:4">
      <c r="A11" s="39" t="s">
        <v>260</v>
      </c>
      <c r="B11" s="37" t="s">
        <v>261</v>
      </c>
      <c r="C11" s="40"/>
      <c r="D11" s="40" t="s">
        <v>262</v>
      </c>
    </row>
    <row r="12" spans="1:4">
      <c r="A12" s="36" t="s">
        <v>263</v>
      </c>
      <c r="B12" s="37" t="s">
        <v>74</v>
      </c>
      <c r="C12" s="38"/>
      <c r="D12" s="38" t="s">
        <v>264</v>
      </c>
    </row>
    <row r="13" spans="1:4">
      <c r="A13" s="39" t="s">
        <v>265</v>
      </c>
      <c r="B13" s="37" t="s">
        <v>71</v>
      </c>
      <c r="C13" s="40"/>
      <c r="D13" s="40" t="s">
        <v>266</v>
      </c>
    </row>
    <row r="14" spans="1:4">
      <c r="A14" s="36" t="s">
        <v>267</v>
      </c>
      <c r="B14" s="37" t="s">
        <v>74</v>
      </c>
      <c r="C14" s="38"/>
      <c r="D14" s="38" t="s">
        <v>266</v>
      </c>
    </row>
    <row r="15" spans="1:4">
      <c r="A15" s="39" t="s">
        <v>268</v>
      </c>
      <c r="B15" s="37" t="s">
        <v>269</v>
      </c>
      <c r="C15" s="40"/>
      <c r="D15" s="40" t="s">
        <v>266</v>
      </c>
    </row>
  </sheetData>
  <mergeCells count="1">
    <mergeCell ref="A1:F1"/>
  </mergeCell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rgb="FFC8A84B"/>
  </sheetPr>
  <dimension ref="A1:P34"/>
  <sheetViews>
    <sheetView showGridLines="0" workbookViewId="0">
      <selection activeCell="A1" sqref="A1:P1"/>
    </sheetView>
  </sheetViews>
  <sheetFormatPr defaultColWidth="9" defaultRowHeight="15"/>
  <cols>
    <col min="1" max="1" width="22" customWidth="1"/>
    <col min="2" max="16" width="12" customWidth="1"/>
  </cols>
  <sheetData>
    <row r="1" ht="39.95" customHeight="1" spans="1:14">
      <c r="A1" s="8" t="s">
        <v>270</v>
      </c>
    </row>
    <row r="2" spans="1:14">
      <c r="A2" s="9" t="s">
        <v>271</v>
      </c>
    </row>
    <row r="4" ht="24" customHeight="1" spans="1:14">
      <c r="A4" s="10" t="s">
        <v>272</v>
      </c>
      <c r="B4" s="11"/>
      <c r="C4" s="11"/>
      <c r="D4" s="12"/>
      <c r="F4" s="13" t="s">
        <v>273</v>
      </c>
      <c r="G4" s="11"/>
      <c r="H4" s="11"/>
      <c r="I4" s="12"/>
      <c r="K4" s="14" t="s">
        <v>66</v>
      </c>
      <c r="L4" s="11"/>
      <c r="M4" s="11"/>
      <c r="N4" s="12"/>
    </row>
    <row r="5" ht="24" customHeight="1" spans="1:14">
      <c r="A5" s="15"/>
      <c r="B5" s="16"/>
      <c r="C5" s="16"/>
      <c r="D5" s="17"/>
      <c r="F5" s="15"/>
      <c r="G5" s="16"/>
      <c r="H5" s="16"/>
      <c r="I5" s="17"/>
      <c r="K5" s="15"/>
      <c r="L5" s="16"/>
      <c r="M5" s="16"/>
      <c r="N5" s="17"/>
    </row>
    <row r="6" ht="24" customHeight="1" spans="1:14">
      <c r="A6" s="18" t="s">
        <v>274</v>
      </c>
      <c r="B6" s="11"/>
      <c r="C6" s="11"/>
      <c r="D6" s="12"/>
      <c r="F6" s="19" t="s">
        <v>275</v>
      </c>
      <c r="G6" s="11"/>
      <c r="H6" s="11"/>
      <c r="I6" s="12"/>
      <c r="K6" s="20" t="s">
        <v>276</v>
      </c>
      <c r="L6" s="11"/>
      <c r="M6" s="11"/>
      <c r="N6" s="12"/>
    </row>
    <row r="7" ht="24" customHeight="1" spans="1:14">
      <c r="A7" s="15"/>
      <c r="B7" s="16"/>
      <c r="C7" s="16"/>
      <c r="D7" s="17"/>
      <c r="F7" s="15"/>
      <c r="G7" s="16"/>
      <c r="H7" s="16"/>
      <c r="I7" s="17"/>
      <c r="K7" s="15"/>
      <c r="L7" s="16"/>
      <c r="M7" s="16"/>
      <c r="N7" s="17"/>
    </row>
    <row r="8" ht="24" customHeight="1"/>
    <row r="9" ht="24" customHeight="1" spans="1:14">
      <c r="A9" s="21" t="s">
        <v>10</v>
      </c>
      <c r="B9" s="11"/>
      <c r="C9" s="11"/>
      <c r="D9" s="12"/>
      <c r="F9" s="22" t="s">
        <v>132</v>
      </c>
      <c r="G9" s="11"/>
      <c r="H9" s="11"/>
      <c r="I9" s="12"/>
      <c r="K9" s="23" t="s">
        <v>277</v>
      </c>
      <c r="L9" s="11"/>
      <c r="M9" s="11"/>
      <c r="N9" s="12"/>
    </row>
    <row r="10" ht="24" customHeight="1" spans="1:14">
      <c r="A10" s="15"/>
      <c r="B10" s="16"/>
      <c r="C10" s="16"/>
      <c r="D10" s="17"/>
      <c r="F10" s="15"/>
      <c r="G10" s="16"/>
      <c r="H10" s="16"/>
      <c r="I10" s="17"/>
      <c r="K10" s="15"/>
      <c r="L10" s="16"/>
      <c r="M10" s="16"/>
      <c r="N10" s="17"/>
    </row>
    <row r="11" ht="24" customHeight="1" spans="1:14">
      <c r="A11" s="24">
        <f>COUNTA(CARTON_ALLOCATION!A4:A200)</f>
        <v>0</v>
      </c>
      <c r="B11" s="11"/>
      <c r="C11" s="11"/>
      <c r="D11" s="12"/>
      <c r="F11" s="25">
        <f>IFERROR(SUM(CARTON_ALLOCATION!N4:N200),0)</f>
        <v>0</v>
      </c>
      <c r="G11" s="11"/>
      <c r="H11" s="11"/>
      <c r="I11" s="12"/>
      <c r="K11" s="26">
        <f>IFERROR(SUMPRODUCT((PO_MASTER!S3:S9))/SUMPRODUCT((PO_MASTER!N3:N9)),0)</f>
        <v>0</v>
      </c>
      <c r="L11" s="11"/>
      <c r="M11" s="11"/>
      <c r="N11" s="12"/>
    </row>
    <row r="12" ht="24" customHeight="1" spans="1:14">
      <c r="A12" s="15"/>
      <c r="B12" s="16"/>
      <c r="C12" s="16"/>
      <c r="D12" s="17"/>
      <c r="F12" s="15"/>
      <c r="G12" s="16"/>
      <c r="H12" s="16"/>
      <c r="I12" s="17"/>
      <c r="K12" s="15"/>
      <c r="L12" s="16"/>
      <c r="M12" s="16"/>
      <c r="N12" s="17"/>
    </row>
    <row r="13" ht="24" customHeight="1"/>
    <row r="15" ht="15.75" spans="1:14">
      <c r="A15" s="27" t="s">
        <v>278</v>
      </c>
    </row>
    <row r="16" spans="1:14">
      <c r="A16" s="10" t="s">
        <v>123</v>
      </c>
      <c r="B16" s="10" t="s">
        <v>61</v>
      </c>
      <c r="C16" s="10" t="s">
        <v>66</v>
      </c>
      <c r="D16" s="10" t="s">
        <v>279</v>
      </c>
    </row>
    <row r="17" spans="1:5">
      <c r="A17" s="28" t="s">
        <v>280</v>
      </c>
      <c r="B17" s="29">
        <v>6512</v>
      </c>
      <c r="C17" s="29">
        <v>0</v>
      </c>
      <c r="D17" s="30">
        <f t="shared" ref="D17:D22" si="0">IFERROR(C17/B17,0)</f>
        <v>0</v>
      </c>
    </row>
    <row r="18" spans="1:5">
      <c r="A18" s="31" t="s">
        <v>281</v>
      </c>
      <c r="B18" s="32">
        <v>4967</v>
      </c>
      <c r="C18" s="32">
        <v>0</v>
      </c>
      <c r="D18" s="33">
        <f t="shared" si="0"/>
        <v>0</v>
      </c>
    </row>
    <row r="19" spans="1:5">
      <c r="A19" s="28" t="s">
        <v>282</v>
      </c>
      <c r="B19" s="29">
        <v>3881</v>
      </c>
      <c r="C19" s="29">
        <v>0</v>
      </c>
      <c r="D19" s="30">
        <f t="shared" si="0"/>
        <v>0</v>
      </c>
    </row>
    <row r="20" spans="1:5">
      <c r="A20" s="31" t="s">
        <v>283</v>
      </c>
      <c r="B20" s="32">
        <v>1777</v>
      </c>
      <c r="C20" s="32">
        <v>0</v>
      </c>
      <c r="D20" s="33">
        <f t="shared" si="0"/>
        <v>0</v>
      </c>
    </row>
    <row r="21" spans="1:5">
      <c r="A21" s="28" t="s">
        <v>284</v>
      </c>
      <c r="B21" s="29">
        <v>584</v>
      </c>
      <c r="C21" s="29">
        <v>0</v>
      </c>
      <c r="D21" s="30">
        <f t="shared" si="0"/>
        <v>0</v>
      </c>
    </row>
    <row r="22" spans="1:5">
      <c r="A22" s="31" t="s">
        <v>285</v>
      </c>
      <c r="B22" s="32">
        <v>1729</v>
      </c>
      <c r="C22" s="32">
        <v>0</v>
      </c>
      <c r="D22" s="33">
        <f t="shared" si="0"/>
        <v>0</v>
      </c>
    </row>
    <row r="26" ht="15.75" spans="1:5">
      <c r="A26" s="27" t="s">
        <v>286</v>
      </c>
    </row>
    <row r="27" spans="1:5">
      <c r="A27" s="10" t="s">
        <v>143</v>
      </c>
      <c r="B27" s="10" t="s">
        <v>100</v>
      </c>
      <c r="C27" s="10" t="s">
        <v>88</v>
      </c>
      <c r="D27" s="10" t="s">
        <v>287</v>
      </c>
      <c r="E27" s="10" t="s">
        <v>288</v>
      </c>
    </row>
    <row r="28" spans="1:5">
      <c r="A28" s="28" t="s">
        <v>124</v>
      </c>
      <c r="B28" s="29">
        <v>47</v>
      </c>
      <c r="C28" s="29">
        <v>12</v>
      </c>
      <c r="D28" s="29">
        <v>155</v>
      </c>
      <c r="E28" s="29">
        <f t="shared" ref="E28:E33" si="1">SUM(B28:D28)</f>
        <v>214</v>
      </c>
    </row>
    <row r="29" spans="1:5">
      <c r="A29" s="31" t="s">
        <v>125</v>
      </c>
      <c r="B29" s="32">
        <v>146</v>
      </c>
      <c r="C29" s="32">
        <v>50</v>
      </c>
      <c r="D29" s="32">
        <v>456</v>
      </c>
      <c r="E29" s="32">
        <f t="shared" si="1"/>
        <v>652</v>
      </c>
    </row>
    <row r="30" spans="1:5">
      <c r="A30" s="28" t="s">
        <v>126</v>
      </c>
      <c r="B30" s="29">
        <v>164</v>
      </c>
      <c r="C30" s="29">
        <v>73</v>
      </c>
      <c r="D30" s="29">
        <v>508</v>
      </c>
      <c r="E30" s="29">
        <f t="shared" si="1"/>
        <v>745</v>
      </c>
    </row>
    <row r="31" spans="1:5">
      <c r="A31" s="31" t="s">
        <v>127</v>
      </c>
      <c r="B31" s="32">
        <v>134</v>
      </c>
      <c r="C31" s="32">
        <v>33</v>
      </c>
      <c r="D31" s="32">
        <v>387</v>
      </c>
      <c r="E31" s="32">
        <f t="shared" si="1"/>
        <v>554</v>
      </c>
    </row>
    <row r="32" spans="1:5">
      <c r="A32" s="28" t="s">
        <v>128</v>
      </c>
      <c r="B32" s="29">
        <v>76</v>
      </c>
      <c r="C32" s="29">
        <v>20</v>
      </c>
      <c r="D32" s="29">
        <v>190</v>
      </c>
      <c r="E32" s="29">
        <f t="shared" si="1"/>
        <v>286</v>
      </c>
    </row>
    <row r="33" spans="1:5">
      <c r="A33" s="31" t="s">
        <v>129</v>
      </c>
      <c r="B33" s="32">
        <v>17</v>
      </c>
      <c r="C33" s="32">
        <v>4</v>
      </c>
      <c r="D33" s="32">
        <v>33</v>
      </c>
      <c r="E33" s="32">
        <f t="shared" si="1"/>
        <v>54</v>
      </c>
    </row>
    <row r="34" spans="1:5">
      <c r="A34" s="10" t="s">
        <v>288</v>
      </c>
      <c r="B34" s="34">
        <f>SUM(B28:B33)</f>
        <v>584</v>
      </c>
      <c r="C34" s="34">
        <f>SUM(C28:C33)</f>
        <v>192</v>
      </c>
      <c r="D34" s="34">
        <f>SUM(D28:D33)</f>
        <v>1729</v>
      </c>
      <c r="E34" s="34">
        <f>SUM(E28:E33)</f>
        <v>2505</v>
      </c>
    </row>
  </sheetData>
  <mergeCells count="14">
    <mergeCell ref="A1:P1"/>
    <mergeCell ref="A2:P2"/>
    <mergeCell ref="F6:I7"/>
    <mergeCell ref="K11:N12"/>
    <mergeCell ref="A9:D10"/>
    <mergeCell ref="F9:I10"/>
    <mergeCell ref="K9:N10"/>
    <mergeCell ref="A4:D5"/>
    <mergeCell ref="F4:I5"/>
    <mergeCell ref="F11:I12"/>
    <mergeCell ref="K4:N5"/>
    <mergeCell ref="K6:N7"/>
    <mergeCell ref="A11:D12"/>
    <mergeCell ref="A6:D7"/>
  </mergeCells>
  <pageMargins left="0.75" right="0.75" top="1" bottom="1" header="0.5" footer="0.5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tabColor rgb="FFC0392B"/>
  </sheetPr>
  <dimension ref="A1:J16"/>
  <sheetViews>
    <sheetView showGridLines="0" workbookViewId="0">
      <selection activeCell="D16" sqref="D16"/>
    </sheetView>
  </sheetViews>
  <sheetFormatPr defaultColWidth="9" defaultRowHeight="15"/>
  <cols>
    <col min="1" max="1" width="18" customWidth="1"/>
    <col min="2" max="10" width="14" customWidth="1"/>
  </cols>
  <sheetData>
    <row r="1" ht="30" customHeight="1" spans="1:10">
      <c r="A1" s="1" t="s">
        <v>289</v>
      </c>
    </row>
    <row r="3" spans="1:10">
      <c r="A3" s="2" t="s">
        <v>290</v>
      </c>
    </row>
    <row r="4" spans="1:10">
      <c r="A4" s="3" t="s">
        <v>291</v>
      </c>
      <c r="B4" s="4"/>
      <c r="C4" s="4"/>
      <c r="D4" s="5" t="s">
        <v>292</v>
      </c>
      <c r="E4" s="4"/>
      <c r="F4" s="4"/>
      <c r="G4" s="4"/>
      <c r="H4" s="4"/>
      <c r="I4" s="4"/>
      <c r="J4" s="4"/>
    </row>
    <row r="5" spans="1:10">
      <c r="A5" s="4"/>
      <c r="B5" s="4"/>
      <c r="C5" s="4"/>
      <c r="D5" s="4"/>
      <c r="E5" s="4"/>
      <c r="F5" s="4"/>
      <c r="G5" s="4"/>
      <c r="H5" s="4"/>
      <c r="I5" s="4"/>
      <c r="J5" s="4"/>
    </row>
    <row r="6" spans="1:10">
      <c r="A6" s="3" t="s">
        <v>293</v>
      </c>
      <c r="B6" s="4"/>
      <c r="C6" s="4"/>
      <c r="D6" s="5" t="s">
        <v>294</v>
      </c>
      <c r="E6" s="4"/>
      <c r="F6" s="4"/>
      <c r="G6" s="4"/>
      <c r="H6" s="4"/>
      <c r="I6" s="4"/>
      <c r="J6" s="4"/>
    </row>
    <row r="7" spans="1:10">
      <c r="A7" s="4"/>
      <c r="B7" s="4"/>
      <c r="C7" s="4"/>
      <c r="D7" s="4"/>
      <c r="E7" s="4"/>
      <c r="F7" s="4"/>
      <c r="G7" s="4"/>
      <c r="H7" s="4"/>
      <c r="I7" s="4"/>
      <c r="J7" s="4"/>
    </row>
    <row r="8" spans="1:10">
      <c r="A8" s="3" t="s">
        <v>295</v>
      </c>
      <c r="B8" s="4"/>
      <c r="C8" s="4"/>
      <c r="D8" s="5" t="s">
        <v>296</v>
      </c>
      <c r="E8" s="4"/>
      <c r="F8" s="4"/>
      <c r="G8" s="4"/>
      <c r="H8" s="4"/>
      <c r="I8" s="4"/>
      <c r="J8" s="4"/>
    </row>
    <row r="9" spans="1:10">
      <c r="A9" s="4"/>
      <c r="B9" s="4"/>
      <c r="C9" s="4"/>
      <c r="D9" s="4"/>
      <c r="E9" s="4"/>
      <c r="F9" s="4"/>
      <c r="G9" s="4"/>
      <c r="H9" s="4"/>
      <c r="I9" s="4"/>
      <c r="J9" s="4"/>
    </row>
    <row r="10" spans="1:10">
      <c r="A10" s="3" t="s">
        <v>297</v>
      </c>
      <c r="B10" s="4"/>
      <c r="C10" s="4"/>
      <c r="D10" s="5" t="s">
        <v>298</v>
      </c>
      <c r="E10" s="4"/>
      <c r="F10" s="4"/>
      <c r="G10" s="4"/>
      <c r="H10" s="4"/>
      <c r="I10" s="4"/>
      <c r="J10" s="4"/>
    </row>
    <row r="11" spans="1:10">
      <c r="A11" s="4"/>
      <c r="B11" s="4"/>
      <c r="C11" s="4"/>
      <c r="D11" s="4"/>
      <c r="E11" s="4"/>
      <c r="F11" s="4"/>
      <c r="G11" s="4"/>
      <c r="H11" s="4"/>
      <c r="I11" s="4"/>
      <c r="J11" s="4"/>
    </row>
    <row r="16" spans="1:10">
      <c r="A16" s="6" t="s">
        <v>299</v>
      </c>
      <c r="B16" s="7" t="s">
        <v>300</v>
      </c>
    </row>
  </sheetData>
  <mergeCells count="10">
    <mergeCell ref="A1:J1"/>
    <mergeCell ref="A3:J3"/>
    <mergeCell ref="D6:J7"/>
    <mergeCell ref="A6:C7"/>
    <mergeCell ref="A10:C11"/>
    <mergeCell ref="D10:J11"/>
    <mergeCell ref="A8:C9"/>
    <mergeCell ref="D8:J9"/>
    <mergeCell ref="D4:J5"/>
    <mergeCell ref="A4:C5"/>
  </mergeCell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HOME</vt:lpstr>
      <vt:lpstr>PO_MASTER</vt:lpstr>
      <vt:lpstr>PACKING_LIST</vt:lpstr>
      <vt:lpstr>CARTON_ALLOCATION</vt:lpstr>
      <vt:lpstr>CUT_SHEET</vt:lpstr>
      <vt:lpstr>MASTER_DATA</vt:lpstr>
      <vt:lpstr>SETTINGS</vt:lpstr>
      <vt:lpstr>DASHBOARD</vt:lpstr>
      <vt:lpstr>EXPORT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YASH</cp:lastModifiedBy>
  <dcterms:created xsi:type="dcterms:W3CDTF">2026-07-02T17:13:00Z</dcterms:created>
  <dcterms:modified xsi:type="dcterms:W3CDTF">2026-07-02T17:29:36Z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AEBC16C5711640A9ABBB684EA67E65EB_12</vt:lpwstr>
  </property>
  <property fmtid="{D5CDD505-2E9C-101B-9397-08002B2CF9AE}" pid="3" name="KSOProductBuildVer">
    <vt:lpwstr>1033-12.1.0.26880</vt:lpwstr>
  </property>
  <property fmtid="{D5CDD505-2E9C-101B-9397-08002B2CF9AE}" pid="4" name="CalculationRule">
    <vt:i4>0</vt:i4>
  </property>
</Properties>
</file>