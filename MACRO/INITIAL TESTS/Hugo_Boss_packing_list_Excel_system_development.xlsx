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00" tabRatio="906" firstSheet="1" activeTab="7"/>
  </bookViews>
  <sheets>
    <sheet name="HOME" sheetId="1" r:id="rId1"/>
    <sheet name="PO_MASTER" sheetId="2" r:id="rId2"/>
    <sheet name="PACKING_LIST" sheetId="3" r:id="rId3"/>
    <sheet name="CARTON_ALLOCATION" sheetId="4" r:id="rId4"/>
    <sheet name="CUT_SHEET" sheetId="5" r:id="rId5"/>
    <sheet name="MASTER_DATA" sheetId="6" r:id="rId6"/>
    <sheet name="SETTINGS" sheetId="7" r:id="rId7"/>
    <sheet name="DASHBOARD" sheetId="8" r:id="rId8"/>
    <sheet name="EX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<sst xmlns="http://schemas.openxmlformats.org/spreadsheetml/2006/main" count="1491" uniqueCount="541">
  <si>
    <t>HUGO BOSS</t>
  </si>
  <si>
    <t>PACKING LIST MANAGEMENT SYSTEM  |  v1.0.0</t>
  </si>
  <si>
    <t>Current User:</t>
  </si>
  <si>
    <t>Packing Manager</t>
  </si>
  <si>
    <t>Date:</t>
  </si>
  <si>
    <t>Version:</t>
  </si>
  <si>
    <t>1.0.0</t>
  </si>
  <si>
    <t>TOTAL ACTIVE POs</t>
  </si>
  <si>
    <t>TOTAL PACKED</t>
  </si>
  <si>
    <t>TOTAL CARTONS</t>
  </si>
  <si>
    <t>COMPLETION %</t>
  </si>
  <si>
    <t>STATUS</t>
  </si>
  <si>
    <t>0%</t>
  </si>
  <si>
    <t>READY</t>
  </si>
  <si>
    <t>Packing Progress</t>
  </si>
  <si>
    <t xml:space="preserve">  ░░░░░░░░░░░░░░░░░░░░░░░░░░░░░░░░░░░░░░ 0% Complete  </t>
  </si>
  <si>
    <t>QUICK ACTIONS</t>
  </si>
  <si>
    <t>📥  IMPORT PO</t>
  </si>
  <si>
    <t>📋  CREATE PACKING LIST</t>
  </si>
  <si>
    <t>📦  AUTO ALLOCATE</t>
  </si>
  <si>
    <t>✔  VALIDATE</t>
  </si>
  <si>
    <t>📊  DASHBOARD</t>
  </si>
  <si>
    <t>📈  GENERATE SUMMARY</t>
  </si>
  <si>
    <t>🖨  EXPORT PDF</t>
  </si>
  <si>
    <t>💾  EXPORT XLSX</t>
  </si>
  <si>
    <t>🗑  CLEAR DATA</t>
  </si>
  <si>
    <t>⚙  SETTINGS</t>
  </si>
  <si>
    <t>WORKBOOK SHEETS</t>
  </si>
  <si>
    <t>🏠 HOME</t>
  </si>
  <si>
    <t>Landing page</t>
  </si>
  <si>
    <t>📄 PO_MASTER</t>
  </si>
  <si>
    <t>Purchase Orders DB</t>
  </si>
  <si>
    <t>📋 PACKING_LIST</t>
  </si>
  <si>
    <t>Main working sheet</t>
  </si>
  <si>
    <t>📦 CARTON_ALLOCATION</t>
  </si>
  <si>
    <t>Auto distribution</t>
  </si>
  <si>
    <t>✂ CUT_SHEET</t>
  </si>
  <si>
    <t>Production compare</t>
  </si>
  <si>
    <t>🗂 MASTER_DATA</t>
  </si>
  <si>
    <t>Lookup tables</t>
  </si>
  <si>
    <t>⚙ SETTINGS</t>
  </si>
  <si>
    <t>Configuration</t>
  </si>
  <si>
    <t>📊 DASHBOARD</t>
  </si>
  <si>
    <t>KPIs &amp; Charts</t>
  </si>
  <si>
    <t>📤 EXPORT</t>
  </si>
  <si>
    <t>Print/PDF/XLSX</t>
  </si>
  <si>
    <t>© 2026 Hugo Boss Packing List System  •  Laguna India Private Limited  •  Sample POs: 4901873568 · 4901893255</t>
  </si>
  <si>
    <t>PO MASTER — Purchase Order Database</t>
  </si>
  <si>
    <t>All active purchase orders  •  Never overwrite  •  Duplicate detection enabled  •  Supports unlimited POs</t>
  </si>
  <si>
    <t>#</t>
  </si>
  <si>
    <t>PO Number</t>
  </si>
  <si>
    <t>Season</t>
  </si>
  <si>
    <t>Customer</t>
  </si>
  <si>
    <t>Brand</t>
  </si>
  <si>
    <t>Division</t>
  </si>
  <si>
    <t>Factory</t>
  </si>
  <si>
    <t>Style</t>
  </si>
  <si>
    <t>Form</t>
  </si>
  <si>
    <t>Form Name</t>
  </si>
  <si>
    <t>Quality</t>
  </si>
  <si>
    <t>Color Code</t>
  </si>
  <si>
    <t>Color Description</t>
  </si>
  <si>
    <t>Size</t>
  </si>
  <si>
    <t>Ordered Qty</t>
  </si>
  <si>
    <t>Delivery Date</t>
  </si>
  <si>
    <t>Destination</t>
  </si>
  <si>
    <t>Unit Price</t>
  </si>
  <si>
    <t>Currency</t>
  </si>
  <si>
    <t>Status</t>
  </si>
  <si>
    <t>W26WI</t>
  </si>
  <si>
    <t>HUGO BOSS Ticino SA</t>
  </si>
  <si>
    <t>BOSS</t>
  </si>
  <si>
    <t>Black</t>
  </si>
  <si>
    <t>LAGUNA INDIA PVT LTD</t>
  </si>
  <si>
    <t>H-JOE-kent-C1-214</t>
  </si>
  <si>
    <t>22.07.2026</t>
  </si>
  <si>
    <t>DC FPG Filderstadt Germany</t>
  </si>
  <si>
    <t>USD</t>
  </si>
  <si>
    <t>Active</t>
  </si>
  <si>
    <t>42L</t>
  </si>
  <si>
    <t>43L</t>
  </si>
  <si>
    <t>44L</t>
  </si>
  <si>
    <t>45L</t>
  </si>
  <si>
    <t>White</t>
  </si>
  <si>
    <t>Dark Blue</t>
  </si>
  <si>
    <t>Light Blue</t>
  </si>
  <si>
    <t>S27SP</t>
  </si>
  <si>
    <t>P-LIAM-BD-271</t>
  </si>
  <si>
    <t>Open White</t>
  </si>
  <si>
    <t>S</t>
  </si>
  <si>
    <t>21.10.2026</t>
  </si>
  <si>
    <t>DC Savannah GA USA</t>
  </si>
  <si>
    <t>M</t>
  </si>
  <si>
    <t>L</t>
  </si>
  <si>
    <t>XL</t>
  </si>
  <si>
    <t>XXL</t>
  </si>
  <si>
    <t>XXXL</t>
  </si>
  <si>
    <t>Beige Overflow</t>
  </si>
  <si>
    <t>TOTALS</t>
  </si>
  <si>
    <t>PACKING LIST</t>
  </si>
  <si>
    <t>PO Number:</t>
  </si>
  <si>
    <t>Style:</t>
  </si>
  <si>
    <t>Form:</t>
  </si>
  <si>
    <t>Form Name:</t>
  </si>
  <si>
    <t>Season:</t>
  </si>
  <si>
    <t>Packing List No: PL-4901873568-001</t>
  </si>
  <si>
    <t>Invoice No:</t>
  </si>
  <si>
    <t>INV-4901873568-001</t>
  </si>
  <si>
    <t>Shipment:</t>
  </si>
  <si>
    <t>SCC Sea freight</t>
  </si>
  <si>
    <t>Container:</t>
  </si>
  <si>
    <t>MSKU-1234567</t>
  </si>
  <si>
    <t>Factory:</t>
  </si>
  <si>
    <t>Vendor No:</t>
  </si>
  <si>
    <t>Terms: FOB IN_MAA</t>
  </si>
  <si>
    <t>Customer:</t>
  </si>
  <si>
    <t>Destination:</t>
  </si>
  <si>
    <t>DC FPG Filderstadt, Hugo Boss Str. 1-7, 70794 Filderstadt, Germany</t>
  </si>
  <si>
    <t>Delivery Date:</t>
  </si>
  <si>
    <t>Quality:</t>
  </si>
  <si>
    <t>Payment: 100 days net</t>
  </si>
  <si>
    <t>Brand:</t>
  </si>
  <si>
    <t>Division:</t>
  </si>
  <si>
    <t>Men Black</t>
  </si>
  <si>
    <t>Category:</t>
  </si>
  <si>
    <t>Shirts</t>
  </si>
  <si>
    <t>Unit Price:</t>
  </si>
  <si>
    <t>USD 13.30 / PC</t>
  </si>
  <si>
    <t>Currency:</t>
  </si>
  <si>
    <t>Date: 02.07.2026</t>
  </si>
  <si>
    <t>CARTON DETAILS  •  Dynamic Size Columns (Numeric 37–50 + Long 42L–45L)</t>
  </si>
  <si>
    <t>Ctn No</t>
  </si>
  <si>
    <t>Color</t>
  </si>
  <si>
    <t>Size Range</t>
  </si>
  <si>
    <t>SIZE DISTRIBUTION (pcs per size)</t>
  </si>
  <si>
    <t>Total Qty</t>
  </si>
  <si>
    <t>WEIGHT (kg)</t>
  </si>
  <si>
    <t>DIMENSIONS (cm)</t>
  </si>
  <si>
    <t>CBM</t>
  </si>
  <si>
    <t>Remarks</t>
  </si>
  <si>
    <t>Net</t>
  </si>
  <si>
    <t>Gross</t>
  </si>
  <si>
    <t>Carton</t>
  </si>
  <si>
    <t>W</t>
  </si>
  <si>
    <t>H</t>
  </si>
  <si>
    <t>37-40 Mix</t>
  </si>
  <si>
    <t>Std</t>
  </si>
  <si>
    <t>40-42 Mix</t>
  </si>
  <si>
    <t>42-44 Mix</t>
  </si>
  <si>
    <t>44-46+L Mix</t>
  </si>
  <si>
    <t>39-42 Mix</t>
  </si>
  <si>
    <t>TOTAL (10 CARTONS SAMPLE)</t>
  </si>
  <si>
    <t>PACKING SUMMARY</t>
  </si>
  <si>
    <t>Style / Form Name</t>
  </si>
  <si>
    <t>Total Ordered</t>
  </si>
  <si>
    <t>Packed (Sample)</t>
  </si>
  <si>
    <t>Remaining</t>
  </si>
  <si>
    <t>Cartons Used</t>
  </si>
  <si>
    <t>Total Net (kg)</t>
  </si>
  <si>
    <t>Total Gross (kg)</t>
  </si>
  <si>
    <t>Total CBM</t>
  </si>
  <si>
    <t>Completion</t>
  </si>
  <si>
    <t>50473265 / H-JOE-kent-C1-214</t>
  </si>
  <si>
    <t>This packing list is generated automatically from PO_MASTER. Sizes columns are dynamically populated based on PO requirements. Sample shows first 10 cartons.</t>
  </si>
  <si>
    <t>Prepared by: _______________</t>
  </si>
  <si>
    <t>Checked by: _______________</t>
  </si>
  <si>
    <t>Quality: _______________</t>
  </si>
  <si>
    <t>Factory Sign: _______________</t>
  </si>
  <si>
    <t>Date: ___/___/2026</t>
  </si>
  <si>
    <t>CARTON ALLOCATION — Automatic Distribution Engine</t>
  </si>
  <si>
    <t>Automatically distributes garments into cartons maintaining size distribution</t>
  </si>
  <si>
    <t>ALGORITHM CONFIGURATION</t>
  </si>
  <si>
    <t>Carton Capacity (pcs):</t>
  </si>
  <si>
    <t>(Options: 10, 12, 14, 15, 18, 20)</t>
  </si>
  <si>
    <t>Default Weight (g/pc):</t>
  </si>
  <si>
    <t>grams per piece</t>
  </si>
  <si>
    <t>Carton Tare (g):</t>
  </si>
  <si>
    <t>empty carton weight</t>
  </si>
  <si>
    <t>Tolerance (%):</t>
  </si>
  <si>
    <t>accepted variance %</t>
  </si>
  <si>
    <t>ALGORITHM: FullCartons = INT(Qty / Capacity)  •  Remainder = MOD(Qty, Capacity)  •  Total = FullCartons + (Remainder &gt; 0 ? 1 : 0)</t>
  </si>
  <si>
    <t>ALLOCATION TABLE — Live from PO_MASTER (each PO Color+Size)</t>
  </si>
  <si>
    <t>PO#</t>
  </si>
  <si>
    <t>Ordered</t>
  </si>
  <si>
    <t>Capacity</t>
  </si>
  <si>
    <t>Full Ctns</t>
  </si>
  <si>
    <t>Remainder</t>
  </si>
  <si>
    <t>Total Ctns</t>
  </si>
  <si>
    <t>Last Ctn Pcs</t>
  </si>
  <si>
    <t>Efficiency %</t>
  </si>
  <si>
    <t>Distribution</t>
  </si>
  <si>
    <t>Ctn 1</t>
  </si>
  <si>
    <t>Ctn 2</t>
  </si>
  <si>
    <t>Ctn 3</t>
  </si>
  <si>
    <t>Ctn 4</t>
  </si>
  <si>
    <t>Ctn 5+</t>
  </si>
  <si>
    <t>CLASSIC EXAMPLE  •  113 pcs ÷ 14 pcs/carton</t>
  </si>
  <si>
    <t>Input Qty</t>
  </si>
  <si>
    <t>Formula: INT(113/14)</t>
  </si>
  <si>
    <t>Full Cartons</t>
  </si>
  <si>
    <t>Formula: MOD(113,14)</t>
  </si>
  <si>
    <t>Total Cartons</t>
  </si>
  <si>
    <t>INT(113/14)</t>
  </si>
  <si>
    <t>MOD(113,14)</t>
  </si>
  <si>
    <t>OUTPUT DISTRIBUTION:</t>
  </si>
  <si>
    <t>14  |  14  |  14  |  14  |  14  |  14  |  14  |  14  |  1</t>
  </si>
  <si>
    <t>8 full cartons of 14 pcs + 1 partial carton of 1 pc = 9 total cartons</t>
  </si>
  <si>
    <t>Ctn 5</t>
  </si>
  <si>
    <t>Ctn 6</t>
  </si>
  <si>
    <t>Ctn 7</t>
  </si>
  <si>
    <t>Ctn 8</t>
  </si>
  <si>
    <t>Ctn 9</t>
  </si>
  <si>
    <t>CAPACITY COMPARISON — Effect on Total Cartons</t>
  </si>
  <si>
    <t>Sample Qty</t>
  </si>
  <si>
    <t>Cap=10</t>
  </si>
  <si>
    <t>Cap=12</t>
  </si>
  <si>
    <t>Cap=14</t>
  </si>
  <si>
    <t>Cap=15</t>
  </si>
  <si>
    <t>Cap=18</t>
  </si>
  <si>
    <t>Cap=20</t>
  </si>
  <si>
    <t>Best Cap</t>
  </si>
  <si>
    <t>Best Total</t>
  </si>
  <si>
    <t>Notes</t>
  </si>
  <si>
    <t>Classic 113 example</t>
  </si>
  <si>
    <t>Style 001 Sz40</t>
  </si>
  <si>
    <t>Style 001 Sz46</t>
  </si>
  <si>
    <t>Style 118 Sz S</t>
  </si>
  <si>
    <t>Style 100 Sz40 max</t>
  </si>
  <si>
    <t>Style 923 Sz L</t>
  </si>
  <si>
    <t>The engine automatically tests all capacity options and highlights the most efficient distribution.</t>
  </si>
  <si>
    <t>ALLOCATION SUMMARY (from live table above)</t>
  </si>
  <si>
    <t>Sample Rows</t>
  </si>
  <si>
    <t>Avg Efficiency</t>
  </si>
  <si>
    <t>Est. Total Cartons for All POs</t>
  </si>
  <si>
    <t>CUT SHEET — Production vs Packing Comparison</t>
  </si>
  <si>
    <t>Track cutting, packing, and balance for each PO Color+Size line</t>
  </si>
  <si>
    <t>Total Cut</t>
  </si>
  <si>
    <t>Total Packed</t>
  </si>
  <si>
    <t>Balance</t>
  </si>
  <si>
    <t>Overall %</t>
  </si>
  <si>
    <t>Lines Complete</t>
  </si>
  <si>
    <t>Order Qty</t>
  </si>
  <si>
    <t>Cut Qty</t>
  </si>
  <si>
    <t>Packed Qty</t>
  </si>
  <si>
    <t>Difference</t>
  </si>
  <si>
    <t>%</t>
  </si>
  <si>
    <t>STATUS LEGEND</t>
  </si>
  <si>
    <t>Over Packed</t>
  </si>
  <si>
    <t>Complete</t>
  </si>
  <si>
    <t>Near Complete (&gt;98%)</t>
  </si>
  <si>
    <t>Under Packed</t>
  </si>
  <si>
    <t>Highlights help identify production gaps at a glance</t>
  </si>
  <si>
    <t>MASTER DATA — Lookup Tables &amp; Reference Lists</t>
  </si>
  <si>
    <t>All lookups used by PO Master, Packing List, Carton Allocation. Editable by user.</t>
  </si>
  <si>
    <t>COLORS</t>
  </si>
  <si>
    <t>Code</t>
  </si>
  <si>
    <t>Description</t>
  </si>
  <si>
    <t>Family</t>
  </si>
  <si>
    <t>Dark</t>
  </si>
  <si>
    <t>Light</t>
  </si>
  <si>
    <t>Neutral</t>
  </si>
  <si>
    <t>Grey Melange</t>
  </si>
  <si>
    <t>Navy</t>
  </si>
  <si>
    <t>SIZES</t>
  </si>
  <si>
    <t>Type</t>
  </si>
  <si>
    <t>Sort Order</t>
  </si>
  <si>
    <t>Numeric</t>
  </si>
  <si>
    <t>Numeric-Long</t>
  </si>
  <si>
    <t>XS</t>
  </si>
  <si>
    <t>Alpha</t>
  </si>
  <si>
    <t>4XL</t>
  </si>
  <si>
    <t>5XL</t>
  </si>
  <si>
    <t>STYLE MASTER</t>
  </si>
  <si>
    <t>Category</t>
  </si>
  <si>
    <t>Men Shirt</t>
  </si>
  <si>
    <t>H-Rikki-Fit</t>
  </si>
  <si>
    <t>P-JASON-BD</t>
  </si>
  <si>
    <t>H-EDDIE-Slim</t>
  </si>
  <si>
    <t>Men Trouser</t>
  </si>
  <si>
    <t>WEIGHT MASTER (grams)</t>
  </si>
  <si>
    <t>Net Wt/pc</t>
  </si>
  <si>
    <t>Carton Wt</t>
  </si>
  <si>
    <t>Pcs/Carton</t>
  </si>
  <si>
    <t>DEFAULT</t>
  </si>
  <si>
    <t>CARTON SIZES (cm)</t>
  </si>
  <si>
    <t>Length</t>
  </si>
  <si>
    <t>Width</t>
  </si>
  <si>
    <t>Height</t>
  </si>
  <si>
    <t>Small</t>
  </si>
  <si>
    <t>Medium</t>
  </si>
  <si>
    <t>Large</t>
  </si>
  <si>
    <t>Custom</t>
  </si>
  <si>
    <t>DESTINATIONS</t>
  </si>
  <si>
    <t>Country</t>
  </si>
  <si>
    <t>Port</t>
  </si>
  <si>
    <t>DC_FIL</t>
  </si>
  <si>
    <t>DC FPG Filderstadt</t>
  </si>
  <si>
    <t>Germany</t>
  </si>
  <si>
    <t>Hamburg</t>
  </si>
  <si>
    <t>DC_SAV</t>
  </si>
  <si>
    <t>DC Savannah GA</t>
  </si>
  <si>
    <t>USA</t>
  </si>
  <si>
    <t>Savannah</t>
  </si>
  <si>
    <t>DC_COL</t>
  </si>
  <si>
    <t>DC Coldrerio</t>
  </si>
  <si>
    <t>Switzerland</t>
  </si>
  <si>
    <t>Basel</t>
  </si>
  <si>
    <t>DC_MET</t>
  </si>
  <si>
    <t>DC Metzingen</t>
  </si>
  <si>
    <t>DC_TOK</t>
  </si>
  <si>
    <t>DC Tokyo</t>
  </si>
  <si>
    <t>Japan</t>
  </si>
  <si>
    <t>Tokyo</t>
  </si>
  <si>
    <t>FACTORIES</t>
  </si>
  <si>
    <t>Vendor No</t>
  </si>
  <si>
    <t>Name</t>
  </si>
  <si>
    <t>City</t>
  </si>
  <si>
    <t>Kanakapura</t>
  </si>
  <si>
    <t>India</t>
  </si>
  <si>
    <t>ORIENT CRAFT LTD</t>
  </si>
  <si>
    <t>Gurgaon</t>
  </si>
  <si>
    <t>MATRIX CLOTHING</t>
  </si>
  <si>
    <t>Chennai</t>
  </si>
  <si>
    <t>SHAHI EXPORTS</t>
  </si>
  <si>
    <t>Bangalore</t>
  </si>
  <si>
    <t>SHIPMENT TYPES</t>
  </si>
  <si>
    <t>SCC</t>
  </si>
  <si>
    <t>Sea freight</t>
  </si>
  <si>
    <t>AIR</t>
  </si>
  <si>
    <t>Air freight</t>
  </si>
  <si>
    <t>LCL</t>
  </si>
  <si>
    <t>Less than container</t>
  </si>
  <si>
    <t>FCL</t>
  </si>
  <si>
    <t>Full container</t>
  </si>
  <si>
    <t>UNITS</t>
  </si>
  <si>
    <t>PC</t>
  </si>
  <si>
    <t>Pieces</t>
  </si>
  <si>
    <t>CTN</t>
  </si>
  <si>
    <t>Cartons</t>
  </si>
  <si>
    <t>KG</t>
  </si>
  <si>
    <t>Kilograms</t>
  </si>
  <si>
    <t>COUNTRIES</t>
  </si>
  <si>
    <t>IN</t>
  </si>
  <si>
    <t>DE</t>
  </si>
  <si>
    <t>US</t>
  </si>
  <si>
    <t>United States</t>
  </si>
  <si>
    <t>CH</t>
  </si>
  <si>
    <t>JP</t>
  </si>
  <si>
    <t>SETTINGS — Workbook Configuration</t>
  </si>
  <si>
    <t>User configurable parameters. Yellow cells are editable input fields.</t>
  </si>
  <si>
    <t>GENERAL SETTINGS</t>
  </si>
  <si>
    <t>Setting</t>
  </si>
  <si>
    <t>Value</t>
  </si>
  <si>
    <t>Carton Capacity (pcs)</t>
  </si>
  <si>
    <t>Default pieces per carton (options: 10,12,14,15,18,20)</t>
  </si>
  <si>
    <t>Default Net Weight (g/pc)</t>
  </si>
  <si>
    <t>Applied when style not in Weight Master</t>
  </si>
  <si>
    <t>Default Carton Weight (g)</t>
  </si>
  <si>
    <t>Empty carton tare weight</t>
  </si>
  <si>
    <t>Tolerance (%)</t>
  </si>
  <si>
    <t>Acceptable variance packed vs ordered</t>
  </si>
  <si>
    <t>Print Area</t>
  </si>
  <si>
    <t>A1:AZ100</t>
  </si>
  <si>
    <t>Range printed by Export PDF</t>
  </si>
  <si>
    <t>Export Folder</t>
  </si>
  <si>
    <t>C:\HugoBoss\Exports</t>
  </si>
  <si>
    <t>Save location for exports</t>
  </si>
  <si>
    <t>Auto Save (min)</t>
  </si>
  <si>
    <t>Auto-save interval</t>
  </si>
  <si>
    <t>Sheet Protection Pwd</t>
  </si>
  <si>
    <t>hb2026</t>
  </si>
  <si>
    <t>Password locks Master/Settings/Dashboard</t>
  </si>
  <si>
    <t>Company Logo</t>
  </si>
  <si>
    <t>Header logo text</t>
  </si>
  <si>
    <t>PACKING LIST DEFAULTS</t>
  </si>
  <si>
    <t>Field</t>
  </si>
  <si>
    <t>Default Shipment</t>
  </si>
  <si>
    <t>Applied on new packing list</t>
  </si>
  <si>
    <t>Default Terms of Delivery</t>
  </si>
  <si>
    <t>FOB IN_MAA</t>
  </si>
  <si>
    <t>Standard delivery terms</t>
  </si>
  <si>
    <t>Default Payment</t>
  </si>
  <si>
    <t>100 days due net</t>
  </si>
  <si>
    <t>Standard payment terms</t>
  </si>
  <si>
    <t>Default Currency</t>
  </si>
  <si>
    <t>Standard currency</t>
  </si>
  <si>
    <t>PL Prefix</t>
  </si>
  <si>
    <t>PL-</t>
  </si>
  <si>
    <t>Auto-generated packing list number prefix</t>
  </si>
  <si>
    <t>Invoice Prefix</t>
  </si>
  <si>
    <t>INV-</t>
  </si>
  <si>
    <t>Auto-generated invoice number prefix</t>
  </si>
  <si>
    <t>SYSTEM INFO</t>
  </si>
  <si>
    <t>Property</t>
  </si>
  <si>
    <t>Note</t>
  </si>
  <si>
    <t>Workbook Version</t>
  </si>
  <si>
    <t>Current version</t>
  </si>
  <si>
    <t>Build Date</t>
  </si>
  <si>
    <t>02.07.2026</t>
  </si>
  <si>
    <t>Release build date</t>
  </si>
  <si>
    <t>Author</t>
  </si>
  <si>
    <t>Hugo Boss Packing Team</t>
  </si>
  <si>
    <t>Owner</t>
  </si>
  <si>
    <t>License</t>
  </si>
  <si>
    <t>Internal Use Only</t>
  </si>
  <si>
    <t>Licence</t>
  </si>
  <si>
    <t>Support Email</t>
  </si>
  <si>
    <t>packing@hugoboss.com</t>
  </si>
  <si>
    <t>Contact</t>
  </si>
  <si>
    <t>Last Backup</t>
  </si>
  <si>
    <t>Latest backup date</t>
  </si>
  <si>
    <t>HUGO BOSS — EXECUTIVE DASHBOARD</t>
  </si>
  <si>
    <t>Packing Progress · KPI Overview · Analytical Charts   |   Data refreshed 02.07.2026</t>
  </si>
  <si>
    <t>TOTAL POs</t>
  </si>
  <si>
    <t>TOTAL ORDERED (pcs)</t>
  </si>
  <si>
    <t>PACKED (pcs)</t>
  </si>
  <si>
    <t>REMAINING (pcs)</t>
  </si>
  <si>
    <t>TOTAL NET WEIGHT (kg)</t>
  </si>
  <si>
    <t>TOTAL GROSS WEIGHT (kg)</t>
  </si>
  <si>
    <t>TOTAL CBM (m³)</t>
  </si>
  <si>
    <t>AVG COMPLETION / LINE</t>
  </si>
  <si>
    <t>AGGREGATION TABLES (Chart Source Data)</t>
  </si>
  <si>
    <t>Packed by Color</t>
  </si>
  <si>
    <t>Packed by Style</t>
  </si>
  <si>
    <t>Packed by Size</t>
  </si>
  <si>
    <t>Packed by PO</t>
  </si>
  <si>
    <t>Ordered vs Remaining</t>
  </si>
  <si>
    <t>PO</t>
  </si>
  <si>
    <t>Packed</t>
  </si>
  <si>
    <t>001 Black</t>
  </si>
  <si>
    <t>100 White</t>
  </si>
  <si>
    <t>118 Open White</t>
  </si>
  <si>
    <t>404 Dark Blue</t>
  </si>
  <si>
    <t>452 Light Blue</t>
  </si>
  <si>
    <t>923 Beige</t>
  </si>
  <si>
    <t>Daily Progress (Simulated)</t>
  </si>
  <si>
    <t>Date</t>
  </si>
  <si>
    <t>Cumulative Packed</t>
  </si>
  <si>
    <t>Daily Delta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</si>
  <si>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</si>
  <si>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</si>
  <si>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</si>
  <si>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</si>
  <si>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</si>
  <si>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</si>
  <si>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</si>
  <si>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ANALYTICAL CHARTS</t>
  </si>
  <si>
    <t>© 2026 Hugo Boss Packing List System  •  Data sources: PO_MASTER, CUT_SHEET, CARTON_ALLOCATION</t>
  </si>
  <si>
    <t>EXPORT CENTER — Deliverables Staging</t>
  </si>
  <si>
    <t>Generate print-ready, PDF, macro-free XLSX, or email packages from the current packing list</t>
  </si>
  <si>
    <t>CURRENT JOB</t>
  </si>
  <si>
    <t>Job Name:</t>
  </si>
  <si>
    <t>HugoBoss_PO_4901873568_PackingList</t>
  </si>
  <si>
    <t>Cartons:</t>
  </si>
  <si>
    <t>Total Qty:</t>
  </si>
  <si>
    <t>Net Weight:</t>
  </si>
  <si>
    <t>CBM:</t>
  </si>
  <si>
    <t>DC FPG Filderstadt, Germany</t>
  </si>
  <si>
    <t>EXPORT OPTIONS</t>
  </si>
  <si>
    <t>Format</t>
  </si>
  <si>
    <t>Output Filename</t>
  </si>
  <si>
    <t>Content Included</t>
  </si>
  <si>
    <t>File Size (est)</t>
  </si>
  <si>
    <t>Action</t>
  </si>
  <si>
    <t>🖨  Print (A4 Landscape)</t>
  </si>
  <si>
    <t>PackingList_PO4901873568_Print.pdf</t>
  </si>
  <si>
    <t>Packing List + Summary</t>
  </si>
  <si>
    <t>~180 KB</t>
  </si>
  <si>
    <t>Ready</t>
  </si>
  <si>
    <t>Generate</t>
  </si>
  <si>
    <t>📄  PDF (Multi-page)</t>
  </si>
  <si>
    <t>PackingList_PO4901873568.pdf</t>
  </si>
  <si>
    <t>All Sheets + Charts</t>
  </si>
  <si>
    <t>~1.2 MB</t>
  </si>
  <si>
    <t>💾  Macro-free XLSX</t>
  </si>
  <si>
    <t>PackingList_PO4901873568.xlsx</t>
  </si>
  <si>
    <t>Packing/Summary/Dashboard (values only)</t>
  </si>
  <si>
    <t>~380 KB</t>
  </si>
  <si>
    <t>📧  Email Package</t>
  </si>
  <si>
    <t>PackingList_PO4901873568_Email.zip</t>
  </si>
  <si>
    <t>PDF + XLSX + Cover letter</t>
  </si>
  <si>
    <t>~1.6 MB</t>
  </si>
  <si>
    <t>Prepare</t>
  </si>
  <si>
    <t>📊  Dashboard Snapshot</t>
  </si>
  <si>
    <t>Dashboard_02072026.pdf</t>
  </si>
  <si>
    <t>Dashboard KPIs + Charts</t>
  </si>
  <si>
    <t>~450 KB</t>
  </si>
  <si>
    <t>🗂  Full Archive</t>
  </si>
  <si>
    <t>HugoBoss_PackingSystem_Archive.zip</t>
  </si>
  <si>
    <t>Complete workbook + all exports</t>
  </si>
  <si>
    <t>~4.8 MB</t>
  </si>
  <si>
    <t>Archive</t>
  </si>
  <si>
    <t>EXPORT SETTINGS</t>
  </si>
  <si>
    <t>Export Folder:</t>
  </si>
  <si>
    <t>(Change in SETTINGS)</t>
  </si>
  <si>
    <t>Print Area:</t>
  </si>
  <si>
    <t>A4 Landscape · Fit to page</t>
  </si>
  <si>
    <t>PDF Quality:</t>
  </si>
  <si>
    <t>High (300 DPI)</t>
  </si>
  <si>
    <t>Include Charts:</t>
  </si>
  <si>
    <t>Yes</t>
  </si>
  <si>
    <t>Password Protect:</t>
  </si>
  <si>
    <t>No</t>
  </si>
  <si>
    <t>Compress Images:</t>
  </si>
  <si>
    <t>Auto</t>
  </si>
  <si>
    <t>EXPORT LOG</t>
  </si>
  <si>
    <t>Timestamp</t>
  </si>
  <si>
    <t>File</t>
  </si>
  <si>
    <t>Duration</t>
  </si>
  <si>
    <t>User</t>
  </si>
  <si>
    <t>02.07.2026 14:32:11</t>
  </si>
  <si>
    <t>PDF</t>
  </si>
  <si>
    <t>1.2 MB</t>
  </si>
  <si>
    <t>1.4s</t>
  </si>
  <si>
    <t>✓ Success</t>
  </si>
  <si>
    <t>02.07.2026 14:33:05</t>
  </si>
  <si>
    <t>XLSX</t>
  </si>
  <si>
    <t>380 KB</t>
  </si>
  <si>
    <t>0.8s</t>
  </si>
  <si>
    <t>02.07.2026 14:35:22</t>
  </si>
  <si>
    <t>450 KB</t>
  </si>
  <si>
    <t>1.1s</t>
  </si>
  <si>
    <t>02.07.2026 15:01:47</t>
  </si>
  <si>
    <t>PackingList_PO4901893255.pdf</t>
  </si>
  <si>
    <t>720 KB</t>
  </si>
  <si>
    <t>1.2s</t>
  </si>
  <si>
    <t>QUICK ACCESS — Related Sheets</t>
  </si>
  <si>
    <t>Sheet</t>
  </si>
  <si>
    <t>Purpose</t>
  </si>
  <si>
    <t>Ready to Export</t>
  </si>
  <si>
    <t>Rows</t>
  </si>
  <si>
    <t>PACKING_LIST</t>
  </si>
  <si>
    <t>✓ Yes</t>
  </si>
  <si>
    <t>DASHBOARD</t>
  </si>
  <si>
    <t>CUT_SHEET</t>
  </si>
  <si>
    <t>Production comparison</t>
  </si>
  <si>
    <t>CARTON_ALLOCATION</t>
  </si>
  <si>
    <t>Allocation report</t>
  </si>
  <si>
    <t>PO_MASTER</t>
  </si>
  <si>
    <t>Full PO database</t>
  </si>
  <si>
    <t>⚠  Export operations require macros enabled. Filename convention: PackingList_POxxxx.[format]  •  All exports are logged.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</si>
</sst>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000"/>
    <numFmt numFmtId="181" formatCode="_(* #,##0_);_(* \(#,##0\);_(* &quot;-&quot;_);_(@_)"/>
    <numFmt numFmtId="182" formatCode="[$-409]dd/mmm/yy;@"/>
    <numFmt numFmtId="183" formatCode="0.000"/>
    <numFmt numFmtId="184" formatCode="#,##0.000"/>
    <numFmt numFmtId="185" formatCode="000"/>
    <numFmt numFmtId="186" formatCode="0.0000"/>
    <numFmt numFmtId="187" formatCode="0.0%"/>
    <numFmt numFmtId="188" formatCode="0;;\-"/>
    <numFmt numFmtId="189" formatCode="0;\-0;\-"/>
  </numFmts>
  <fonts count="77">
    <font>
      <sz val="11"/>
      <color theme="1"/>
      <name val="Calibri"/>
      <charset val="134"/>
      <scheme val="minor"/>
    </font>
    <font>
      <b/>
      <sz val="18"/>
      <color rgb="FFFFFFFF"/>
      <name val="Arial"/>
      <charset val="134"/>
    </font>
    <font>
      <i/>
      <sz val="11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b/>
      <sz val="11"/>
      <color rgb="FFC0392B"/>
      <name val="Arial"/>
      <charset val="134"/>
    </font>
    <font>
      <i/>
      <sz val="10"/>
      <color rgb="FF2C3E50"/>
      <name val="Arial"/>
      <charset val="134"/>
    </font>
    <font>
      <b/>
      <sz val="10"/>
      <color rgb="FF2C3E50"/>
      <name val="Arial"/>
      <charset val="134"/>
    </font>
    <font>
      <b/>
      <sz val="10"/>
      <color rgb="FFC0392B"/>
      <name val="Arial"/>
      <charset val="134"/>
    </font>
    <font>
      <b/>
      <sz val="12"/>
      <color rgb="FFFFFFFF"/>
      <name val="Arial"/>
      <charset val="134"/>
    </font>
    <font>
      <b/>
      <sz val="11"/>
      <color rgb="FF2C3E50"/>
      <name val="Arial"/>
      <charset val="134"/>
    </font>
    <font>
      <i/>
      <sz val="10"/>
      <color rgb="FFC0392B"/>
      <name val="Consolas"/>
      <charset val="134"/>
    </font>
    <font>
      <sz val="9"/>
      <color rgb="FF7F8C8D"/>
      <name val="Arial"/>
      <charset val="134"/>
    </font>
    <font>
      <b/>
      <sz val="10"/>
      <color rgb="FF2C3E50"/>
      <name val="Consolas"/>
      <charset val="134"/>
    </font>
    <font>
      <i/>
      <sz val="9"/>
      <color rgb="FF7F8C8D"/>
      <name val="Arial"/>
      <charset val="134"/>
    </font>
    <font>
      <b/>
      <sz val="11"/>
      <color rgb="FF16A085"/>
      <name val="Arial"/>
      <charset val="134"/>
    </font>
    <font>
      <sz val="9"/>
      <color rgb="FF7F8C8D"/>
      <name val="Consolas"/>
      <charset val="134"/>
    </font>
    <font>
      <sz val="9"/>
      <color rgb="FFC0392B"/>
      <name val="Consolas"/>
      <charset val="134"/>
    </font>
    <font>
      <sz val="9"/>
      <color rgb="FF2C3E50"/>
      <name val="Arial"/>
      <charset val="134"/>
    </font>
    <font>
      <b/>
      <sz val="9"/>
      <color rgb="FF16A085"/>
      <name val="Arial"/>
      <charset val="134"/>
    </font>
    <font>
      <sz val="10"/>
      <color rgb="FF2C3E50"/>
      <name val="Arial"/>
      <charset val="134"/>
    </font>
    <font>
      <b/>
      <sz val="10"/>
      <color rgb="FF16A085"/>
      <name val="Arial"/>
      <charset val="134"/>
    </font>
    <font>
      <b/>
      <sz val="22"/>
      <color rgb="FFFFFFFF"/>
      <name val="Arial"/>
      <charset val="134"/>
    </font>
    <font>
      <b/>
      <sz val="9"/>
      <color rgb="FFFFFFFF"/>
      <name val="Arial"/>
      <charset val="134"/>
    </font>
    <font>
      <b/>
      <sz val="22"/>
      <color rgb="FF2C3E50"/>
      <name val="Arial"/>
      <charset val="134"/>
    </font>
    <font>
      <b/>
      <sz val="22"/>
      <color rgb="FF16A085"/>
      <name val="Arial"/>
      <charset val="134"/>
    </font>
    <font>
      <b/>
      <sz val="22"/>
      <color rgb="FFC0392B"/>
      <name val="Arial"/>
      <charset val="134"/>
    </font>
    <font>
      <b/>
      <sz val="22"/>
      <color rgb="FF8E44AD"/>
      <name val="Arial"/>
      <charset val="134"/>
    </font>
    <font>
      <b/>
      <sz val="16"/>
      <color rgb="FF2C3E50"/>
      <name val="Arial"/>
      <charset val="134"/>
    </font>
    <font>
      <sz val="10"/>
      <name val="Arial"/>
      <charset val="134"/>
    </font>
    <font>
      <b/>
      <sz val="16"/>
      <color rgb="FFFFFFFF"/>
      <name val="Arial"/>
      <charset val="134"/>
    </font>
    <font>
      <i/>
      <sz val="10"/>
      <color rgb="FFFFFFFF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rgb="FFFFFFFF"/>
      <name val="Calibri"/>
      <charset val="134"/>
      <scheme val="minor"/>
    </font>
    <font>
      <sz val="11"/>
      <name val="Calibri"/>
      <charset val="134"/>
      <scheme val="minor"/>
    </font>
    <font>
      <b/>
      <sz val="16"/>
      <color rgb="FF16A085"/>
      <name val="Arial"/>
      <charset val="134"/>
    </font>
    <font>
      <b/>
      <sz val="16"/>
      <color rgb="FFC0392B"/>
      <name val="Arial"/>
      <charset val="134"/>
    </font>
    <font>
      <b/>
      <sz val="10"/>
      <name val="Arial"/>
      <charset val="134"/>
    </font>
    <font>
      <sz val="9"/>
      <color rgb="FFFFFFFF"/>
      <name val="Arial"/>
      <charset val="134"/>
    </font>
    <font>
      <b/>
      <sz val="14"/>
      <color rgb="FFC0392B"/>
      <name val="Arial"/>
      <charset val="134"/>
    </font>
    <font>
      <b/>
      <sz val="12"/>
      <color rgb="FF2C3E50"/>
      <name val="Arial"/>
      <charset val="134"/>
    </font>
    <font>
      <b/>
      <i/>
      <sz val="10"/>
      <color rgb="FF2C3E50"/>
      <name val="Arial"/>
      <charset val="134"/>
    </font>
    <font>
      <b/>
      <sz val="14"/>
      <color rgb="FFFFFFFF"/>
      <name val="Arial"/>
      <charset val="134"/>
    </font>
    <font>
      <b/>
      <sz val="14"/>
      <color rgb="FF2C3E50"/>
      <name val="Arial"/>
      <charset val="134"/>
    </font>
    <font>
      <i/>
      <sz val="10"/>
      <color rgb="FF7F8C8D"/>
      <name val="Arial"/>
      <charset val="134"/>
    </font>
    <font>
      <b/>
      <sz val="14"/>
      <color rgb="FF16A085"/>
      <name val="Arial"/>
      <charset val="134"/>
    </font>
    <font>
      <b/>
      <sz val="24"/>
      <color rgb="FFFFFFFF"/>
      <name val="Arial"/>
      <charset val="134"/>
    </font>
    <font>
      <i/>
      <sz val="10"/>
      <name val="Arial"/>
      <charset val="134"/>
    </font>
    <font>
      <b/>
      <sz val="32"/>
      <color rgb="FFFFFFFF"/>
      <name val="Arial"/>
      <charset val="134"/>
    </font>
    <font>
      <sz val="12"/>
      <color rgb="FFFFFFFF"/>
      <name val="Arial"/>
      <charset val="134"/>
    </font>
    <font>
      <b/>
      <sz val="20"/>
      <color rgb="FF2C3E50"/>
      <name val="Arial"/>
      <charset val="134"/>
    </font>
    <font>
      <b/>
      <sz val="20"/>
      <color rgb="FF27AE60"/>
      <name val="Arial"/>
      <charset val="134"/>
    </font>
    <font>
      <sz val="11"/>
      <color rgb="FF7F8C8D"/>
      <name val="Arial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Century Gothic"/>
      <charset val="134"/>
    </font>
    <font>
      <sz val="11"/>
      <name val="돋움"/>
      <charset val="134"/>
    </font>
    <font>
      <sz val="8"/>
      <color rgb="FF1F497D"/>
      <name val="Verdana"/>
      <charset val="134"/>
    </font>
  </fonts>
  <fills count="4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1C40F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C0392B"/>
      </top>
      <bottom style="thin">
        <color rgb="FFC0392B"/>
      </bottom>
      <diagonal/>
    </border>
    <border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C0392B"/>
      </top>
      <bottom/>
      <diagonal/>
    </border>
    <border>
      <left/>
      <right/>
      <top/>
      <bottom style="medium">
        <color rgb="FFC0392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0.6"/>
      </left>
      <right style="thin">
        <color theme="3" tint="0.6"/>
      </right>
      <top style="thin">
        <color theme="3" tint="0.6"/>
      </top>
      <bottom style="thin">
        <color theme="3" tint="0.6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1" fillId="0" borderId="11" applyNumberFormat="0" applyFill="0" applyAlignment="0" applyProtection="0">
      <alignment vertical="center"/>
    </xf>
    <xf numFmtId="0" fontId="62" fillId="0" borderId="12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18" borderId="13" applyNumberFormat="0" applyAlignment="0" applyProtection="0">
      <alignment vertical="center"/>
    </xf>
    <xf numFmtId="0" fontId="64" fillId="19" borderId="14" applyNumberFormat="0" applyAlignment="0" applyProtection="0">
      <alignment vertical="center"/>
    </xf>
    <xf numFmtId="0" fontId="65" fillId="19" borderId="13" applyNumberFormat="0" applyAlignment="0" applyProtection="0">
      <alignment vertical="center"/>
    </xf>
    <xf numFmtId="0" fontId="66" fillId="20" borderId="15" applyNumberFormat="0" applyAlignment="0" applyProtection="0">
      <alignment vertical="center"/>
    </xf>
    <xf numFmtId="0" fontId="67" fillId="0" borderId="16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3" fillId="29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3" fillId="3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73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4" fillId="0" borderId="0"/>
    <xf numFmtId="0" fontId="74" fillId="0" borderId="0"/>
    <xf numFmtId="0" fontId="29" fillId="0" borderId="0"/>
    <xf numFmtId="0" fontId="74" fillId="0" borderId="0"/>
    <xf numFmtId="0" fontId="0" fillId="0" borderId="0"/>
    <xf numFmtId="0" fontId="75" fillId="0" borderId="0"/>
    <xf numFmtId="0" fontId="0" fillId="0" borderId="0"/>
    <xf numFmtId="0" fontId="74" fillId="0" borderId="0"/>
    <xf numFmtId="0" fontId="29" fillId="0" borderId="0"/>
    <xf numFmtId="9" fontId="54" fillId="0" borderId="0" applyFont="0" applyFill="0" applyBorder="0" applyAlignment="0" applyProtection="0"/>
    <xf numFmtId="180" fontId="76" fillId="0" borderId="18" applyNumberFormat="0" applyProtection="0">
      <alignment horizontal="right" vertical="center"/>
    </xf>
    <xf numFmtId="0" fontId="33" fillId="0" borderId="0">
      <alignment vertical="top"/>
    </xf>
    <xf numFmtId="181" fontId="29" fillId="0" borderId="0" applyFont="0" applyFill="0" applyBorder="0" applyAlignment="0" applyProtection="0"/>
    <xf numFmtId="0" fontId="29" fillId="0" borderId="0"/>
    <xf numFmtId="0" fontId="29" fillId="0" borderId="0"/>
    <xf numFmtId="182" fontId="0" fillId="0" borderId="0"/>
    <xf numFmtId="0" fontId="33" fillId="0" borderId="0">
      <alignment vertical="top"/>
    </xf>
  </cellStyleXfs>
  <cellXfs count="200">
    <xf numFmtId="0" fontId="0" fillId="0" borderId="0" xfId="55"/>
    <xf numFmtId="0" fontId="1" fillId="2" borderId="0" xfId="55" applyFont="1" applyFill="1" applyAlignment="1">
      <alignment horizontal="center" vertical="center"/>
    </xf>
    <xf numFmtId="0" fontId="2" fillId="3" borderId="0" xfId="55" applyFont="1" applyFill="1" applyAlignment="1">
      <alignment horizontal="center" vertical="center"/>
    </xf>
    <xf numFmtId="0" fontId="3" fillId="4" borderId="0" xfId="55" applyFont="1" applyFill="1" applyAlignment="1">
      <alignment horizontal="center" vertical="center"/>
    </xf>
    <xf numFmtId="0" fontId="4" fillId="5" borderId="0" xfId="55" applyFont="1" applyFill="1" applyAlignment="1">
      <alignment horizontal="right" vertical="center"/>
    </xf>
    <xf numFmtId="0" fontId="5" fillId="6" borderId="0" xfId="55" applyFont="1" applyFill="1" applyAlignment="1">
      <alignment horizontal="left" vertical="center"/>
    </xf>
    <xf numFmtId="0" fontId="6" fillId="6" borderId="0" xfId="55" applyFont="1" applyFill="1" applyAlignment="1">
      <alignment horizontal="center" vertical="center"/>
    </xf>
    <xf numFmtId="0" fontId="7" fillId="6" borderId="0" xfId="55" applyFont="1" applyFill="1" applyAlignment="1">
      <alignment horizontal="left" vertical="center"/>
    </xf>
    <xf numFmtId="3" fontId="7" fillId="6" borderId="0" xfId="55" applyNumberFormat="1" applyFont="1" applyFill="1" applyAlignment="1">
      <alignment horizontal="center" vertical="center"/>
    </xf>
    <xf numFmtId="3" fontId="7" fillId="6" borderId="0" xfId="55" applyNumberFormat="1" applyFont="1" applyFill="1" applyAlignment="1">
      <alignment horizontal="left" vertical="center"/>
    </xf>
    <xf numFmtId="183" fontId="7" fillId="6" borderId="0" xfId="55" applyNumberFormat="1" applyFont="1" applyFill="1" applyAlignment="1">
      <alignment horizontal="center" vertical="center"/>
    </xf>
    <xf numFmtId="0" fontId="8" fillId="6" borderId="0" xfId="55" applyFont="1" applyFill="1" applyAlignment="1">
      <alignment horizontal="center" vertical="center"/>
    </xf>
    <xf numFmtId="0" fontId="9" fillId="3" borderId="0" xfId="55" applyFont="1" applyFill="1" applyAlignment="1">
      <alignment horizontal="center" vertical="center"/>
    </xf>
    <xf numFmtId="0" fontId="4" fillId="4" borderId="0" xfId="55" applyFont="1" applyFill="1" applyAlignment="1">
      <alignment horizontal="center" vertical="center"/>
    </xf>
    <xf numFmtId="0" fontId="7" fillId="6" borderId="1" xfId="55" applyFont="1" applyFill="1" applyBorder="1" applyAlignment="1">
      <alignment horizontal="center" vertical="center"/>
    </xf>
    <xf numFmtId="0" fontId="10" fillId="7" borderId="1" xfId="55" applyFont="1" applyFill="1" applyBorder="1" applyAlignment="1">
      <alignment horizontal="left" vertical="center"/>
    </xf>
    <xf numFmtId="0" fontId="11" fillId="7" borderId="1" xfId="55" applyFont="1" applyFill="1" applyBorder="1" applyAlignment="1">
      <alignment horizontal="left" vertical="center"/>
    </xf>
    <xf numFmtId="0" fontId="12" fillId="7" borderId="1" xfId="55" applyFont="1" applyFill="1" applyBorder="1" applyAlignment="1">
      <alignment horizontal="left" vertical="center"/>
    </xf>
    <xf numFmtId="0" fontId="7" fillId="7" borderId="1" xfId="55" applyFont="1" applyFill="1" applyBorder="1" applyAlignment="1">
      <alignment horizontal="center" vertical="center"/>
    </xf>
    <xf numFmtId="0" fontId="4" fillId="8" borderId="1" xfId="55" applyFont="1" applyFill="1" applyBorder="1" applyAlignment="1">
      <alignment horizontal="center" vertical="center"/>
    </xf>
    <xf numFmtId="0" fontId="4" fillId="3" borderId="1" xfId="55" applyFont="1" applyFill="1" applyBorder="1" applyAlignment="1">
      <alignment horizontal="center" vertical="center"/>
    </xf>
    <xf numFmtId="0" fontId="10" fillId="9" borderId="1" xfId="55" applyFont="1" applyFill="1" applyBorder="1" applyAlignment="1">
      <alignment horizontal="left" vertical="center"/>
    </xf>
    <xf numFmtId="0" fontId="11" fillId="9" borderId="1" xfId="55" applyFont="1" applyFill="1" applyBorder="1" applyAlignment="1">
      <alignment horizontal="left" vertical="center"/>
    </xf>
    <xf numFmtId="0" fontId="12" fillId="9" borderId="1" xfId="55" applyFont="1" applyFill="1" applyBorder="1" applyAlignment="1">
      <alignment horizontal="left" vertical="center"/>
    </xf>
    <xf numFmtId="0" fontId="7" fillId="9" borderId="1" xfId="55" applyFont="1" applyFill="1" applyBorder="1" applyAlignment="1">
      <alignment horizontal="center" vertical="center"/>
    </xf>
    <xf numFmtId="0" fontId="13" fillId="10" borderId="2" xfId="55" applyFont="1" applyFill="1" applyBorder="1" applyAlignment="1">
      <alignment horizontal="left" vertical="center"/>
    </xf>
    <xf numFmtId="0" fontId="14" fillId="0" borderId="0" xfId="55" applyFont="1" applyAlignment="1">
      <alignment horizontal="center" vertical="center"/>
    </xf>
    <xf numFmtId="0" fontId="15" fillId="6" borderId="0" xfId="55" applyFont="1" applyFill="1" applyAlignment="1">
      <alignment horizontal="center" vertical="center"/>
    </xf>
    <xf numFmtId="0" fontId="10" fillId="6" borderId="0" xfId="55" applyFont="1" applyFill="1" applyAlignment="1">
      <alignment horizontal="center" vertical="center"/>
    </xf>
    <xf numFmtId="0" fontId="16" fillId="7" borderId="1" xfId="55" applyFont="1" applyFill="1" applyBorder="1" applyAlignment="1">
      <alignment horizontal="center" vertical="center"/>
    </xf>
    <xf numFmtId="0" fontId="17" fillId="7" borderId="1" xfId="55" applyFont="1" applyFill="1" applyBorder="1" applyAlignment="1">
      <alignment horizontal="left" vertical="center"/>
    </xf>
    <xf numFmtId="0" fontId="18" fillId="7" borderId="1" xfId="55" applyFont="1" applyFill="1" applyBorder="1" applyAlignment="1">
      <alignment horizontal="center" vertical="center"/>
    </xf>
    <xf numFmtId="0" fontId="19" fillId="11" borderId="1" xfId="55" applyFont="1" applyFill="1" applyBorder="1" applyAlignment="1">
      <alignment horizontal="center" vertical="center"/>
    </xf>
    <xf numFmtId="0" fontId="16" fillId="9" borderId="1" xfId="55" applyFont="1" applyFill="1" applyBorder="1" applyAlignment="1">
      <alignment horizontal="center" vertical="center"/>
    </xf>
    <xf numFmtId="0" fontId="17" fillId="9" borderId="1" xfId="55" applyFont="1" applyFill="1" applyBorder="1" applyAlignment="1">
      <alignment horizontal="left" vertical="center"/>
    </xf>
    <xf numFmtId="0" fontId="18" fillId="9" borderId="1" xfId="55" applyFont="1" applyFill="1" applyBorder="1" applyAlignment="1">
      <alignment horizontal="center" vertical="center"/>
    </xf>
    <xf numFmtId="0" fontId="7" fillId="7" borderId="1" xfId="55" applyFont="1" applyFill="1" applyBorder="1" applyAlignment="1">
      <alignment horizontal="left" vertical="center"/>
    </xf>
    <xf numFmtId="0" fontId="20" fillId="7" borderId="1" xfId="55" applyFont="1" applyFill="1" applyBorder="1" applyAlignment="1">
      <alignment horizontal="left" vertical="center"/>
    </xf>
    <xf numFmtId="0" fontId="21" fillId="11" borderId="1" xfId="55" applyFont="1" applyFill="1" applyBorder="1" applyAlignment="1">
      <alignment horizontal="center" vertical="center"/>
    </xf>
    <xf numFmtId="3" fontId="7" fillId="7" borderId="1" xfId="55" applyNumberFormat="1" applyFont="1" applyFill="1" applyBorder="1" applyAlignment="1">
      <alignment horizontal="right" vertical="center"/>
    </xf>
    <xf numFmtId="0" fontId="7" fillId="9" borderId="1" xfId="55" applyFont="1" applyFill="1" applyBorder="1" applyAlignment="1">
      <alignment horizontal="left" vertical="center"/>
    </xf>
    <xf numFmtId="0" fontId="20" fillId="9" borderId="1" xfId="55" applyFont="1" applyFill="1" applyBorder="1" applyAlignment="1">
      <alignment horizontal="left" vertical="center"/>
    </xf>
    <xf numFmtId="3" fontId="7" fillId="9" borderId="1" xfId="55" applyNumberFormat="1" applyFont="1" applyFill="1" applyBorder="1" applyAlignment="1">
      <alignment horizontal="right" vertical="center"/>
    </xf>
    <xf numFmtId="0" fontId="14" fillId="6" borderId="0" xfId="55" applyFont="1" applyFill="1" applyAlignment="1">
      <alignment horizontal="center" vertical="center"/>
    </xf>
    <xf numFmtId="0" fontId="22" fillId="2" borderId="0" xfId="55" applyFont="1" applyFill="1" applyAlignment="1">
      <alignment horizontal="center" vertical="center"/>
    </xf>
    <xf numFmtId="0" fontId="3" fillId="3" borderId="0" xfId="55" applyFont="1" applyFill="1" applyAlignment="1">
      <alignment horizontal="center" vertical="center"/>
    </xf>
    <xf numFmtId="0" fontId="23" fillId="4" borderId="3" xfId="55" applyFont="1" applyFill="1" applyBorder="1" applyAlignment="1">
      <alignment horizontal="center" vertical="center"/>
    </xf>
    <xf numFmtId="1" fontId="24" fillId="6" borderId="1" xfId="55" applyNumberFormat="1" applyFont="1" applyFill="1" applyBorder="1" applyAlignment="1">
      <alignment horizontal="center" vertical="center"/>
    </xf>
    <xf numFmtId="3" fontId="24" fillId="6" borderId="1" xfId="55" applyNumberFormat="1" applyFont="1" applyFill="1" applyBorder="1" applyAlignment="1">
      <alignment horizontal="center" vertical="center"/>
    </xf>
    <xf numFmtId="3" fontId="25" fillId="6" borderId="1" xfId="55" applyNumberFormat="1" applyFont="1" applyFill="1" applyBorder="1" applyAlignment="1">
      <alignment horizontal="center" vertical="center"/>
    </xf>
    <xf numFmtId="3" fontId="26" fillId="6" borderId="1" xfId="55" applyNumberFormat="1" applyFont="1" applyFill="1" applyBorder="1" applyAlignment="1">
      <alignment horizontal="center" vertical="center"/>
    </xf>
    <xf numFmtId="3" fontId="27" fillId="6" borderId="1" xfId="55" applyNumberFormat="1" applyFont="1" applyFill="1" applyBorder="1" applyAlignment="1">
      <alignment horizontal="center" vertical="center"/>
    </xf>
    <xf numFmtId="10" fontId="25" fillId="6" borderId="1" xfId="55" applyNumberFormat="1" applyFont="1" applyFill="1" applyBorder="1" applyAlignment="1">
      <alignment horizontal="center" vertical="center"/>
    </xf>
    <xf numFmtId="0" fontId="23" fillId="5" borderId="3" xfId="55" applyFont="1" applyFill="1" applyBorder="1" applyAlignment="1">
      <alignment horizontal="center" vertical="center"/>
    </xf>
    <xf numFmtId="4" fontId="28" fillId="6" borderId="1" xfId="55" applyNumberFormat="1" applyFont="1" applyFill="1" applyBorder="1" applyAlignment="1">
      <alignment horizontal="center" vertical="center"/>
    </xf>
    <xf numFmtId="184" fontId="28" fillId="6" borderId="1" xfId="55" applyNumberFormat="1" applyFont="1" applyFill="1" applyBorder="1" applyAlignment="1">
      <alignment horizontal="center" vertical="center"/>
    </xf>
    <xf numFmtId="10" fontId="28" fillId="6" borderId="1" xfId="55" applyNumberFormat="1" applyFont="1" applyFill="1" applyBorder="1" applyAlignment="1">
      <alignment horizontal="center" vertical="center"/>
    </xf>
    <xf numFmtId="0" fontId="23" fillId="5" borderId="1" xfId="55" applyFont="1" applyFill="1" applyBorder="1" applyAlignment="1">
      <alignment horizontal="center" vertical="center"/>
    </xf>
    <xf numFmtId="0" fontId="29" fillId="9" borderId="1" xfId="55" applyFont="1" applyFill="1" applyBorder="1" applyAlignment="1">
      <alignment horizontal="left" vertical="top"/>
    </xf>
    <xf numFmtId="3" fontId="29" fillId="9" borderId="1" xfId="55" applyNumberFormat="1" applyFont="1" applyFill="1" applyBorder="1" applyAlignment="1">
      <alignment horizontal="right" vertical="top"/>
    </xf>
    <xf numFmtId="0" fontId="29" fillId="7" borderId="1" xfId="55" applyFont="1" applyFill="1" applyBorder="1" applyAlignment="1">
      <alignment horizontal="left" vertical="top"/>
    </xf>
    <xf numFmtId="3" fontId="29" fillId="7" borderId="1" xfId="55" applyNumberFormat="1" applyFont="1" applyFill="1" applyBorder="1" applyAlignment="1">
      <alignment horizontal="right" vertical="top"/>
    </xf>
    <xf numFmtId="49" fontId="29" fillId="9" borderId="1" xfId="55" applyNumberFormat="1" applyFont="1" applyFill="1" applyBorder="1" applyAlignment="1">
      <alignment horizontal="left" vertical="top"/>
    </xf>
    <xf numFmtId="49" fontId="29" fillId="7" borderId="1" xfId="55" applyNumberFormat="1" applyFont="1" applyFill="1" applyBorder="1" applyAlignment="1">
      <alignment horizontal="left" vertical="top"/>
    </xf>
    <xf numFmtId="0" fontId="30" fillId="2" borderId="0" xfId="55" applyFont="1" applyFill="1" applyAlignment="1">
      <alignment horizontal="center" vertical="center"/>
    </xf>
    <xf numFmtId="0" fontId="31" fillId="12" borderId="0" xfId="55" applyFont="1" applyFill="1" applyAlignment="1">
      <alignment horizontal="center" vertical="center"/>
    </xf>
    <xf numFmtId="0" fontId="4" fillId="4" borderId="1" xfId="55" applyFont="1" applyFill="1" applyBorder="1" applyAlignment="1">
      <alignment horizontal="center" vertical="center"/>
    </xf>
    <xf numFmtId="0" fontId="29" fillId="9" borderId="1" xfId="55" applyFont="1" applyFill="1" applyBorder="1" applyAlignment="1">
      <alignment horizontal="left" vertical="center"/>
    </xf>
    <xf numFmtId="0" fontId="29" fillId="10" borderId="2" xfId="55" applyFont="1" applyFill="1" applyBorder="1" applyAlignment="1">
      <alignment horizontal="center" vertical="center"/>
    </xf>
    <xf numFmtId="0" fontId="29" fillId="7" borderId="1" xfId="55" applyFont="1" applyFill="1" applyBorder="1" applyAlignment="1">
      <alignment horizontal="left" vertical="center"/>
    </xf>
    <xf numFmtId="185" fontId="32" fillId="9" borderId="1" xfId="55" applyNumberFormat="1" applyFont="1" applyFill="1" applyBorder="1" applyAlignment="1">
      <alignment horizontal="center" vertical="center"/>
    </xf>
    <xf numFmtId="0" fontId="33" fillId="9" borderId="1" xfId="55" applyFont="1" applyFill="1" applyBorder="1" applyAlignment="1">
      <alignment horizontal="left" vertical="center"/>
    </xf>
    <xf numFmtId="0" fontId="33" fillId="9" borderId="1" xfId="55" applyFont="1" applyFill="1" applyBorder="1" applyAlignment="1">
      <alignment horizontal="center" vertical="center"/>
    </xf>
    <xf numFmtId="49" fontId="29" fillId="9" borderId="1" xfId="55" applyNumberFormat="1" applyFont="1" applyFill="1" applyBorder="1" applyAlignment="1">
      <alignment horizontal="center" vertical="center"/>
    </xf>
    <xf numFmtId="0" fontId="29" fillId="9" borderId="1" xfId="55" applyFont="1" applyFill="1" applyBorder="1" applyAlignment="1">
      <alignment horizontal="center" vertical="center"/>
    </xf>
    <xf numFmtId="185" fontId="32" fillId="7" borderId="1" xfId="55" applyNumberFormat="1" applyFont="1" applyFill="1" applyBorder="1" applyAlignment="1">
      <alignment horizontal="center" vertical="center"/>
    </xf>
    <xf numFmtId="0" fontId="33" fillId="7" borderId="1" xfId="55" applyFont="1" applyFill="1" applyBorder="1" applyAlignment="1">
      <alignment horizontal="left" vertical="center"/>
    </xf>
    <xf numFmtId="0" fontId="33" fillId="7" borderId="1" xfId="55" applyFont="1" applyFill="1" applyBorder="1" applyAlignment="1">
      <alignment horizontal="center" vertical="center"/>
    </xf>
    <xf numFmtId="49" fontId="29" fillId="7" borderId="1" xfId="55" applyNumberFormat="1" applyFont="1" applyFill="1" applyBorder="1" applyAlignment="1">
      <alignment horizontal="center" vertical="center"/>
    </xf>
    <xf numFmtId="0" fontId="29" fillId="7" borderId="1" xfId="55" applyFont="1" applyFill="1" applyBorder="1" applyAlignment="1">
      <alignment horizontal="center" vertical="center"/>
    </xf>
    <xf numFmtId="0" fontId="3" fillId="3" borderId="1" xfId="55" applyFont="1" applyFill="1" applyBorder="1" applyAlignment="1">
      <alignment horizontal="center" vertical="center"/>
    </xf>
    <xf numFmtId="3" fontId="33" fillId="7" borderId="1" xfId="55" applyNumberFormat="1" applyFont="1" applyFill="1" applyBorder="1" applyAlignment="1">
      <alignment horizontal="center" vertical="center"/>
    </xf>
    <xf numFmtId="186" fontId="29" fillId="9" borderId="1" xfId="55" applyNumberFormat="1" applyFont="1" applyFill="1" applyBorder="1" applyAlignment="1">
      <alignment horizontal="center" vertical="center"/>
    </xf>
    <xf numFmtId="3" fontId="33" fillId="9" borderId="1" xfId="55" applyNumberFormat="1" applyFont="1" applyFill="1" applyBorder="1" applyAlignment="1">
      <alignment horizontal="center" vertical="center"/>
    </xf>
    <xf numFmtId="186" fontId="29" fillId="7" borderId="1" xfId="55" applyNumberFormat="1" applyFont="1" applyFill="1" applyBorder="1" applyAlignment="1">
      <alignment horizontal="center" vertical="center"/>
    </xf>
    <xf numFmtId="186" fontId="33" fillId="9" borderId="1" xfId="55" applyNumberFormat="1" applyFont="1" applyFill="1" applyBorder="1" applyAlignment="1">
      <alignment horizontal="center" vertical="center"/>
    </xf>
    <xf numFmtId="186" fontId="33" fillId="7" borderId="1" xfId="55" applyNumberFormat="1" applyFont="1" applyFill="1" applyBorder="1" applyAlignment="1">
      <alignment horizontal="center" vertical="center"/>
    </xf>
    <xf numFmtId="0" fontId="34" fillId="4" borderId="0" xfId="55" applyFont="1" applyFill="1" applyAlignment="1">
      <alignment vertical="top"/>
    </xf>
    <xf numFmtId="3" fontId="28" fillId="6" borderId="0" xfId="55" applyNumberFormat="1" applyFont="1" applyFill="1" applyAlignment="1">
      <alignment horizontal="center" vertical="center"/>
    </xf>
    <xf numFmtId="0" fontId="35" fillId="6" borderId="0" xfId="55" applyFont="1" applyFill="1" applyAlignment="1">
      <alignment vertical="top"/>
    </xf>
    <xf numFmtId="3" fontId="36" fillId="6" borderId="0" xfId="55" applyNumberFormat="1" applyFont="1" applyFill="1" applyAlignment="1">
      <alignment horizontal="center" vertical="center"/>
    </xf>
    <xf numFmtId="3" fontId="37" fillId="6" borderId="0" xfId="55" applyNumberFormat="1" applyFont="1" applyFill="1" applyAlignment="1">
      <alignment horizontal="center" vertical="center"/>
    </xf>
    <xf numFmtId="10" fontId="28" fillId="6" borderId="0" xfId="55" applyNumberFormat="1" applyFont="1" applyFill="1" applyAlignment="1">
      <alignment horizontal="center" vertical="center"/>
    </xf>
    <xf numFmtId="49" fontId="28" fillId="6" borderId="0" xfId="55" applyNumberFormat="1" applyFont="1" applyFill="1" applyAlignment="1">
      <alignment horizontal="center" vertical="center"/>
    </xf>
    <xf numFmtId="49" fontId="4" fillId="4" borderId="3" xfId="55" applyNumberFormat="1" applyFont="1" applyFill="1" applyBorder="1" applyAlignment="1">
      <alignment horizontal="center" vertical="center"/>
    </xf>
    <xf numFmtId="0" fontId="7" fillId="9" borderId="1" xfId="55" applyFont="1" applyFill="1" applyBorder="1" applyAlignment="1">
      <alignment horizontal="center" vertical="top"/>
    </xf>
    <xf numFmtId="0" fontId="38" fillId="9" borderId="1" xfId="55" applyFont="1" applyFill="1" applyBorder="1" applyAlignment="1">
      <alignment horizontal="center" vertical="top"/>
    </xf>
    <xf numFmtId="0" fontId="8" fillId="9" borderId="1" xfId="55" applyFont="1" applyFill="1" applyBorder="1" applyAlignment="1">
      <alignment horizontal="center" vertical="top"/>
    </xf>
    <xf numFmtId="187" fontId="29" fillId="9" borderId="1" xfId="55" applyNumberFormat="1" applyFont="1" applyFill="1" applyBorder="1" applyAlignment="1">
      <alignment horizontal="center" vertical="top"/>
    </xf>
    <xf numFmtId="0" fontId="14" fillId="9" borderId="1" xfId="55" applyFont="1" applyFill="1" applyBorder="1" applyAlignment="1">
      <alignment horizontal="left" vertical="top"/>
    </xf>
    <xf numFmtId="0" fontId="7" fillId="7" borderId="1" xfId="55" applyFont="1" applyFill="1" applyBorder="1" applyAlignment="1">
      <alignment horizontal="center" vertical="top"/>
    </xf>
    <xf numFmtId="0" fontId="38" fillId="7" borderId="1" xfId="55" applyFont="1" applyFill="1" applyBorder="1" applyAlignment="1">
      <alignment horizontal="center" vertical="top"/>
    </xf>
    <xf numFmtId="0" fontId="8" fillId="7" borderId="1" xfId="55" applyFont="1" applyFill="1" applyBorder="1" applyAlignment="1">
      <alignment horizontal="center" vertical="top"/>
    </xf>
    <xf numFmtId="187" fontId="29" fillId="7" borderId="1" xfId="55" applyNumberFormat="1" applyFont="1" applyFill="1" applyBorder="1" applyAlignment="1">
      <alignment horizontal="center" vertical="top"/>
    </xf>
    <xf numFmtId="0" fontId="14" fillId="7" borderId="1" xfId="55" applyFont="1" applyFill="1" applyBorder="1" applyAlignment="1">
      <alignment horizontal="left" vertical="top"/>
    </xf>
    <xf numFmtId="0" fontId="3" fillId="4" borderId="0" xfId="55" applyFont="1" applyFill="1" applyAlignment="1">
      <alignment horizontal="right" vertical="center"/>
    </xf>
    <xf numFmtId="3" fontId="3" fillId="4" borderId="0" xfId="55" applyNumberFormat="1" applyFont="1" applyFill="1" applyAlignment="1">
      <alignment horizontal="right" vertical="center"/>
    </xf>
    <xf numFmtId="10" fontId="3" fillId="4" borderId="0" xfId="55" applyNumberFormat="1" applyFont="1" applyFill="1" applyAlignment="1">
      <alignment horizontal="center" vertical="center"/>
    </xf>
    <xf numFmtId="0" fontId="39" fillId="4" borderId="0" xfId="55" applyFont="1" applyFill="1" applyAlignment="1">
      <alignment horizontal="center" vertical="center"/>
    </xf>
    <xf numFmtId="0" fontId="35" fillId="4" borderId="0" xfId="55" applyFont="1" applyFill="1" applyAlignment="1">
      <alignment vertical="top"/>
    </xf>
    <xf numFmtId="0" fontId="4" fillId="13" borderId="0" xfId="55" applyFont="1" applyFill="1" applyAlignment="1">
      <alignment horizontal="center" vertical="center"/>
    </xf>
    <xf numFmtId="0" fontId="4" fillId="8" borderId="0" xfId="55" applyFont="1" applyFill="1" applyAlignment="1">
      <alignment horizontal="center" vertical="center"/>
    </xf>
    <xf numFmtId="0" fontId="7" fillId="14" borderId="0" xfId="55" applyFont="1" applyFill="1" applyAlignment="1">
      <alignment horizontal="center" vertical="center"/>
    </xf>
    <xf numFmtId="0" fontId="4" fillId="3" borderId="0" xfId="55" applyFont="1" applyFill="1" applyAlignment="1">
      <alignment horizontal="center" vertical="center"/>
    </xf>
    <xf numFmtId="0" fontId="14" fillId="6" borderId="0" xfId="55" applyFont="1" applyFill="1" applyAlignment="1">
      <alignment horizontal="left" vertical="center"/>
    </xf>
    <xf numFmtId="0" fontId="4" fillId="4" borderId="0" xfId="55" applyFont="1" applyFill="1" applyAlignment="1">
      <alignment horizontal="right" vertical="center"/>
    </xf>
    <xf numFmtId="0" fontId="40" fillId="10" borderId="2" xfId="55" applyFont="1" applyFill="1" applyBorder="1" applyAlignment="1">
      <alignment horizontal="center" vertical="center"/>
    </xf>
    <xf numFmtId="0" fontId="14" fillId="0" borderId="0" xfId="55" applyFont="1" applyAlignment="1">
      <alignment horizontal="left" vertical="center"/>
    </xf>
    <xf numFmtId="0" fontId="41" fillId="10" borderId="2" xfId="55" applyFont="1" applyFill="1" applyBorder="1" applyAlignment="1">
      <alignment horizontal="center" vertical="center"/>
    </xf>
    <xf numFmtId="0" fontId="42" fillId="6" borderId="4" xfId="55" applyFont="1" applyFill="1" applyBorder="1" applyAlignment="1">
      <alignment horizontal="center" vertical="center"/>
    </xf>
    <xf numFmtId="0" fontId="8" fillId="9" borderId="1" xfId="55" applyFont="1" applyFill="1" applyBorder="1" applyAlignment="1">
      <alignment horizontal="center" vertical="center"/>
    </xf>
    <xf numFmtId="0" fontId="38" fillId="9" borderId="1" xfId="55" applyFont="1" applyFill="1" applyBorder="1" applyAlignment="1">
      <alignment horizontal="center" vertical="center"/>
    </xf>
    <xf numFmtId="3" fontId="38" fillId="9" borderId="1" xfId="55" applyNumberFormat="1" applyFont="1" applyFill="1" applyBorder="1" applyAlignment="1">
      <alignment horizontal="right" vertical="center"/>
    </xf>
    <xf numFmtId="3" fontId="29" fillId="9" borderId="1" xfId="55" applyNumberFormat="1" applyFont="1" applyFill="1" applyBorder="1" applyAlignment="1">
      <alignment horizontal="center" vertical="center"/>
    </xf>
    <xf numFmtId="10" fontId="29" fillId="9" borderId="1" xfId="55" applyNumberFormat="1" applyFont="1" applyFill="1" applyBorder="1" applyAlignment="1">
      <alignment horizontal="center" vertical="center"/>
    </xf>
    <xf numFmtId="0" fontId="14" fillId="9" borderId="1" xfId="55" applyFont="1" applyFill="1" applyBorder="1" applyAlignment="1">
      <alignment horizontal="left" vertical="center"/>
    </xf>
    <xf numFmtId="188" fontId="29" fillId="9" borderId="1" xfId="55" applyNumberFormat="1" applyFont="1" applyFill="1" applyBorder="1" applyAlignment="1">
      <alignment horizontal="center" vertical="center"/>
    </xf>
    <xf numFmtId="0" fontId="8" fillId="7" borderId="1" xfId="55" applyFont="1" applyFill="1" applyBorder="1" applyAlignment="1">
      <alignment horizontal="center" vertical="center"/>
    </xf>
    <xf numFmtId="0" fontId="38" fillId="7" borderId="1" xfId="55" applyFont="1" applyFill="1" applyBorder="1" applyAlignment="1">
      <alignment horizontal="center" vertical="center"/>
    </xf>
    <xf numFmtId="3" fontId="38" fillId="7" borderId="1" xfId="55" applyNumberFormat="1" applyFont="1" applyFill="1" applyBorder="1" applyAlignment="1">
      <alignment horizontal="right" vertical="center"/>
    </xf>
    <xf numFmtId="3" fontId="29" fillId="7" borderId="1" xfId="55" applyNumberFormat="1" applyFont="1" applyFill="1" applyBorder="1" applyAlignment="1">
      <alignment horizontal="center" vertical="center"/>
    </xf>
    <xf numFmtId="10" fontId="29" fillId="7" borderId="1" xfId="55" applyNumberFormat="1" applyFont="1" applyFill="1" applyBorder="1" applyAlignment="1">
      <alignment horizontal="center" vertical="center"/>
    </xf>
    <xf numFmtId="0" fontId="14" fillId="7" borderId="1" xfId="55" applyFont="1" applyFill="1" applyBorder="1" applyAlignment="1">
      <alignment horizontal="left" vertical="center"/>
    </xf>
    <xf numFmtId="188" fontId="29" fillId="7" borderId="1" xfId="55" applyNumberFormat="1" applyFont="1" applyFill="1" applyBorder="1" applyAlignment="1">
      <alignment horizontal="center" vertical="center"/>
    </xf>
    <xf numFmtId="0" fontId="40" fillId="6" borderId="0" xfId="55" applyFont="1" applyFill="1" applyAlignment="1">
      <alignment horizontal="center" vertical="center"/>
    </xf>
    <xf numFmtId="0" fontId="43" fillId="8" borderId="0" xfId="55" applyFont="1" applyFill="1" applyAlignment="1">
      <alignment horizontal="center" vertical="center"/>
    </xf>
    <xf numFmtId="0" fontId="4" fillId="5" borderId="0" xfId="55" applyFont="1" applyFill="1" applyAlignment="1">
      <alignment horizontal="left" vertical="center" indent="1"/>
    </xf>
    <xf numFmtId="0" fontId="44" fillId="6" borderId="5" xfId="55" applyFont="1" applyFill="1" applyBorder="1" applyAlignment="1">
      <alignment horizontal="center" vertical="center"/>
    </xf>
    <xf numFmtId="0" fontId="45" fillId="0" borderId="0" xfId="55" applyFont="1" applyAlignment="1">
      <alignment horizontal="center" vertical="center"/>
    </xf>
    <xf numFmtId="0" fontId="9" fillId="8" borderId="3" xfId="55" applyFont="1" applyFill="1" applyBorder="1" applyAlignment="1">
      <alignment horizontal="center" vertical="center"/>
    </xf>
    <xf numFmtId="0" fontId="9" fillId="13" borderId="3" xfId="55" applyFont="1" applyFill="1" applyBorder="1" applyAlignment="1">
      <alignment horizontal="center" vertical="center"/>
    </xf>
    <xf numFmtId="3" fontId="38" fillId="9" borderId="1" xfId="55" applyNumberFormat="1" applyFont="1" applyFill="1" applyBorder="1" applyAlignment="1">
      <alignment horizontal="center" vertical="center"/>
    </xf>
    <xf numFmtId="3" fontId="8" fillId="15" borderId="1" xfId="55" applyNumberFormat="1" applyFont="1" applyFill="1" applyBorder="1" applyAlignment="1">
      <alignment horizontal="center" vertical="center"/>
    </xf>
    <xf numFmtId="3" fontId="38" fillId="7" borderId="1" xfId="55" applyNumberFormat="1" applyFont="1" applyFill="1" applyBorder="1" applyAlignment="1">
      <alignment horizontal="center" vertical="center"/>
    </xf>
    <xf numFmtId="0" fontId="44" fillId="6" borderId="0" xfId="55" applyFont="1" applyFill="1" applyAlignment="1">
      <alignment horizontal="center" vertical="center"/>
    </xf>
    <xf numFmtId="3" fontId="44" fillId="6" borderId="0" xfId="55" applyNumberFormat="1" applyFont="1" applyFill="1" applyAlignment="1">
      <alignment horizontal="center" vertical="center"/>
    </xf>
    <xf numFmtId="10" fontId="46" fillId="6" borderId="0" xfId="55" applyNumberFormat="1" applyFont="1" applyFill="1" applyAlignment="1">
      <alignment horizontal="center" vertical="center"/>
    </xf>
    <xf numFmtId="0" fontId="47" fillId="2" borderId="0" xfId="55" applyFont="1" applyFill="1" applyAlignment="1">
      <alignment horizontal="center" vertical="center"/>
    </xf>
    <xf numFmtId="0" fontId="43" fillId="3" borderId="0" xfId="55" applyFont="1" applyFill="1" applyAlignment="1">
      <alignment horizontal="center" vertical="center"/>
    </xf>
    <xf numFmtId="0" fontId="10" fillId="6" borderId="0" xfId="55" applyFont="1" applyFill="1" applyAlignment="1">
      <alignment horizontal="left" vertical="center"/>
    </xf>
    <xf numFmtId="0" fontId="4" fillId="4" borderId="3" xfId="55" applyFont="1" applyFill="1" applyBorder="1" applyAlignment="1">
      <alignment horizontal="center" vertical="center"/>
    </xf>
    <xf numFmtId="185" fontId="7" fillId="9" borderId="1" xfId="55" applyNumberFormat="1" applyFont="1" applyFill="1" applyBorder="1" applyAlignment="1">
      <alignment horizontal="center" vertical="center"/>
    </xf>
    <xf numFmtId="0" fontId="45" fillId="9" borderId="1" xfId="55" applyFont="1" applyFill="1" applyBorder="1" applyAlignment="1">
      <alignment horizontal="left" vertical="center"/>
    </xf>
    <xf numFmtId="189" fontId="29" fillId="9" borderId="1" xfId="55" applyNumberFormat="1" applyFont="1" applyFill="1" applyBorder="1" applyAlignment="1">
      <alignment horizontal="center" vertical="center"/>
    </xf>
    <xf numFmtId="2" fontId="29" fillId="9" borderId="1" xfId="55" applyNumberFormat="1" applyFont="1" applyFill="1" applyBorder="1" applyAlignment="1">
      <alignment horizontal="right" vertical="center"/>
    </xf>
    <xf numFmtId="1" fontId="29" fillId="9" borderId="1" xfId="55" applyNumberFormat="1" applyFont="1" applyFill="1" applyBorder="1" applyAlignment="1">
      <alignment horizontal="center" vertical="center"/>
    </xf>
    <xf numFmtId="0" fontId="48" fillId="9" borderId="1" xfId="55" applyFont="1" applyFill="1" applyBorder="1" applyAlignment="1">
      <alignment horizontal="center" vertical="center"/>
    </xf>
    <xf numFmtId="185" fontId="7" fillId="7" borderId="1" xfId="55" applyNumberFormat="1" applyFont="1" applyFill="1" applyBorder="1" applyAlignment="1">
      <alignment horizontal="center" vertical="center"/>
    </xf>
    <xf numFmtId="0" fontId="45" fillId="7" borderId="1" xfId="55" applyFont="1" applyFill="1" applyBorder="1" applyAlignment="1">
      <alignment horizontal="left" vertical="center"/>
    </xf>
    <xf numFmtId="189" fontId="29" fillId="7" borderId="1" xfId="55" applyNumberFormat="1" applyFont="1" applyFill="1" applyBorder="1" applyAlignment="1">
      <alignment horizontal="center" vertical="center"/>
    </xf>
    <xf numFmtId="2" fontId="29" fillId="7" borderId="1" xfId="55" applyNumberFormat="1" applyFont="1" applyFill="1" applyBorder="1" applyAlignment="1">
      <alignment horizontal="right" vertical="center"/>
    </xf>
    <xf numFmtId="1" fontId="29" fillId="7" borderId="1" xfId="55" applyNumberFormat="1" applyFont="1" applyFill="1" applyBorder="1" applyAlignment="1">
      <alignment horizontal="center" vertical="center"/>
    </xf>
    <xf numFmtId="0" fontId="48" fillId="7" borderId="1" xfId="55" applyFont="1" applyFill="1" applyBorder="1" applyAlignment="1">
      <alignment horizontal="center" vertical="center"/>
    </xf>
    <xf numFmtId="189" fontId="4" fillId="5" borderId="0" xfId="55" applyNumberFormat="1" applyFont="1" applyFill="1" applyAlignment="1">
      <alignment horizontal="center" vertical="center"/>
    </xf>
    <xf numFmtId="3" fontId="4" fillId="5" borderId="0" xfId="55" applyNumberFormat="1" applyFont="1" applyFill="1" applyAlignment="1">
      <alignment horizontal="right" vertical="center"/>
    </xf>
    <xf numFmtId="2" fontId="4" fillId="5" borderId="0" xfId="55" applyNumberFormat="1" applyFont="1" applyFill="1" applyAlignment="1">
      <alignment horizontal="right" vertical="center"/>
    </xf>
    <xf numFmtId="0" fontId="4" fillId="5" borderId="0" xfId="55" applyFont="1" applyFill="1" applyAlignment="1">
      <alignment horizontal="center" vertical="center"/>
    </xf>
    <xf numFmtId="186" fontId="4" fillId="5" borderId="0" xfId="55" applyNumberFormat="1" applyFont="1" applyFill="1" applyAlignment="1">
      <alignment horizontal="center" vertical="center"/>
    </xf>
    <xf numFmtId="0" fontId="10" fillId="10" borderId="0" xfId="55" applyFont="1" applyFill="1" applyAlignment="1">
      <alignment horizontal="center" vertical="center"/>
    </xf>
    <xf numFmtId="3" fontId="10" fillId="10" borderId="0" xfId="55" applyNumberFormat="1" applyFont="1" applyFill="1" applyAlignment="1">
      <alignment horizontal="center" vertical="center"/>
    </xf>
    <xf numFmtId="2" fontId="10" fillId="10" borderId="0" xfId="55" applyNumberFormat="1" applyFont="1" applyFill="1" applyAlignment="1">
      <alignment horizontal="center" vertical="center"/>
    </xf>
    <xf numFmtId="186" fontId="10" fillId="10" borderId="0" xfId="55" applyNumberFormat="1" applyFont="1" applyFill="1" applyAlignment="1">
      <alignment horizontal="center" vertical="center"/>
    </xf>
    <xf numFmtId="0" fontId="29" fillId="0" borderId="6" xfId="55" applyFont="1" applyBorder="1" applyAlignment="1">
      <alignment horizontal="left" vertical="center"/>
    </xf>
    <xf numFmtId="0" fontId="38" fillId="0" borderId="6" xfId="55" applyFont="1" applyBorder="1" applyAlignment="1">
      <alignment horizontal="right" vertical="center"/>
    </xf>
    <xf numFmtId="49" fontId="35" fillId="0" borderId="0" xfId="55" applyNumberFormat="1" applyFont="1" applyAlignment="1">
      <alignment vertical="top"/>
    </xf>
    <xf numFmtId="185" fontId="38" fillId="0" borderId="0" xfId="55" applyNumberFormat="1" applyFont="1" applyAlignment="1">
      <alignment horizontal="center" vertical="top"/>
    </xf>
    <xf numFmtId="49" fontId="35" fillId="7" borderId="0" xfId="55" applyNumberFormat="1" applyFont="1" applyFill="1" applyAlignment="1">
      <alignment vertical="top"/>
    </xf>
    <xf numFmtId="185" fontId="38" fillId="7" borderId="0" xfId="55" applyNumberFormat="1" applyFont="1" applyFill="1" applyAlignment="1">
      <alignment horizontal="center" vertical="top"/>
    </xf>
    <xf numFmtId="49" fontId="35" fillId="0" borderId="7" xfId="55" applyNumberFormat="1" applyFont="1" applyBorder="1" applyAlignment="1">
      <alignment vertical="top"/>
    </xf>
    <xf numFmtId="49" fontId="35" fillId="15" borderId="7" xfId="55" applyNumberFormat="1" applyFont="1" applyFill="1" applyBorder="1" applyAlignment="1">
      <alignment vertical="top"/>
    </xf>
    <xf numFmtId="185" fontId="38" fillId="15" borderId="7" xfId="55" applyNumberFormat="1" applyFont="1" applyFill="1" applyBorder="1" applyAlignment="1">
      <alignment horizontal="center" vertical="top"/>
    </xf>
    <xf numFmtId="49" fontId="35" fillId="15" borderId="0" xfId="55" applyNumberFormat="1" applyFont="1" applyFill="1" applyAlignment="1">
      <alignment vertical="top"/>
    </xf>
    <xf numFmtId="185" fontId="38" fillId="15" borderId="0" xfId="55" applyNumberFormat="1" applyFont="1" applyFill="1" applyAlignment="1">
      <alignment horizontal="center" vertical="top"/>
    </xf>
    <xf numFmtId="0" fontId="49" fillId="2" borderId="0" xfId="55" applyFont="1" applyFill="1" applyAlignment="1">
      <alignment horizontal="center" vertical="center"/>
    </xf>
    <xf numFmtId="0" fontId="50" fillId="12" borderId="0" xfId="55" applyFont="1" applyFill="1" applyAlignment="1">
      <alignment horizontal="center" vertical="center"/>
    </xf>
    <xf numFmtId="0" fontId="35" fillId="0" borderId="8" xfId="55" applyFont="1" applyBorder="1" applyAlignment="1">
      <alignment vertical="top"/>
    </xf>
    <xf numFmtId="0" fontId="38" fillId="0" borderId="0" xfId="55" applyFont="1" applyAlignment="1">
      <alignment horizontal="right" vertical="center"/>
    </xf>
    <xf numFmtId="0" fontId="29" fillId="0" borderId="0" xfId="55" applyFont="1" applyAlignment="1">
      <alignment horizontal="left" vertical="center"/>
    </xf>
    <xf numFmtId="0" fontId="51" fillId="6" borderId="0" xfId="55" applyFont="1" applyFill="1" applyAlignment="1">
      <alignment horizontal="center" vertical="center"/>
    </xf>
    <xf numFmtId="0" fontId="52" fillId="6" borderId="0" xfId="55" applyFont="1" applyFill="1" applyAlignment="1">
      <alignment horizontal="center" vertical="center"/>
    </xf>
    <xf numFmtId="0" fontId="53" fillId="6" borderId="1" xfId="55" applyFont="1" applyFill="1" applyBorder="1" applyAlignment="1">
      <alignment horizontal="center" vertical="center"/>
    </xf>
    <xf numFmtId="0" fontId="3" fillId="4" borderId="9" xfId="55" applyFont="1" applyFill="1" applyBorder="1" applyAlignment="1">
      <alignment horizontal="center" vertical="center"/>
    </xf>
    <xf numFmtId="0" fontId="3" fillId="8" borderId="9" xfId="55" applyFont="1" applyFill="1" applyBorder="1" applyAlignment="1">
      <alignment horizontal="center" vertical="center"/>
    </xf>
    <xf numFmtId="0" fontId="3" fillId="3" borderId="9" xfId="55" applyFont="1" applyFill="1" applyBorder="1" applyAlignment="1">
      <alignment horizontal="center" vertical="center"/>
    </xf>
    <xf numFmtId="0" fontId="3" fillId="16" borderId="9" xfId="55" applyFont="1" applyFill="1" applyBorder="1" applyAlignment="1">
      <alignment horizontal="center" vertical="center"/>
    </xf>
    <xf numFmtId="0" fontId="3" fillId="5" borderId="0" xfId="55" applyFont="1" applyFill="1" applyAlignment="1">
      <alignment horizontal="center" vertical="center"/>
    </xf>
    <xf numFmtId="0" fontId="7" fillId="7" borderId="0" xfId="55" applyFont="1" applyFill="1" applyAlignment="1">
      <alignment horizontal="left" vertical="center"/>
    </xf>
    <xf numFmtId="0" fontId="20" fillId="7" borderId="0" xfId="55" applyFont="1" applyFill="1" applyAlignment="1">
      <alignment horizontal="left" vertical="center"/>
    </xf>
    <xf numFmtId="0" fontId="7" fillId="9" borderId="0" xfId="55" applyFont="1" applyFill="1" applyAlignment="1">
      <alignment horizontal="left" vertical="center"/>
    </xf>
    <xf numFmtId="0" fontId="20" fillId="9" borderId="0" xfId="55" applyFont="1" applyFill="1" applyAlignment="1">
      <alignment horizontal="left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3" xfId="51"/>
    <cellStyle name="Normal 3" xfId="52"/>
    <cellStyle name="Normal 3 2" xfId="53"/>
    <cellStyle name="Normal 3 3" xfId="54"/>
    <cellStyle name="Normal 4" xfId="55"/>
    <cellStyle name="Normal 5" xfId="56"/>
    <cellStyle name="Normal 6" xfId="57"/>
    <cellStyle name="Percent 2" xfId="58"/>
    <cellStyle name="SAPDataCell" xfId="59"/>
    <cellStyle name="Style 1" xfId="60"/>
    <cellStyle name="쉼표 [0] 2" xfId="61"/>
    <cellStyle name="표준 2" xfId="62"/>
    <cellStyle name="표준_Copy of Koren Manual" xfId="63"/>
    <cellStyle name="常规 208" xfId="64"/>
    <cellStyle name="样式 1" xfId="65"/>
  </cellStyles>
  <dxfs count="7">
    <dxf>
      <font>
        <name val="Arial"/>
        <scheme val="none"/>
        <b val="1"/>
        <i val="0"/>
        <sz val="10"/>
        <color rgb="FFC0392B"/>
      </font>
    </dxf>
    <dxf>
      <font>
        <name val="Arial"/>
        <scheme val="none"/>
        <b val="1"/>
        <i val="0"/>
        <sz val="10"/>
        <color rgb="FF16A085"/>
      </font>
    </dxf>
    <dxf>
      <font>
        <color rgb="FF7F8C8D"/>
      </font>
    </dxf>
    <dxf>
      <font>
        <name val="Arial"/>
        <scheme val="none"/>
        <b val="1"/>
        <i val="0"/>
        <sz val="10"/>
        <color rgb="FFFFFFFF"/>
      </font>
      <fill>
        <patternFill patternType="solid">
          <fgColor rgb="FFE67E22"/>
          <bgColor rgb="FFE67E22"/>
        </patternFill>
      </fill>
    </dxf>
    <dxf>
      <font>
        <name val="Arial"/>
        <scheme val="none"/>
        <b val="1"/>
        <i val="0"/>
        <sz val="10"/>
        <color rgb="FF2C3E50"/>
      </font>
      <fill>
        <patternFill patternType="solid">
          <fgColor rgb="FFF1C40F"/>
          <bgColor rgb="FFF1C40F"/>
        </patternFill>
      </fill>
    </dxf>
    <dxf>
      <font>
        <name val="Arial"/>
        <scheme val="none"/>
        <b val="1"/>
        <i val="0"/>
        <sz val="10"/>
        <color rgb="FFFFFFFF"/>
      </font>
      <fill>
        <patternFill patternType="solid">
          <fgColor rgb="FFC0392B"/>
          <bgColor rgb="FFC0392B"/>
        </patternFill>
      </fill>
    </dxf>
    <dxf>
      <font>
        <name val="Arial"/>
        <scheme val="none"/>
        <b val="1"/>
        <i val="0"/>
        <sz val="10"/>
        <color rgb="FFFFFFFF"/>
      </font>
      <fill>
        <patternFill patternType="solid">
          <fgColor rgb="FF16A085"/>
          <bgColor rgb="FF16A0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rgbClr val="333333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050" b="0">
                <a:solidFill>
                  <a:srgbClr val="333333"/>
                </a:solidFill>
                <a:latin typeface="Arial" panose="020B0604020202020204"/>
              </a:rPr>
              <a:t>Packed by Color (pcs)</a:t>
            </a:r>
            <a:endParaRPr sz="1050" b="0">
              <a:solidFill>
                <a:srgbClr val="333333"/>
              </a:solidFill>
              <a:latin typeface="Arial" panose="020B0604020202020204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Packed Qty</c:v>
                </c:pt>
              </c:strCache>
            </c:strRef>
          </c:tx>
          <c:spPr>
            <a:ln w="19050">
              <a:solidFill>
                <a:srgbClr val="FFFFFF"/>
              </a:solidFill>
              <a:prstDash val="solid"/>
            </a:ln>
          </c:spPr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explosion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explosion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4"/>
            <c:bubble3D val="0"/>
            <c:explosion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5"/>
            <c:bubble3D val="0"/>
            <c:explosion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DASHBOARD!$B$13:$B$18</c:f>
              <c:strCache>
                <c:ptCount val="6"/>
                <c:pt idx="0">
                  <c:v>001 Black</c:v>
                </c:pt>
                <c:pt idx="1">
                  <c:v>100 White</c:v>
                </c:pt>
                <c:pt idx="2">
                  <c:v>118 Open White</c:v>
                </c:pt>
                <c:pt idx="3">
                  <c:v>404 Dark Blue</c:v>
                </c:pt>
                <c:pt idx="4">
                  <c:v>452 Light Blue</c:v>
                </c:pt>
                <c:pt idx="5">
                  <c:v>923 Beige</c:v>
                </c:pt>
              </c:strCache>
            </c:strRef>
          </c:cat>
          <c:val>
            <c:numRef>
              <c:f>DASHBOARD!$C$13:$C$18</c:f>
              <c:numCache>
                <c:formatCode>#,##0</c:formatCode>
                <c:ptCount val="6"/>
                <c:pt idx="0">
                  <c:v>4186</c:v>
                </c:pt>
                <c:pt idx="1">
                  <c:v>6074</c:v>
                </c:pt>
                <c:pt idx="2">
                  <c:v>579</c:v>
                </c:pt>
                <c:pt idx="3">
                  <c:v>4011</c:v>
                </c:pt>
                <c:pt idx="4">
                  <c:v>2832</c:v>
                </c:pt>
                <c:pt idx="5">
                  <c:v>1724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</c:spPr>
    </c:plotArea>
    <c:legend>
      <c:legendPos val="r"/>
      <c:layout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97e2a0-82aa-4b9b-bfe2-57f47bb77f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 b="0">
          <a:solidFill>
            <a:schemeClr val="tx1">
              <a:lumMod val="65000"/>
              <a:lumOff val="35000"/>
            </a:schemeClr>
          </a:solidFill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rgbClr val="333333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050" b="0">
                <a:solidFill>
                  <a:srgbClr val="333333"/>
                </a:solidFill>
                <a:latin typeface="Arial" panose="020B0604020202020204"/>
              </a:rPr>
              <a:t>Packed by Style</a:t>
            </a:r>
            <a:endParaRPr sz="1050" b="0">
              <a:solidFill>
                <a:srgbClr val="333333"/>
              </a:solidFill>
              <a:latin typeface="Arial" panose="020B0604020202020204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DASHBOARD!$E$12</c:f>
              <c:strCache>
                <c:ptCount val="1"/>
                <c:pt idx="0">
                  <c:v>Packed Qty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DASHBOARD!$D$13:$D$14</c:f>
              <c:numCache>
                <c:formatCode>General</c:formatCode>
                <c:ptCount val="2"/>
                <c:pt idx="0">
                  <c:v>50473265</c:v>
                </c:pt>
                <c:pt idx="1">
                  <c:v>50576239</c:v>
                </c:pt>
              </c:numCache>
            </c:numRef>
          </c:cat>
          <c:val>
            <c:numRef>
              <c:f>DASHBOARD!$E$13:$E$14</c:f>
              <c:numCache>
                <c:formatCode>#,##0</c:formatCode>
                <c:ptCount val="2"/>
                <c:pt idx="0">
                  <c:v>16917</c:v>
                </c:pt>
                <c:pt idx="1">
                  <c:v>2489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22880089"/>
        <c:axId val="39688733"/>
      </c:barChart>
      <c:catAx>
        <c:axId val="2288008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688733"/>
        <c:crosses val="autoZero"/>
        <c:auto val="1"/>
        <c:lblAlgn val="ctr"/>
        <c:lblOffset val="0"/>
        <c:noMultiLvlLbl val="1"/>
      </c:catAx>
      <c:valAx>
        <c:axId val="3968873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880089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f02533-6ca2-4df3-a38c-25d862a889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 b="0">
          <a:solidFill>
            <a:schemeClr val="tx1">
              <a:lumMod val="65000"/>
              <a:lumOff val="35000"/>
            </a:schemeClr>
          </a:solidFill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rgbClr val="333333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050" b="0">
                <a:solidFill>
                  <a:srgbClr val="333333"/>
                </a:solidFill>
                <a:latin typeface="Arial" panose="020B0604020202020204"/>
              </a:rPr>
              <a:t>Packed by Size</a:t>
            </a:r>
            <a:endParaRPr sz="1050" b="0">
              <a:solidFill>
                <a:srgbClr val="333333"/>
              </a:solidFill>
              <a:latin typeface="Arial" panose="020B0604020202020204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DASHBOARD!$G$12</c:f>
              <c:strCache>
                <c:ptCount val="1"/>
                <c:pt idx="0">
                  <c:v>Packed Qty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delete val="1"/>
          </c:dLbls>
          <c:cat>
            <c:strRef>
              <c:f>DASHBOARD!$F$13:$F$30</c:f>
              <c:strCache>
                <c:ptCount val="18"/>
                <c:pt idx="0">
                  <c:v>37</c:v>
                </c:pt>
                <c:pt idx="1">
                  <c:v>38</c:v>
                </c:pt>
                <c:pt idx="2">
                  <c:v>39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45</c:v>
                </c:pt>
                <c:pt idx="9">
                  <c:v>46</c:v>
                </c:pt>
                <c:pt idx="10">
                  <c:v>47</c:v>
                </c:pt>
                <c:pt idx="11">
                  <c:v>48</c:v>
                </c:pt>
                <c:pt idx="12">
                  <c:v>49</c:v>
                </c:pt>
                <c:pt idx="13">
                  <c:v>50</c:v>
                </c:pt>
                <c:pt idx="14">
                  <c:v>42L</c:v>
                </c:pt>
                <c:pt idx="15">
                  <c:v>43L</c:v>
                </c:pt>
                <c:pt idx="16">
                  <c:v>44L</c:v>
                </c:pt>
                <c:pt idx="17">
                  <c:v>45L</c:v>
                </c:pt>
              </c:strCache>
            </c:strRef>
          </c:cat>
          <c:val>
            <c:numRef>
              <c:f>DASHBOARD!$G$13:$G$30</c:f>
              <c:numCache>
                <c:formatCode>#,##0</c:formatCode>
                <c:ptCount val="18"/>
                <c:pt idx="0">
                  <c:v>138</c:v>
                </c:pt>
                <c:pt idx="1">
                  <c:v>950</c:v>
                </c:pt>
                <c:pt idx="2">
                  <c:v>1761</c:v>
                </c:pt>
                <c:pt idx="3">
                  <c:v>2559</c:v>
                </c:pt>
                <c:pt idx="4">
                  <c:v>2328</c:v>
                </c:pt>
                <c:pt idx="5">
                  <c:v>2842</c:v>
                </c:pt>
                <c:pt idx="6">
                  <c:v>2457</c:v>
                </c:pt>
                <c:pt idx="7">
                  <c:v>1783</c:v>
                </c:pt>
                <c:pt idx="8">
                  <c:v>1041</c:v>
                </c:pt>
                <c:pt idx="9">
                  <c:v>845</c:v>
                </c:pt>
                <c:pt idx="10">
                  <c:v>0</c:v>
                </c:pt>
                <c:pt idx="11">
                  <c:v>17</c:v>
                </c:pt>
                <c:pt idx="12">
                  <c:v>1</c:v>
                </c:pt>
                <c:pt idx="13">
                  <c:v>0</c:v>
                </c:pt>
                <c:pt idx="14">
                  <c:v>12</c:v>
                </c:pt>
                <c:pt idx="15">
                  <c:v>70</c:v>
                </c:pt>
                <c:pt idx="16">
                  <c:v>71</c:v>
                </c:pt>
                <c:pt idx="17">
                  <c:v>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43165629"/>
        <c:axId val="62060759"/>
      </c:barChart>
      <c:catAx>
        <c:axId val="43165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060759"/>
        <c:crosses val="autoZero"/>
        <c:auto val="1"/>
        <c:lblAlgn val="ctr"/>
        <c:lblOffset val="0"/>
        <c:noMultiLvlLbl val="1"/>
      </c:catAx>
      <c:valAx>
        <c:axId val="62060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65629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9b49e0-eb8a-46db-b349-80fa4846e8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 b="0">
          <a:solidFill>
            <a:schemeClr val="tx1">
              <a:lumMod val="65000"/>
              <a:lumOff val="35000"/>
            </a:schemeClr>
          </a:solidFill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rgbClr val="333333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050" b="0">
                <a:solidFill>
                  <a:srgbClr val="333333"/>
                </a:solidFill>
                <a:latin typeface="Arial" panose="020B0604020202020204"/>
              </a:rPr>
              <a:t>Packed by PO</a:t>
            </a:r>
            <a:endParaRPr sz="1050" b="0">
              <a:solidFill>
                <a:srgbClr val="333333"/>
              </a:solidFill>
              <a:latin typeface="Arial" panose="020B0604020202020204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DASHBOARD!$H$12</c:f>
              <c:strCache>
                <c:ptCount val="1"/>
                <c:pt idx="0">
                  <c:v>PO Number</c:v>
                </c:pt>
              </c:strCache>
            </c:strRef>
          </c:tx>
          <c:spPr>
            <a:ln w="19050">
              <a:solidFill>
                <a:srgbClr val="FFFFFF"/>
              </a:solidFill>
              <a:prstDash val="solid"/>
            </a:ln>
          </c:spPr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val>
            <c:numRef>
              <c:f>DASHBOARD!$H$13:$H$14</c:f>
              <c:numCache>
                <c:formatCode>General</c:formatCode>
                <c:ptCount val="2"/>
                <c:pt idx="0">
                  <c:v>4901873568</c:v>
                </c:pt>
                <c:pt idx="1">
                  <c:v>4901893255</c:v>
                </c:pt>
              </c:numCache>
            </c:numRef>
          </c:val>
        </c:ser>
        <c:ser>
          <c:idx val="1"/>
          <c:order val="1"/>
          <c:tx>
            <c:strRef>
              <c:f>DASHBOARD!$I$12</c:f>
              <c:strCache>
                <c:ptCount val="1"/>
                <c:pt idx="0">
                  <c:v>Packed Qty</c:v>
                </c:pt>
              </c:strCache>
            </c:strRef>
          </c:tx>
          <c:spPr>
            <a:ln w="19050">
              <a:solidFill>
                <a:srgbClr val="FFFFFF"/>
              </a:solidFill>
              <a:prstDash val="solid"/>
            </a:ln>
          </c:spPr>
          <c:explosion val="0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spPr>
              <a:ln w="19050">
                <a:solidFill>
                  <a:srgbClr val="FFFFFF"/>
                </a:solidFill>
                <a:prstDash val="solid"/>
              </a:ln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val>
            <c:numRef>
              <c:f>DASHBOARD!$I$13:$I$14</c:f>
              <c:numCache>
                <c:formatCode>#,##0</c:formatCode>
                <c:ptCount val="2"/>
                <c:pt idx="0">
                  <c:v>16917</c:v>
                </c:pt>
                <c:pt idx="1">
                  <c:v>2489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layout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182fc0-117f-44fe-8af2-11a4896fed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 b="0">
          <a:solidFill>
            <a:schemeClr val="tx1">
              <a:lumMod val="65000"/>
              <a:lumOff val="35000"/>
            </a:schemeClr>
          </a:solidFill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rgbClr val="333333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050" b="0">
                <a:solidFill>
                  <a:srgbClr val="333333"/>
                </a:solidFill>
                <a:latin typeface="Arial" panose="020B0604020202020204"/>
              </a:rPr>
              <a:t>Packed vs Remaining by PO</a:t>
            </a:r>
            <a:endParaRPr sz="1050" b="0">
              <a:solidFill>
                <a:srgbClr val="333333"/>
              </a:solidFill>
              <a:latin typeface="Arial" panose="020B0604020202020204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DASHBOARD!$K$12</c:f>
              <c:strCache>
                <c:ptCount val="1"/>
                <c:pt idx="0">
                  <c:v>Packed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DASHBOARD!$J$13:$J$14</c:f>
              <c:numCache>
                <c:formatCode>General</c:formatCode>
                <c:ptCount val="2"/>
                <c:pt idx="0">
                  <c:v>4901873568</c:v>
                </c:pt>
                <c:pt idx="1">
                  <c:v>4901893255</c:v>
                </c:pt>
              </c:numCache>
            </c:numRef>
          </c:cat>
          <c:val>
            <c:numRef>
              <c:f>DASHBOARD!$K$13:$K$14</c:f>
              <c:numCache>
                <c:formatCode>#,##0</c:formatCode>
                <c:ptCount val="2"/>
                <c:pt idx="0">
                  <c:v>16917</c:v>
                </c:pt>
                <c:pt idx="1">
                  <c:v>2489</c:v>
                </c:pt>
              </c:numCache>
            </c:numRef>
          </c:val>
        </c:ser>
        <c:ser>
          <c:idx val="1"/>
          <c:order val="1"/>
          <c:tx>
            <c:strRef>
              <c:f>DASHBOARD!$L$12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DASHBOARD!$J$13:$J$14</c:f>
              <c:numCache>
                <c:formatCode>General</c:formatCode>
                <c:ptCount val="2"/>
                <c:pt idx="0">
                  <c:v>4901873568</c:v>
                </c:pt>
                <c:pt idx="1">
                  <c:v>4901893255</c:v>
                </c:pt>
              </c:numCache>
            </c:numRef>
          </c:cat>
          <c:val>
            <c:numRef>
              <c:f>DASHBOARD!$L$13:$L$14</c:f>
              <c:numCache>
                <c:formatCode>#,##0</c:formatCode>
                <c:ptCount val="2"/>
                <c:pt idx="0">
                  <c:v>28</c:v>
                </c:pt>
                <c:pt idx="1">
                  <c:v>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217913"/>
        <c:axId val="13609060"/>
      </c:barChart>
      <c:catAx>
        <c:axId val="862179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09060"/>
        <c:crosses val="autoZero"/>
        <c:auto val="1"/>
        <c:lblAlgn val="ctr"/>
        <c:lblOffset val="0"/>
        <c:noMultiLvlLbl val="1"/>
      </c:catAx>
      <c:valAx>
        <c:axId val="136090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217913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97a00f-19d2-4a14-bfe8-2c4140b59d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 b="0">
          <a:solidFill>
            <a:schemeClr val="tx1">
              <a:lumMod val="65000"/>
              <a:lumOff val="35000"/>
            </a:schemeClr>
          </a:solidFill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rgbClr val="333333"/>
                </a:solidFill>
                <a:latin typeface="Arial" panose="020B0604020202020204"/>
                <a:ea typeface="+mn-ea"/>
                <a:cs typeface="+mn-cs"/>
              </a:defRPr>
            </a:pPr>
            <a:r>
              <a:rPr sz="1050" b="0">
                <a:solidFill>
                  <a:srgbClr val="333333"/>
                </a:solidFill>
                <a:latin typeface="Arial" panose="020B0604020202020204"/>
              </a:rPr>
              <a:t>Daily Progress (Cumulative)</a:t>
            </a:r>
            <a:endParaRPr sz="1050" b="0">
              <a:solidFill>
                <a:srgbClr val="333333"/>
              </a:solidFill>
              <a:latin typeface="Arial" panose="020B0604020202020204"/>
            </a:endParaRP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DASHBOARD!$I$21</c:f>
              <c:strCache>
                <c:ptCount val="1"/>
                <c:pt idx="0">
                  <c:v>Cumulative Packed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DASHBOARD!$H$22:$H$29</c:f>
              <c:strCache>
                <c:ptCount val="8"/>
                <c:pt idx="0" c:formatCode="@">
                  <c:v>25.06.2026</c:v>
                </c:pt>
                <c:pt idx="1" c:formatCode="@">
                  <c:v>26.06.2026</c:v>
                </c:pt>
                <c:pt idx="2" c:formatCode="@">
                  <c:v>27.06.2026</c:v>
                </c:pt>
                <c:pt idx="3" c:formatCode="@">
                  <c:v>28.06.2026</c:v>
                </c:pt>
                <c:pt idx="4" c:formatCode="@">
                  <c:v>29.06.2026</c:v>
                </c:pt>
                <c:pt idx="5" c:formatCode="@">
                  <c:v>30.06.2026</c:v>
                </c:pt>
                <c:pt idx="6" c:formatCode="@">
                  <c:v>01.07.2026</c:v>
                </c:pt>
                <c:pt idx="7" c:formatCode="@">
                  <c:v>02.07.2026</c:v>
                </c:pt>
              </c:strCache>
            </c:strRef>
          </c:cat>
          <c:val>
            <c:numRef>
              <c:f>DASHBOARD!$I$22:$I$29</c:f>
              <c:numCache>
                <c:formatCode>#,##0</c:formatCode>
                <c:ptCount val="8"/>
                <c:pt idx="0">
                  <c:v>1000</c:v>
                </c:pt>
                <c:pt idx="1">
                  <c:v>3200</c:v>
                </c:pt>
                <c:pt idx="2">
                  <c:v>6100</c:v>
                </c:pt>
                <c:pt idx="3">
                  <c:v>9400</c:v>
                </c:pt>
                <c:pt idx="4">
                  <c:v>12200</c:v>
                </c:pt>
                <c:pt idx="5">
                  <c:v>15500</c:v>
                </c:pt>
                <c:pt idx="6">
                  <c:v>18000</c:v>
                </c:pt>
                <c:pt idx="7">
                  <c:v>19406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DASHBOARD!$J$21</c:f>
              <c:strCache>
                <c:ptCount val="1"/>
                <c:pt idx="0">
                  <c:v>Daily Delta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DASHBOARD!$H$22:$H$29</c:f>
              <c:strCache>
                <c:ptCount val="8"/>
                <c:pt idx="0" c:formatCode="@">
                  <c:v>25.06.2026</c:v>
                </c:pt>
                <c:pt idx="1" c:formatCode="@">
                  <c:v>26.06.2026</c:v>
                </c:pt>
                <c:pt idx="2" c:formatCode="@">
                  <c:v>27.06.2026</c:v>
                </c:pt>
                <c:pt idx="3" c:formatCode="@">
                  <c:v>28.06.2026</c:v>
                </c:pt>
                <c:pt idx="4" c:formatCode="@">
                  <c:v>29.06.2026</c:v>
                </c:pt>
                <c:pt idx="5" c:formatCode="@">
                  <c:v>30.06.2026</c:v>
                </c:pt>
                <c:pt idx="6" c:formatCode="@">
                  <c:v>01.07.2026</c:v>
                </c:pt>
                <c:pt idx="7" c:formatCode="@">
                  <c:v>02.07.2026</c:v>
                </c:pt>
              </c:strCache>
            </c:strRef>
          </c:cat>
          <c:val>
            <c:numRef>
              <c:f>DASHBOARD!$J$22:$J$29</c:f>
              <c:numCache>
                <c:formatCode>#,##0</c:formatCode>
                <c:ptCount val="8"/>
                <c:pt idx="0">
                  <c:v>1000</c:v>
                </c:pt>
                <c:pt idx="1">
                  <c:v>2200</c:v>
                </c:pt>
                <c:pt idx="2">
                  <c:v>2900</c:v>
                </c:pt>
                <c:pt idx="3">
                  <c:v>3300</c:v>
                </c:pt>
                <c:pt idx="4">
                  <c:v>2800</c:v>
                </c:pt>
                <c:pt idx="5">
                  <c:v>3300</c:v>
                </c:pt>
                <c:pt idx="6">
                  <c:v>2500</c:v>
                </c:pt>
                <c:pt idx="7">
                  <c:v>1406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359489"/>
        <c:axId val="30300026"/>
      </c:lineChart>
      <c:catAx>
        <c:axId val="81359489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300026"/>
        <c:crosses val="autoZero"/>
        <c:auto val="1"/>
        <c:lblAlgn val="ctr"/>
        <c:lblOffset val="0"/>
        <c:noMultiLvlLbl val="1"/>
      </c:catAx>
      <c:valAx>
        <c:axId val="303000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59489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cfa7ec-9694-4eda-b70c-b696b6db0a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en-US" b="0">
          <a:solidFill>
            <a:schemeClr val="tx1">
              <a:lumMod val="65000"/>
              <a:lumOff val="35000"/>
            </a:schemeClr>
          </a:solidFill>
          <a:latin typeface="+mn-lt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33</xdr:row>
      <xdr:rowOff>133350</xdr:rowOff>
    </xdr:from>
    <xdr:to>
      <xdr:col>4</xdr:col>
      <xdr:colOff>419100</xdr:colOff>
      <xdr:row>46</xdr:row>
      <xdr:rowOff>133350</xdr:rowOff>
    </xdr:to>
    <xdr:graphicFrame>
      <xdr:nvGraphicFramePr>
        <xdr:cNvPr id="2" name="Chart_Color"/>
        <xdr:cNvGraphicFramePr/>
      </xdr:nvGraphicFramePr>
      <xdr:xfrm>
        <a:off x="0" y="6667500"/>
        <a:ext cx="361696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33</xdr:row>
      <xdr:rowOff>133350</xdr:rowOff>
    </xdr:from>
    <xdr:to>
      <xdr:col>9</xdr:col>
      <xdr:colOff>228600</xdr:colOff>
      <xdr:row>46</xdr:row>
      <xdr:rowOff>133350</xdr:rowOff>
    </xdr:to>
    <xdr:graphicFrame>
      <xdr:nvGraphicFramePr>
        <xdr:cNvPr id="3" name="Chart_Style"/>
        <xdr:cNvGraphicFramePr/>
      </xdr:nvGraphicFramePr>
      <xdr:xfrm>
        <a:off x="4759325" y="6667500"/>
        <a:ext cx="361696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14</xdr:row>
      <xdr:rowOff>133350</xdr:rowOff>
    </xdr:from>
    <xdr:to>
      <xdr:col>14</xdr:col>
      <xdr:colOff>419100</xdr:colOff>
      <xdr:row>27</xdr:row>
      <xdr:rowOff>133350</xdr:rowOff>
    </xdr:to>
    <xdr:graphicFrame>
      <xdr:nvGraphicFramePr>
        <xdr:cNvPr id="4" name="Chart_Size"/>
        <xdr:cNvGraphicFramePr/>
      </xdr:nvGraphicFramePr>
      <xdr:xfrm>
        <a:off x="9137650" y="3238500"/>
        <a:ext cx="361696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381000</xdr:colOff>
      <xdr:row>33</xdr:row>
      <xdr:rowOff>133350</xdr:rowOff>
    </xdr:from>
    <xdr:to>
      <xdr:col>15</xdr:col>
      <xdr:colOff>209550</xdr:colOff>
      <xdr:row>46</xdr:row>
      <xdr:rowOff>133350</xdr:rowOff>
    </xdr:to>
    <xdr:graphicFrame>
      <xdr:nvGraphicFramePr>
        <xdr:cNvPr id="5" name="Chart_PO"/>
        <xdr:cNvGraphicFramePr/>
      </xdr:nvGraphicFramePr>
      <xdr:xfrm>
        <a:off x="9518650" y="6667500"/>
        <a:ext cx="361632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133350</xdr:rowOff>
    </xdr:from>
    <xdr:to>
      <xdr:col>4</xdr:col>
      <xdr:colOff>419100</xdr:colOff>
      <xdr:row>61</xdr:row>
      <xdr:rowOff>133350</xdr:rowOff>
    </xdr:to>
    <xdr:graphicFrame>
      <xdr:nvGraphicFramePr>
        <xdr:cNvPr id="6" name="Chart_Remaining"/>
        <xdr:cNvGraphicFramePr/>
      </xdr:nvGraphicFramePr>
      <xdr:xfrm>
        <a:off x="0" y="9525000"/>
        <a:ext cx="361696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571500</xdr:colOff>
      <xdr:row>48</xdr:row>
      <xdr:rowOff>133350</xdr:rowOff>
    </xdr:from>
    <xdr:to>
      <xdr:col>9</xdr:col>
      <xdr:colOff>228600</xdr:colOff>
      <xdr:row>61</xdr:row>
      <xdr:rowOff>133350</xdr:rowOff>
    </xdr:to>
    <xdr:graphicFrame>
      <xdr:nvGraphicFramePr>
        <xdr:cNvPr id="7" name="Chart_Daily"/>
        <xdr:cNvGraphicFramePr/>
      </xdr:nvGraphicFramePr>
      <xdr:xfrm>
        <a:off x="4759325" y="9525000"/>
        <a:ext cx="361696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K27"/>
  <sheetViews>
    <sheetView workbookViewId="0">
      <selection activeCell="G20" sqref="G20"/>
    </sheetView>
  </sheetViews>
  <sheetFormatPr defaultColWidth="8.84761904761905" defaultRowHeight="15" customHeight="1"/>
  <cols>
    <col min="1" max="1" width="2.14285714285714" customWidth="1"/>
    <col min="2" max="11" width="14.2857142857143" customWidth="1"/>
    <col min="12" max="12" width="2.14285714285714" customWidth="1"/>
  </cols>
  <sheetData>
    <row r="1" ht="7.5" customHeight="1"/>
    <row r="2" ht="45" customHeight="1" spans="2:10">
      <c r="B2" s="183" t="s">
        <v>0</v>
      </c>
    </row>
    <row r="3" ht="22.5" customHeight="1" spans="2:10">
      <c r="B3" s="184" t="s">
        <v>1</v>
      </c>
    </row>
    <row r="4" ht="7.5" customHeight="1" spans="2:10">
      <c r="B4" s="185"/>
    </row>
    <row r="5" ht="18.75" customHeight="1" spans="2:10">
      <c r="B5" s="186" t="s">
        <v>2</v>
      </c>
      <c r="C5" s="187" t="s">
        <v>3</v>
      </c>
      <c r="E5" s="186" t="s">
        <v>4</v>
      </c>
      <c r="F5" s="187" t="str">
        <f ca="1">TEXT(TODAY(),"DD.MM.YYYY")</f>
        <v>03.07.2026</v>
      </c>
      <c r="H5" s="186" t="s">
        <v>5</v>
      </c>
      <c r="I5" s="187" t="s">
        <v>6</v>
      </c>
    </row>
    <row r="6" ht="7.5" customHeight="1"/>
    <row r="7" ht="18.75" customHeight="1" spans="2:10">
      <c r="B7" s="13" t="s">
        <v>7</v>
      </c>
      <c r="D7" s="13" t="s">
        <v>8</v>
      </c>
      <c r="F7" s="13" t="s">
        <v>9</v>
      </c>
      <c r="H7" s="13" t="s">
        <v>10</v>
      </c>
      <c r="J7" s="13" t="s">
        <v>11</v>
      </c>
    </row>
    <row r="8" ht="30" customHeight="1" spans="2:10">
      <c r="B8" s="188">
        <v>2</v>
      </c>
      <c r="D8" s="188">
        <v>0</v>
      </c>
      <c r="F8" s="188">
        <v>0</v>
      </c>
      <c r="H8" s="188" t="s">
        <v>12</v>
      </c>
      <c r="J8" s="189" t="s">
        <v>13</v>
      </c>
    </row>
    <row r="9" ht="18.75" customHeight="1" spans="2:10">
      <c r="B9" s="166" t="s">
        <v>14</v>
      </c>
    </row>
    <row r="10" ht="18.75" customHeight="1" spans="2:10">
      <c r="B10" s="190" t="s">
        <v>15</v>
      </c>
    </row>
    <row r="11" ht="11.25" customHeight="1"/>
    <row r="12" ht="22.5" customHeight="1" spans="2:10">
      <c r="B12" s="148" t="s">
        <v>16</v>
      </c>
    </row>
    <row r="13" ht="6" customHeight="1"/>
    <row r="14" ht="26.25" customHeight="1" spans="2:10">
      <c r="B14" s="191" t="s">
        <v>17</v>
      </c>
      <c r="E14" s="191" t="s">
        <v>18</v>
      </c>
      <c r="H14" s="191" t="s">
        <v>19</v>
      </c>
    </row>
    <row r="15" ht="7.5" customHeight="1"/>
    <row r="16" ht="26.25" customHeight="1" spans="2:10">
      <c r="B16" s="192" t="s">
        <v>20</v>
      </c>
      <c r="E16" s="192" t="s">
        <v>21</v>
      </c>
      <c r="H16" s="192" t="s">
        <v>22</v>
      </c>
    </row>
    <row r="17" ht="7.5" customHeight="1"/>
    <row r="18" ht="26.25" customHeight="1" spans="2:9">
      <c r="B18" s="193" t="s">
        <v>23</v>
      </c>
      <c r="E18" s="193" t="s">
        <v>24</v>
      </c>
      <c r="H18" s="193" t="s">
        <v>25</v>
      </c>
    </row>
    <row r="19" ht="7.5" customHeight="1"/>
    <row r="20" ht="26.25" customHeight="1" spans="2:9">
      <c r="B20" s="194" t="s">
        <v>26</v>
      </c>
    </row>
    <row r="21" ht="11.25" customHeight="1"/>
    <row r="22" ht="18.75" customHeight="1" spans="2:9">
      <c r="B22" s="195" t="s">
        <v>27</v>
      </c>
    </row>
    <row r="23" ht="16.5" customHeight="1" spans="2:9">
      <c r="B23" s="196" t="s">
        <v>28</v>
      </c>
      <c r="C23" s="197" t="s">
        <v>29</v>
      </c>
      <c r="E23" s="196" t="s">
        <v>30</v>
      </c>
      <c r="F23" s="197" t="s">
        <v>31</v>
      </c>
      <c r="H23" s="196" t="s">
        <v>32</v>
      </c>
      <c r="I23" s="197" t="s">
        <v>33</v>
      </c>
    </row>
    <row r="24" ht="16.5" customHeight="1" spans="2:9">
      <c r="B24" s="198" t="s">
        <v>34</v>
      </c>
      <c r="C24" s="199" t="s">
        <v>35</v>
      </c>
      <c r="E24" s="198" t="s">
        <v>36</v>
      </c>
      <c r="F24" s="199" t="s">
        <v>37</v>
      </c>
      <c r="H24" s="198" t="s">
        <v>38</v>
      </c>
      <c r="I24" s="199" t="s">
        <v>39</v>
      </c>
    </row>
    <row r="25" ht="16.5" customHeight="1" spans="2:9">
      <c r="B25" s="196" t="s">
        <v>40</v>
      </c>
      <c r="C25" s="197" t="s">
        <v>41</v>
      </c>
      <c r="E25" s="196" t="s">
        <v>42</v>
      </c>
      <c r="F25" s="197" t="s">
        <v>43</v>
      </c>
      <c r="H25" s="196" t="s">
        <v>44</v>
      </c>
      <c r="I25" s="197" t="s">
        <v>45</v>
      </c>
    </row>
    <row r="26" ht="7.5" customHeight="1"/>
    <row r="27" ht="16.5" customHeight="1" spans="2:9">
      <c r="B27" s="43" t="s">
        <v>46</v>
      </c>
    </row>
  </sheetData>
  <mergeCells count="37">
    <mergeCell ref="B2:K2"/>
    <mergeCell ref="B3:K3"/>
    <mergeCell ref="B4:K4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K9"/>
    <mergeCell ref="B10:K10"/>
    <mergeCell ref="B12:K12"/>
    <mergeCell ref="B14:D14"/>
    <mergeCell ref="E14:G14"/>
    <mergeCell ref="H14:K14"/>
    <mergeCell ref="B16:D16"/>
    <mergeCell ref="E16:G16"/>
    <mergeCell ref="H16:K16"/>
    <mergeCell ref="B18:D18"/>
    <mergeCell ref="E18:G18"/>
    <mergeCell ref="H18:K18"/>
    <mergeCell ref="B20:D20"/>
    <mergeCell ref="B22:K22"/>
    <mergeCell ref="C23:D23"/>
    <mergeCell ref="F23:G23"/>
    <mergeCell ref="I23:K23"/>
    <mergeCell ref="C24:D24"/>
    <mergeCell ref="F24:G24"/>
    <mergeCell ref="I24:K24"/>
    <mergeCell ref="C25:D25"/>
    <mergeCell ref="F25:G25"/>
    <mergeCell ref="I25:K25"/>
    <mergeCell ref="B27:K27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75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L5" sqref="L5"/>
    </sheetView>
  </sheetViews>
  <sheetFormatPr defaultColWidth="8.84761904761905" defaultRowHeight="15" customHeight="1"/>
  <cols>
    <col min="1" max="1" width="4.57142857142857" customWidth="1"/>
    <col min="2" max="2" width="16" customWidth="1"/>
    <col min="3" max="3" width="10.2857142857143" customWidth="1"/>
    <col min="4" max="4" width="20.5714285714286" customWidth="1"/>
    <col min="5" max="5" width="9.14285714285714" customWidth="1"/>
    <col min="6" max="6" width="11.4190476190476" customWidth="1"/>
    <col min="7" max="7" width="25.1428571428571" customWidth="1"/>
    <col min="8" max="8" width="13.7142857142857" customWidth="1"/>
    <col min="9" max="9" width="11.4190476190476" customWidth="1"/>
    <col min="10" max="10" width="25.1428571428571" customWidth="1"/>
    <col min="11" max="11" width="13.7142857142857" customWidth="1"/>
    <col min="12" max="12" width="11.4190476190476" customWidth="1"/>
    <col min="13" max="13" width="22.847619047619" customWidth="1"/>
    <col min="14" max="14" width="9.14285714285714" customWidth="1"/>
    <col min="15" max="15" width="13.7142857142857" customWidth="1"/>
    <col min="16" max="16" width="14.847619047619" customWidth="1"/>
    <col min="17" max="17" width="32" customWidth="1"/>
    <col min="18" max="18" width="12.5714285714286" customWidth="1"/>
    <col min="19" max="19" width="13.7142857142857" customWidth="1"/>
    <col min="20" max="20" width="11.4190476190476" customWidth="1"/>
  </cols>
  <sheetData>
    <row r="1" ht="25.5" customHeight="1" spans="1:20">
      <c r="A1" s="64" t="s">
        <v>47</v>
      </c>
    </row>
    <row r="2" customHeight="1" spans="1:20">
      <c r="A2" s="65" t="s">
        <v>48</v>
      </c>
    </row>
    <row r="3" ht="4.5" customHeight="1"/>
    <row r="4" ht="30" customHeight="1" spans="1:20">
      <c r="A4" s="174" t="s">
        <v>49</v>
      </c>
      <c r="B4" s="174" t="s">
        <v>50</v>
      </c>
      <c r="C4" s="174" t="s">
        <v>51</v>
      </c>
      <c r="D4" s="174" t="s">
        <v>52</v>
      </c>
      <c r="E4" s="174" t="s">
        <v>53</v>
      </c>
      <c r="F4" s="174" t="s">
        <v>54</v>
      </c>
      <c r="G4" s="174" t="s">
        <v>55</v>
      </c>
      <c r="H4" s="174" t="s">
        <v>56</v>
      </c>
      <c r="I4" s="174" t="s">
        <v>57</v>
      </c>
      <c r="J4" s="174" t="s">
        <v>58</v>
      </c>
      <c r="K4" s="174" t="s">
        <v>59</v>
      </c>
      <c r="L4" s="174" t="s">
        <v>60</v>
      </c>
      <c r="M4" s="174" t="s">
        <v>61</v>
      </c>
      <c r="N4" s="174" t="s">
        <v>62</v>
      </c>
      <c r="O4" s="174" t="s">
        <v>63</v>
      </c>
      <c r="P4" s="174" t="s">
        <v>64</v>
      </c>
      <c r="Q4" s="174" t="s">
        <v>65</v>
      </c>
      <c r="R4" s="174" t="s">
        <v>66</v>
      </c>
      <c r="S4" s="174" t="s">
        <v>67</v>
      </c>
      <c r="T4" s="174" t="s">
        <v>68</v>
      </c>
    </row>
    <row r="5" customHeight="1" spans="1:20">
      <c r="A5" s="174">
        <v>1</v>
      </c>
      <c r="B5" s="174">
        <v>4901873568</v>
      </c>
      <c r="C5" s="174" t="s">
        <v>69</v>
      </c>
      <c r="D5" s="174" t="s">
        <v>70</v>
      </c>
      <c r="E5" s="174" t="s">
        <v>71</v>
      </c>
      <c r="F5" s="174" t="s">
        <v>72</v>
      </c>
      <c r="G5" s="174" t="s">
        <v>73</v>
      </c>
      <c r="H5" s="174">
        <v>50473265</v>
      </c>
      <c r="I5" s="174">
        <v>251087</v>
      </c>
      <c r="J5" s="174" t="s">
        <v>74</v>
      </c>
      <c r="K5" s="174">
        <v>10219212</v>
      </c>
      <c r="L5" s="175">
        <v>1</v>
      </c>
      <c r="M5" s="174" t="s">
        <v>72</v>
      </c>
      <c r="N5" s="174">
        <v>37</v>
      </c>
      <c r="O5" s="174">
        <v>50</v>
      </c>
      <c r="P5" s="174" t="s">
        <v>75</v>
      </c>
      <c r="Q5" s="174" t="s">
        <v>76</v>
      </c>
      <c r="R5" s="174">
        <v>13.3</v>
      </c>
      <c r="S5" s="174" t="s">
        <v>77</v>
      </c>
      <c r="T5" s="174" t="s">
        <v>78</v>
      </c>
    </row>
    <row r="6" customHeight="1" spans="1:20">
      <c r="A6" s="174">
        <v>2</v>
      </c>
      <c r="B6" s="174">
        <v>4901873568</v>
      </c>
      <c r="C6" s="176" t="s">
        <v>69</v>
      </c>
      <c r="D6" s="176" t="s">
        <v>70</v>
      </c>
      <c r="E6" s="176" t="s">
        <v>71</v>
      </c>
      <c r="F6" s="176" t="s">
        <v>72</v>
      </c>
      <c r="G6" s="176" t="s">
        <v>73</v>
      </c>
      <c r="H6" s="176">
        <v>50473265</v>
      </c>
      <c r="I6" s="176">
        <v>251087</v>
      </c>
      <c r="J6" s="176" t="s">
        <v>74</v>
      </c>
      <c r="K6" s="176">
        <v>10219212</v>
      </c>
      <c r="L6" s="177">
        <v>1</v>
      </c>
      <c r="M6" s="176" t="s">
        <v>72</v>
      </c>
      <c r="N6" s="176">
        <v>38</v>
      </c>
      <c r="O6" s="176">
        <v>210</v>
      </c>
      <c r="P6" s="176" t="s">
        <v>75</v>
      </c>
      <c r="Q6" s="176" t="s">
        <v>76</v>
      </c>
      <c r="R6" s="176">
        <v>13.3</v>
      </c>
      <c r="S6" s="176" t="s">
        <v>77</v>
      </c>
      <c r="T6" s="176" t="s">
        <v>78</v>
      </c>
    </row>
    <row r="7" customHeight="1" spans="1:20">
      <c r="A7" s="174">
        <v>3</v>
      </c>
      <c r="B7" s="174">
        <v>4901873568</v>
      </c>
      <c r="C7" s="174" t="s">
        <v>69</v>
      </c>
      <c r="D7" s="174" t="s">
        <v>70</v>
      </c>
      <c r="E7" s="174" t="s">
        <v>71</v>
      </c>
      <c r="F7" s="174" t="s">
        <v>72</v>
      </c>
      <c r="G7" s="174" t="s">
        <v>73</v>
      </c>
      <c r="H7" s="174">
        <v>50473265</v>
      </c>
      <c r="I7" s="174">
        <v>251087</v>
      </c>
      <c r="J7" s="174" t="s">
        <v>74</v>
      </c>
      <c r="K7" s="174">
        <v>10219212</v>
      </c>
      <c r="L7" s="175">
        <v>1</v>
      </c>
      <c r="M7" s="174" t="s">
        <v>72</v>
      </c>
      <c r="N7" s="174">
        <v>39</v>
      </c>
      <c r="O7" s="174">
        <v>524</v>
      </c>
      <c r="P7" s="174" t="s">
        <v>75</v>
      </c>
      <c r="Q7" s="174" t="s">
        <v>76</v>
      </c>
      <c r="R7" s="174">
        <v>13.3</v>
      </c>
      <c r="S7" s="174" t="s">
        <v>77</v>
      </c>
      <c r="T7" s="174" t="s">
        <v>78</v>
      </c>
    </row>
    <row r="8" customHeight="1" spans="1:20">
      <c r="A8" s="174">
        <v>4</v>
      </c>
      <c r="B8" s="174">
        <v>4901873568</v>
      </c>
      <c r="C8" s="176" t="s">
        <v>69</v>
      </c>
      <c r="D8" s="176" t="s">
        <v>70</v>
      </c>
      <c r="E8" s="176" t="s">
        <v>71</v>
      </c>
      <c r="F8" s="176" t="s">
        <v>72</v>
      </c>
      <c r="G8" s="176" t="s">
        <v>73</v>
      </c>
      <c r="H8" s="176">
        <v>50473265</v>
      </c>
      <c r="I8" s="176">
        <v>251087</v>
      </c>
      <c r="J8" s="176" t="s">
        <v>74</v>
      </c>
      <c r="K8" s="176">
        <v>10219212</v>
      </c>
      <c r="L8" s="177">
        <v>1</v>
      </c>
      <c r="M8" s="176" t="s">
        <v>72</v>
      </c>
      <c r="N8" s="176">
        <v>40</v>
      </c>
      <c r="O8" s="176">
        <v>597</v>
      </c>
      <c r="P8" s="176" t="s">
        <v>75</v>
      </c>
      <c r="Q8" s="176" t="s">
        <v>76</v>
      </c>
      <c r="R8" s="176">
        <v>13.3</v>
      </c>
      <c r="S8" s="176" t="s">
        <v>77</v>
      </c>
      <c r="T8" s="176" t="s">
        <v>78</v>
      </c>
    </row>
    <row r="9" customHeight="1" spans="1:20">
      <c r="A9" s="174">
        <v>5</v>
      </c>
      <c r="B9" s="174">
        <v>4901873568</v>
      </c>
      <c r="C9" s="174" t="s">
        <v>69</v>
      </c>
      <c r="D9" s="174" t="s">
        <v>70</v>
      </c>
      <c r="E9" s="174" t="s">
        <v>71</v>
      </c>
      <c r="F9" s="174" t="s">
        <v>72</v>
      </c>
      <c r="G9" s="174" t="s">
        <v>73</v>
      </c>
      <c r="H9" s="174">
        <v>50473265</v>
      </c>
      <c r="I9" s="174">
        <v>251087</v>
      </c>
      <c r="J9" s="174" t="s">
        <v>74</v>
      </c>
      <c r="K9" s="174">
        <v>10219212</v>
      </c>
      <c r="L9" s="175">
        <v>1</v>
      </c>
      <c r="M9" s="174" t="s">
        <v>72</v>
      </c>
      <c r="N9" s="174">
        <v>41</v>
      </c>
      <c r="O9" s="174">
        <v>443</v>
      </c>
      <c r="P9" s="174" t="s">
        <v>75</v>
      </c>
      <c r="Q9" s="174" t="s">
        <v>76</v>
      </c>
      <c r="R9" s="174">
        <v>13.3</v>
      </c>
      <c r="S9" s="174" t="s">
        <v>77</v>
      </c>
      <c r="T9" s="174" t="s">
        <v>78</v>
      </c>
    </row>
    <row r="10" customHeight="1" spans="1:20">
      <c r="A10" s="174">
        <v>6</v>
      </c>
      <c r="B10" s="174">
        <v>4901873568</v>
      </c>
      <c r="C10" s="176" t="s">
        <v>69</v>
      </c>
      <c r="D10" s="176" t="s">
        <v>70</v>
      </c>
      <c r="E10" s="176" t="s">
        <v>71</v>
      </c>
      <c r="F10" s="176" t="s">
        <v>72</v>
      </c>
      <c r="G10" s="176" t="s">
        <v>73</v>
      </c>
      <c r="H10" s="176">
        <v>50473265</v>
      </c>
      <c r="I10" s="176">
        <v>251087</v>
      </c>
      <c r="J10" s="176" t="s">
        <v>74</v>
      </c>
      <c r="K10" s="176">
        <v>10219212</v>
      </c>
      <c r="L10" s="177">
        <v>1</v>
      </c>
      <c r="M10" s="176" t="s">
        <v>72</v>
      </c>
      <c r="N10" s="176">
        <v>42</v>
      </c>
      <c r="O10" s="176">
        <v>608</v>
      </c>
      <c r="P10" s="176" t="s">
        <v>75</v>
      </c>
      <c r="Q10" s="176" t="s">
        <v>76</v>
      </c>
      <c r="R10" s="176">
        <v>13.3</v>
      </c>
      <c r="S10" s="176" t="s">
        <v>77</v>
      </c>
      <c r="T10" s="176" t="s">
        <v>78</v>
      </c>
    </row>
    <row r="11" customHeight="1" spans="1:20">
      <c r="A11" s="174">
        <v>7</v>
      </c>
      <c r="B11" s="174">
        <v>4901873568</v>
      </c>
      <c r="C11" s="174" t="s">
        <v>69</v>
      </c>
      <c r="D11" s="174" t="s">
        <v>70</v>
      </c>
      <c r="E11" s="174" t="s">
        <v>71</v>
      </c>
      <c r="F11" s="174" t="s">
        <v>72</v>
      </c>
      <c r="G11" s="174" t="s">
        <v>73</v>
      </c>
      <c r="H11" s="174">
        <v>50473265</v>
      </c>
      <c r="I11" s="174">
        <v>251087</v>
      </c>
      <c r="J11" s="174" t="s">
        <v>74</v>
      </c>
      <c r="K11" s="174">
        <v>10219212</v>
      </c>
      <c r="L11" s="175">
        <v>1</v>
      </c>
      <c r="M11" s="174" t="s">
        <v>72</v>
      </c>
      <c r="N11" s="174">
        <v>43</v>
      </c>
      <c r="O11" s="174">
        <v>562</v>
      </c>
      <c r="P11" s="174" t="s">
        <v>75</v>
      </c>
      <c r="Q11" s="174" t="s">
        <v>76</v>
      </c>
      <c r="R11" s="174">
        <v>13.3</v>
      </c>
      <c r="S11" s="174" t="s">
        <v>77</v>
      </c>
      <c r="T11" s="174" t="s">
        <v>78</v>
      </c>
    </row>
    <row r="12" customHeight="1" spans="1:20">
      <c r="A12" s="174">
        <v>8</v>
      </c>
      <c r="B12" s="174">
        <v>4901873568</v>
      </c>
      <c r="C12" s="176" t="s">
        <v>69</v>
      </c>
      <c r="D12" s="176" t="s">
        <v>70</v>
      </c>
      <c r="E12" s="176" t="s">
        <v>71</v>
      </c>
      <c r="F12" s="176" t="s">
        <v>72</v>
      </c>
      <c r="G12" s="176" t="s">
        <v>73</v>
      </c>
      <c r="H12" s="176">
        <v>50473265</v>
      </c>
      <c r="I12" s="176">
        <v>251087</v>
      </c>
      <c r="J12" s="176" t="s">
        <v>74</v>
      </c>
      <c r="K12" s="176">
        <v>10219212</v>
      </c>
      <c r="L12" s="177">
        <v>1</v>
      </c>
      <c r="M12" s="176" t="s">
        <v>72</v>
      </c>
      <c r="N12" s="176">
        <v>44</v>
      </c>
      <c r="O12" s="176">
        <v>482</v>
      </c>
      <c r="P12" s="176" t="s">
        <v>75</v>
      </c>
      <c r="Q12" s="176" t="s">
        <v>76</v>
      </c>
      <c r="R12" s="176">
        <v>13.3</v>
      </c>
      <c r="S12" s="176" t="s">
        <v>77</v>
      </c>
      <c r="T12" s="176" t="s">
        <v>78</v>
      </c>
    </row>
    <row r="13" customHeight="1" spans="1:20">
      <c r="A13" s="174">
        <v>9</v>
      </c>
      <c r="B13" s="174">
        <v>4901873568</v>
      </c>
      <c r="C13" s="174" t="s">
        <v>69</v>
      </c>
      <c r="D13" s="174" t="s">
        <v>70</v>
      </c>
      <c r="E13" s="174" t="s">
        <v>71</v>
      </c>
      <c r="F13" s="174" t="s">
        <v>72</v>
      </c>
      <c r="G13" s="174" t="s">
        <v>73</v>
      </c>
      <c r="H13" s="174">
        <v>50473265</v>
      </c>
      <c r="I13" s="174">
        <v>251087</v>
      </c>
      <c r="J13" s="174" t="s">
        <v>74</v>
      </c>
      <c r="K13" s="174">
        <v>10219212</v>
      </c>
      <c r="L13" s="175">
        <v>1</v>
      </c>
      <c r="M13" s="174" t="s">
        <v>72</v>
      </c>
      <c r="N13" s="174">
        <v>45</v>
      </c>
      <c r="O13" s="174">
        <v>303</v>
      </c>
      <c r="P13" s="174" t="s">
        <v>75</v>
      </c>
      <c r="Q13" s="174" t="s">
        <v>76</v>
      </c>
      <c r="R13" s="174">
        <v>13.3</v>
      </c>
      <c r="S13" s="174" t="s">
        <v>77</v>
      </c>
      <c r="T13" s="174" t="s">
        <v>78</v>
      </c>
    </row>
    <row r="14" customHeight="1" spans="1:20">
      <c r="A14" s="174">
        <v>10</v>
      </c>
      <c r="B14" s="174">
        <v>4901873568</v>
      </c>
      <c r="C14" s="176" t="s">
        <v>69</v>
      </c>
      <c r="D14" s="176" t="s">
        <v>70</v>
      </c>
      <c r="E14" s="176" t="s">
        <v>71</v>
      </c>
      <c r="F14" s="176" t="s">
        <v>72</v>
      </c>
      <c r="G14" s="176" t="s">
        <v>73</v>
      </c>
      <c r="H14" s="176">
        <v>50473265</v>
      </c>
      <c r="I14" s="176">
        <v>251087</v>
      </c>
      <c r="J14" s="176" t="s">
        <v>74</v>
      </c>
      <c r="K14" s="176">
        <v>10219212</v>
      </c>
      <c r="L14" s="177">
        <v>1</v>
      </c>
      <c r="M14" s="176" t="s">
        <v>72</v>
      </c>
      <c r="N14" s="176">
        <v>46</v>
      </c>
      <c r="O14" s="176">
        <v>280</v>
      </c>
      <c r="P14" s="176" t="s">
        <v>75</v>
      </c>
      <c r="Q14" s="176" t="s">
        <v>76</v>
      </c>
      <c r="R14" s="176">
        <v>13.3</v>
      </c>
      <c r="S14" s="176" t="s">
        <v>77</v>
      </c>
      <c r="T14" s="176" t="s">
        <v>78</v>
      </c>
    </row>
    <row r="15" customHeight="1" spans="1:20">
      <c r="A15" s="174">
        <v>11</v>
      </c>
      <c r="B15" s="174">
        <v>4901873568</v>
      </c>
      <c r="C15" s="174" t="s">
        <v>69</v>
      </c>
      <c r="D15" s="174" t="s">
        <v>70</v>
      </c>
      <c r="E15" s="174" t="s">
        <v>71</v>
      </c>
      <c r="F15" s="174" t="s">
        <v>72</v>
      </c>
      <c r="G15" s="174" t="s">
        <v>73</v>
      </c>
      <c r="H15" s="174">
        <v>50473265</v>
      </c>
      <c r="I15" s="174">
        <v>251087</v>
      </c>
      <c r="J15" s="174" t="s">
        <v>74</v>
      </c>
      <c r="K15" s="174">
        <v>10219212</v>
      </c>
      <c r="L15" s="175">
        <v>1</v>
      </c>
      <c r="M15" s="174" t="s">
        <v>72</v>
      </c>
      <c r="N15" s="174">
        <v>47</v>
      </c>
      <c r="O15" s="174">
        <v>1</v>
      </c>
      <c r="P15" s="174" t="s">
        <v>75</v>
      </c>
      <c r="Q15" s="174" t="s">
        <v>76</v>
      </c>
      <c r="R15" s="174">
        <v>13.3</v>
      </c>
      <c r="S15" s="174" t="s">
        <v>77</v>
      </c>
      <c r="T15" s="174" t="s">
        <v>78</v>
      </c>
    </row>
    <row r="16" customHeight="1" spans="1:20">
      <c r="A16" s="174">
        <v>12</v>
      </c>
      <c r="B16" s="174">
        <v>4901873568</v>
      </c>
      <c r="C16" s="176" t="s">
        <v>69</v>
      </c>
      <c r="D16" s="176" t="s">
        <v>70</v>
      </c>
      <c r="E16" s="176" t="s">
        <v>71</v>
      </c>
      <c r="F16" s="176" t="s">
        <v>72</v>
      </c>
      <c r="G16" s="176" t="s">
        <v>73</v>
      </c>
      <c r="H16" s="176">
        <v>50473265</v>
      </c>
      <c r="I16" s="176">
        <v>251087</v>
      </c>
      <c r="J16" s="176" t="s">
        <v>74</v>
      </c>
      <c r="K16" s="176">
        <v>10219212</v>
      </c>
      <c r="L16" s="177">
        <v>1</v>
      </c>
      <c r="M16" s="176" t="s">
        <v>72</v>
      </c>
      <c r="N16" s="176">
        <v>48</v>
      </c>
      <c r="O16" s="176">
        <v>12</v>
      </c>
      <c r="P16" s="176" t="s">
        <v>75</v>
      </c>
      <c r="Q16" s="176" t="s">
        <v>76</v>
      </c>
      <c r="R16" s="176">
        <v>13.3</v>
      </c>
      <c r="S16" s="176" t="s">
        <v>77</v>
      </c>
      <c r="T16" s="176" t="s">
        <v>78</v>
      </c>
    </row>
    <row r="17" customHeight="1" spans="1:20">
      <c r="A17" s="174">
        <v>13</v>
      </c>
      <c r="B17" s="174">
        <v>4901873568</v>
      </c>
      <c r="C17" s="174" t="s">
        <v>69</v>
      </c>
      <c r="D17" s="174" t="s">
        <v>70</v>
      </c>
      <c r="E17" s="174" t="s">
        <v>71</v>
      </c>
      <c r="F17" s="174" t="s">
        <v>72</v>
      </c>
      <c r="G17" s="174" t="s">
        <v>73</v>
      </c>
      <c r="H17" s="174">
        <v>50473265</v>
      </c>
      <c r="I17" s="174">
        <v>251087</v>
      </c>
      <c r="J17" s="174" t="s">
        <v>74</v>
      </c>
      <c r="K17" s="174">
        <v>10219212</v>
      </c>
      <c r="L17" s="175">
        <v>1</v>
      </c>
      <c r="M17" s="174" t="s">
        <v>72</v>
      </c>
      <c r="N17" s="174">
        <v>49</v>
      </c>
      <c r="O17" s="174">
        <v>2</v>
      </c>
      <c r="P17" s="174" t="s">
        <v>75</v>
      </c>
      <c r="Q17" s="174" t="s">
        <v>76</v>
      </c>
      <c r="R17" s="174">
        <v>13.3</v>
      </c>
      <c r="S17" s="174" t="s">
        <v>77</v>
      </c>
      <c r="T17" s="174" t="s">
        <v>78</v>
      </c>
    </row>
    <row r="18" customHeight="1" spans="1:20">
      <c r="A18" s="174">
        <v>14</v>
      </c>
      <c r="B18" s="174">
        <v>4901873568</v>
      </c>
      <c r="C18" s="176" t="s">
        <v>69</v>
      </c>
      <c r="D18" s="176" t="s">
        <v>70</v>
      </c>
      <c r="E18" s="176" t="s">
        <v>71</v>
      </c>
      <c r="F18" s="176" t="s">
        <v>72</v>
      </c>
      <c r="G18" s="176" t="s">
        <v>73</v>
      </c>
      <c r="H18" s="176">
        <v>50473265</v>
      </c>
      <c r="I18" s="176">
        <v>251087</v>
      </c>
      <c r="J18" s="176" t="s">
        <v>74</v>
      </c>
      <c r="K18" s="176">
        <v>10219212</v>
      </c>
      <c r="L18" s="177">
        <v>1</v>
      </c>
      <c r="M18" s="176" t="s">
        <v>72</v>
      </c>
      <c r="N18" s="176">
        <v>50</v>
      </c>
      <c r="O18" s="176">
        <v>1</v>
      </c>
      <c r="P18" s="176" t="s">
        <v>75</v>
      </c>
      <c r="Q18" s="176" t="s">
        <v>76</v>
      </c>
      <c r="R18" s="176">
        <v>13.3</v>
      </c>
      <c r="S18" s="176" t="s">
        <v>77</v>
      </c>
      <c r="T18" s="176" t="s">
        <v>78</v>
      </c>
    </row>
    <row r="19" customHeight="1" spans="1:20">
      <c r="A19" s="174">
        <v>15</v>
      </c>
      <c r="B19" s="174">
        <v>4901873568</v>
      </c>
      <c r="C19" s="174" t="s">
        <v>69</v>
      </c>
      <c r="D19" s="174" t="s">
        <v>70</v>
      </c>
      <c r="E19" s="174" t="s">
        <v>71</v>
      </c>
      <c r="F19" s="174" t="s">
        <v>72</v>
      </c>
      <c r="G19" s="174" t="s">
        <v>73</v>
      </c>
      <c r="H19" s="174">
        <v>50473265</v>
      </c>
      <c r="I19" s="174">
        <v>251087</v>
      </c>
      <c r="J19" s="174" t="s">
        <v>74</v>
      </c>
      <c r="K19" s="174">
        <v>10219212</v>
      </c>
      <c r="L19" s="175">
        <v>1</v>
      </c>
      <c r="M19" s="174" t="s">
        <v>72</v>
      </c>
      <c r="N19" s="174" t="s">
        <v>79</v>
      </c>
      <c r="O19" s="174">
        <v>10</v>
      </c>
      <c r="P19" s="174" t="s">
        <v>75</v>
      </c>
      <c r="Q19" s="174" t="s">
        <v>76</v>
      </c>
      <c r="R19" s="174">
        <v>13.3</v>
      </c>
      <c r="S19" s="174" t="s">
        <v>77</v>
      </c>
      <c r="T19" s="174" t="s">
        <v>78</v>
      </c>
    </row>
    <row r="20" customHeight="1" spans="1:20">
      <c r="A20" s="174">
        <v>16</v>
      </c>
      <c r="B20" s="174">
        <v>4901873568</v>
      </c>
      <c r="C20" s="176" t="s">
        <v>69</v>
      </c>
      <c r="D20" s="176" t="s">
        <v>70</v>
      </c>
      <c r="E20" s="176" t="s">
        <v>71</v>
      </c>
      <c r="F20" s="176" t="s">
        <v>72</v>
      </c>
      <c r="G20" s="176" t="s">
        <v>73</v>
      </c>
      <c r="H20" s="176">
        <v>50473265</v>
      </c>
      <c r="I20" s="176">
        <v>251087</v>
      </c>
      <c r="J20" s="176" t="s">
        <v>74</v>
      </c>
      <c r="K20" s="176">
        <v>10219212</v>
      </c>
      <c r="L20" s="177">
        <v>1</v>
      </c>
      <c r="M20" s="176" t="s">
        <v>72</v>
      </c>
      <c r="N20" s="176" t="s">
        <v>80</v>
      </c>
      <c r="O20" s="176">
        <v>43</v>
      </c>
      <c r="P20" s="176" t="s">
        <v>75</v>
      </c>
      <c r="Q20" s="176" t="s">
        <v>76</v>
      </c>
      <c r="R20" s="176">
        <v>13.3</v>
      </c>
      <c r="S20" s="176" t="s">
        <v>77</v>
      </c>
      <c r="T20" s="176" t="s">
        <v>78</v>
      </c>
    </row>
    <row r="21" customHeight="1" spans="1:20">
      <c r="A21" s="174">
        <v>17</v>
      </c>
      <c r="B21" s="174">
        <v>4901873568</v>
      </c>
      <c r="C21" s="174" t="s">
        <v>69</v>
      </c>
      <c r="D21" s="174" t="s">
        <v>70</v>
      </c>
      <c r="E21" s="174" t="s">
        <v>71</v>
      </c>
      <c r="F21" s="174" t="s">
        <v>72</v>
      </c>
      <c r="G21" s="174" t="s">
        <v>73</v>
      </c>
      <c r="H21" s="174">
        <v>50473265</v>
      </c>
      <c r="I21" s="174">
        <v>251087</v>
      </c>
      <c r="J21" s="174" t="s">
        <v>74</v>
      </c>
      <c r="K21" s="174">
        <v>10219212</v>
      </c>
      <c r="L21" s="175">
        <v>1</v>
      </c>
      <c r="M21" s="174" t="s">
        <v>72</v>
      </c>
      <c r="N21" s="174" t="s">
        <v>81</v>
      </c>
      <c r="O21" s="174">
        <v>35</v>
      </c>
      <c r="P21" s="174" t="s">
        <v>75</v>
      </c>
      <c r="Q21" s="174" t="s">
        <v>76</v>
      </c>
      <c r="R21" s="174">
        <v>13.3</v>
      </c>
      <c r="S21" s="174" t="s">
        <v>77</v>
      </c>
      <c r="T21" s="174" t="s">
        <v>78</v>
      </c>
    </row>
    <row r="22" customHeight="1" spans="1:20">
      <c r="A22" s="174">
        <v>18</v>
      </c>
      <c r="B22" s="174">
        <v>4901873568</v>
      </c>
      <c r="C22" s="176" t="s">
        <v>69</v>
      </c>
      <c r="D22" s="176" t="s">
        <v>70</v>
      </c>
      <c r="E22" s="176" t="s">
        <v>71</v>
      </c>
      <c r="F22" s="176" t="s">
        <v>72</v>
      </c>
      <c r="G22" s="176" t="s">
        <v>73</v>
      </c>
      <c r="H22" s="176">
        <v>50473265</v>
      </c>
      <c r="I22" s="176">
        <v>251087</v>
      </c>
      <c r="J22" s="176" t="s">
        <v>74</v>
      </c>
      <c r="K22" s="176">
        <v>10219212</v>
      </c>
      <c r="L22" s="177">
        <v>1</v>
      </c>
      <c r="M22" s="176" t="s">
        <v>72</v>
      </c>
      <c r="N22" s="176" t="s">
        <v>82</v>
      </c>
      <c r="O22" s="176">
        <v>30</v>
      </c>
      <c r="P22" s="176" t="s">
        <v>75</v>
      </c>
      <c r="Q22" s="176" t="s">
        <v>76</v>
      </c>
      <c r="R22" s="176">
        <v>13.3</v>
      </c>
      <c r="S22" s="176" t="s">
        <v>77</v>
      </c>
      <c r="T22" s="176" t="s">
        <v>78</v>
      </c>
    </row>
    <row r="23" customHeight="1" spans="1:20">
      <c r="A23" s="174">
        <v>19</v>
      </c>
      <c r="B23" s="174">
        <v>4901873568</v>
      </c>
      <c r="C23" s="174" t="s">
        <v>69</v>
      </c>
      <c r="D23" s="174" t="s">
        <v>70</v>
      </c>
      <c r="E23" s="174" t="s">
        <v>71</v>
      </c>
      <c r="F23" s="174" t="s">
        <v>72</v>
      </c>
      <c r="G23" s="174" t="s">
        <v>73</v>
      </c>
      <c r="H23" s="174">
        <v>50473265</v>
      </c>
      <c r="I23" s="174">
        <v>251087</v>
      </c>
      <c r="J23" s="174" t="s">
        <v>74</v>
      </c>
      <c r="K23" s="174">
        <v>10219212</v>
      </c>
      <c r="L23" s="175">
        <v>100</v>
      </c>
      <c r="M23" s="174" t="s">
        <v>83</v>
      </c>
      <c r="N23" s="174">
        <v>37</v>
      </c>
      <c r="O23" s="174">
        <v>58</v>
      </c>
      <c r="P23" s="174" t="s">
        <v>75</v>
      </c>
      <c r="Q23" s="174" t="s">
        <v>76</v>
      </c>
      <c r="R23" s="174">
        <v>13.3</v>
      </c>
      <c r="S23" s="174" t="s">
        <v>77</v>
      </c>
      <c r="T23" s="174" t="s">
        <v>78</v>
      </c>
    </row>
    <row r="24" customHeight="1" spans="1:20">
      <c r="A24" s="174">
        <v>20</v>
      </c>
      <c r="B24" s="174">
        <v>4901873568</v>
      </c>
      <c r="C24" s="176" t="s">
        <v>69</v>
      </c>
      <c r="D24" s="176" t="s">
        <v>70</v>
      </c>
      <c r="E24" s="176" t="s">
        <v>71</v>
      </c>
      <c r="F24" s="176" t="s">
        <v>72</v>
      </c>
      <c r="G24" s="176" t="s">
        <v>73</v>
      </c>
      <c r="H24" s="176">
        <v>50473265</v>
      </c>
      <c r="I24" s="176">
        <v>251087</v>
      </c>
      <c r="J24" s="176" t="s">
        <v>74</v>
      </c>
      <c r="K24" s="176">
        <v>10219212</v>
      </c>
      <c r="L24" s="177">
        <v>100</v>
      </c>
      <c r="M24" s="176" t="s">
        <v>83</v>
      </c>
      <c r="N24" s="176">
        <v>38</v>
      </c>
      <c r="O24" s="176">
        <v>410</v>
      </c>
      <c r="P24" s="176" t="s">
        <v>75</v>
      </c>
      <c r="Q24" s="176" t="s">
        <v>76</v>
      </c>
      <c r="R24" s="176">
        <v>13.3</v>
      </c>
      <c r="S24" s="176" t="s">
        <v>77</v>
      </c>
      <c r="T24" s="176" t="s">
        <v>78</v>
      </c>
    </row>
    <row r="25" customHeight="1" spans="1:20">
      <c r="A25" s="174">
        <v>21</v>
      </c>
      <c r="B25" s="174">
        <v>4901873568</v>
      </c>
      <c r="C25" s="174" t="s">
        <v>69</v>
      </c>
      <c r="D25" s="174" t="s">
        <v>70</v>
      </c>
      <c r="E25" s="174" t="s">
        <v>71</v>
      </c>
      <c r="F25" s="174" t="s">
        <v>72</v>
      </c>
      <c r="G25" s="174" t="s">
        <v>73</v>
      </c>
      <c r="H25" s="174">
        <v>50473265</v>
      </c>
      <c r="I25" s="174">
        <v>251087</v>
      </c>
      <c r="J25" s="174" t="s">
        <v>74</v>
      </c>
      <c r="K25" s="174">
        <v>10219212</v>
      </c>
      <c r="L25" s="175">
        <v>100</v>
      </c>
      <c r="M25" s="174" t="s">
        <v>83</v>
      </c>
      <c r="N25" s="174">
        <v>39</v>
      </c>
      <c r="O25" s="174">
        <v>606</v>
      </c>
      <c r="P25" s="174" t="s">
        <v>75</v>
      </c>
      <c r="Q25" s="174" t="s">
        <v>76</v>
      </c>
      <c r="R25" s="174">
        <v>13.3</v>
      </c>
      <c r="S25" s="174" t="s">
        <v>77</v>
      </c>
      <c r="T25" s="174" t="s">
        <v>78</v>
      </c>
    </row>
    <row r="26" customHeight="1" spans="1:20">
      <c r="A26" s="174">
        <v>22</v>
      </c>
      <c r="B26" s="174">
        <v>4901873568</v>
      </c>
      <c r="C26" s="176" t="s">
        <v>69</v>
      </c>
      <c r="D26" s="176" t="s">
        <v>70</v>
      </c>
      <c r="E26" s="176" t="s">
        <v>71</v>
      </c>
      <c r="F26" s="176" t="s">
        <v>72</v>
      </c>
      <c r="G26" s="176" t="s">
        <v>73</v>
      </c>
      <c r="H26" s="176">
        <v>50473265</v>
      </c>
      <c r="I26" s="176">
        <v>251087</v>
      </c>
      <c r="J26" s="176" t="s">
        <v>74</v>
      </c>
      <c r="K26" s="176">
        <v>10219212</v>
      </c>
      <c r="L26" s="177">
        <v>100</v>
      </c>
      <c r="M26" s="176" t="s">
        <v>83</v>
      </c>
      <c r="N26" s="176">
        <v>40</v>
      </c>
      <c r="O26" s="176">
        <v>1005</v>
      </c>
      <c r="P26" s="176" t="s">
        <v>75</v>
      </c>
      <c r="Q26" s="176" t="s">
        <v>76</v>
      </c>
      <c r="R26" s="176">
        <v>13.3</v>
      </c>
      <c r="S26" s="176" t="s">
        <v>77</v>
      </c>
      <c r="T26" s="176" t="s">
        <v>78</v>
      </c>
    </row>
    <row r="27" customHeight="1" spans="1:20">
      <c r="A27" s="174">
        <v>23</v>
      </c>
      <c r="B27" s="174">
        <v>4901873568</v>
      </c>
      <c r="C27" s="174" t="s">
        <v>69</v>
      </c>
      <c r="D27" s="174" t="s">
        <v>70</v>
      </c>
      <c r="E27" s="174" t="s">
        <v>71</v>
      </c>
      <c r="F27" s="174" t="s">
        <v>72</v>
      </c>
      <c r="G27" s="174" t="s">
        <v>73</v>
      </c>
      <c r="H27" s="174">
        <v>50473265</v>
      </c>
      <c r="I27" s="174">
        <v>251087</v>
      </c>
      <c r="J27" s="174" t="s">
        <v>74</v>
      </c>
      <c r="K27" s="174">
        <v>10219212</v>
      </c>
      <c r="L27" s="175">
        <v>100</v>
      </c>
      <c r="M27" s="174" t="s">
        <v>83</v>
      </c>
      <c r="N27" s="174">
        <v>41</v>
      </c>
      <c r="O27" s="174">
        <v>885</v>
      </c>
      <c r="P27" s="174" t="s">
        <v>75</v>
      </c>
      <c r="Q27" s="174" t="s">
        <v>76</v>
      </c>
      <c r="R27" s="174">
        <v>13.3</v>
      </c>
      <c r="S27" s="174" t="s">
        <v>77</v>
      </c>
      <c r="T27" s="174" t="s">
        <v>78</v>
      </c>
    </row>
    <row r="28" customHeight="1" spans="1:20">
      <c r="A28" s="174">
        <v>24</v>
      </c>
      <c r="B28" s="174">
        <v>4901873568</v>
      </c>
      <c r="C28" s="176" t="s">
        <v>69</v>
      </c>
      <c r="D28" s="176" t="s">
        <v>70</v>
      </c>
      <c r="E28" s="176" t="s">
        <v>71</v>
      </c>
      <c r="F28" s="176" t="s">
        <v>72</v>
      </c>
      <c r="G28" s="176" t="s">
        <v>73</v>
      </c>
      <c r="H28" s="176">
        <v>50473265</v>
      </c>
      <c r="I28" s="176">
        <v>251087</v>
      </c>
      <c r="J28" s="176" t="s">
        <v>74</v>
      </c>
      <c r="K28" s="176">
        <v>10219212</v>
      </c>
      <c r="L28" s="177">
        <v>100</v>
      </c>
      <c r="M28" s="176" t="s">
        <v>83</v>
      </c>
      <c r="N28" s="176">
        <v>42</v>
      </c>
      <c r="O28" s="176">
        <v>994</v>
      </c>
      <c r="P28" s="176" t="s">
        <v>75</v>
      </c>
      <c r="Q28" s="176" t="s">
        <v>76</v>
      </c>
      <c r="R28" s="176">
        <v>13.3</v>
      </c>
      <c r="S28" s="176" t="s">
        <v>77</v>
      </c>
      <c r="T28" s="176" t="s">
        <v>78</v>
      </c>
    </row>
    <row r="29" customHeight="1" spans="1:20">
      <c r="A29" s="174">
        <v>25</v>
      </c>
      <c r="B29" s="174">
        <v>4901873568</v>
      </c>
      <c r="C29" s="174" t="s">
        <v>69</v>
      </c>
      <c r="D29" s="174" t="s">
        <v>70</v>
      </c>
      <c r="E29" s="174" t="s">
        <v>71</v>
      </c>
      <c r="F29" s="174" t="s">
        <v>72</v>
      </c>
      <c r="G29" s="174" t="s">
        <v>73</v>
      </c>
      <c r="H29" s="174">
        <v>50473265</v>
      </c>
      <c r="I29" s="174">
        <v>251087</v>
      </c>
      <c r="J29" s="174" t="s">
        <v>74</v>
      </c>
      <c r="K29" s="174">
        <v>10219212</v>
      </c>
      <c r="L29" s="175">
        <v>100</v>
      </c>
      <c r="M29" s="174" t="s">
        <v>83</v>
      </c>
      <c r="N29" s="174">
        <v>43</v>
      </c>
      <c r="O29" s="174">
        <v>797</v>
      </c>
      <c r="P29" s="174" t="s">
        <v>75</v>
      </c>
      <c r="Q29" s="174" t="s">
        <v>76</v>
      </c>
      <c r="R29" s="174">
        <v>13.3</v>
      </c>
      <c r="S29" s="174" t="s">
        <v>77</v>
      </c>
      <c r="T29" s="174" t="s">
        <v>78</v>
      </c>
    </row>
    <row r="30" customHeight="1" spans="1:20">
      <c r="A30" s="174">
        <v>26</v>
      </c>
      <c r="B30" s="174">
        <v>4901873568</v>
      </c>
      <c r="C30" s="176" t="s">
        <v>69</v>
      </c>
      <c r="D30" s="176" t="s">
        <v>70</v>
      </c>
      <c r="E30" s="176" t="s">
        <v>71</v>
      </c>
      <c r="F30" s="176" t="s">
        <v>72</v>
      </c>
      <c r="G30" s="176" t="s">
        <v>73</v>
      </c>
      <c r="H30" s="176">
        <v>50473265</v>
      </c>
      <c r="I30" s="176">
        <v>251087</v>
      </c>
      <c r="J30" s="176" t="s">
        <v>74</v>
      </c>
      <c r="K30" s="176">
        <v>10219212</v>
      </c>
      <c r="L30" s="177">
        <v>100</v>
      </c>
      <c r="M30" s="176" t="s">
        <v>83</v>
      </c>
      <c r="N30" s="176">
        <v>44</v>
      </c>
      <c r="O30" s="176">
        <v>603</v>
      </c>
      <c r="P30" s="176" t="s">
        <v>75</v>
      </c>
      <c r="Q30" s="176" t="s">
        <v>76</v>
      </c>
      <c r="R30" s="176">
        <v>13.3</v>
      </c>
      <c r="S30" s="176" t="s">
        <v>77</v>
      </c>
      <c r="T30" s="176" t="s">
        <v>78</v>
      </c>
    </row>
    <row r="31" customHeight="1" spans="1:20">
      <c r="A31" s="174">
        <v>27</v>
      </c>
      <c r="B31" s="174">
        <v>4901873568</v>
      </c>
      <c r="C31" s="174" t="s">
        <v>69</v>
      </c>
      <c r="D31" s="174" t="s">
        <v>70</v>
      </c>
      <c r="E31" s="174" t="s">
        <v>71</v>
      </c>
      <c r="F31" s="174" t="s">
        <v>72</v>
      </c>
      <c r="G31" s="174" t="s">
        <v>73</v>
      </c>
      <c r="H31" s="174">
        <v>50473265</v>
      </c>
      <c r="I31" s="174">
        <v>251087</v>
      </c>
      <c r="J31" s="174" t="s">
        <v>74</v>
      </c>
      <c r="K31" s="174">
        <v>10219212</v>
      </c>
      <c r="L31" s="175">
        <v>100</v>
      </c>
      <c r="M31" s="174" t="s">
        <v>83</v>
      </c>
      <c r="N31" s="174">
        <v>45</v>
      </c>
      <c r="O31" s="174">
        <v>342</v>
      </c>
      <c r="P31" s="174" t="s">
        <v>75</v>
      </c>
      <c r="Q31" s="174" t="s">
        <v>76</v>
      </c>
      <c r="R31" s="174">
        <v>13.3</v>
      </c>
      <c r="S31" s="174" t="s">
        <v>77</v>
      </c>
      <c r="T31" s="174" t="s">
        <v>78</v>
      </c>
    </row>
    <row r="32" customHeight="1" spans="1:20">
      <c r="A32" s="174">
        <v>28</v>
      </c>
      <c r="B32" s="174">
        <v>4901873568</v>
      </c>
      <c r="C32" s="176" t="s">
        <v>69</v>
      </c>
      <c r="D32" s="176" t="s">
        <v>70</v>
      </c>
      <c r="E32" s="176" t="s">
        <v>71</v>
      </c>
      <c r="F32" s="176" t="s">
        <v>72</v>
      </c>
      <c r="G32" s="176" t="s">
        <v>73</v>
      </c>
      <c r="H32" s="176">
        <v>50473265</v>
      </c>
      <c r="I32" s="176">
        <v>251087</v>
      </c>
      <c r="J32" s="176" t="s">
        <v>74</v>
      </c>
      <c r="K32" s="176">
        <v>10219212</v>
      </c>
      <c r="L32" s="177">
        <v>100</v>
      </c>
      <c r="M32" s="176" t="s">
        <v>83</v>
      </c>
      <c r="N32" s="176">
        <v>46</v>
      </c>
      <c r="O32" s="176">
        <v>378</v>
      </c>
      <c r="P32" s="176" t="s">
        <v>75</v>
      </c>
      <c r="Q32" s="176" t="s">
        <v>76</v>
      </c>
      <c r="R32" s="176">
        <v>13.3</v>
      </c>
      <c r="S32" s="176" t="s">
        <v>77</v>
      </c>
      <c r="T32" s="176" t="s">
        <v>78</v>
      </c>
    </row>
    <row r="33" customHeight="1" spans="1:20">
      <c r="A33" s="174">
        <v>29</v>
      </c>
      <c r="B33" s="174">
        <v>4901873568</v>
      </c>
      <c r="C33" s="174" t="s">
        <v>69</v>
      </c>
      <c r="D33" s="174" t="s">
        <v>70</v>
      </c>
      <c r="E33" s="174" t="s">
        <v>71</v>
      </c>
      <c r="F33" s="174" t="s">
        <v>72</v>
      </c>
      <c r="G33" s="174" t="s">
        <v>73</v>
      </c>
      <c r="H33" s="174">
        <v>50473265</v>
      </c>
      <c r="I33" s="174">
        <v>251087</v>
      </c>
      <c r="J33" s="174" t="s">
        <v>74</v>
      </c>
      <c r="K33" s="174">
        <v>10219212</v>
      </c>
      <c r="L33" s="175">
        <v>100</v>
      </c>
      <c r="M33" s="174" t="s">
        <v>83</v>
      </c>
      <c r="N33" s="174">
        <v>48</v>
      </c>
      <c r="O33" s="174">
        <v>6</v>
      </c>
      <c r="P33" s="174" t="s">
        <v>75</v>
      </c>
      <c r="Q33" s="174" t="s">
        <v>76</v>
      </c>
      <c r="R33" s="174">
        <v>13.3</v>
      </c>
      <c r="S33" s="174" t="s">
        <v>77</v>
      </c>
      <c r="T33" s="174" t="s">
        <v>78</v>
      </c>
    </row>
    <row r="34" customHeight="1" spans="1:20">
      <c r="A34" s="174">
        <v>30</v>
      </c>
      <c r="B34" s="174">
        <v>4901873568</v>
      </c>
      <c r="C34" s="176" t="s">
        <v>69</v>
      </c>
      <c r="D34" s="176" t="s">
        <v>70</v>
      </c>
      <c r="E34" s="176" t="s">
        <v>71</v>
      </c>
      <c r="F34" s="176" t="s">
        <v>72</v>
      </c>
      <c r="G34" s="176" t="s">
        <v>73</v>
      </c>
      <c r="H34" s="176">
        <v>50473265</v>
      </c>
      <c r="I34" s="176">
        <v>251087</v>
      </c>
      <c r="J34" s="176" t="s">
        <v>74</v>
      </c>
      <c r="K34" s="176">
        <v>10219212</v>
      </c>
      <c r="L34" s="177">
        <v>404</v>
      </c>
      <c r="M34" s="176" t="s">
        <v>84</v>
      </c>
      <c r="N34" s="176">
        <v>37</v>
      </c>
      <c r="O34" s="176">
        <v>18</v>
      </c>
      <c r="P34" s="176" t="s">
        <v>75</v>
      </c>
      <c r="Q34" s="176" t="s">
        <v>76</v>
      </c>
      <c r="R34" s="176">
        <v>13.3</v>
      </c>
      <c r="S34" s="176" t="s">
        <v>77</v>
      </c>
      <c r="T34" s="176" t="s">
        <v>78</v>
      </c>
    </row>
    <row r="35" customHeight="1" spans="1:20">
      <c r="A35" s="174">
        <v>31</v>
      </c>
      <c r="B35" s="174">
        <v>4901873568</v>
      </c>
      <c r="C35" s="174" t="s">
        <v>69</v>
      </c>
      <c r="D35" s="174" t="s">
        <v>70</v>
      </c>
      <c r="E35" s="174" t="s">
        <v>71</v>
      </c>
      <c r="F35" s="174" t="s">
        <v>72</v>
      </c>
      <c r="G35" s="174" t="s">
        <v>73</v>
      </c>
      <c r="H35" s="174">
        <v>50473265</v>
      </c>
      <c r="I35" s="174">
        <v>251087</v>
      </c>
      <c r="J35" s="174" t="s">
        <v>74</v>
      </c>
      <c r="K35" s="174">
        <v>10219212</v>
      </c>
      <c r="L35" s="175">
        <v>404</v>
      </c>
      <c r="M35" s="174" t="s">
        <v>84</v>
      </c>
      <c r="N35" s="174">
        <v>38</v>
      </c>
      <c r="O35" s="174">
        <v>224</v>
      </c>
      <c r="P35" s="174" t="s">
        <v>75</v>
      </c>
      <c r="Q35" s="174" t="s">
        <v>76</v>
      </c>
      <c r="R35" s="174">
        <v>13.3</v>
      </c>
      <c r="S35" s="174" t="s">
        <v>77</v>
      </c>
      <c r="T35" s="174" t="s">
        <v>78</v>
      </c>
    </row>
    <row r="36" customHeight="1" spans="1:20">
      <c r="A36" s="174">
        <v>32</v>
      </c>
      <c r="B36" s="174">
        <v>4901873568</v>
      </c>
      <c r="C36" s="176" t="s">
        <v>69</v>
      </c>
      <c r="D36" s="176" t="s">
        <v>70</v>
      </c>
      <c r="E36" s="176" t="s">
        <v>71</v>
      </c>
      <c r="F36" s="176" t="s">
        <v>72</v>
      </c>
      <c r="G36" s="176" t="s">
        <v>73</v>
      </c>
      <c r="H36" s="176">
        <v>50473265</v>
      </c>
      <c r="I36" s="176">
        <v>251087</v>
      </c>
      <c r="J36" s="176" t="s">
        <v>74</v>
      </c>
      <c r="K36" s="176">
        <v>10219212</v>
      </c>
      <c r="L36" s="177">
        <v>404</v>
      </c>
      <c r="M36" s="176" t="s">
        <v>84</v>
      </c>
      <c r="N36" s="176">
        <v>39</v>
      </c>
      <c r="O36" s="176">
        <v>363</v>
      </c>
      <c r="P36" s="176" t="s">
        <v>75</v>
      </c>
      <c r="Q36" s="176" t="s">
        <v>76</v>
      </c>
      <c r="R36" s="176">
        <v>13.3</v>
      </c>
      <c r="S36" s="176" t="s">
        <v>77</v>
      </c>
      <c r="T36" s="176" t="s">
        <v>78</v>
      </c>
    </row>
    <row r="37" customHeight="1" spans="1:20">
      <c r="A37" s="174">
        <v>33</v>
      </c>
      <c r="B37" s="174">
        <v>4901873568</v>
      </c>
      <c r="C37" s="174" t="s">
        <v>69</v>
      </c>
      <c r="D37" s="174" t="s">
        <v>70</v>
      </c>
      <c r="E37" s="174" t="s">
        <v>71</v>
      </c>
      <c r="F37" s="174" t="s">
        <v>72</v>
      </c>
      <c r="G37" s="174" t="s">
        <v>73</v>
      </c>
      <c r="H37" s="174">
        <v>50473265</v>
      </c>
      <c r="I37" s="174">
        <v>251087</v>
      </c>
      <c r="J37" s="174" t="s">
        <v>74</v>
      </c>
      <c r="K37" s="174">
        <v>10219212</v>
      </c>
      <c r="L37" s="175">
        <v>404</v>
      </c>
      <c r="M37" s="174" t="s">
        <v>84</v>
      </c>
      <c r="N37" s="174">
        <v>40</v>
      </c>
      <c r="O37" s="174">
        <v>563</v>
      </c>
      <c r="P37" s="174" t="s">
        <v>75</v>
      </c>
      <c r="Q37" s="174" t="s">
        <v>76</v>
      </c>
      <c r="R37" s="174">
        <v>13.3</v>
      </c>
      <c r="S37" s="174" t="s">
        <v>77</v>
      </c>
      <c r="T37" s="174" t="s">
        <v>78</v>
      </c>
    </row>
    <row r="38" customHeight="1" spans="1:20">
      <c r="A38" s="174">
        <v>34</v>
      </c>
      <c r="B38" s="174">
        <v>4901873568</v>
      </c>
      <c r="C38" s="176" t="s">
        <v>69</v>
      </c>
      <c r="D38" s="176" t="s">
        <v>70</v>
      </c>
      <c r="E38" s="176" t="s">
        <v>71</v>
      </c>
      <c r="F38" s="176" t="s">
        <v>72</v>
      </c>
      <c r="G38" s="176" t="s">
        <v>73</v>
      </c>
      <c r="H38" s="176">
        <v>50473265</v>
      </c>
      <c r="I38" s="176">
        <v>251087</v>
      </c>
      <c r="J38" s="176" t="s">
        <v>74</v>
      </c>
      <c r="K38" s="176">
        <v>10219212</v>
      </c>
      <c r="L38" s="177">
        <v>404</v>
      </c>
      <c r="M38" s="176" t="s">
        <v>84</v>
      </c>
      <c r="N38" s="176">
        <v>41</v>
      </c>
      <c r="O38" s="176">
        <v>551</v>
      </c>
      <c r="P38" s="176" t="s">
        <v>75</v>
      </c>
      <c r="Q38" s="176" t="s">
        <v>76</v>
      </c>
      <c r="R38" s="176">
        <v>13.3</v>
      </c>
      <c r="S38" s="176" t="s">
        <v>77</v>
      </c>
      <c r="T38" s="176" t="s">
        <v>78</v>
      </c>
    </row>
    <row r="39" customHeight="1" spans="1:20">
      <c r="A39" s="174">
        <v>35</v>
      </c>
      <c r="B39" s="174">
        <v>4901873568</v>
      </c>
      <c r="C39" s="174" t="s">
        <v>69</v>
      </c>
      <c r="D39" s="174" t="s">
        <v>70</v>
      </c>
      <c r="E39" s="174" t="s">
        <v>71</v>
      </c>
      <c r="F39" s="174" t="s">
        <v>72</v>
      </c>
      <c r="G39" s="174" t="s">
        <v>73</v>
      </c>
      <c r="H39" s="174">
        <v>50473265</v>
      </c>
      <c r="I39" s="174">
        <v>251087</v>
      </c>
      <c r="J39" s="174" t="s">
        <v>74</v>
      </c>
      <c r="K39" s="174">
        <v>10219212</v>
      </c>
      <c r="L39" s="175">
        <v>404</v>
      </c>
      <c r="M39" s="174" t="s">
        <v>84</v>
      </c>
      <c r="N39" s="174">
        <v>42</v>
      </c>
      <c r="O39" s="174">
        <v>700</v>
      </c>
      <c r="P39" s="174" t="s">
        <v>75</v>
      </c>
      <c r="Q39" s="174" t="s">
        <v>76</v>
      </c>
      <c r="R39" s="174">
        <v>13.3</v>
      </c>
      <c r="S39" s="174" t="s">
        <v>77</v>
      </c>
      <c r="T39" s="174" t="s">
        <v>78</v>
      </c>
    </row>
    <row r="40" customHeight="1" spans="1:20">
      <c r="A40" s="174">
        <v>36</v>
      </c>
      <c r="B40" s="174">
        <v>4901873568</v>
      </c>
      <c r="C40" s="176" t="s">
        <v>69</v>
      </c>
      <c r="D40" s="176" t="s">
        <v>70</v>
      </c>
      <c r="E40" s="176" t="s">
        <v>71</v>
      </c>
      <c r="F40" s="176" t="s">
        <v>72</v>
      </c>
      <c r="G40" s="176" t="s">
        <v>73</v>
      </c>
      <c r="H40" s="176">
        <v>50473265</v>
      </c>
      <c r="I40" s="176">
        <v>251087</v>
      </c>
      <c r="J40" s="176" t="s">
        <v>74</v>
      </c>
      <c r="K40" s="176">
        <v>10219212</v>
      </c>
      <c r="L40" s="177">
        <v>404</v>
      </c>
      <c r="M40" s="176" t="s">
        <v>84</v>
      </c>
      <c r="N40" s="176">
        <v>43</v>
      </c>
      <c r="O40" s="176">
        <v>641</v>
      </c>
      <c r="P40" s="176" t="s">
        <v>75</v>
      </c>
      <c r="Q40" s="176" t="s">
        <v>76</v>
      </c>
      <c r="R40" s="176">
        <v>13.3</v>
      </c>
      <c r="S40" s="176" t="s">
        <v>77</v>
      </c>
      <c r="T40" s="176" t="s">
        <v>78</v>
      </c>
    </row>
    <row r="41" customHeight="1" spans="1:20">
      <c r="A41" s="174">
        <v>37</v>
      </c>
      <c r="B41" s="174">
        <v>4901873568</v>
      </c>
      <c r="C41" s="174" t="s">
        <v>69</v>
      </c>
      <c r="D41" s="174" t="s">
        <v>70</v>
      </c>
      <c r="E41" s="174" t="s">
        <v>71</v>
      </c>
      <c r="F41" s="174" t="s">
        <v>72</v>
      </c>
      <c r="G41" s="174" t="s">
        <v>73</v>
      </c>
      <c r="H41" s="174">
        <v>50473265</v>
      </c>
      <c r="I41" s="174">
        <v>251087</v>
      </c>
      <c r="J41" s="174" t="s">
        <v>74</v>
      </c>
      <c r="K41" s="174">
        <v>10219212</v>
      </c>
      <c r="L41" s="175">
        <v>404</v>
      </c>
      <c r="M41" s="174" t="s">
        <v>84</v>
      </c>
      <c r="N41" s="174">
        <v>44</v>
      </c>
      <c r="O41" s="174">
        <v>401</v>
      </c>
      <c r="P41" s="174" t="s">
        <v>75</v>
      </c>
      <c r="Q41" s="174" t="s">
        <v>76</v>
      </c>
      <c r="R41" s="174">
        <v>13.3</v>
      </c>
      <c r="S41" s="174" t="s">
        <v>77</v>
      </c>
      <c r="T41" s="174" t="s">
        <v>78</v>
      </c>
    </row>
    <row r="42" customHeight="1" spans="1:20">
      <c r="A42" s="174">
        <v>38</v>
      </c>
      <c r="B42" s="174">
        <v>4901873568</v>
      </c>
      <c r="C42" s="176" t="s">
        <v>69</v>
      </c>
      <c r="D42" s="176" t="s">
        <v>70</v>
      </c>
      <c r="E42" s="176" t="s">
        <v>71</v>
      </c>
      <c r="F42" s="176" t="s">
        <v>72</v>
      </c>
      <c r="G42" s="176" t="s">
        <v>73</v>
      </c>
      <c r="H42" s="176">
        <v>50473265</v>
      </c>
      <c r="I42" s="176">
        <v>251087</v>
      </c>
      <c r="J42" s="176" t="s">
        <v>74</v>
      </c>
      <c r="K42" s="176">
        <v>10219212</v>
      </c>
      <c r="L42" s="177">
        <v>404</v>
      </c>
      <c r="M42" s="176" t="s">
        <v>84</v>
      </c>
      <c r="N42" s="176">
        <v>45</v>
      </c>
      <c r="O42" s="176">
        <v>178</v>
      </c>
      <c r="P42" s="176" t="s">
        <v>75</v>
      </c>
      <c r="Q42" s="176" t="s">
        <v>76</v>
      </c>
      <c r="R42" s="176">
        <v>13.3</v>
      </c>
      <c r="S42" s="176" t="s">
        <v>77</v>
      </c>
      <c r="T42" s="176" t="s">
        <v>78</v>
      </c>
    </row>
    <row r="43" customHeight="1" spans="1:20">
      <c r="A43" s="174">
        <v>39</v>
      </c>
      <c r="B43" s="174">
        <v>4901873568</v>
      </c>
      <c r="C43" s="174" t="s">
        <v>69</v>
      </c>
      <c r="D43" s="174" t="s">
        <v>70</v>
      </c>
      <c r="E43" s="174" t="s">
        <v>71</v>
      </c>
      <c r="F43" s="174" t="s">
        <v>72</v>
      </c>
      <c r="G43" s="174" t="s">
        <v>73</v>
      </c>
      <c r="H43" s="174">
        <v>50473265</v>
      </c>
      <c r="I43" s="174">
        <v>251087</v>
      </c>
      <c r="J43" s="174" t="s">
        <v>74</v>
      </c>
      <c r="K43" s="174">
        <v>10219212</v>
      </c>
      <c r="L43" s="175">
        <v>404</v>
      </c>
      <c r="M43" s="174" t="s">
        <v>84</v>
      </c>
      <c r="N43" s="174">
        <v>46</v>
      </c>
      <c r="O43" s="174">
        <v>113</v>
      </c>
      <c r="P43" s="174" t="s">
        <v>75</v>
      </c>
      <c r="Q43" s="174" t="s">
        <v>76</v>
      </c>
      <c r="R43" s="174">
        <v>13.3</v>
      </c>
      <c r="S43" s="174" t="s">
        <v>77</v>
      </c>
      <c r="T43" s="174" t="s">
        <v>78</v>
      </c>
    </row>
    <row r="44" customHeight="1" spans="1:20">
      <c r="A44" s="174">
        <v>40</v>
      </c>
      <c r="B44" s="174">
        <v>4901873568</v>
      </c>
      <c r="C44" s="176" t="s">
        <v>69</v>
      </c>
      <c r="D44" s="176" t="s">
        <v>70</v>
      </c>
      <c r="E44" s="176" t="s">
        <v>71</v>
      </c>
      <c r="F44" s="176" t="s">
        <v>72</v>
      </c>
      <c r="G44" s="176" t="s">
        <v>73</v>
      </c>
      <c r="H44" s="176">
        <v>50473265</v>
      </c>
      <c r="I44" s="176">
        <v>251087</v>
      </c>
      <c r="J44" s="176" t="s">
        <v>74</v>
      </c>
      <c r="K44" s="176">
        <v>10219212</v>
      </c>
      <c r="L44" s="177">
        <v>404</v>
      </c>
      <c r="M44" s="176" t="s">
        <v>84</v>
      </c>
      <c r="N44" s="176" t="s">
        <v>80</v>
      </c>
      <c r="O44" s="176">
        <v>27</v>
      </c>
      <c r="P44" s="176" t="s">
        <v>75</v>
      </c>
      <c r="Q44" s="176" t="s">
        <v>76</v>
      </c>
      <c r="R44" s="176">
        <v>13.3</v>
      </c>
      <c r="S44" s="176" t="s">
        <v>77</v>
      </c>
      <c r="T44" s="176" t="s">
        <v>78</v>
      </c>
    </row>
    <row r="45" customHeight="1" spans="1:20">
      <c r="A45" s="174">
        <v>41</v>
      </c>
      <c r="B45" s="174">
        <v>4901873568</v>
      </c>
      <c r="C45" s="174" t="s">
        <v>69</v>
      </c>
      <c r="D45" s="174" t="s">
        <v>70</v>
      </c>
      <c r="E45" s="174" t="s">
        <v>71</v>
      </c>
      <c r="F45" s="174" t="s">
        <v>72</v>
      </c>
      <c r="G45" s="174" t="s">
        <v>73</v>
      </c>
      <c r="H45" s="174">
        <v>50473265</v>
      </c>
      <c r="I45" s="174">
        <v>251087</v>
      </c>
      <c r="J45" s="174" t="s">
        <v>74</v>
      </c>
      <c r="K45" s="174">
        <v>10219212</v>
      </c>
      <c r="L45" s="175">
        <v>404</v>
      </c>
      <c r="M45" s="174" t="s">
        <v>84</v>
      </c>
      <c r="N45" s="174" t="s">
        <v>81</v>
      </c>
      <c r="O45" s="174">
        <v>38</v>
      </c>
      <c r="P45" s="174" t="s">
        <v>75</v>
      </c>
      <c r="Q45" s="174" t="s">
        <v>76</v>
      </c>
      <c r="R45" s="174">
        <v>13.3</v>
      </c>
      <c r="S45" s="174" t="s">
        <v>77</v>
      </c>
      <c r="T45" s="174" t="s">
        <v>78</v>
      </c>
    </row>
    <row r="46" customHeight="1" spans="1:20">
      <c r="A46" s="174">
        <v>42</v>
      </c>
      <c r="B46" s="174">
        <v>4901873568</v>
      </c>
      <c r="C46" s="176" t="s">
        <v>69</v>
      </c>
      <c r="D46" s="176" t="s">
        <v>70</v>
      </c>
      <c r="E46" s="176" t="s">
        <v>71</v>
      </c>
      <c r="F46" s="176" t="s">
        <v>72</v>
      </c>
      <c r="G46" s="176" t="s">
        <v>73</v>
      </c>
      <c r="H46" s="176">
        <v>50473265</v>
      </c>
      <c r="I46" s="176">
        <v>251087</v>
      </c>
      <c r="J46" s="176" t="s">
        <v>74</v>
      </c>
      <c r="K46" s="176">
        <v>10219212</v>
      </c>
      <c r="L46" s="177">
        <v>404</v>
      </c>
      <c r="M46" s="176" t="s">
        <v>84</v>
      </c>
      <c r="N46" s="176" t="s">
        <v>82</v>
      </c>
      <c r="O46" s="176">
        <v>15</v>
      </c>
      <c r="P46" s="176" t="s">
        <v>75</v>
      </c>
      <c r="Q46" s="176" t="s">
        <v>76</v>
      </c>
      <c r="R46" s="176">
        <v>13.3</v>
      </c>
      <c r="S46" s="176" t="s">
        <v>77</v>
      </c>
      <c r="T46" s="176" t="s">
        <v>78</v>
      </c>
    </row>
    <row r="47" customHeight="1" spans="1:20">
      <c r="A47" s="174">
        <v>43</v>
      </c>
      <c r="B47" s="174">
        <v>4901873568</v>
      </c>
      <c r="C47" s="174" t="s">
        <v>69</v>
      </c>
      <c r="D47" s="174" t="s">
        <v>70</v>
      </c>
      <c r="E47" s="174" t="s">
        <v>71</v>
      </c>
      <c r="F47" s="174" t="s">
        <v>72</v>
      </c>
      <c r="G47" s="174" t="s">
        <v>73</v>
      </c>
      <c r="H47" s="174">
        <v>50473265</v>
      </c>
      <c r="I47" s="174">
        <v>251087</v>
      </c>
      <c r="J47" s="174" t="s">
        <v>74</v>
      </c>
      <c r="K47" s="174">
        <v>10219212</v>
      </c>
      <c r="L47" s="175">
        <v>452</v>
      </c>
      <c r="M47" s="174" t="s">
        <v>85</v>
      </c>
      <c r="N47" s="174">
        <v>37</v>
      </c>
      <c r="O47" s="174">
        <v>13</v>
      </c>
      <c r="P47" s="174" t="s">
        <v>75</v>
      </c>
      <c r="Q47" s="174" t="s">
        <v>76</v>
      </c>
      <c r="R47" s="174">
        <v>13.3</v>
      </c>
      <c r="S47" s="174" t="s">
        <v>77</v>
      </c>
      <c r="T47" s="174" t="s">
        <v>78</v>
      </c>
    </row>
    <row r="48" customHeight="1" spans="1:20">
      <c r="A48" s="174">
        <v>44</v>
      </c>
      <c r="B48" s="174">
        <v>4901873568</v>
      </c>
      <c r="C48" s="176" t="s">
        <v>69</v>
      </c>
      <c r="D48" s="176" t="s">
        <v>70</v>
      </c>
      <c r="E48" s="176" t="s">
        <v>71</v>
      </c>
      <c r="F48" s="176" t="s">
        <v>72</v>
      </c>
      <c r="G48" s="176" t="s">
        <v>73</v>
      </c>
      <c r="H48" s="176">
        <v>50473265</v>
      </c>
      <c r="I48" s="176">
        <v>251087</v>
      </c>
      <c r="J48" s="176" t="s">
        <v>74</v>
      </c>
      <c r="K48" s="176">
        <v>10219212</v>
      </c>
      <c r="L48" s="177">
        <v>452</v>
      </c>
      <c r="M48" s="176" t="s">
        <v>85</v>
      </c>
      <c r="N48" s="176">
        <v>38</v>
      </c>
      <c r="O48" s="176">
        <v>109</v>
      </c>
      <c r="P48" s="176" t="s">
        <v>75</v>
      </c>
      <c r="Q48" s="176" t="s">
        <v>76</v>
      </c>
      <c r="R48" s="176">
        <v>13.3</v>
      </c>
      <c r="S48" s="176" t="s">
        <v>77</v>
      </c>
      <c r="T48" s="176" t="s">
        <v>78</v>
      </c>
    </row>
    <row r="49" customHeight="1" spans="1:20">
      <c r="A49" s="174">
        <v>45</v>
      </c>
      <c r="B49" s="174">
        <v>4901873568</v>
      </c>
      <c r="C49" s="174" t="s">
        <v>69</v>
      </c>
      <c r="D49" s="174" t="s">
        <v>70</v>
      </c>
      <c r="E49" s="174" t="s">
        <v>71</v>
      </c>
      <c r="F49" s="174" t="s">
        <v>72</v>
      </c>
      <c r="G49" s="174" t="s">
        <v>73</v>
      </c>
      <c r="H49" s="174">
        <v>50473265</v>
      </c>
      <c r="I49" s="174">
        <v>251087</v>
      </c>
      <c r="J49" s="174" t="s">
        <v>74</v>
      </c>
      <c r="K49" s="174">
        <v>10219212</v>
      </c>
      <c r="L49" s="175">
        <v>452</v>
      </c>
      <c r="M49" s="174" t="s">
        <v>85</v>
      </c>
      <c r="N49" s="174">
        <v>39</v>
      </c>
      <c r="O49" s="174">
        <v>273</v>
      </c>
      <c r="P49" s="174" t="s">
        <v>75</v>
      </c>
      <c r="Q49" s="174" t="s">
        <v>76</v>
      </c>
      <c r="R49" s="174">
        <v>13.3</v>
      </c>
      <c r="S49" s="174" t="s">
        <v>77</v>
      </c>
      <c r="T49" s="174" t="s">
        <v>78</v>
      </c>
    </row>
    <row r="50" customHeight="1" spans="1:20">
      <c r="A50" s="174">
        <v>46</v>
      </c>
      <c r="B50" s="174">
        <v>4901873568</v>
      </c>
      <c r="C50" s="176" t="s">
        <v>69</v>
      </c>
      <c r="D50" s="176" t="s">
        <v>70</v>
      </c>
      <c r="E50" s="176" t="s">
        <v>71</v>
      </c>
      <c r="F50" s="176" t="s">
        <v>72</v>
      </c>
      <c r="G50" s="176" t="s">
        <v>73</v>
      </c>
      <c r="H50" s="176">
        <v>50473265</v>
      </c>
      <c r="I50" s="176">
        <v>251087</v>
      </c>
      <c r="J50" s="176" t="s">
        <v>74</v>
      </c>
      <c r="K50" s="176">
        <v>10219212</v>
      </c>
      <c r="L50" s="177">
        <v>452</v>
      </c>
      <c r="M50" s="176" t="s">
        <v>85</v>
      </c>
      <c r="N50" s="176">
        <v>40</v>
      </c>
      <c r="O50" s="176">
        <v>393</v>
      </c>
      <c r="P50" s="176" t="s">
        <v>75</v>
      </c>
      <c r="Q50" s="176" t="s">
        <v>76</v>
      </c>
      <c r="R50" s="176">
        <v>13.3</v>
      </c>
      <c r="S50" s="176" t="s">
        <v>77</v>
      </c>
      <c r="T50" s="176" t="s">
        <v>78</v>
      </c>
    </row>
    <row r="51" customHeight="1" spans="1:20">
      <c r="A51" s="174">
        <v>47</v>
      </c>
      <c r="B51" s="174">
        <v>4901873568</v>
      </c>
      <c r="C51" s="174" t="s">
        <v>69</v>
      </c>
      <c r="D51" s="174" t="s">
        <v>70</v>
      </c>
      <c r="E51" s="174" t="s">
        <v>71</v>
      </c>
      <c r="F51" s="174" t="s">
        <v>72</v>
      </c>
      <c r="G51" s="174" t="s">
        <v>73</v>
      </c>
      <c r="H51" s="174">
        <v>50473265</v>
      </c>
      <c r="I51" s="174">
        <v>251087</v>
      </c>
      <c r="J51" s="174" t="s">
        <v>74</v>
      </c>
      <c r="K51" s="174">
        <v>10219212</v>
      </c>
      <c r="L51" s="175">
        <v>452</v>
      </c>
      <c r="M51" s="174" t="s">
        <v>85</v>
      </c>
      <c r="N51" s="174">
        <v>41</v>
      </c>
      <c r="O51" s="174">
        <v>451</v>
      </c>
      <c r="P51" s="174" t="s">
        <v>75</v>
      </c>
      <c r="Q51" s="174" t="s">
        <v>76</v>
      </c>
      <c r="R51" s="174">
        <v>13.3</v>
      </c>
      <c r="S51" s="174" t="s">
        <v>77</v>
      </c>
      <c r="T51" s="174" t="s">
        <v>78</v>
      </c>
    </row>
    <row r="52" customHeight="1" spans="1:20">
      <c r="A52" s="174">
        <v>48</v>
      </c>
      <c r="B52" s="174">
        <v>4901873568</v>
      </c>
      <c r="C52" s="176" t="s">
        <v>69</v>
      </c>
      <c r="D52" s="176" t="s">
        <v>70</v>
      </c>
      <c r="E52" s="176" t="s">
        <v>71</v>
      </c>
      <c r="F52" s="176" t="s">
        <v>72</v>
      </c>
      <c r="G52" s="176" t="s">
        <v>73</v>
      </c>
      <c r="H52" s="176">
        <v>50473265</v>
      </c>
      <c r="I52" s="176">
        <v>251087</v>
      </c>
      <c r="J52" s="176" t="s">
        <v>74</v>
      </c>
      <c r="K52" s="176">
        <v>10219212</v>
      </c>
      <c r="L52" s="177">
        <v>452</v>
      </c>
      <c r="M52" s="176" t="s">
        <v>85</v>
      </c>
      <c r="N52" s="176">
        <v>42</v>
      </c>
      <c r="O52" s="176">
        <v>540</v>
      </c>
      <c r="P52" s="176" t="s">
        <v>75</v>
      </c>
      <c r="Q52" s="176" t="s">
        <v>76</v>
      </c>
      <c r="R52" s="176">
        <v>13.3</v>
      </c>
      <c r="S52" s="176" t="s">
        <v>77</v>
      </c>
      <c r="T52" s="176" t="s">
        <v>78</v>
      </c>
    </row>
    <row r="53" customHeight="1" spans="1:20">
      <c r="A53" s="174">
        <v>49</v>
      </c>
      <c r="B53" s="174">
        <v>4901873568</v>
      </c>
      <c r="C53" s="174" t="s">
        <v>69</v>
      </c>
      <c r="D53" s="174" t="s">
        <v>70</v>
      </c>
      <c r="E53" s="174" t="s">
        <v>71</v>
      </c>
      <c r="F53" s="174" t="s">
        <v>72</v>
      </c>
      <c r="G53" s="174" t="s">
        <v>73</v>
      </c>
      <c r="H53" s="174">
        <v>50473265</v>
      </c>
      <c r="I53" s="174">
        <v>251087</v>
      </c>
      <c r="J53" s="174" t="s">
        <v>74</v>
      </c>
      <c r="K53" s="174">
        <v>10219212</v>
      </c>
      <c r="L53" s="175">
        <v>452</v>
      </c>
      <c r="M53" s="174" t="s">
        <v>85</v>
      </c>
      <c r="N53" s="174">
        <v>43</v>
      </c>
      <c r="O53" s="174">
        <v>464</v>
      </c>
      <c r="P53" s="174" t="s">
        <v>75</v>
      </c>
      <c r="Q53" s="174" t="s">
        <v>76</v>
      </c>
      <c r="R53" s="174">
        <v>13.3</v>
      </c>
      <c r="S53" s="174" t="s">
        <v>77</v>
      </c>
      <c r="T53" s="174" t="s">
        <v>78</v>
      </c>
    </row>
    <row r="54" customHeight="1" spans="1:20">
      <c r="A54" s="174">
        <v>50</v>
      </c>
      <c r="B54" s="174">
        <v>4901873568</v>
      </c>
      <c r="C54" s="176" t="s">
        <v>69</v>
      </c>
      <c r="D54" s="176" t="s">
        <v>70</v>
      </c>
      <c r="E54" s="176" t="s">
        <v>71</v>
      </c>
      <c r="F54" s="176" t="s">
        <v>72</v>
      </c>
      <c r="G54" s="176" t="s">
        <v>73</v>
      </c>
      <c r="H54" s="176">
        <v>50473265</v>
      </c>
      <c r="I54" s="176">
        <v>251087</v>
      </c>
      <c r="J54" s="176" t="s">
        <v>74</v>
      </c>
      <c r="K54" s="176">
        <v>10219212</v>
      </c>
      <c r="L54" s="177">
        <v>452</v>
      </c>
      <c r="M54" s="176" t="s">
        <v>85</v>
      </c>
      <c r="N54" s="176">
        <v>44</v>
      </c>
      <c r="O54" s="176">
        <v>297</v>
      </c>
      <c r="P54" s="176" t="s">
        <v>75</v>
      </c>
      <c r="Q54" s="176" t="s">
        <v>76</v>
      </c>
      <c r="R54" s="176">
        <v>13.3</v>
      </c>
      <c r="S54" s="176" t="s">
        <v>77</v>
      </c>
      <c r="T54" s="176" t="s">
        <v>78</v>
      </c>
    </row>
    <row r="55" customHeight="1" spans="1:20">
      <c r="A55" s="174">
        <v>51</v>
      </c>
      <c r="B55" s="174">
        <v>4901873568</v>
      </c>
      <c r="C55" s="174" t="s">
        <v>69</v>
      </c>
      <c r="D55" s="174" t="s">
        <v>70</v>
      </c>
      <c r="E55" s="174" t="s">
        <v>71</v>
      </c>
      <c r="F55" s="174" t="s">
        <v>72</v>
      </c>
      <c r="G55" s="174" t="s">
        <v>73</v>
      </c>
      <c r="H55" s="174">
        <v>50473265</v>
      </c>
      <c r="I55" s="174">
        <v>251087</v>
      </c>
      <c r="J55" s="174" t="s">
        <v>74</v>
      </c>
      <c r="K55" s="174">
        <v>10219212</v>
      </c>
      <c r="L55" s="175">
        <v>452</v>
      </c>
      <c r="M55" s="174" t="s">
        <v>85</v>
      </c>
      <c r="N55" s="174">
        <v>45</v>
      </c>
      <c r="O55" s="174">
        <v>219</v>
      </c>
      <c r="P55" s="174" t="s">
        <v>75</v>
      </c>
      <c r="Q55" s="174" t="s">
        <v>76</v>
      </c>
      <c r="R55" s="174">
        <v>13.3</v>
      </c>
      <c r="S55" s="174" t="s">
        <v>77</v>
      </c>
      <c r="T55" s="174" t="s">
        <v>78</v>
      </c>
    </row>
    <row r="56" customHeight="1" spans="1:20">
      <c r="A56" s="174">
        <v>52</v>
      </c>
      <c r="B56" s="174">
        <v>4901873568</v>
      </c>
      <c r="C56" s="176" t="s">
        <v>69</v>
      </c>
      <c r="D56" s="176" t="s">
        <v>70</v>
      </c>
      <c r="E56" s="176" t="s">
        <v>71</v>
      </c>
      <c r="F56" s="176" t="s">
        <v>72</v>
      </c>
      <c r="G56" s="176" t="s">
        <v>73</v>
      </c>
      <c r="H56" s="176">
        <v>50473265</v>
      </c>
      <c r="I56" s="176">
        <v>251087</v>
      </c>
      <c r="J56" s="176" t="s">
        <v>74</v>
      </c>
      <c r="K56" s="176">
        <v>10219212</v>
      </c>
      <c r="L56" s="177">
        <v>452</v>
      </c>
      <c r="M56" s="176" t="s">
        <v>85</v>
      </c>
      <c r="N56" s="176">
        <v>46</v>
      </c>
      <c r="O56" s="176">
        <v>77</v>
      </c>
      <c r="P56" s="176" t="s">
        <v>75</v>
      </c>
      <c r="Q56" s="176" t="s">
        <v>76</v>
      </c>
      <c r="R56" s="176">
        <v>13.3</v>
      </c>
      <c r="S56" s="176" t="s">
        <v>77</v>
      </c>
      <c r="T56" s="176" t="s">
        <v>78</v>
      </c>
    </row>
    <row r="57" customHeight="1" spans="1:20">
      <c r="A57" s="178">
        <v>53</v>
      </c>
      <c r="B57" s="179">
        <v>4901893255</v>
      </c>
      <c r="C57" s="179" t="s">
        <v>86</v>
      </c>
      <c r="D57" s="179" t="s">
        <v>70</v>
      </c>
      <c r="E57" s="179" t="s">
        <v>71</v>
      </c>
      <c r="F57" s="179" t="s">
        <v>72</v>
      </c>
      <c r="G57" s="179" t="s">
        <v>73</v>
      </c>
      <c r="H57" s="179">
        <v>50576239</v>
      </c>
      <c r="I57" s="179">
        <v>326565</v>
      </c>
      <c r="J57" s="179" t="s">
        <v>87</v>
      </c>
      <c r="K57" s="179">
        <v>10284171</v>
      </c>
      <c r="L57" s="180">
        <v>118</v>
      </c>
      <c r="M57" s="179" t="s">
        <v>88</v>
      </c>
      <c r="N57" s="179" t="s">
        <v>89</v>
      </c>
      <c r="O57" s="179">
        <v>47</v>
      </c>
      <c r="P57" s="179" t="s">
        <v>90</v>
      </c>
      <c r="Q57" s="179" t="s">
        <v>91</v>
      </c>
      <c r="R57" s="179">
        <v>17.8</v>
      </c>
      <c r="S57" s="179" t="s">
        <v>77</v>
      </c>
      <c r="T57" s="179" t="s">
        <v>78</v>
      </c>
    </row>
    <row r="58" customHeight="1" spans="1:20">
      <c r="A58" s="174">
        <v>54</v>
      </c>
      <c r="B58" s="181">
        <v>4901893255</v>
      </c>
      <c r="C58" s="181" t="s">
        <v>86</v>
      </c>
      <c r="D58" s="181" t="s">
        <v>70</v>
      </c>
      <c r="E58" s="181" t="s">
        <v>71</v>
      </c>
      <c r="F58" s="181" t="s">
        <v>72</v>
      </c>
      <c r="G58" s="181" t="s">
        <v>73</v>
      </c>
      <c r="H58" s="181">
        <v>50576239</v>
      </c>
      <c r="I58" s="181">
        <v>326565</v>
      </c>
      <c r="J58" s="181" t="s">
        <v>87</v>
      </c>
      <c r="K58" s="181">
        <v>10284171</v>
      </c>
      <c r="L58" s="182">
        <v>118</v>
      </c>
      <c r="M58" s="181" t="s">
        <v>88</v>
      </c>
      <c r="N58" s="181" t="s">
        <v>92</v>
      </c>
      <c r="O58" s="181">
        <v>146</v>
      </c>
      <c r="P58" s="181" t="s">
        <v>90</v>
      </c>
      <c r="Q58" s="181" t="s">
        <v>91</v>
      </c>
      <c r="R58" s="181">
        <v>17.8</v>
      </c>
      <c r="S58" s="181" t="s">
        <v>77</v>
      </c>
      <c r="T58" s="181" t="s">
        <v>78</v>
      </c>
    </row>
    <row r="59" customHeight="1" spans="1:20">
      <c r="A59" s="174">
        <v>55</v>
      </c>
      <c r="B59" s="181">
        <v>4901893255</v>
      </c>
      <c r="C59" s="181" t="s">
        <v>86</v>
      </c>
      <c r="D59" s="181" t="s">
        <v>70</v>
      </c>
      <c r="E59" s="181" t="s">
        <v>71</v>
      </c>
      <c r="F59" s="181" t="s">
        <v>72</v>
      </c>
      <c r="G59" s="181" t="s">
        <v>73</v>
      </c>
      <c r="H59" s="181">
        <v>50576239</v>
      </c>
      <c r="I59" s="181">
        <v>326565</v>
      </c>
      <c r="J59" s="181" t="s">
        <v>87</v>
      </c>
      <c r="K59" s="181">
        <v>10284171</v>
      </c>
      <c r="L59" s="182">
        <v>118</v>
      </c>
      <c r="M59" s="181" t="s">
        <v>88</v>
      </c>
      <c r="N59" s="181" t="s">
        <v>93</v>
      </c>
      <c r="O59" s="181">
        <v>164</v>
      </c>
      <c r="P59" s="181" t="s">
        <v>90</v>
      </c>
      <c r="Q59" s="181" t="s">
        <v>91</v>
      </c>
      <c r="R59" s="181">
        <v>17.8</v>
      </c>
      <c r="S59" s="181" t="s">
        <v>77</v>
      </c>
      <c r="T59" s="181" t="s">
        <v>78</v>
      </c>
    </row>
    <row r="60" customHeight="1" spans="1:20">
      <c r="A60" s="174">
        <v>56</v>
      </c>
      <c r="B60" s="181">
        <v>4901893255</v>
      </c>
      <c r="C60" s="181" t="s">
        <v>86</v>
      </c>
      <c r="D60" s="181" t="s">
        <v>70</v>
      </c>
      <c r="E60" s="181" t="s">
        <v>71</v>
      </c>
      <c r="F60" s="181" t="s">
        <v>72</v>
      </c>
      <c r="G60" s="181" t="s">
        <v>73</v>
      </c>
      <c r="H60" s="181">
        <v>50576239</v>
      </c>
      <c r="I60" s="181">
        <v>326565</v>
      </c>
      <c r="J60" s="181" t="s">
        <v>87</v>
      </c>
      <c r="K60" s="181">
        <v>10284171</v>
      </c>
      <c r="L60" s="182">
        <v>118</v>
      </c>
      <c r="M60" s="181" t="s">
        <v>88</v>
      </c>
      <c r="N60" s="181" t="s">
        <v>94</v>
      </c>
      <c r="O60" s="181">
        <v>134</v>
      </c>
      <c r="P60" s="181" t="s">
        <v>90</v>
      </c>
      <c r="Q60" s="181" t="s">
        <v>91</v>
      </c>
      <c r="R60" s="181">
        <v>17.8</v>
      </c>
      <c r="S60" s="181" t="s">
        <v>77</v>
      </c>
      <c r="T60" s="181" t="s">
        <v>78</v>
      </c>
    </row>
    <row r="61" customHeight="1" spans="1:20">
      <c r="A61" s="174">
        <v>57</v>
      </c>
      <c r="B61" s="181">
        <v>4901893255</v>
      </c>
      <c r="C61" s="181" t="s">
        <v>86</v>
      </c>
      <c r="D61" s="181" t="s">
        <v>70</v>
      </c>
      <c r="E61" s="181" t="s">
        <v>71</v>
      </c>
      <c r="F61" s="181" t="s">
        <v>72</v>
      </c>
      <c r="G61" s="181" t="s">
        <v>73</v>
      </c>
      <c r="H61" s="181">
        <v>50576239</v>
      </c>
      <c r="I61" s="181">
        <v>326565</v>
      </c>
      <c r="J61" s="181" t="s">
        <v>87</v>
      </c>
      <c r="K61" s="181">
        <v>10284171</v>
      </c>
      <c r="L61" s="182">
        <v>118</v>
      </c>
      <c r="M61" s="181" t="s">
        <v>88</v>
      </c>
      <c r="N61" s="181" t="s">
        <v>95</v>
      </c>
      <c r="O61" s="181">
        <v>76</v>
      </c>
      <c r="P61" s="181" t="s">
        <v>90</v>
      </c>
      <c r="Q61" s="181" t="s">
        <v>91</v>
      </c>
      <c r="R61" s="181">
        <v>17.8</v>
      </c>
      <c r="S61" s="181" t="s">
        <v>77</v>
      </c>
      <c r="T61" s="181" t="s">
        <v>78</v>
      </c>
    </row>
    <row r="62" customHeight="1" spans="1:20">
      <c r="A62" s="174">
        <v>58</v>
      </c>
      <c r="B62" s="181">
        <v>4901893255</v>
      </c>
      <c r="C62" s="181" t="s">
        <v>86</v>
      </c>
      <c r="D62" s="181" t="s">
        <v>70</v>
      </c>
      <c r="E62" s="181" t="s">
        <v>71</v>
      </c>
      <c r="F62" s="181" t="s">
        <v>72</v>
      </c>
      <c r="G62" s="181" t="s">
        <v>73</v>
      </c>
      <c r="H62" s="181">
        <v>50576239</v>
      </c>
      <c r="I62" s="181">
        <v>326565</v>
      </c>
      <c r="J62" s="181" t="s">
        <v>87</v>
      </c>
      <c r="K62" s="181">
        <v>10284171</v>
      </c>
      <c r="L62" s="182">
        <v>118</v>
      </c>
      <c r="M62" s="181" t="s">
        <v>88</v>
      </c>
      <c r="N62" s="181" t="s">
        <v>96</v>
      </c>
      <c r="O62" s="181">
        <v>17</v>
      </c>
      <c r="P62" s="181" t="s">
        <v>90</v>
      </c>
      <c r="Q62" s="181" t="s">
        <v>91</v>
      </c>
      <c r="R62" s="181">
        <v>17.8</v>
      </c>
      <c r="S62" s="181" t="s">
        <v>77</v>
      </c>
      <c r="T62" s="181" t="s">
        <v>78</v>
      </c>
    </row>
    <row r="63" customHeight="1" spans="1:20">
      <c r="A63" s="174">
        <v>59</v>
      </c>
      <c r="B63" s="181">
        <v>4901893255</v>
      </c>
      <c r="C63" s="181" t="s">
        <v>86</v>
      </c>
      <c r="D63" s="181" t="s">
        <v>70</v>
      </c>
      <c r="E63" s="181" t="s">
        <v>71</v>
      </c>
      <c r="F63" s="181" t="s">
        <v>72</v>
      </c>
      <c r="G63" s="181" t="s">
        <v>73</v>
      </c>
      <c r="H63" s="181">
        <v>50576239</v>
      </c>
      <c r="I63" s="181">
        <v>326565</v>
      </c>
      <c r="J63" s="181" t="s">
        <v>87</v>
      </c>
      <c r="K63" s="181">
        <v>10284171</v>
      </c>
      <c r="L63" s="182">
        <v>404</v>
      </c>
      <c r="M63" s="181" t="s">
        <v>84</v>
      </c>
      <c r="N63" s="181" t="s">
        <v>89</v>
      </c>
      <c r="O63" s="181">
        <v>12</v>
      </c>
      <c r="P63" s="181" t="s">
        <v>90</v>
      </c>
      <c r="Q63" s="181" t="s">
        <v>91</v>
      </c>
      <c r="R63" s="181">
        <v>17.8</v>
      </c>
      <c r="S63" s="181" t="s">
        <v>77</v>
      </c>
      <c r="T63" s="181" t="s">
        <v>78</v>
      </c>
    </row>
    <row r="64" customHeight="1" spans="1:20">
      <c r="A64" s="174">
        <v>60</v>
      </c>
      <c r="B64" s="181">
        <v>4901893255</v>
      </c>
      <c r="C64" s="181" t="s">
        <v>86</v>
      </c>
      <c r="D64" s="181" t="s">
        <v>70</v>
      </c>
      <c r="E64" s="181" t="s">
        <v>71</v>
      </c>
      <c r="F64" s="181" t="s">
        <v>72</v>
      </c>
      <c r="G64" s="181" t="s">
        <v>73</v>
      </c>
      <c r="H64" s="181">
        <v>50576239</v>
      </c>
      <c r="I64" s="181">
        <v>326565</v>
      </c>
      <c r="J64" s="181" t="s">
        <v>87</v>
      </c>
      <c r="K64" s="181">
        <v>10284171</v>
      </c>
      <c r="L64" s="182">
        <v>404</v>
      </c>
      <c r="M64" s="181" t="s">
        <v>84</v>
      </c>
      <c r="N64" s="181" t="s">
        <v>92</v>
      </c>
      <c r="O64" s="181">
        <v>50</v>
      </c>
      <c r="P64" s="181" t="s">
        <v>90</v>
      </c>
      <c r="Q64" s="181" t="s">
        <v>91</v>
      </c>
      <c r="R64" s="181">
        <v>17.8</v>
      </c>
      <c r="S64" s="181" t="s">
        <v>77</v>
      </c>
      <c r="T64" s="181" t="s">
        <v>78</v>
      </c>
    </row>
    <row r="65" customHeight="1" spans="1:20">
      <c r="A65" s="174">
        <v>61</v>
      </c>
      <c r="B65" s="181">
        <v>4901893255</v>
      </c>
      <c r="C65" s="181" t="s">
        <v>86</v>
      </c>
      <c r="D65" s="181" t="s">
        <v>70</v>
      </c>
      <c r="E65" s="181" t="s">
        <v>71</v>
      </c>
      <c r="F65" s="181" t="s">
        <v>72</v>
      </c>
      <c r="G65" s="181" t="s">
        <v>73</v>
      </c>
      <c r="H65" s="181">
        <v>50576239</v>
      </c>
      <c r="I65" s="181">
        <v>326565</v>
      </c>
      <c r="J65" s="181" t="s">
        <v>87</v>
      </c>
      <c r="K65" s="181">
        <v>10284171</v>
      </c>
      <c r="L65" s="182">
        <v>404</v>
      </c>
      <c r="M65" s="181" t="s">
        <v>84</v>
      </c>
      <c r="N65" s="181" t="s">
        <v>93</v>
      </c>
      <c r="O65" s="181">
        <v>73</v>
      </c>
      <c r="P65" s="181" t="s">
        <v>90</v>
      </c>
      <c r="Q65" s="181" t="s">
        <v>91</v>
      </c>
      <c r="R65" s="181">
        <v>17.8</v>
      </c>
      <c r="S65" s="181" t="s">
        <v>77</v>
      </c>
      <c r="T65" s="181" t="s">
        <v>78</v>
      </c>
    </row>
    <row r="66" customHeight="1" spans="1:20">
      <c r="A66" s="174">
        <v>62</v>
      </c>
      <c r="B66" s="181">
        <v>4901893255</v>
      </c>
      <c r="C66" s="181" t="s">
        <v>86</v>
      </c>
      <c r="D66" s="181" t="s">
        <v>70</v>
      </c>
      <c r="E66" s="181" t="s">
        <v>71</v>
      </c>
      <c r="F66" s="181" t="s">
        <v>72</v>
      </c>
      <c r="G66" s="181" t="s">
        <v>73</v>
      </c>
      <c r="H66" s="181">
        <v>50576239</v>
      </c>
      <c r="I66" s="181">
        <v>326565</v>
      </c>
      <c r="J66" s="181" t="s">
        <v>87</v>
      </c>
      <c r="K66" s="181">
        <v>10284171</v>
      </c>
      <c r="L66" s="182">
        <v>404</v>
      </c>
      <c r="M66" s="181" t="s">
        <v>84</v>
      </c>
      <c r="N66" s="181" t="s">
        <v>94</v>
      </c>
      <c r="O66" s="181">
        <v>33</v>
      </c>
      <c r="P66" s="181" t="s">
        <v>90</v>
      </c>
      <c r="Q66" s="181" t="s">
        <v>91</v>
      </c>
      <c r="R66" s="181">
        <v>17.8</v>
      </c>
      <c r="S66" s="181" t="s">
        <v>77</v>
      </c>
      <c r="T66" s="181" t="s">
        <v>78</v>
      </c>
    </row>
    <row r="67" customHeight="1" spans="1:20">
      <c r="A67" s="174">
        <v>63</v>
      </c>
      <c r="B67" s="181">
        <v>4901893255</v>
      </c>
      <c r="C67" s="181" t="s">
        <v>86</v>
      </c>
      <c r="D67" s="181" t="s">
        <v>70</v>
      </c>
      <c r="E67" s="181" t="s">
        <v>71</v>
      </c>
      <c r="F67" s="181" t="s">
        <v>72</v>
      </c>
      <c r="G67" s="181" t="s">
        <v>73</v>
      </c>
      <c r="H67" s="181">
        <v>50576239</v>
      </c>
      <c r="I67" s="181">
        <v>326565</v>
      </c>
      <c r="J67" s="181" t="s">
        <v>87</v>
      </c>
      <c r="K67" s="181">
        <v>10284171</v>
      </c>
      <c r="L67" s="182">
        <v>404</v>
      </c>
      <c r="M67" s="181" t="s">
        <v>84</v>
      </c>
      <c r="N67" s="181" t="s">
        <v>95</v>
      </c>
      <c r="O67" s="181">
        <v>20</v>
      </c>
      <c r="P67" s="181" t="s">
        <v>90</v>
      </c>
      <c r="Q67" s="181" t="s">
        <v>91</v>
      </c>
      <c r="R67" s="181">
        <v>17.8</v>
      </c>
      <c r="S67" s="181" t="s">
        <v>77</v>
      </c>
      <c r="T67" s="181" t="s">
        <v>78</v>
      </c>
    </row>
    <row r="68" customHeight="1" spans="1:20">
      <c r="A68" s="174">
        <v>64</v>
      </c>
      <c r="B68" s="181">
        <v>4901893255</v>
      </c>
      <c r="C68" s="181" t="s">
        <v>86</v>
      </c>
      <c r="D68" s="181" t="s">
        <v>70</v>
      </c>
      <c r="E68" s="181" t="s">
        <v>71</v>
      </c>
      <c r="F68" s="181" t="s">
        <v>72</v>
      </c>
      <c r="G68" s="181" t="s">
        <v>73</v>
      </c>
      <c r="H68" s="181">
        <v>50576239</v>
      </c>
      <c r="I68" s="181">
        <v>326565</v>
      </c>
      <c r="J68" s="181" t="s">
        <v>87</v>
      </c>
      <c r="K68" s="181">
        <v>10284171</v>
      </c>
      <c r="L68" s="182">
        <v>404</v>
      </c>
      <c r="M68" s="181" t="s">
        <v>84</v>
      </c>
      <c r="N68" s="181" t="s">
        <v>96</v>
      </c>
      <c r="O68" s="181">
        <v>4</v>
      </c>
      <c r="P68" s="181" t="s">
        <v>90</v>
      </c>
      <c r="Q68" s="181" t="s">
        <v>91</v>
      </c>
      <c r="R68" s="181">
        <v>17.8</v>
      </c>
      <c r="S68" s="181" t="s">
        <v>77</v>
      </c>
      <c r="T68" s="181" t="s">
        <v>78</v>
      </c>
    </row>
    <row r="69" customHeight="1" spans="1:20">
      <c r="A69" s="174">
        <v>65</v>
      </c>
      <c r="B69" s="181">
        <v>4901893255</v>
      </c>
      <c r="C69" s="181" t="s">
        <v>86</v>
      </c>
      <c r="D69" s="181" t="s">
        <v>70</v>
      </c>
      <c r="E69" s="181" t="s">
        <v>71</v>
      </c>
      <c r="F69" s="181" t="s">
        <v>72</v>
      </c>
      <c r="G69" s="181" t="s">
        <v>73</v>
      </c>
      <c r="H69" s="181">
        <v>50576239</v>
      </c>
      <c r="I69" s="181">
        <v>326565</v>
      </c>
      <c r="J69" s="181" t="s">
        <v>87</v>
      </c>
      <c r="K69" s="181">
        <v>10284171</v>
      </c>
      <c r="L69" s="182">
        <v>923</v>
      </c>
      <c r="M69" s="181" t="s">
        <v>97</v>
      </c>
      <c r="N69" s="181" t="s">
        <v>89</v>
      </c>
      <c r="O69" s="181">
        <v>155</v>
      </c>
      <c r="P69" s="181" t="s">
        <v>90</v>
      </c>
      <c r="Q69" s="181" t="s">
        <v>91</v>
      </c>
      <c r="R69" s="181">
        <v>17.8</v>
      </c>
      <c r="S69" s="181" t="s">
        <v>77</v>
      </c>
      <c r="T69" s="181" t="s">
        <v>78</v>
      </c>
    </row>
    <row r="70" customHeight="1" spans="1:20">
      <c r="A70" s="174">
        <v>66</v>
      </c>
      <c r="B70" s="181">
        <v>4901893255</v>
      </c>
      <c r="C70" s="181" t="s">
        <v>86</v>
      </c>
      <c r="D70" s="181" t="s">
        <v>70</v>
      </c>
      <c r="E70" s="181" t="s">
        <v>71</v>
      </c>
      <c r="F70" s="181" t="s">
        <v>72</v>
      </c>
      <c r="G70" s="181" t="s">
        <v>73</v>
      </c>
      <c r="H70" s="181">
        <v>50576239</v>
      </c>
      <c r="I70" s="181">
        <v>326565</v>
      </c>
      <c r="J70" s="181" t="s">
        <v>87</v>
      </c>
      <c r="K70" s="181">
        <v>10284171</v>
      </c>
      <c r="L70" s="182">
        <v>923</v>
      </c>
      <c r="M70" s="181" t="s">
        <v>97</v>
      </c>
      <c r="N70" s="181" t="s">
        <v>92</v>
      </c>
      <c r="O70" s="181">
        <v>456</v>
      </c>
      <c r="P70" s="181" t="s">
        <v>90</v>
      </c>
      <c r="Q70" s="181" t="s">
        <v>91</v>
      </c>
      <c r="R70" s="181">
        <v>17.8</v>
      </c>
      <c r="S70" s="181" t="s">
        <v>77</v>
      </c>
      <c r="T70" s="181" t="s">
        <v>78</v>
      </c>
    </row>
    <row r="71" customHeight="1" spans="1:20">
      <c r="A71" s="174">
        <v>67</v>
      </c>
      <c r="B71" s="181">
        <v>4901893255</v>
      </c>
      <c r="C71" s="181" t="s">
        <v>86</v>
      </c>
      <c r="D71" s="181" t="s">
        <v>70</v>
      </c>
      <c r="E71" s="181" t="s">
        <v>71</v>
      </c>
      <c r="F71" s="181" t="s">
        <v>72</v>
      </c>
      <c r="G71" s="181" t="s">
        <v>73</v>
      </c>
      <c r="H71" s="181">
        <v>50576239</v>
      </c>
      <c r="I71" s="181">
        <v>326565</v>
      </c>
      <c r="J71" s="181" t="s">
        <v>87</v>
      </c>
      <c r="K71" s="181">
        <v>10284171</v>
      </c>
      <c r="L71" s="182">
        <v>923</v>
      </c>
      <c r="M71" s="181" t="s">
        <v>97</v>
      </c>
      <c r="N71" s="181" t="s">
        <v>93</v>
      </c>
      <c r="O71" s="181">
        <v>508</v>
      </c>
      <c r="P71" s="181" t="s">
        <v>90</v>
      </c>
      <c r="Q71" s="181" t="s">
        <v>91</v>
      </c>
      <c r="R71" s="181">
        <v>17.8</v>
      </c>
      <c r="S71" s="181" t="s">
        <v>77</v>
      </c>
      <c r="T71" s="181" t="s">
        <v>78</v>
      </c>
    </row>
    <row r="72" customHeight="1" spans="1:20">
      <c r="A72" s="174">
        <v>68</v>
      </c>
      <c r="B72" s="181">
        <v>4901893255</v>
      </c>
      <c r="C72" s="181" t="s">
        <v>86</v>
      </c>
      <c r="D72" s="181" t="s">
        <v>70</v>
      </c>
      <c r="E72" s="181" t="s">
        <v>71</v>
      </c>
      <c r="F72" s="181" t="s">
        <v>72</v>
      </c>
      <c r="G72" s="181" t="s">
        <v>73</v>
      </c>
      <c r="H72" s="181">
        <v>50576239</v>
      </c>
      <c r="I72" s="181">
        <v>326565</v>
      </c>
      <c r="J72" s="181" t="s">
        <v>87</v>
      </c>
      <c r="K72" s="181">
        <v>10284171</v>
      </c>
      <c r="L72" s="182">
        <v>923</v>
      </c>
      <c r="M72" s="181" t="s">
        <v>97</v>
      </c>
      <c r="N72" s="181" t="s">
        <v>94</v>
      </c>
      <c r="O72" s="181">
        <v>387</v>
      </c>
      <c r="P72" s="181" t="s">
        <v>90</v>
      </c>
      <c r="Q72" s="181" t="s">
        <v>91</v>
      </c>
      <c r="R72" s="181">
        <v>17.8</v>
      </c>
      <c r="S72" s="181" t="s">
        <v>77</v>
      </c>
      <c r="T72" s="181" t="s">
        <v>78</v>
      </c>
    </row>
    <row r="73" customHeight="1" spans="1:20">
      <c r="A73" s="174">
        <v>69</v>
      </c>
      <c r="B73" s="181">
        <v>4901893255</v>
      </c>
      <c r="C73" s="181" t="s">
        <v>86</v>
      </c>
      <c r="D73" s="181" t="s">
        <v>70</v>
      </c>
      <c r="E73" s="181" t="s">
        <v>71</v>
      </c>
      <c r="F73" s="181" t="s">
        <v>72</v>
      </c>
      <c r="G73" s="181" t="s">
        <v>73</v>
      </c>
      <c r="H73" s="181">
        <v>50576239</v>
      </c>
      <c r="I73" s="181">
        <v>326565</v>
      </c>
      <c r="J73" s="181" t="s">
        <v>87</v>
      </c>
      <c r="K73" s="181">
        <v>10284171</v>
      </c>
      <c r="L73" s="182">
        <v>923</v>
      </c>
      <c r="M73" s="181" t="s">
        <v>97</v>
      </c>
      <c r="N73" s="181" t="s">
        <v>95</v>
      </c>
      <c r="O73" s="181">
        <v>190</v>
      </c>
      <c r="P73" s="181" t="s">
        <v>90</v>
      </c>
      <c r="Q73" s="181" t="s">
        <v>91</v>
      </c>
      <c r="R73" s="181">
        <v>17.8</v>
      </c>
      <c r="S73" s="181" t="s">
        <v>77</v>
      </c>
      <c r="T73" s="181" t="s">
        <v>78</v>
      </c>
    </row>
    <row r="74" customHeight="1" spans="1:20">
      <c r="A74" s="174">
        <v>70</v>
      </c>
      <c r="B74" s="181">
        <v>4901893255</v>
      </c>
      <c r="C74" s="181" t="s">
        <v>86</v>
      </c>
      <c r="D74" s="181" t="s">
        <v>70</v>
      </c>
      <c r="E74" s="181" t="s">
        <v>71</v>
      </c>
      <c r="F74" s="181" t="s">
        <v>72</v>
      </c>
      <c r="G74" s="181" t="s">
        <v>73</v>
      </c>
      <c r="H74" s="181">
        <v>50576239</v>
      </c>
      <c r="I74" s="181">
        <v>326565</v>
      </c>
      <c r="J74" s="181" t="s">
        <v>87</v>
      </c>
      <c r="K74" s="181">
        <v>10284171</v>
      </c>
      <c r="L74" s="182">
        <v>923</v>
      </c>
      <c r="M74" s="181" t="s">
        <v>97</v>
      </c>
      <c r="N74" s="181" t="s">
        <v>96</v>
      </c>
      <c r="O74" s="181">
        <v>33</v>
      </c>
      <c r="P74" s="181" t="s">
        <v>90</v>
      </c>
      <c r="Q74" s="181" t="s">
        <v>91</v>
      </c>
      <c r="R74" s="181">
        <v>17.8</v>
      </c>
      <c r="S74" s="181" t="s">
        <v>77</v>
      </c>
      <c r="T74" s="181" t="s">
        <v>78</v>
      </c>
    </row>
    <row r="75" ht="21" customHeight="1" spans="1:20">
      <c r="B75" s="105" t="s">
        <v>98</v>
      </c>
      <c r="O75" s="106">
        <f>SUM(O5:O74)</f>
        <v>19450</v>
      </c>
      <c r="P75" s="3" t="str">
        <f>"Total Value: $"&amp;TEXT(SUMPRODUCT(O5:O74,R5:R74),"#,##0.00")&amp;" USD"</f>
        <v>Total Value: $2,69,957.50 USD</v>
      </c>
    </row>
  </sheetData>
  <mergeCells count="4">
    <mergeCell ref="A1:T1"/>
    <mergeCell ref="A2:T2"/>
    <mergeCell ref="B75:N75"/>
    <mergeCell ref="P75:T75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E30"/>
  <sheetViews>
    <sheetView workbookViewId="0">
      <pane xSplit="4" ySplit="11" topLeftCell="E12" activePane="bottomRight" state="frozen"/>
      <selection/>
      <selection pane="topRight"/>
      <selection pane="bottomLeft"/>
      <selection pane="bottomRight" activeCell="B30" sqref="B30:F30"/>
    </sheetView>
  </sheetViews>
  <sheetFormatPr defaultColWidth="8.84761904761905" defaultRowHeight="15" customHeight="1"/>
  <cols>
    <col min="1" max="1" width="3" customWidth="1"/>
    <col min="2" max="2" width="5" customWidth="1"/>
    <col min="3" max="3" width="8" customWidth="1"/>
    <col min="4" max="4" width="14" customWidth="1"/>
    <col min="5" max="18" width="5" customWidth="1"/>
    <col min="19" max="22" width="6" customWidth="1"/>
    <col min="23" max="26" width="10" customWidth="1"/>
    <col min="27" max="29" width="8" customWidth="1"/>
    <col min="30" max="30" width="10" customWidth="1"/>
    <col min="31" max="31" width="18" customWidth="1"/>
  </cols>
  <sheetData>
    <row r="1" ht="30" customHeight="1" spans="1:31">
      <c r="A1" s="147" t="s">
        <v>0</v>
      </c>
    </row>
    <row r="2" ht="19.5" customHeight="1" spans="1:31">
      <c r="A2" s="148" t="s">
        <v>99</v>
      </c>
    </row>
    <row r="3" ht="4.5" customHeight="1"/>
    <row r="4" ht="16.5" customHeight="1" spans="1:31">
      <c r="B4" s="115" t="s">
        <v>100</v>
      </c>
      <c r="D4" s="5">
        <v>4901873568</v>
      </c>
      <c r="G4" s="115" t="s">
        <v>101</v>
      </c>
      <c r="I4" s="149">
        <v>50473265</v>
      </c>
      <c r="L4" s="115" t="s">
        <v>102</v>
      </c>
      <c r="N4" s="149">
        <v>251087</v>
      </c>
      <c r="Q4" s="115" t="s">
        <v>103</v>
      </c>
      <c r="S4" s="5" t="s">
        <v>74</v>
      </c>
      <c r="W4" s="115" t="s">
        <v>104</v>
      </c>
      <c r="Y4" s="149" t="s">
        <v>69</v>
      </c>
      <c r="AC4" s="13" t="s">
        <v>105</v>
      </c>
    </row>
    <row r="5" ht="16.5" customHeight="1" spans="1:31">
      <c r="B5" s="115" t="s">
        <v>106</v>
      </c>
      <c r="D5" s="149" t="s">
        <v>107</v>
      </c>
      <c r="G5" s="115" t="s">
        <v>108</v>
      </c>
      <c r="I5" s="149" t="s">
        <v>109</v>
      </c>
      <c r="L5" s="115" t="s">
        <v>110</v>
      </c>
      <c r="N5" s="149" t="s">
        <v>111</v>
      </c>
      <c r="Q5" s="115" t="s">
        <v>112</v>
      </c>
      <c r="S5" s="149" t="s">
        <v>73</v>
      </c>
      <c r="W5" s="115" t="s">
        <v>113</v>
      </c>
      <c r="Y5" s="149">
        <v>6094373</v>
      </c>
      <c r="AC5" s="13" t="s">
        <v>114</v>
      </c>
    </row>
    <row r="6" ht="16.5" customHeight="1" spans="1:31">
      <c r="B6" s="115" t="s">
        <v>115</v>
      </c>
      <c r="D6" s="149" t="s">
        <v>70</v>
      </c>
      <c r="G6" s="115" t="s">
        <v>116</v>
      </c>
      <c r="I6" s="149" t="s">
        <v>117</v>
      </c>
      <c r="Q6" s="115" t="s">
        <v>118</v>
      </c>
      <c r="S6" s="149" t="s">
        <v>75</v>
      </c>
      <c r="W6" s="115" t="s">
        <v>119</v>
      </c>
      <c r="Y6" s="149">
        <v>10219212</v>
      </c>
      <c r="AC6" s="13" t="s">
        <v>120</v>
      </c>
    </row>
    <row r="7" ht="16.5" customHeight="1" spans="1:31">
      <c r="B7" s="115" t="s">
        <v>121</v>
      </c>
      <c r="D7" s="149" t="s">
        <v>71</v>
      </c>
      <c r="G7" s="115" t="s">
        <v>122</v>
      </c>
      <c r="I7" s="149" t="s">
        <v>123</v>
      </c>
      <c r="L7" s="115" t="s">
        <v>124</v>
      </c>
      <c r="N7" s="149" t="s">
        <v>125</v>
      </c>
      <c r="Q7" s="115" t="s">
        <v>126</v>
      </c>
      <c r="S7" s="149" t="s">
        <v>127</v>
      </c>
      <c r="W7" s="115" t="s">
        <v>128</v>
      </c>
      <c r="Y7" s="149" t="s">
        <v>77</v>
      </c>
      <c r="AC7" s="13" t="s">
        <v>129</v>
      </c>
    </row>
    <row r="8" ht="4.5" customHeight="1"/>
    <row r="9" ht="18" customHeight="1" spans="1:31">
      <c r="B9" s="12" t="s">
        <v>130</v>
      </c>
    </row>
    <row r="10" ht="16.5" customHeight="1" spans="1:31">
      <c r="B10" s="150" t="s">
        <v>131</v>
      </c>
      <c r="C10" s="150" t="s">
        <v>132</v>
      </c>
      <c r="D10" s="150" t="s">
        <v>133</v>
      </c>
      <c r="E10" s="150" t="s">
        <v>134</v>
      </c>
      <c r="W10" s="150" t="s">
        <v>135</v>
      </c>
      <c r="X10" s="150" t="s">
        <v>136</v>
      </c>
      <c r="AA10" s="150" t="s">
        <v>137</v>
      </c>
      <c r="AD10" s="150" t="s">
        <v>138</v>
      </c>
      <c r="AE10" s="150" t="s">
        <v>139</v>
      </c>
    </row>
    <row r="11" ht="16.5" customHeight="1" spans="1:31">
      <c r="E11" s="150">
        <v>37</v>
      </c>
      <c r="F11" s="150">
        <v>38</v>
      </c>
      <c r="G11" s="150">
        <v>39</v>
      </c>
      <c r="H11" s="150">
        <v>40</v>
      </c>
      <c r="I11" s="150">
        <v>41</v>
      </c>
      <c r="J11" s="150">
        <v>42</v>
      </c>
      <c r="K11" s="150">
        <v>43</v>
      </c>
      <c r="L11" s="150">
        <v>44</v>
      </c>
      <c r="M11" s="150">
        <v>45</v>
      </c>
      <c r="N11" s="150">
        <v>46</v>
      </c>
      <c r="O11" s="150">
        <v>47</v>
      </c>
      <c r="P11" s="150">
        <v>48</v>
      </c>
      <c r="Q11" s="150">
        <v>49</v>
      </c>
      <c r="R11" s="150">
        <v>50</v>
      </c>
      <c r="S11" s="150" t="s">
        <v>79</v>
      </c>
      <c r="T11" s="150" t="s">
        <v>80</v>
      </c>
      <c r="U11" s="150" t="s">
        <v>81</v>
      </c>
      <c r="V11" s="150" t="s">
        <v>82</v>
      </c>
      <c r="X11" s="150" t="s">
        <v>140</v>
      </c>
      <c r="Y11" s="150" t="s">
        <v>141</v>
      </c>
      <c r="Z11" s="150" t="s">
        <v>142</v>
      </c>
      <c r="AA11" s="150" t="s">
        <v>93</v>
      </c>
      <c r="AB11" s="150" t="s">
        <v>143</v>
      </c>
      <c r="AC11" s="150" t="s">
        <v>144</v>
      </c>
    </row>
    <row r="12" ht="16.5" customHeight="1" spans="1:31">
      <c r="B12" s="121">
        <v>1</v>
      </c>
      <c r="C12" s="151">
        <v>1</v>
      </c>
      <c r="D12" s="152" t="s">
        <v>145</v>
      </c>
      <c r="E12" s="153">
        <v>1</v>
      </c>
      <c r="F12" s="153">
        <v>3</v>
      </c>
      <c r="G12" s="153">
        <v>5</v>
      </c>
      <c r="H12" s="153">
        <v>5</v>
      </c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41">
        <f t="shared" ref="W12:W21" si="0">SUM(E12:V12)</f>
        <v>14</v>
      </c>
      <c r="X12" s="154">
        <f t="shared" ref="X12:X21" si="1">W12*0.28</f>
        <v>3.92</v>
      </c>
      <c r="Y12" s="154">
        <f t="shared" ref="Y12:Y21" si="2">X12+Z12</f>
        <v>5.12</v>
      </c>
      <c r="Z12" s="154">
        <v>1.2</v>
      </c>
      <c r="AA12" s="155">
        <v>50</v>
      </c>
      <c r="AB12" s="155">
        <v>40</v>
      </c>
      <c r="AC12" s="155">
        <v>30</v>
      </c>
      <c r="AD12" s="82">
        <f t="shared" ref="AD12:AD21" si="3">AA12*AB12*AC12/1000000</f>
        <v>0.06</v>
      </c>
      <c r="AE12" s="156" t="s">
        <v>146</v>
      </c>
    </row>
    <row r="13" ht="16.5" customHeight="1" spans="1:31">
      <c r="B13" s="128">
        <v>2</v>
      </c>
      <c r="C13" s="157">
        <v>1</v>
      </c>
      <c r="D13" s="158" t="s">
        <v>147</v>
      </c>
      <c r="E13" s="159"/>
      <c r="F13" s="159"/>
      <c r="G13" s="159"/>
      <c r="H13" s="159">
        <v>2</v>
      </c>
      <c r="I13" s="159">
        <v>4</v>
      </c>
      <c r="J13" s="159">
        <v>8</v>
      </c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43">
        <f t="shared" si="0"/>
        <v>14</v>
      </c>
      <c r="X13" s="160">
        <f t="shared" si="1"/>
        <v>3.92</v>
      </c>
      <c r="Y13" s="160">
        <f t="shared" si="2"/>
        <v>5.12</v>
      </c>
      <c r="Z13" s="160">
        <v>1.2</v>
      </c>
      <c r="AA13" s="161">
        <v>50</v>
      </c>
      <c r="AB13" s="161">
        <v>40</v>
      </c>
      <c r="AC13" s="161">
        <v>30</v>
      </c>
      <c r="AD13" s="84">
        <f t="shared" si="3"/>
        <v>0.06</v>
      </c>
      <c r="AE13" s="162" t="s">
        <v>146</v>
      </c>
    </row>
    <row r="14" ht="16.5" customHeight="1" spans="1:31">
      <c r="B14" s="121">
        <v>3</v>
      </c>
      <c r="C14" s="151">
        <v>1</v>
      </c>
      <c r="D14" s="152" t="s">
        <v>148</v>
      </c>
      <c r="E14" s="153"/>
      <c r="F14" s="153"/>
      <c r="G14" s="153"/>
      <c r="H14" s="153"/>
      <c r="I14" s="153"/>
      <c r="J14" s="153">
        <v>3</v>
      </c>
      <c r="K14" s="153">
        <v>6</v>
      </c>
      <c r="L14" s="153">
        <v>5</v>
      </c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41">
        <f t="shared" si="0"/>
        <v>14</v>
      </c>
      <c r="X14" s="154">
        <f t="shared" si="1"/>
        <v>3.92</v>
      </c>
      <c r="Y14" s="154">
        <f t="shared" si="2"/>
        <v>5.12</v>
      </c>
      <c r="Z14" s="154">
        <v>1.2</v>
      </c>
      <c r="AA14" s="155">
        <v>50</v>
      </c>
      <c r="AB14" s="155">
        <v>40</v>
      </c>
      <c r="AC14" s="155">
        <v>30</v>
      </c>
      <c r="AD14" s="82">
        <f t="shared" si="3"/>
        <v>0.06</v>
      </c>
      <c r="AE14" s="156" t="s">
        <v>146</v>
      </c>
    </row>
    <row r="15" ht="16.5" customHeight="1" spans="1:31">
      <c r="B15" s="128">
        <v>4</v>
      </c>
      <c r="C15" s="157">
        <v>1</v>
      </c>
      <c r="D15" s="158" t="s">
        <v>149</v>
      </c>
      <c r="E15" s="159"/>
      <c r="F15" s="159"/>
      <c r="G15" s="159"/>
      <c r="H15" s="159"/>
      <c r="I15" s="159"/>
      <c r="J15" s="159"/>
      <c r="K15" s="159"/>
      <c r="L15" s="159">
        <v>3</v>
      </c>
      <c r="M15" s="159">
        <v>4</v>
      </c>
      <c r="N15" s="159">
        <v>4</v>
      </c>
      <c r="O15" s="159"/>
      <c r="P15" s="159"/>
      <c r="Q15" s="159"/>
      <c r="R15" s="159"/>
      <c r="S15" s="159">
        <v>1</v>
      </c>
      <c r="T15" s="159">
        <v>2</v>
      </c>
      <c r="U15" s="159"/>
      <c r="V15" s="159"/>
      <c r="W15" s="143">
        <f t="shared" si="0"/>
        <v>14</v>
      </c>
      <c r="X15" s="160">
        <f t="shared" si="1"/>
        <v>3.92</v>
      </c>
      <c r="Y15" s="160">
        <f t="shared" si="2"/>
        <v>5.12</v>
      </c>
      <c r="Z15" s="160">
        <v>1.2</v>
      </c>
      <c r="AA15" s="161">
        <v>50</v>
      </c>
      <c r="AB15" s="161">
        <v>40</v>
      </c>
      <c r="AC15" s="161">
        <v>30</v>
      </c>
      <c r="AD15" s="84">
        <f t="shared" si="3"/>
        <v>0.06</v>
      </c>
      <c r="AE15" s="162" t="s">
        <v>146</v>
      </c>
    </row>
    <row r="16" ht="16.5" customHeight="1" spans="1:31">
      <c r="B16" s="121">
        <v>5</v>
      </c>
      <c r="C16" s="151">
        <v>100</v>
      </c>
      <c r="D16" s="152" t="s">
        <v>145</v>
      </c>
      <c r="E16" s="153">
        <v>1</v>
      </c>
      <c r="F16" s="153">
        <v>4</v>
      </c>
      <c r="G16" s="153">
        <v>5</v>
      </c>
      <c r="H16" s="153">
        <v>4</v>
      </c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41">
        <f t="shared" si="0"/>
        <v>14</v>
      </c>
      <c r="X16" s="154">
        <f t="shared" si="1"/>
        <v>3.92</v>
      </c>
      <c r="Y16" s="154">
        <f t="shared" si="2"/>
        <v>5.12</v>
      </c>
      <c r="Z16" s="154">
        <v>1.2</v>
      </c>
      <c r="AA16" s="155">
        <v>50</v>
      </c>
      <c r="AB16" s="155">
        <v>40</v>
      </c>
      <c r="AC16" s="155">
        <v>30</v>
      </c>
      <c r="AD16" s="82">
        <f t="shared" si="3"/>
        <v>0.06</v>
      </c>
      <c r="AE16" s="156" t="s">
        <v>146</v>
      </c>
    </row>
    <row r="17" ht="16.5" customHeight="1" spans="2:31">
      <c r="B17" s="128">
        <v>6</v>
      </c>
      <c r="C17" s="157">
        <v>100</v>
      </c>
      <c r="D17" s="158" t="s">
        <v>147</v>
      </c>
      <c r="E17" s="159"/>
      <c r="F17" s="159"/>
      <c r="G17" s="159"/>
      <c r="H17" s="159">
        <v>3</v>
      </c>
      <c r="I17" s="159">
        <v>5</v>
      </c>
      <c r="J17" s="159">
        <v>6</v>
      </c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43">
        <f t="shared" si="0"/>
        <v>14</v>
      </c>
      <c r="X17" s="160">
        <f t="shared" si="1"/>
        <v>3.92</v>
      </c>
      <c r="Y17" s="160">
        <f t="shared" si="2"/>
        <v>5.12</v>
      </c>
      <c r="Z17" s="160">
        <v>1.2</v>
      </c>
      <c r="AA17" s="161">
        <v>50</v>
      </c>
      <c r="AB17" s="161">
        <v>40</v>
      </c>
      <c r="AC17" s="161">
        <v>30</v>
      </c>
      <c r="AD17" s="84">
        <f t="shared" si="3"/>
        <v>0.06</v>
      </c>
      <c r="AE17" s="162" t="s">
        <v>146</v>
      </c>
    </row>
    <row r="18" ht="16.5" customHeight="1" spans="2:31">
      <c r="B18" s="121">
        <v>7</v>
      </c>
      <c r="C18" s="151">
        <v>404</v>
      </c>
      <c r="D18" s="152" t="s">
        <v>150</v>
      </c>
      <c r="E18" s="153"/>
      <c r="F18" s="153"/>
      <c r="G18" s="153">
        <v>1</v>
      </c>
      <c r="H18" s="153">
        <v>3</v>
      </c>
      <c r="I18" s="153">
        <v>4</v>
      </c>
      <c r="J18" s="153">
        <v>6</v>
      </c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41">
        <f t="shared" si="0"/>
        <v>14</v>
      </c>
      <c r="X18" s="154">
        <f t="shared" si="1"/>
        <v>3.92</v>
      </c>
      <c r="Y18" s="154">
        <f t="shared" si="2"/>
        <v>5.12</v>
      </c>
      <c r="Z18" s="154">
        <v>1.2</v>
      </c>
      <c r="AA18" s="155">
        <v>50</v>
      </c>
      <c r="AB18" s="155">
        <v>40</v>
      </c>
      <c r="AC18" s="155">
        <v>30</v>
      </c>
      <c r="AD18" s="82">
        <f t="shared" si="3"/>
        <v>0.06</v>
      </c>
      <c r="AE18" s="156" t="s">
        <v>146</v>
      </c>
    </row>
    <row r="19" ht="16.5" customHeight="1" spans="2:31">
      <c r="B19" s="128">
        <v>8</v>
      </c>
      <c r="C19" s="157">
        <v>404</v>
      </c>
      <c r="D19" s="158" t="s">
        <v>148</v>
      </c>
      <c r="E19" s="159"/>
      <c r="F19" s="159"/>
      <c r="G19" s="159"/>
      <c r="H19" s="159"/>
      <c r="I19" s="159"/>
      <c r="J19" s="159">
        <v>4</v>
      </c>
      <c r="K19" s="159">
        <v>5</v>
      </c>
      <c r="L19" s="159">
        <v>5</v>
      </c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43">
        <f t="shared" si="0"/>
        <v>14</v>
      </c>
      <c r="X19" s="160">
        <f t="shared" si="1"/>
        <v>3.92</v>
      </c>
      <c r="Y19" s="160">
        <f t="shared" si="2"/>
        <v>5.12</v>
      </c>
      <c r="Z19" s="160">
        <v>1.2</v>
      </c>
      <c r="AA19" s="161">
        <v>50</v>
      </c>
      <c r="AB19" s="161">
        <v>40</v>
      </c>
      <c r="AC19" s="161">
        <v>30</v>
      </c>
      <c r="AD19" s="84">
        <f t="shared" si="3"/>
        <v>0.06</v>
      </c>
      <c r="AE19" s="162" t="s">
        <v>146</v>
      </c>
    </row>
    <row r="20" ht="16.5" customHeight="1" spans="2:31">
      <c r="B20" s="121">
        <v>9</v>
      </c>
      <c r="C20" s="151">
        <v>452</v>
      </c>
      <c r="D20" s="152" t="s">
        <v>147</v>
      </c>
      <c r="E20" s="153"/>
      <c r="F20" s="153"/>
      <c r="G20" s="153"/>
      <c r="H20" s="153">
        <v>3</v>
      </c>
      <c r="I20" s="153">
        <v>5</v>
      </c>
      <c r="J20" s="153">
        <v>6</v>
      </c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41">
        <f t="shared" si="0"/>
        <v>14</v>
      </c>
      <c r="X20" s="154">
        <f t="shared" si="1"/>
        <v>3.92</v>
      </c>
      <c r="Y20" s="154">
        <f t="shared" si="2"/>
        <v>5.12</v>
      </c>
      <c r="Z20" s="154">
        <v>1.2</v>
      </c>
      <c r="AA20" s="155">
        <v>50</v>
      </c>
      <c r="AB20" s="155">
        <v>40</v>
      </c>
      <c r="AC20" s="155">
        <v>30</v>
      </c>
      <c r="AD20" s="82">
        <f t="shared" si="3"/>
        <v>0.06</v>
      </c>
      <c r="AE20" s="156" t="s">
        <v>146</v>
      </c>
    </row>
    <row r="21" ht="16.5" customHeight="1" spans="2:31">
      <c r="B21" s="128">
        <v>10</v>
      </c>
      <c r="C21" s="157">
        <v>452</v>
      </c>
      <c r="D21" s="158" t="s">
        <v>148</v>
      </c>
      <c r="E21" s="159"/>
      <c r="F21" s="159"/>
      <c r="G21" s="159"/>
      <c r="H21" s="159"/>
      <c r="I21" s="159"/>
      <c r="J21" s="159">
        <v>4</v>
      </c>
      <c r="K21" s="159">
        <v>5</v>
      </c>
      <c r="L21" s="159">
        <v>5</v>
      </c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43">
        <f t="shared" si="0"/>
        <v>14</v>
      </c>
      <c r="X21" s="160">
        <f t="shared" si="1"/>
        <v>3.92</v>
      </c>
      <c r="Y21" s="160">
        <f t="shared" si="2"/>
        <v>5.12</v>
      </c>
      <c r="Z21" s="160">
        <v>1.2</v>
      </c>
      <c r="AA21" s="161">
        <v>50</v>
      </c>
      <c r="AB21" s="161">
        <v>40</v>
      </c>
      <c r="AC21" s="161">
        <v>30</v>
      </c>
      <c r="AD21" s="84">
        <f t="shared" si="3"/>
        <v>0.06</v>
      </c>
      <c r="AE21" s="162" t="s">
        <v>146</v>
      </c>
    </row>
    <row r="22" ht="19.5" customHeight="1" spans="2:31">
      <c r="B22" s="105" t="s">
        <v>151</v>
      </c>
      <c r="E22" s="163">
        <f t="shared" ref="E22:AD22" si="4">SUM(E12:E21)</f>
        <v>2</v>
      </c>
      <c r="F22" s="163">
        <f t="shared" si="4"/>
        <v>7</v>
      </c>
      <c r="G22" s="163">
        <f t="shared" si="4"/>
        <v>11</v>
      </c>
      <c r="H22" s="163">
        <f t="shared" si="4"/>
        <v>20</v>
      </c>
      <c r="I22" s="163">
        <f t="shared" si="4"/>
        <v>18</v>
      </c>
      <c r="J22" s="163">
        <f t="shared" si="4"/>
        <v>37</v>
      </c>
      <c r="K22" s="163">
        <f t="shared" si="4"/>
        <v>16</v>
      </c>
      <c r="L22" s="163">
        <f t="shared" si="4"/>
        <v>18</v>
      </c>
      <c r="M22" s="163">
        <f t="shared" si="4"/>
        <v>4</v>
      </c>
      <c r="N22" s="163">
        <f t="shared" si="4"/>
        <v>4</v>
      </c>
      <c r="O22" s="163">
        <f t="shared" si="4"/>
        <v>0</v>
      </c>
      <c r="P22" s="163">
        <f t="shared" si="4"/>
        <v>0</v>
      </c>
      <c r="Q22" s="163">
        <f t="shared" si="4"/>
        <v>0</v>
      </c>
      <c r="R22" s="163">
        <f t="shared" si="4"/>
        <v>0</v>
      </c>
      <c r="S22" s="163">
        <f t="shared" si="4"/>
        <v>1</v>
      </c>
      <c r="T22" s="163">
        <f t="shared" si="4"/>
        <v>2</v>
      </c>
      <c r="U22" s="163">
        <f t="shared" si="4"/>
        <v>0</v>
      </c>
      <c r="V22" s="163">
        <f t="shared" si="4"/>
        <v>0</v>
      </c>
      <c r="W22" s="164">
        <f t="shared" si="4"/>
        <v>140</v>
      </c>
      <c r="X22" s="165">
        <f t="shared" si="4"/>
        <v>39.2</v>
      </c>
      <c r="Y22" s="165">
        <f t="shared" si="4"/>
        <v>51.2</v>
      </c>
      <c r="Z22" s="165">
        <f t="shared" si="4"/>
        <v>12</v>
      </c>
      <c r="AA22" s="166"/>
      <c r="AB22" s="166"/>
      <c r="AC22" s="166"/>
      <c r="AD22" s="167">
        <f t="shared" si="4"/>
        <v>0.6</v>
      </c>
      <c r="AE22" s="166"/>
    </row>
    <row r="24" ht="18" customHeight="1" spans="2:31">
      <c r="B24" s="12" t="s">
        <v>152</v>
      </c>
    </row>
    <row r="25" ht="16.5" customHeight="1" spans="2:31">
      <c r="B25" s="13" t="s">
        <v>50</v>
      </c>
      <c r="D25" s="13" t="s">
        <v>153</v>
      </c>
      <c r="H25" s="13" t="s">
        <v>154</v>
      </c>
      <c r="K25" s="13" t="s">
        <v>155</v>
      </c>
      <c r="N25" s="13" t="s">
        <v>156</v>
      </c>
      <c r="Q25" s="13" t="s">
        <v>157</v>
      </c>
      <c r="T25" s="13" t="s">
        <v>158</v>
      </c>
      <c r="W25" s="13" t="s">
        <v>159</v>
      </c>
      <c r="Z25" s="13" t="s">
        <v>160</v>
      </c>
      <c r="AC25" s="13" t="s">
        <v>161</v>
      </c>
    </row>
    <row r="26" ht="18" customHeight="1" spans="2:31">
      <c r="B26" s="168">
        <v>4901873568</v>
      </c>
      <c r="D26" s="168" t="s">
        <v>162</v>
      </c>
      <c r="H26" s="169">
        <f>SUMIFS(PO_MASTER!O:O,PO_MASTER!B:B,4901873568)</f>
        <v>16945</v>
      </c>
      <c r="K26" s="169" cm="1">
        <f t="array" ref="K26">W22</f>
        <v>140</v>
      </c>
      <c r="N26" s="169">
        <f>H26-K26</f>
        <v>16805</v>
      </c>
      <c r="Q26" s="169">
        <v>10</v>
      </c>
      <c r="T26" s="170" cm="1">
        <f t="array" ref="T26">X22</f>
        <v>39.2</v>
      </c>
      <c r="W26" s="170" cm="1">
        <f t="array" ref="W26">Y22</f>
        <v>51.2</v>
      </c>
      <c r="Z26" s="171" cm="1">
        <f t="array" ref="Z26">AD22</f>
        <v>0.6</v>
      </c>
      <c r="AC26" s="168" t="str">
        <f>TEXT(K26/H26,"0.0%")</f>
        <v>0.8%</v>
      </c>
    </row>
    <row r="28" ht="16.5" customHeight="1" spans="2:31">
      <c r="B28" s="43" t="s">
        <v>163</v>
      </c>
    </row>
    <row r="30" ht="21" customHeight="1" spans="2:31">
      <c r="B30" s="172" t="s">
        <v>164</v>
      </c>
      <c r="G30" s="172" t="s">
        <v>165</v>
      </c>
      <c r="L30" s="172" t="s">
        <v>166</v>
      </c>
      <c r="Q30" s="172" t="s">
        <v>167</v>
      </c>
      <c r="V30" s="173" t="s">
        <v>168</v>
      </c>
    </row>
  </sheetData>
  <mergeCells count="82">
    <mergeCell ref="A1:AE1"/>
    <mergeCell ref="A2:AE2"/>
    <mergeCell ref="B4:C4"/>
    <mergeCell ref="D4:F4"/>
    <mergeCell ref="G4:H4"/>
    <mergeCell ref="I4:K4"/>
    <mergeCell ref="L4:M4"/>
    <mergeCell ref="N4:P4"/>
    <mergeCell ref="Q4:R4"/>
    <mergeCell ref="S4:V4"/>
    <mergeCell ref="W4:X4"/>
    <mergeCell ref="Y4:AB4"/>
    <mergeCell ref="AC4:AE4"/>
    <mergeCell ref="B5:C5"/>
    <mergeCell ref="D5:F5"/>
    <mergeCell ref="G5:H5"/>
    <mergeCell ref="I5:K5"/>
    <mergeCell ref="L5:M5"/>
    <mergeCell ref="N5:P5"/>
    <mergeCell ref="Q5:R5"/>
    <mergeCell ref="S5:V5"/>
    <mergeCell ref="W5:X5"/>
    <mergeCell ref="Y5:AB5"/>
    <mergeCell ref="AC5:AE5"/>
    <mergeCell ref="B6:C6"/>
    <mergeCell ref="D6:F6"/>
    <mergeCell ref="G6:H6"/>
    <mergeCell ref="I6:P6"/>
    <mergeCell ref="Q6:R6"/>
    <mergeCell ref="S6:V6"/>
    <mergeCell ref="W6:X6"/>
    <mergeCell ref="Y6:AB6"/>
    <mergeCell ref="AC6:AE6"/>
    <mergeCell ref="B7:C7"/>
    <mergeCell ref="D7:F7"/>
    <mergeCell ref="G7:H7"/>
    <mergeCell ref="I7:K7"/>
    <mergeCell ref="L7:M7"/>
    <mergeCell ref="N7:P7"/>
    <mergeCell ref="Q7:R7"/>
    <mergeCell ref="S7:V7"/>
    <mergeCell ref="W7:X7"/>
    <mergeCell ref="Y7:AB7"/>
    <mergeCell ref="AC7:AE7"/>
    <mergeCell ref="B9:AE9"/>
    <mergeCell ref="E10:V10"/>
    <mergeCell ref="X10:Z10"/>
    <mergeCell ref="AA10:AC10"/>
    <mergeCell ref="B22:D22"/>
    <mergeCell ref="B24:AE24"/>
    <mergeCell ref="B25:C25"/>
    <mergeCell ref="D25:G25"/>
    <mergeCell ref="H25:J25"/>
    <mergeCell ref="K25:M25"/>
    <mergeCell ref="N25:P25"/>
    <mergeCell ref="Q25:S25"/>
    <mergeCell ref="T25:V25"/>
    <mergeCell ref="W25:Y25"/>
    <mergeCell ref="Z25:AB25"/>
    <mergeCell ref="AC25:AE25"/>
    <mergeCell ref="B26:C26"/>
    <mergeCell ref="D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B28:AE28"/>
    <mergeCell ref="B30:F30"/>
    <mergeCell ref="G30:K30"/>
    <mergeCell ref="L30:P30"/>
    <mergeCell ref="Q30:U30"/>
    <mergeCell ref="V30:AE30"/>
    <mergeCell ref="B10:B11"/>
    <mergeCell ref="C10:C11"/>
    <mergeCell ref="D10:D11"/>
    <mergeCell ref="W10:W11"/>
    <mergeCell ref="AD10:AD11"/>
    <mergeCell ref="AE10:AE1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T53"/>
  <sheetViews>
    <sheetView workbookViewId="0">
      <pane xSplit="2" ySplit="11" topLeftCell="C12" activePane="bottomRight" state="frozen"/>
      <selection/>
      <selection pane="topRight"/>
      <selection pane="bottomLeft"/>
      <selection pane="bottomRight" activeCell="D6" sqref="D6"/>
    </sheetView>
  </sheetViews>
  <sheetFormatPr defaultColWidth="8.84761904761905" defaultRowHeight="15" customHeight="1"/>
  <cols>
    <col min="1" max="1" width="0.419047619047619" customWidth="1"/>
    <col min="2" max="2" width="8.57142857142857" customWidth="1"/>
    <col min="3" max="4" width="11.4190476190476" customWidth="1"/>
    <col min="5" max="5" width="12.1428571428571" customWidth="1"/>
    <col min="6" max="6" width="10.7142857142857" customWidth="1"/>
    <col min="7" max="7" width="11.4190476190476" customWidth="1"/>
    <col min="8" max="8" width="12.1428571428571" customWidth="1"/>
    <col min="9" max="9" width="11.4190476190476" customWidth="1"/>
    <col min="10" max="10" width="13.5714285714286" customWidth="1"/>
    <col min="11" max="11" width="12.1428571428571" customWidth="1"/>
    <col min="12" max="12" width="15.7142857142857" customWidth="1"/>
    <col min="13" max="16" width="7.84761904761905" customWidth="1"/>
    <col min="17" max="17" width="8.57142857142857" customWidth="1"/>
    <col min="18" max="18" width="0.419047619047619" customWidth="1"/>
    <col min="19" max="20" width="14.2857142857143" customWidth="1"/>
  </cols>
  <sheetData>
    <row r="1" ht="25.5" customHeight="1" spans="1:17">
      <c r="A1" s="64" t="s">
        <v>169</v>
      </c>
    </row>
    <row r="2" customHeight="1" spans="1:17">
      <c r="A2" s="65" t="s">
        <v>170</v>
      </c>
    </row>
    <row r="3" ht="4.5" customHeight="1"/>
    <row r="4" ht="18" customHeight="1" spans="1:17">
      <c r="B4" s="12" t="s">
        <v>171</v>
      </c>
    </row>
    <row r="5" customHeight="1" spans="1:17">
      <c r="B5" s="115" t="s">
        <v>172</v>
      </c>
      <c r="D5" s="116">
        <v>14</v>
      </c>
      <c r="E5" s="117" t="s">
        <v>173</v>
      </c>
      <c r="G5" s="115" t="s">
        <v>174</v>
      </c>
      <c r="I5" s="118">
        <v>300</v>
      </c>
      <c r="J5" s="117" t="s">
        <v>175</v>
      </c>
    </row>
    <row r="6" customHeight="1" spans="1:17">
      <c r="B6" s="115" t="s">
        <v>176</v>
      </c>
      <c r="D6" s="118">
        <v>1200</v>
      </c>
      <c r="E6" s="117" t="s">
        <v>177</v>
      </c>
      <c r="G6" s="115" t="s">
        <v>178</v>
      </c>
      <c r="I6" s="118">
        <v>2</v>
      </c>
      <c r="J6" s="117" t="s">
        <v>179</v>
      </c>
    </row>
    <row r="7" ht="4.5" customHeight="1"/>
    <row r="8" ht="18" customHeight="1" spans="1:17">
      <c r="B8" s="119" t="s">
        <v>180</v>
      </c>
    </row>
    <row r="9" ht="6" customHeight="1"/>
    <row r="10" ht="18" customHeight="1" spans="1:17">
      <c r="B10" s="12" t="s">
        <v>181</v>
      </c>
    </row>
    <row r="11" ht="30" customHeight="1" spans="1:17">
      <c r="B11" s="13" t="s">
        <v>182</v>
      </c>
      <c r="C11" s="13" t="s">
        <v>132</v>
      </c>
      <c r="D11" s="13" t="s">
        <v>62</v>
      </c>
      <c r="E11" s="13" t="s">
        <v>183</v>
      </c>
      <c r="F11" s="13" t="s">
        <v>184</v>
      </c>
      <c r="G11" s="13" t="s">
        <v>185</v>
      </c>
      <c r="H11" s="13" t="s">
        <v>186</v>
      </c>
      <c r="I11" s="13" t="s">
        <v>187</v>
      </c>
      <c r="J11" s="13" t="s">
        <v>188</v>
      </c>
      <c r="K11" s="13" t="s">
        <v>189</v>
      </c>
      <c r="L11" s="13" t="s">
        <v>190</v>
      </c>
      <c r="M11" s="13" t="s">
        <v>191</v>
      </c>
      <c r="N11" s="13" t="s">
        <v>192</v>
      </c>
      <c r="O11" s="13" t="s">
        <v>193</v>
      </c>
      <c r="P11" s="13" t="s">
        <v>194</v>
      </c>
      <c r="Q11" s="13" t="s">
        <v>195</v>
      </c>
    </row>
    <row r="12" ht="16.5" customHeight="1" spans="1:17">
      <c r="B12" s="24" cm="1">
        <f t="array" ref="B12">PO_MASTER!B8</f>
        <v>4901873568</v>
      </c>
      <c r="C12" s="120" t="str">
        <f>TEXT(PO_MASTER!L8,"000")</f>
        <v>001</v>
      </c>
      <c r="D12" s="121" cm="1">
        <f t="array" ref="D12">PO_MASTER!N8</f>
        <v>40</v>
      </c>
      <c r="E12" s="122" cm="1">
        <f t="array" ref="E12">PO_MASTER!O8</f>
        <v>597</v>
      </c>
      <c r="F12" s="123" cm="1">
        <f t="array" ref="F12">$D$5</f>
        <v>14</v>
      </c>
      <c r="G12" s="123">
        <f t="shared" ref="G12:G27" si="0">INT(E12/F12)</f>
        <v>42</v>
      </c>
      <c r="H12" s="123">
        <f t="shared" ref="H12:H27" si="1">MOD(E12,F12)</f>
        <v>9</v>
      </c>
      <c r="I12" s="123">
        <f t="shared" ref="I12:I27" si="2">G12+IF(H12&gt;0,1,0)</f>
        <v>43</v>
      </c>
      <c r="J12" s="123" cm="1">
        <f t="array" ref="J12">IF(H12&gt;0,H12,F12)</f>
        <v>9</v>
      </c>
      <c r="K12" s="124">
        <f t="shared" ref="K12:K27" si="3">E12/(I12*F12)</f>
        <v>0.991694352159468</v>
      </c>
      <c r="L12" s="125" t="str">
        <f t="shared" ref="L12:L27" si="4">G12&amp;" × "&amp;F12&amp;" + "&amp;IF(H12&gt;0,"1 × "&amp;H12,"0")</f>
        <v>42 × 14 + 1 × 9</v>
      </c>
      <c r="M12" s="126">
        <f t="shared" ref="M12:M27" si="5">MIN(E12,F12)</f>
        <v>14</v>
      </c>
      <c r="N12" s="126">
        <f t="shared" ref="N12:N27" si="6">IF(E12&gt;F12,MIN(E12-F12,F12),0)</f>
        <v>14</v>
      </c>
      <c r="O12" s="126">
        <f t="shared" ref="O12:O27" si="7">IF(E12&gt;2*F12,MIN(E12-2*F12,F12),0)</f>
        <v>14</v>
      </c>
      <c r="P12" s="126">
        <f t="shared" ref="P12:P27" si="8">IF(E12&gt;3*F12,MIN(E12-3*F12,F12),0)</f>
        <v>14</v>
      </c>
      <c r="Q12" s="126">
        <f t="shared" ref="Q12:Q27" si="9">MAX(0,E12-4*F12)</f>
        <v>541</v>
      </c>
    </row>
    <row r="13" ht="16.5" customHeight="1" spans="1:17">
      <c r="B13" s="18" cm="1">
        <f t="array" ref="B13">PO_MASTER!B11</f>
        <v>4901873568</v>
      </c>
      <c r="C13" s="127" t="str">
        <f>TEXT(PO_MASTER!L11,"000")</f>
        <v>001</v>
      </c>
      <c r="D13" s="128" cm="1">
        <f t="array" ref="D13">PO_MASTER!N11</f>
        <v>43</v>
      </c>
      <c r="E13" s="129" cm="1">
        <f t="array" ref="E13">PO_MASTER!O11</f>
        <v>562</v>
      </c>
      <c r="F13" s="130" cm="1">
        <f t="array" ref="F13">$D$5</f>
        <v>14</v>
      </c>
      <c r="G13" s="130">
        <f t="shared" si="0"/>
        <v>40</v>
      </c>
      <c r="H13" s="130">
        <f t="shared" si="1"/>
        <v>2</v>
      </c>
      <c r="I13" s="130">
        <f t="shared" si="2"/>
        <v>41</v>
      </c>
      <c r="J13" s="130" cm="1">
        <f t="array" ref="J13">IF(H13&gt;0,H13,F13)</f>
        <v>2</v>
      </c>
      <c r="K13" s="131">
        <f t="shared" si="3"/>
        <v>0.979094076655052</v>
      </c>
      <c r="L13" s="132" t="str">
        <f t="shared" si="4"/>
        <v>40 × 14 + 1 × 2</v>
      </c>
      <c r="M13" s="133">
        <f t="shared" si="5"/>
        <v>14</v>
      </c>
      <c r="N13" s="133">
        <f t="shared" si="6"/>
        <v>14</v>
      </c>
      <c r="O13" s="133">
        <f t="shared" si="7"/>
        <v>14</v>
      </c>
      <c r="P13" s="133">
        <f t="shared" si="8"/>
        <v>14</v>
      </c>
      <c r="Q13" s="133">
        <f t="shared" si="9"/>
        <v>506</v>
      </c>
    </row>
    <row r="14" ht="16.5" customHeight="1" spans="1:17">
      <c r="B14" s="24" cm="1">
        <f t="array" ref="B14">PO_MASTER!B14</f>
        <v>4901873568</v>
      </c>
      <c r="C14" s="120" t="str">
        <f>TEXT(PO_MASTER!L14,"000")</f>
        <v>001</v>
      </c>
      <c r="D14" s="121" cm="1">
        <f t="array" ref="D14">PO_MASTER!N14</f>
        <v>46</v>
      </c>
      <c r="E14" s="122" cm="1">
        <f t="array" ref="E14">PO_MASTER!O14</f>
        <v>280</v>
      </c>
      <c r="F14" s="123" cm="1">
        <f t="array" ref="F14">$D$5</f>
        <v>14</v>
      </c>
      <c r="G14" s="123">
        <f t="shared" si="0"/>
        <v>20</v>
      </c>
      <c r="H14" s="123">
        <f t="shared" si="1"/>
        <v>0</v>
      </c>
      <c r="I14" s="123">
        <f t="shared" si="2"/>
        <v>20</v>
      </c>
      <c r="J14" s="123" cm="1">
        <f t="array" ref="J14">IF(H14&gt;0,H14,F14)</f>
        <v>14</v>
      </c>
      <c r="K14" s="124">
        <f t="shared" si="3"/>
        <v>1</v>
      </c>
      <c r="L14" s="125" t="str">
        <f t="shared" si="4"/>
        <v>20 × 14 + 0</v>
      </c>
      <c r="M14" s="126">
        <f t="shared" si="5"/>
        <v>14</v>
      </c>
      <c r="N14" s="126">
        <f t="shared" si="6"/>
        <v>14</v>
      </c>
      <c r="O14" s="126">
        <f t="shared" si="7"/>
        <v>14</v>
      </c>
      <c r="P14" s="126">
        <f t="shared" si="8"/>
        <v>14</v>
      </c>
      <c r="Q14" s="126">
        <f t="shared" si="9"/>
        <v>224</v>
      </c>
    </row>
    <row r="15" ht="16.5" customHeight="1" spans="1:17">
      <c r="B15" s="18" cm="1">
        <f t="array" ref="B15">PO_MASTER!B15</f>
        <v>4901873568</v>
      </c>
      <c r="C15" s="127" t="str">
        <f>TEXT(PO_MASTER!L15,"000")</f>
        <v>001</v>
      </c>
      <c r="D15" s="128" cm="1">
        <f t="array" ref="D15">PO_MASTER!N15</f>
        <v>47</v>
      </c>
      <c r="E15" s="129" cm="1">
        <f t="array" ref="E15">PO_MASTER!O15</f>
        <v>1</v>
      </c>
      <c r="F15" s="130" cm="1">
        <f t="array" ref="F15">$D$5</f>
        <v>14</v>
      </c>
      <c r="G15" s="130">
        <f t="shared" si="0"/>
        <v>0</v>
      </c>
      <c r="H15" s="130">
        <f t="shared" si="1"/>
        <v>1</v>
      </c>
      <c r="I15" s="130">
        <f t="shared" si="2"/>
        <v>1</v>
      </c>
      <c r="J15" s="130" cm="1">
        <f t="array" ref="J15">IF(H15&gt;0,H15,F15)</f>
        <v>1</v>
      </c>
      <c r="K15" s="131">
        <f t="shared" si="3"/>
        <v>0.0714285714285714</v>
      </c>
      <c r="L15" s="132" t="str">
        <f t="shared" si="4"/>
        <v>0 × 14 + 1 × 1</v>
      </c>
      <c r="M15" s="133">
        <f t="shared" si="5"/>
        <v>1</v>
      </c>
      <c r="N15" s="133">
        <f t="shared" si="6"/>
        <v>0</v>
      </c>
      <c r="O15" s="133">
        <f t="shared" si="7"/>
        <v>0</v>
      </c>
      <c r="P15" s="133">
        <f t="shared" si="8"/>
        <v>0</v>
      </c>
      <c r="Q15" s="133">
        <f t="shared" si="9"/>
        <v>0</v>
      </c>
    </row>
    <row r="16" ht="16.5" customHeight="1" spans="1:17">
      <c r="B16" s="24" cm="1">
        <f t="array" ref="B16">PO_MASTER!B22</f>
        <v>4901873568</v>
      </c>
      <c r="C16" s="120" t="str">
        <f>TEXT(PO_MASTER!L22,"000")</f>
        <v>001</v>
      </c>
      <c r="D16" s="121" t="str" cm="1">
        <f t="array" ref="D16">PO_MASTER!N22</f>
        <v>45L</v>
      </c>
      <c r="E16" s="122" cm="1">
        <f t="array" ref="E16">PO_MASTER!O22</f>
        <v>30</v>
      </c>
      <c r="F16" s="123" cm="1">
        <f t="array" ref="F16">$D$5</f>
        <v>14</v>
      </c>
      <c r="G16" s="123">
        <f t="shared" si="0"/>
        <v>2</v>
      </c>
      <c r="H16" s="123">
        <f t="shared" si="1"/>
        <v>2</v>
      </c>
      <c r="I16" s="123">
        <f t="shared" si="2"/>
        <v>3</v>
      </c>
      <c r="J16" s="123" cm="1">
        <f t="array" ref="J16">IF(H16&gt;0,H16,F16)</f>
        <v>2</v>
      </c>
      <c r="K16" s="124">
        <f t="shared" si="3"/>
        <v>0.714285714285714</v>
      </c>
      <c r="L16" s="125" t="str">
        <f t="shared" si="4"/>
        <v>2 × 14 + 1 × 2</v>
      </c>
      <c r="M16" s="126">
        <f t="shared" si="5"/>
        <v>14</v>
      </c>
      <c r="N16" s="126">
        <f t="shared" si="6"/>
        <v>14</v>
      </c>
      <c r="O16" s="126">
        <f t="shared" si="7"/>
        <v>2</v>
      </c>
      <c r="P16" s="126">
        <f t="shared" si="8"/>
        <v>0</v>
      </c>
      <c r="Q16" s="126">
        <f t="shared" si="9"/>
        <v>0</v>
      </c>
    </row>
    <row r="17" ht="16.5" customHeight="1" spans="2:17">
      <c r="B17" s="18" cm="1">
        <f t="array" ref="B17">PO_MASTER!B26</f>
        <v>4901873568</v>
      </c>
      <c r="C17" s="127" t="str">
        <f>TEXT(PO_MASTER!L26,"000")</f>
        <v>100</v>
      </c>
      <c r="D17" s="128" cm="1">
        <f t="array" ref="D17">PO_MASTER!N26</f>
        <v>40</v>
      </c>
      <c r="E17" s="129" cm="1">
        <f t="array" ref="E17">PO_MASTER!O26</f>
        <v>1005</v>
      </c>
      <c r="F17" s="130" cm="1">
        <f t="array" ref="F17">$D$5</f>
        <v>14</v>
      </c>
      <c r="G17" s="130">
        <f t="shared" si="0"/>
        <v>71</v>
      </c>
      <c r="H17" s="130">
        <f t="shared" si="1"/>
        <v>11</v>
      </c>
      <c r="I17" s="130">
        <f t="shared" si="2"/>
        <v>72</v>
      </c>
      <c r="J17" s="130" cm="1">
        <f t="array" ref="J17">IF(H17&gt;0,H17,F17)</f>
        <v>11</v>
      </c>
      <c r="K17" s="131">
        <f t="shared" si="3"/>
        <v>0.99702380952381</v>
      </c>
      <c r="L17" s="132" t="str">
        <f t="shared" si="4"/>
        <v>71 × 14 + 1 × 11</v>
      </c>
      <c r="M17" s="133">
        <f t="shared" si="5"/>
        <v>14</v>
      </c>
      <c r="N17" s="133">
        <f t="shared" si="6"/>
        <v>14</v>
      </c>
      <c r="O17" s="133">
        <f t="shared" si="7"/>
        <v>14</v>
      </c>
      <c r="P17" s="133">
        <f t="shared" si="8"/>
        <v>14</v>
      </c>
      <c r="Q17" s="133">
        <f t="shared" si="9"/>
        <v>949</v>
      </c>
    </row>
    <row r="18" ht="16.5" customHeight="1" spans="2:17">
      <c r="B18" s="24" cm="1">
        <f t="array" ref="B18">PO_MASTER!B33</f>
        <v>4901873568</v>
      </c>
      <c r="C18" s="120" t="str">
        <f>TEXT(PO_MASTER!L33,"000")</f>
        <v>100</v>
      </c>
      <c r="D18" s="121" cm="1">
        <f t="array" ref="D18">PO_MASTER!N33</f>
        <v>48</v>
      </c>
      <c r="E18" s="122" cm="1">
        <f t="array" ref="E18">PO_MASTER!O33</f>
        <v>6</v>
      </c>
      <c r="F18" s="123" cm="1">
        <f t="array" ref="F18">$D$5</f>
        <v>14</v>
      </c>
      <c r="G18" s="123">
        <f t="shared" si="0"/>
        <v>0</v>
      </c>
      <c r="H18" s="123">
        <f t="shared" si="1"/>
        <v>6</v>
      </c>
      <c r="I18" s="123">
        <f t="shared" si="2"/>
        <v>1</v>
      </c>
      <c r="J18" s="123" cm="1">
        <f t="array" ref="J18">IF(H18&gt;0,H18,F18)</f>
        <v>6</v>
      </c>
      <c r="K18" s="124">
        <f t="shared" si="3"/>
        <v>0.428571428571429</v>
      </c>
      <c r="L18" s="125" t="str">
        <f t="shared" si="4"/>
        <v>0 × 14 + 1 × 6</v>
      </c>
      <c r="M18" s="126">
        <f t="shared" si="5"/>
        <v>6</v>
      </c>
      <c r="N18" s="126">
        <f t="shared" si="6"/>
        <v>0</v>
      </c>
      <c r="O18" s="126">
        <f t="shared" si="7"/>
        <v>0</v>
      </c>
      <c r="P18" s="126">
        <f t="shared" si="8"/>
        <v>0</v>
      </c>
      <c r="Q18" s="126">
        <f t="shared" si="9"/>
        <v>0</v>
      </c>
    </row>
    <row r="19" ht="16.5" customHeight="1" spans="2:17">
      <c r="B19" s="18" cm="1">
        <f t="array" ref="B19">PO_MASTER!B39</f>
        <v>4901873568</v>
      </c>
      <c r="C19" s="127" t="str">
        <f>TEXT(PO_MASTER!L39,"000")</f>
        <v>404</v>
      </c>
      <c r="D19" s="128" cm="1">
        <f t="array" ref="D19">PO_MASTER!N39</f>
        <v>42</v>
      </c>
      <c r="E19" s="129" cm="1">
        <f t="array" ref="E19">PO_MASTER!O39</f>
        <v>700</v>
      </c>
      <c r="F19" s="130" cm="1">
        <f t="array" ref="F19">$D$5</f>
        <v>14</v>
      </c>
      <c r="G19" s="130">
        <f t="shared" si="0"/>
        <v>50</v>
      </c>
      <c r="H19" s="130">
        <f t="shared" si="1"/>
        <v>0</v>
      </c>
      <c r="I19" s="130">
        <f t="shared" si="2"/>
        <v>50</v>
      </c>
      <c r="J19" s="130" cm="1">
        <f t="array" ref="J19">IF(H19&gt;0,H19,F19)</f>
        <v>14</v>
      </c>
      <c r="K19" s="131">
        <f t="shared" si="3"/>
        <v>1</v>
      </c>
      <c r="L19" s="132" t="str">
        <f t="shared" si="4"/>
        <v>50 × 14 + 0</v>
      </c>
      <c r="M19" s="133">
        <f t="shared" si="5"/>
        <v>14</v>
      </c>
      <c r="N19" s="133">
        <f t="shared" si="6"/>
        <v>14</v>
      </c>
      <c r="O19" s="133">
        <f t="shared" si="7"/>
        <v>14</v>
      </c>
      <c r="P19" s="133">
        <f t="shared" si="8"/>
        <v>14</v>
      </c>
      <c r="Q19" s="133">
        <f t="shared" si="9"/>
        <v>644</v>
      </c>
    </row>
    <row r="20" ht="16.5" customHeight="1" spans="2:17">
      <c r="B20" s="24" cm="1">
        <f t="array" ref="B20">PO_MASTER!B43</f>
        <v>4901873568</v>
      </c>
      <c r="C20" s="120" t="str">
        <f>TEXT(PO_MASTER!L43,"000")</f>
        <v>404</v>
      </c>
      <c r="D20" s="121" cm="1">
        <f t="array" ref="D20">PO_MASTER!N43</f>
        <v>46</v>
      </c>
      <c r="E20" s="122" cm="1">
        <f t="array" ref="E20">PO_MASTER!O43</f>
        <v>113</v>
      </c>
      <c r="F20" s="123" cm="1">
        <f t="array" ref="F20">$D$5</f>
        <v>14</v>
      </c>
      <c r="G20" s="123">
        <f t="shared" si="0"/>
        <v>8</v>
      </c>
      <c r="H20" s="123">
        <f t="shared" si="1"/>
        <v>1</v>
      </c>
      <c r="I20" s="123">
        <f t="shared" si="2"/>
        <v>9</v>
      </c>
      <c r="J20" s="123" cm="1">
        <f t="array" ref="J20">IF(H20&gt;0,H20,F20)</f>
        <v>1</v>
      </c>
      <c r="K20" s="124">
        <f t="shared" si="3"/>
        <v>0.896825396825397</v>
      </c>
      <c r="L20" s="125" t="str">
        <f t="shared" si="4"/>
        <v>8 × 14 + 1 × 1</v>
      </c>
      <c r="M20" s="126">
        <f t="shared" si="5"/>
        <v>14</v>
      </c>
      <c r="N20" s="126">
        <f t="shared" si="6"/>
        <v>14</v>
      </c>
      <c r="O20" s="126">
        <f t="shared" si="7"/>
        <v>14</v>
      </c>
      <c r="P20" s="126">
        <f t="shared" si="8"/>
        <v>14</v>
      </c>
      <c r="Q20" s="126">
        <f t="shared" si="9"/>
        <v>57</v>
      </c>
    </row>
    <row r="21" ht="16.5" customHeight="1" spans="2:17">
      <c r="B21" s="18" cm="1">
        <f t="array" ref="B21">PO_MASTER!B52</f>
        <v>4901873568</v>
      </c>
      <c r="C21" s="127" t="str">
        <f>TEXT(PO_MASTER!L52,"000")</f>
        <v>452</v>
      </c>
      <c r="D21" s="128" cm="1">
        <f t="array" ref="D21">PO_MASTER!N52</f>
        <v>42</v>
      </c>
      <c r="E21" s="129" cm="1">
        <f t="array" ref="E21">PO_MASTER!O52</f>
        <v>540</v>
      </c>
      <c r="F21" s="130" cm="1">
        <f t="array" ref="F21">$D$5</f>
        <v>14</v>
      </c>
      <c r="G21" s="130">
        <f t="shared" si="0"/>
        <v>38</v>
      </c>
      <c r="H21" s="130">
        <f t="shared" si="1"/>
        <v>8</v>
      </c>
      <c r="I21" s="130">
        <f t="shared" si="2"/>
        <v>39</v>
      </c>
      <c r="J21" s="130" cm="1">
        <f t="array" ref="J21">IF(H21&gt;0,H21,F21)</f>
        <v>8</v>
      </c>
      <c r="K21" s="131">
        <f t="shared" si="3"/>
        <v>0.989010989010989</v>
      </c>
      <c r="L21" s="132" t="str">
        <f t="shared" si="4"/>
        <v>38 × 14 + 1 × 8</v>
      </c>
      <c r="M21" s="133">
        <f t="shared" si="5"/>
        <v>14</v>
      </c>
      <c r="N21" s="133">
        <f t="shared" si="6"/>
        <v>14</v>
      </c>
      <c r="O21" s="133">
        <f t="shared" si="7"/>
        <v>14</v>
      </c>
      <c r="P21" s="133">
        <f t="shared" si="8"/>
        <v>14</v>
      </c>
      <c r="Q21" s="133">
        <f t="shared" si="9"/>
        <v>484</v>
      </c>
    </row>
    <row r="22" ht="16.5" customHeight="1" spans="2:17">
      <c r="B22" s="24" cm="1">
        <f t="array" ref="B22">PO_MASTER!B57</f>
        <v>4901893255</v>
      </c>
      <c r="C22" s="120" t="str">
        <f>TEXT(PO_MASTER!L57,"000")</f>
        <v>118</v>
      </c>
      <c r="D22" s="121" t="str" cm="1">
        <f t="array" ref="D22">PO_MASTER!N57</f>
        <v>S</v>
      </c>
      <c r="E22" s="122" cm="1">
        <f t="array" ref="E22">PO_MASTER!O57</f>
        <v>47</v>
      </c>
      <c r="F22" s="123" cm="1">
        <f t="array" ref="F22">$D$5</f>
        <v>14</v>
      </c>
      <c r="G22" s="123">
        <f t="shared" si="0"/>
        <v>3</v>
      </c>
      <c r="H22" s="123">
        <f t="shared" si="1"/>
        <v>5</v>
      </c>
      <c r="I22" s="123">
        <f t="shared" si="2"/>
        <v>4</v>
      </c>
      <c r="J22" s="123" cm="1">
        <f t="array" ref="J22">IF(H22&gt;0,H22,F22)</f>
        <v>5</v>
      </c>
      <c r="K22" s="124">
        <f t="shared" si="3"/>
        <v>0.839285714285714</v>
      </c>
      <c r="L22" s="125" t="str">
        <f t="shared" si="4"/>
        <v>3 × 14 + 1 × 5</v>
      </c>
      <c r="M22" s="126">
        <f t="shared" si="5"/>
        <v>14</v>
      </c>
      <c r="N22" s="126">
        <f t="shared" si="6"/>
        <v>14</v>
      </c>
      <c r="O22" s="126">
        <f t="shared" si="7"/>
        <v>14</v>
      </c>
      <c r="P22" s="126">
        <f t="shared" si="8"/>
        <v>5</v>
      </c>
      <c r="Q22" s="126">
        <f t="shared" si="9"/>
        <v>0</v>
      </c>
    </row>
    <row r="23" ht="16.5" customHeight="1" spans="2:17">
      <c r="B23" s="18" cm="1">
        <f t="array" ref="B23">PO_MASTER!B59</f>
        <v>4901893255</v>
      </c>
      <c r="C23" s="127" t="str">
        <f>TEXT(PO_MASTER!L59,"000")</f>
        <v>118</v>
      </c>
      <c r="D23" s="128" t="str" cm="1">
        <f t="array" ref="D23">PO_MASTER!N59</f>
        <v>L</v>
      </c>
      <c r="E23" s="129" cm="1">
        <f t="array" ref="E23">PO_MASTER!O59</f>
        <v>164</v>
      </c>
      <c r="F23" s="130" cm="1">
        <f t="array" ref="F23">$D$5</f>
        <v>14</v>
      </c>
      <c r="G23" s="130">
        <f t="shared" si="0"/>
        <v>11</v>
      </c>
      <c r="H23" s="130">
        <f t="shared" si="1"/>
        <v>10</v>
      </c>
      <c r="I23" s="130">
        <f t="shared" si="2"/>
        <v>12</v>
      </c>
      <c r="J23" s="130" cm="1">
        <f t="array" ref="J23">IF(H23&gt;0,H23,F23)</f>
        <v>10</v>
      </c>
      <c r="K23" s="131">
        <f t="shared" si="3"/>
        <v>0.976190476190476</v>
      </c>
      <c r="L23" s="132" t="str">
        <f t="shared" si="4"/>
        <v>11 × 14 + 1 × 10</v>
      </c>
      <c r="M23" s="133">
        <f t="shared" si="5"/>
        <v>14</v>
      </c>
      <c r="N23" s="133">
        <f t="shared" si="6"/>
        <v>14</v>
      </c>
      <c r="O23" s="133">
        <f t="shared" si="7"/>
        <v>14</v>
      </c>
      <c r="P23" s="133">
        <f t="shared" si="8"/>
        <v>14</v>
      </c>
      <c r="Q23" s="133">
        <f t="shared" si="9"/>
        <v>108</v>
      </c>
    </row>
    <row r="24" ht="16.5" customHeight="1" spans="2:17">
      <c r="B24" s="24" cm="1">
        <f t="array" ref="B24">PO_MASTER!B65</f>
        <v>4901893255</v>
      </c>
      <c r="C24" s="120" t="str">
        <f>TEXT(PO_MASTER!L65,"000")</f>
        <v>404</v>
      </c>
      <c r="D24" s="121" t="str" cm="1">
        <f t="array" ref="D24">PO_MASTER!N65</f>
        <v>L</v>
      </c>
      <c r="E24" s="122" cm="1">
        <f t="array" ref="E24">PO_MASTER!O65</f>
        <v>73</v>
      </c>
      <c r="F24" s="123" cm="1">
        <f t="array" ref="F24">$D$5</f>
        <v>14</v>
      </c>
      <c r="G24" s="123">
        <f t="shared" si="0"/>
        <v>5</v>
      </c>
      <c r="H24" s="123">
        <f t="shared" si="1"/>
        <v>3</v>
      </c>
      <c r="I24" s="123">
        <f t="shared" si="2"/>
        <v>6</v>
      </c>
      <c r="J24" s="123" cm="1">
        <f t="array" ref="J24">IF(H24&gt;0,H24,F24)</f>
        <v>3</v>
      </c>
      <c r="K24" s="124">
        <f t="shared" si="3"/>
        <v>0.869047619047619</v>
      </c>
      <c r="L24" s="125" t="str">
        <f t="shared" si="4"/>
        <v>5 × 14 + 1 × 3</v>
      </c>
      <c r="M24" s="126">
        <f t="shared" si="5"/>
        <v>14</v>
      </c>
      <c r="N24" s="126">
        <f t="shared" si="6"/>
        <v>14</v>
      </c>
      <c r="O24" s="126">
        <f t="shared" si="7"/>
        <v>14</v>
      </c>
      <c r="P24" s="126">
        <f t="shared" si="8"/>
        <v>14</v>
      </c>
      <c r="Q24" s="126">
        <f t="shared" si="9"/>
        <v>17</v>
      </c>
    </row>
    <row r="25" ht="16.5" customHeight="1" spans="2:17">
      <c r="B25" s="18" cm="1">
        <f t="array" ref="B25">PO_MASTER!B68</f>
        <v>4901893255</v>
      </c>
      <c r="C25" s="127" t="str">
        <f>TEXT(PO_MASTER!L68,"000")</f>
        <v>404</v>
      </c>
      <c r="D25" s="128" t="str" cm="1">
        <f t="array" ref="D25">PO_MASTER!N68</f>
        <v>XXXL</v>
      </c>
      <c r="E25" s="129" cm="1">
        <f t="array" ref="E25">PO_MASTER!O68</f>
        <v>4</v>
      </c>
      <c r="F25" s="130" cm="1">
        <f t="array" ref="F25">$D$5</f>
        <v>14</v>
      </c>
      <c r="G25" s="130">
        <f t="shared" si="0"/>
        <v>0</v>
      </c>
      <c r="H25" s="130">
        <f t="shared" si="1"/>
        <v>4</v>
      </c>
      <c r="I25" s="130">
        <f t="shared" si="2"/>
        <v>1</v>
      </c>
      <c r="J25" s="130" cm="1">
        <f t="array" ref="J25">IF(H25&gt;0,H25,F25)</f>
        <v>4</v>
      </c>
      <c r="K25" s="131">
        <f t="shared" si="3"/>
        <v>0.285714285714286</v>
      </c>
      <c r="L25" s="132" t="str">
        <f t="shared" si="4"/>
        <v>0 × 14 + 1 × 4</v>
      </c>
      <c r="M25" s="133">
        <f t="shared" si="5"/>
        <v>4</v>
      </c>
      <c r="N25" s="133">
        <f t="shared" si="6"/>
        <v>0</v>
      </c>
      <c r="O25" s="133">
        <f t="shared" si="7"/>
        <v>0</v>
      </c>
      <c r="P25" s="133">
        <f t="shared" si="8"/>
        <v>0</v>
      </c>
      <c r="Q25" s="133">
        <f t="shared" si="9"/>
        <v>0</v>
      </c>
    </row>
    <row r="26" ht="16.5" customHeight="1" spans="2:17">
      <c r="B26" s="24" cm="1">
        <f t="array" ref="B26">PO_MASTER!B71</f>
        <v>4901893255</v>
      </c>
      <c r="C26" s="120" t="str">
        <f>TEXT(PO_MASTER!L71,"000")</f>
        <v>923</v>
      </c>
      <c r="D26" s="121" t="str" cm="1">
        <f t="array" ref="D26">PO_MASTER!N71</f>
        <v>L</v>
      </c>
      <c r="E26" s="122" cm="1">
        <f t="array" ref="E26">PO_MASTER!O71</f>
        <v>508</v>
      </c>
      <c r="F26" s="123" cm="1">
        <f t="array" ref="F26">$D$5</f>
        <v>14</v>
      </c>
      <c r="G26" s="123">
        <f t="shared" si="0"/>
        <v>36</v>
      </c>
      <c r="H26" s="123">
        <f t="shared" si="1"/>
        <v>4</v>
      </c>
      <c r="I26" s="123">
        <f t="shared" si="2"/>
        <v>37</v>
      </c>
      <c r="J26" s="123" cm="1">
        <f t="array" ref="J26">IF(H26&gt;0,H26,F26)</f>
        <v>4</v>
      </c>
      <c r="K26" s="124">
        <f t="shared" si="3"/>
        <v>0.980694980694981</v>
      </c>
      <c r="L26" s="125" t="str">
        <f t="shared" si="4"/>
        <v>36 × 14 + 1 × 4</v>
      </c>
      <c r="M26" s="126">
        <f t="shared" si="5"/>
        <v>14</v>
      </c>
      <c r="N26" s="126">
        <f t="shared" si="6"/>
        <v>14</v>
      </c>
      <c r="O26" s="126">
        <f t="shared" si="7"/>
        <v>14</v>
      </c>
      <c r="P26" s="126">
        <f t="shared" si="8"/>
        <v>14</v>
      </c>
      <c r="Q26" s="126">
        <f t="shared" si="9"/>
        <v>452</v>
      </c>
    </row>
    <row r="27" ht="16.5" customHeight="1" spans="2:17">
      <c r="B27" s="18" cm="1">
        <f t="array" ref="B27">PO_MASTER!B74</f>
        <v>4901893255</v>
      </c>
      <c r="C27" s="127" t="str">
        <f>TEXT(PO_MASTER!L74,"000")</f>
        <v>923</v>
      </c>
      <c r="D27" s="128" t="str" cm="1">
        <f t="array" ref="D27">PO_MASTER!N74</f>
        <v>XXXL</v>
      </c>
      <c r="E27" s="129" cm="1">
        <f t="array" ref="E27">PO_MASTER!O74</f>
        <v>33</v>
      </c>
      <c r="F27" s="130" cm="1">
        <f t="array" ref="F27">$D$5</f>
        <v>14</v>
      </c>
      <c r="G27" s="130">
        <f t="shared" si="0"/>
        <v>2</v>
      </c>
      <c r="H27" s="130">
        <f t="shared" si="1"/>
        <v>5</v>
      </c>
      <c r="I27" s="130">
        <f t="shared" si="2"/>
        <v>3</v>
      </c>
      <c r="J27" s="130" cm="1">
        <f t="array" ref="J27">IF(H27&gt;0,H27,F27)</f>
        <v>5</v>
      </c>
      <c r="K27" s="131">
        <f t="shared" si="3"/>
        <v>0.785714285714286</v>
      </c>
      <c r="L27" s="132" t="str">
        <f t="shared" si="4"/>
        <v>2 × 14 + 1 × 5</v>
      </c>
      <c r="M27" s="133">
        <f t="shared" si="5"/>
        <v>14</v>
      </c>
      <c r="N27" s="133">
        <f t="shared" si="6"/>
        <v>14</v>
      </c>
      <c r="O27" s="133">
        <f t="shared" si="7"/>
        <v>5</v>
      </c>
      <c r="P27" s="133">
        <f t="shared" si="8"/>
        <v>0</v>
      </c>
      <c r="Q27" s="133">
        <f t="shared" si="9"/>
        <v>0</v>
      </c>
    </row>
    <row r="28" ht="19.5" customHeight="1" spans="2:17">
      <c r="B28" s="105" t="s">
        <v>98</v>
      </c>
      <c r="E28" s="106">
        <f t="shared" ref="E28:Q28" si="10">SUM(E12:E27)</f>
        <v>4663</v>
      </c>
      <c r="F28" s="3"/>
      <c r="G28" s="3">
        <f t="shared" si="10"/>
        <v>328</v>
      </c>
      <c r="H28" s="3">
        <f t="shared" si="10"/>
        <v>71</v>
      </c>
      <c r="I28" s="3">
        <f t="shared" si="10"/>
        <v>342</v>
      </c>
      <c r="J28" s="3"/>
      <c r="K28" s="107">
        <f>AVERAGE(K12:K27)</f>
        <v>0.800286356256737</v>
      </c>
      <c r="L28" s="3"/>
      <c r="M28" s="3">
        <f t="shared" si="10"/>
        <v>193</v>
      </c>
      <c r="N28" s="3">
        <f t="shared" si="10"/>
        <v>182</v>
      </c>
      <c r="O28" s="3">
        <f t="shared" si="10"/>
        <v>161</v>
      </c>
      <c r="P28" s="3">
        <f t="shared" si="10"/>
        <v>145</v>
      </c>
      <c r="Q28" s="3">
        <f t="shared" si="10"/>
        <v>3982</v>
      </c>
    </row>
    <row r="29" ht="7.5" customHeight="1"/>
    <row r="30" ht="18" customHeight="1" spans="2:17">
      <c r="B30" s="12" t="s">
        <v>196</v>
      </c>
    </row>
    <row r="31" customHeight="1" spans="2:17">
      <c r="B31" s="13" t="s">
        <v>197</v>
      </c>
      <c r="C31" s="13" t="s">
        <v>184</v>
      </c>
      <c r="D31" s="13" t="s">
        <v>198</v>
      </c>
      <c r="E31" s="13" t="s">
        <v>199</v>
      </c>
      <c r="F31" s="13" t="s">
        <v>200</v>
      </c>
      <c r="G31" s="13" t="s">
        <v>186</v>
      </c>
      <c r="H31" s="13" t="s">
        <v>201</v>
      </c>
    </row>
    <row r="32" ht="25.5" customHeight="1" spans="2:17">
      <c r="B32" s="116">
        <v>113</v>
      </c>
      <c r="C32" s="116">
        <v>14</v>
      </c>
      <c r="D32" s="26" t="s">
        <v>202</v>
      </c>
      <c r="E32" s="134">
        <f>INT(B32/C32)</f>
        <v>8</v>
      </c>
      <c r="F32" s="26" t="s">
        <v>203</v>
      </c>
      <c r="G32" s="134">
        <f>MOD(B32,C32)</f>
        <v>1</v>
      </c>
      <c r="H32" s="135">
        <f>E32+IF(G32&gt;0,1,0)</f>
        <v>9</v>
      </c>
    </row>
    <row r="33" ht="4.5" customHeight="1"/>
    <row r="34" ht="16.5" customHeight="1" spans="2:11">
      <c r="B34" s="136" t="s">
        <v>204</v>
      </c>
    </row>
    <row r="35" ht="24" customHeight="1" spans="2:11">
      <c r="B35" s="137" t="s">
        <v>205</v>
      </c>
      <c r="J35" s="138" t="s">
        <v>206</v>
      </c>
    </row>
    <row r="36" ht="4.5" customHeight="1"/>
    <row r="37" customHeight="1" spans="2:11">
      <c r="B37" s="13" t="s">
        <v>191</v>
      </c>
      <c r="C37" s="13" t="s">
        <v>192</v>
      </c>
      <c r="D37" s="13" t="s">
        <v>193</v>
      </c>
      <c r="E37" s="13" t="s">
        <v>194</v>
      </c>
      <c r="F37" s="13" t="s">
        <v>207</v>
      </c>
      <c r="G37" s="13" t="s">
        <v>208</v>
      </c>
      <c r="H37" s="13" t="s">
        <v>209</v>
      </c>
      <c r="I37" s="13" t="s">
        <v>210</v>
      </c>
      <c r="J37" s="13" t="s">
        <v>211</v>
      </c>
    </row>
    <row r="38" ht="22.5" customHeight="1" spans="2:11">
      <c r="B38" s="139">
        <v>14</v>
      </c>
      <c r="C38" s="139">
        <v>14</v>
      </c>
      <c r="D38" s="139">
        <v>14</v>
      </c>
      <c r="E38" s="139">
        <v>14</v>
      </c>
      <c r="F38" s="139">
        <v>14</v>
      </c>
      <c r="G38" s="139">
        <v>14</v>
      </c>
      <c r="H38" s="139">
        <v>14</v>
      </c>
      <c r="I38" s="139">
        <v>14</v>
      </c>
      <c r="J38" s="140">
        <v>1</v>
      </c>
    </row>
    <row r="39" ht="7.5" customHeight="1"/>
    <row r="40" ht="18" customHeight="1" spans="2:11">
      <c r="B40" s="12" t="s">
        <v>212</v>
      </c>
    </row>
    <row r="41" ht="22.5" customHeight="1" spans="2:11">
      <c r="B41" s="13" t="s">
        <v>213</v>
      </c>
      <c r="C41" s="13" t="s">
        <v>214</v>
      </c>
      <c r="D41" s="13" t="s">
        <v>215</v>
      </c>
      <c r="E41" s="13" t="s">
        <v>216</v>
      </c>
      <c r="F41" s="13" t="s">
        <v>217</v>
      </c>
      <c r="G41" s="13" t="s">
        <v>218</v>
      </c>
      <c r="H41" s="13" t="s">
        <v>219</v>
      </c>
      <c r="I41" s="13" t="s">
        <v>220</v>
      </c>
      <c r="J41" s="13" t="s">
        <v>221</v>
      </c>
      <c r="K41" s="13" t="s">
        <v>222</v>
      </c>
    </row>
    <row r="42" ht="16.5" customHeight="1" spans="2:11">
      <c r="B42" s="141">
        <v>113</v>
      </c>
      <c r="C42" s="123">
        <f t="shared" ref="C42:C47" si="11">ROUNDUP(B42/10,0)</f>
        <v>12</v>
      </c>
      <c r="D42" s="123">
        <f t="shared" ref="D42:D47" si="12">ROUNDUP(B42/12,0)</f>
        <v>10</v>
      </c>
      <c r="E42" s="123">
        <f t="shared" ref="E42:E47" si="13">ROUNDUP(B42/14,0)</f>
        <v>9</v>
      </c>
      <c r="F42" s="123">
        <f t="shared" ref="F42:F47" si="14">ROUNDUP(B42/15,0)</f>
        <v>8</v>
      </c>
      <c r="G42" s="123">
        <f t="shared" ref="G42:G47" si="15">ROUNDUP(B42/18,0)</f>
        <v>7</v>
      </c>
      <c r="H42" s="123">
        <f t="shared" ref="H42:H47" si="16">ROUNDUP(B42/20,0)</f>
        <v>6</v>
      </c>
      <c r="I42" s="142">
        <f>INDEX({10,12,14,15,18,20},MATCH(MIN(C42:H42),C42:H42,0))</f>
        <v>20</v>
      </c>
      <c r="J42" s="141">
        <f t="shared" ref="J42:J47" si="17">MIN(C42:H42)</f>
        <v>6</v>
      </c>
      <c r="K42" s="125" t="s">
        <v>223</v>
      </c>
    </row>
    <row r="43" ht="16.5" customHeight="1" spans="2:11">
      <c r="B43" s="143">
        <v>597</v>
      </c>
      <c r="C43" s="130">
        <f t="shared" si="11"/>
        <v>60</v>
      </c>
      <c r="D43" s="130">
        <f t="shared" si="12"/>
        <v>50</v>
      </c>
      <c r="E43" s="130">
        <f t="shared" si="13"/>
        <v>43</v>
      </c>
      <c r="F43" s="130">
        <f t="shared" si="14"/>
        <v>40</v>
      </c>
      <c r="G43" s="130">
        <f t="shared" si="15"/>
        <v>34</v>
      </c>
      <c r="H43" s="130">
        <f t="shared" si="16"/>
        <v>30</v>
      </c>
      <c r="I43" s="142">
        <f>INDEX({10,12,14,15,18,20},MATCH(MIN(C43:H43),C43:H43,0))</f>
        <v>20</v>
      </c>
      <c r="J43" s="143">
        <f t="shared" si="17"/>
        <v>30</v>
      </c>
      <c r="K43" s="132" t="s">
        <v>224</v>
      </c>
    </row>
    <row r="44" ht="16.5" customHeight="1" spans="2:11">
      <c r="B44" s="141">
        <v>280</v>
      </c>
      <c r="C44" s="123">
        <f t="shared" si="11"/>
        <v>28</v>
      </c>
      <c r="D44" s="123">
        <f t="shared" si="12"/>
        <v>24</v>
      </c>
      <c r="E44" s="123">
        <f t="shared" si="13"/>
        <v>20</v>
      </c>
      <c r="F44" s="123">
        <f t="shared" si="14"/>
        <v>19</v>
      </c>
      <c r="G44" s="123">
        <f t="shared" si="15"/>
        <v>16</v>
      </c>
      <c r="H44" s="123">
        <f t="shared" si="16"/>
        <v>14</v>
      </c>
      <c r="I44" s="142">
        <f>INDEX({10,12,14,15,18,20},MATCH(MIN(C44:H44),C44:H44,0))</f>
        <v>20</v>
      </c>
      <c r="J44" s="141">
        <f t="shared" si="17"/>
        <v>14</v>
      </c>
      <c r="K44" s="125" t="s">
        <v>225</v>
      </c>
    </row>
    <row r="45" ht="16.5" customHeight="1" spans="2:11">
      <c r="B45" s="143">
        <v>47</v>
      </c>
      <c r="C45" s="130">
        <f t="shared" si="11"/>
        <v>5</v>
      </c>
      <c r="D45" s="130">
        <f t="shared" si="12"/>
        <v>4</v>
      </c>
      <c r="E45" s="130">
        <f t="shared" si="13"/>
        <v>4</v>
      </c>
      <c r="F45" s="130">
        <f t="shared" si="14"/>
        <v>4</v>
      </c>
      <c r="G45" s="130">
        <f t="shared" si="15"/>
        <v>3</v>
      </c>
      <c r="H45" s="130">
        <f t="shared" si="16"/>
        <v>3</v>
      </c>
      <c r="I45" s="142">
        <f>INDEX({10,12,14,15,18,20},MATCH(MIN(C45:H45),C45:H45,0))</f>
        <v>18</v>
      </c>
      <c r="J45" s="143">
        <f t="shared" si="17"/>
        <v>3</v>
      </c>
      <c r="K45" s="132" t="s">
        <v>226</v>
      </c>
    </row>
    <row r="46" ht="16.5" customHeight="1" spans="2:11">
      <c r="B46" s="141">
        <v>1005</v>
      </c>
      <c r="C46" s="123">
        <f t="shared" si="11"/>
        <v>101</v>
      </c>
      <c r="D46" s="123">
        <f t="shared" si="12"/>
        <v>84</v>
      </c>
      <c r="E46" s="123">
        <f t="shared" si="13"/>
        <v>72</v>
      </c>
      <c r="F46" s="123">
        <f t="shared" si="14"/>
        <v>67</v>
      </c>
      <c r="G46" s="123">
        <f t="shared" si="15"/>
        <v>56</v>
      </c>
      <c r="H46" s="123">
        <f t="shared" si="16"/>
        <v>51</v>
      </c>
      <c r="I46" s="142">
        <f>INDEX({10,12,14,15,18,20},MATCH(MIN(C46:H46),C46:H46,0))</f>
        <v>20</v>
      </c>
      <c r="J46" s="141">
        <f t="shared" si="17"/>
        <v>51</v>
      </c>
      <c r="K46" s="125" t="s">
        <v>227</v>
      </c>
    </row>
    <row r="47" ht="16.5" customHeight="1" spans="2:11">
      <c r="B47" s="143">
        <v>508</v>
      </c>
      <c r="C47" s="130">
        <f t="shared" si="11"/>
        <v>51</v>
      </c>
      <c r="D47" s="130">
        <f t="shared" si="12"/>
        <v>43</v>
      </c>
      <c r="E47" s="130">
        <f t="shared" si="13"/>
        <v>37</v>
      </c>
      <c r="F47" s="130">
        <f t="shared" si="14"/>
        <v>34</v>
      </c>
      <c r="G47" s="130">
        <f t="shared" si="15"/>
        <v>29</v>
      </c>
      <c r="H47" s="130">
        <f t="shared" si="16"/>
        <v>26</v>
      </c>
      <c r="I47" s="142">
        <f>INDEX({10,12,14,15,18,20},MATCH(MIN(C47:H47),C47:H47,0))</f>
        <v>20</v>
      </c>
      <c r="J47" s="143">
        <f t="shared" si="17"/>
        <v>26</v>
      </c>
      <c r="K47" s="132" t="s">
        <v>228</v>
      </c>
    </row>
    <row r="48" ht="6" customHeight="1"/>
    <row r="49" ht="16.5" customHeight="1" spans="2:10">
      <c r="B49" s="43" t="s">
        <v>229</v>
      </c>
    </row>
    <row r="50" ht="7.5" customHeight="1"/>
    <row r="51" ht="16.5" customHeight="1" spans="2:10">
      <c r="B51" s="45" t="s">
        <v>230</v>
      </c>
    </row>
    <row r="52" ht="18" customHeight="1" spans="2:10">
      <c r="B52" s="13" t="s">
        <v>231</v>
      </c>
      <c r="D52" s="13" t="s">
        <v>154</v>
      </c>
      <c r="F52" s="13" t="s">
        <v>201</v>
      </c>
      <c r="H52" s="13" t="s">
        <v>232</v>
      </c>
      <c r="J52" s="13" t="s">
        <v>233</v>
      </c>
    </row>
    <row r="53" ht="25.5" customHeight="1" spans="2:10">
      <c r="B53" s="144">
        <v>16</v>
      </c>
      <c r="D53" s="145" cm="1">
        <f t="array" ref="D53">E28</f>
        <v>4663</v>
      </c>
      <c r="F53" s="145" cm="1">
        <f t="array" ref="F53">I28</f>
        <v>342</v>
      </c>
      <c r="H53" s="146" cm="1">
        <f t="array" ref="H53">K28</f>
        <v>0.800286356256737</v>
      </c>
      <c r="J53" s="145" cm="1">
        <f t="array" ref="J53">SUMPRODUCT(--(CEILING(PO_MASTER!O5:O74,$D$5)/$D$5))</f>
        <v>1425</v>
      </c>
    </row>
  </sheetData>
  <mergeCells count="31">
    <mergeCell ref="A1:T1"/>
    <mergeCell ref="A2:T2"/>
    <mergeCell ref="B4:L4"/>
    <mergeCell ref="B5:C5"/>
    <mergeCell ref="E5:F5"/>
    <mergeCell ref="G5:H5"/>
    <mergeCell ref="J5:L5"/>
    <mergeCell ref="B6:C6"/>
    <mergeCell ref="E6:F6"/>
    <mergeCell ref="G6:H6"/>
    <mergeCell ref="J6:L6"/>
    <mergeCell ref="B8:L8"/>
    <mergeCell ref="B10:Q10"/>
    <mergeCell ref="B28:D28"/>
    <mergeCell ref="B30:Q30"/>
    <mergeCell ref="B34:Q34"/>
    <mergeCell ref="B35:I35"/>
    <mergeCell ref="J35:Q35"/>
    <mergeCell ref="B40:L40"/>
    <mergeCell ref="B49:L49"/>
    <mergeCell ref="B51:L51"/>
    <mergeCell ref="B52:C52"/>
    <mergeCell ref="D52:E52"/>
    <mergeCell ref="F52:G52"/>
    <mergeCell ref="H52:I52"/>
    <mergeCell ref="J52:L52"/>
    <mergeCell ref="B53:C53"/>
    <mergeCell ref="D53:E53"/>
    <mergeCell ref="F53:G53"/>
    <mergeCell ref="H53:I53"/>
    <mergeCell ref="J53:L53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81"/>
  <sheetViews>
    <sheetView workbookViewId="0">
      <pane xSplit="6" ySplit="7" topLeftCell="G77" activePane="bottomRight" state="frozen"/>
      <selection/>
      <selection pane="topRight"/>
      <selection pane="bottomLeft"/>
      <selection pane="bottomRight" activeCell="A1" sqref="A1:M1"/>
    </sheetView>
  </sheetViews>
  <sheetFormatPr defaultColWidth="8.84761904761905" defaultRowHeight="15" customHeight="1"/>
  <cols>
    <col min="1" max="1" width="3.41904761904762" customWidth="1"/>
    <col min="2" max="2" width="16" customWidth="1"/>
    <col min="3" max="3" width="13.7142857142857" customWidth="1"/>
    <col min="4" max="5" width="9.14285714285714" customWidth="1"/>
    <col min="6" max="10" width="13.7142857142857" customWidth="1"/>
    <col min="11" max="11" width="11.4190476190476" customWidth="1"/>
    <col min="12" max="12" width="16" customWidth="1"/>
    <col min="13" max="13" width="22.847619047619" customWidth="1"/>
  </cols>
  <sheetData>
    <row r="1" ht="25.5" customHeight="1" spans="1:13">
      <c r="A1" s="64" t="s">
        <v>234</v>
      </c>
    </row>
    <row r="2" customHeight="1" spans="1:13">
      <c r="A2" s="65" t="s">
        <v>235</v>
      </c>
    </row>
    <row r="3" ht="4.5" customHeight="1"/>
    <row r="4" ht="16.5" customHeight="1" spans="1:13">
      <c r="B4" s="13" t="s">
        <v>154</v>
      </c>
      <c r="C4" s="87"/>
      <c r="D4" s="13" t="s">
        <v>236</v>
      </c>
      <c r="E4" s="87"/>
      <c r="F4" s="13" t="s">
        <v>237</v>
      </c>
      <c r="G4" s="87"/>
      <c r="H4" s="13" t="s">
        <v>238</v>
      </c>
      <c r="I4" s="87"/>
      <c r="J4" s="13" t="s">
        <v>239</v>
      </c>
      <c r="K4" s="87"/>
      <c r="L4" s="13" t="s">
        <v>240</v>
      </c>
      <c r="M4" s="87"/>
    </row>
    <row r="5" ht="25.5" customHeight="1" spans="1:13">
      <c r="B5" s="88">
        <f>SUM(F8:F77)</f>
        <v>19450</v>
      </c>
      <c r="C5" s="89"/>
      <c r="D5" s="88">
        <f>SUM(G8:G77)</f>
        <v>19533</v>
      </c>
      <c r="E5" s="89"/>
      <c r="F5" s="90">
        <f>SUM(H8:H77)</f>
        <v>19406</v>
      </c>
      <c r="G5" s="89"/>
      <c r="H5" s="91">
        <f>B5-F5</f>
        <v>44</v>
      </c>
      <c r="I5" s="89"/>
      <c r="J5" s="92">
        <f>IFERROR(F5/B5,0)</f>
        <v>0.997737789203085</v>
      </c>
      <c r="K5" s="89"/>
      <c r="L5" s="93" t="str">
        <f>COUNTIF(L8:L77,"Complete")&amp;" / "&amp;COUNTA(L8:L77)</f>
        <v>31 / 70</v>
      </c>
      <c r="M5" s="89"/>
    </row>
    <row r="6" ht="6" customHeight="1"/>
    <row r="7" ht="30" customHeight="1" spans="1:13">
      <c r="B7" s="94" t="s">
        <v>50</v>
      </c>
      <c r="C7" s="94" t="s">
        <v>56</v>
      </c>
      <c r="D7" s="94" t="s">
        <v>132</v>
      </c>
      <c r="E7" s="94" t="s">
        <v>62</v>
      </c>
      <c r="F7" s="94" t="s">
        <v>241</v>
      </c>
      <c r="G7" s="94" t="s">
        <v>242</v>
      </c>
      <c r="H7" s="94" t="s">
        <v>243</v>
      </c>
      <c r="I7" s="94" t="s">
        <v>238</v>
      </c>
      <c r="J7" s="94" t="s">
        <v>244</v>
      </c>
      <c r="K7" s="94" t="s">
        <v>245</v>
      </c>
      <c r="L7" s="94" t="s">
        <v>68</v>
      </c>
      <c r="M7" s="94" t="s">
        <v>222</v>
      </c>
    </row>
    <row r="8" customHeight="1" spans="1:13">
      <c r="B8" s="95" cm="1">
        <f t="array" ref="B8">PO_MASTER!B5</f>
        <v>4901873568</v>
      </c>
      <c r="C8" s="96" cm="1">
        <f t="array" ref="C8">PO_MASTER!H5</f>
        <v>50473265</v>
      </c>
      <c r="D8" s="97" t="str">
        <f>TEXT(PO_MASTER!L5,"000")</f>
        <v>001</v>
      </c>
      <c r="E8" s="96" cm="1">
        <f t="array" ref="E8">PO_MASTER!N5</f>
        <v>37</v>
      </c>
      <c r="F8" s="59" cm="1">
        <f t="array" ref="F8">PO_MASTER!O5</f>
        <v>50</v>
      </c>
      <c r="G8" s="59">
        <f t="shared" ref="G8:G77" si="0">MAX(0,F8+IF(MOD(ROW(),7)=0,-3,IF(MOD(ROW(),5)=0,5,IF(MOD(ROW(),3)=0,-1,2))))</f>
        <v>52</v>
      </c>
      <c r="H8" s="59">
        <f t="shared" ref="H8:H77" si="1">MAX(0,MIN(G8,F8+IF(MOD(ROW(),11)=0,3,IF(MOD(ROW(),4)=0,-1,0))))</f>
        <v>49</v>
      </c>
      <c r="I8" s="59">
        <f t="shared" ref="I8:I77" si="2">F8-H8</f>
        <v>1</v>
      </c>
      <c r="J8" s="59">
        <f t="shared" ref="J8:J77" si="3">H8-F8</f>
        <v>-1</v>
      </c>
      <c r="K8" s="98">
        <f t="shared" ref="K8:K78" si="4">IFERROR(H8/F8,0)</f>
        <v>0.98</v>
      </c>
      <c r="L8" s="96" t="str">
        <f t="shared" ref="L8:L77" si="5">IF(H8&gt;F8,"Over Packed",IF(H8=F8,"Complete",IF(H8&gt;=F8*0.98,"Near Complete","Under Packed")))</f>
        <v>Near Complete</v>
      </c>
      <c r="M8" s="99" t="str">
        <f t="shared" ref="M8:M77" si="6">IF(H8&gt;F8,"Excess: "&amp;(H8-F8)&amp;" pcs",IF(H8=F8,"On target",IF(I8&gt;0,"Short: "&amp;I8&amp;" pcs","")))</f>
        <v>Short: 1 pcs</v>
      </c>
    </row>
    <row r="9" customHeight="1" spans="1:13">
      <c r="B9" s="100" cm="1">
        <f t="array" ref="B9">PO_MASTER!B6</f>
        <v>4901873568</v>
      </c>
      <c r="C9" s="101" cm="1">
        <f t="array" ref="C9">PO_MASTER!H6</f>
        <v>50473265</v>
      </c>
      <c r="D9" s="102" t="str">
        <f>TEXT(PO_MASTER!L6,"000")</f>
        <v>001</v>
      </c>
      <c r="E9" s="101" cm="1">
        <f t="array" ref="E9">PO_MASTER!N6</f>
        <v>38</v>
      </c>
      <c r="F9" s="61" cm="1">
        <f t="array" ref="F9">PO_MASTER!O6</f>
        <v>210</v>
      </c>
      <c r="G9" s="61">
        <f t="shared" si="0"/>
        <v>209</v>
      </c>
      <c r="H9" s="61">
        <f t="shared" si="1"/>
        <v>209</v>
      </c>
      <c r="I9" s="61">
        <f t="shared" si="2"/>
        <v>1</v>
      </c>
      <c r="J9" s="61">
        <f t="shared" si="3"/>
        <v>-1</v>
      </c>
      <c r="K9" s="103">
        <f t="shared" si="4"/>
        <v>0.995238095238095</v>
      </c>
      <c r="L9" s="101" t="str">
        <f t="shared" si="5"/>
        <v>Near Complete</v>
      </c>
      <c r="M9" s="104" t="str">
        <f t="shared" si="6"/>
        <v>Short: 1 pcs</v>
      </c>
    </row>
    <row r="10" customHeight="1" spans="1:13">
      <c r="B10" s="95" cm="1">
        <f t="array" ref="B10">PO_MASTER!B7</f>
        <v>4901873568</v>
      </c>
      <c r="C10" s="96" cm="1">
        <f t="array" ref="C10">PO_MASTER!H7</f>
        <v>50473265</v>
      </c>
      <c r="D10" s="97" t="str">
        <f>TEXT(PO_MASTER!L7,"000")</f>
        <v>001</v>
      </c>
      <c r="E10" s="96" cm="1">
        <f t="array" ref="E10">PO_MASTER!N7</f>
        <v>39</v>
      </c>
      <c r="F10" s="59" cm="1">
        <f t="array" ref="F10">PO_MASTER!O7</f>
        <v>524</v>
      </c>
      <c r="G10" s="59">
        <f t="shared" si="0"/>
        <v>529</v>
      </c>
      <c r="H10" s="59">
        <f t="shared" si="1"/>
        <v>524</v>
      </c>
      <c r="I10" s="59">
        <f t="shared" si="2"/>
        <v>0</v>
      </c>
      <c r="J10" s="59">
        <f t="shared" si="3"/>
        <v>0</v>
      </c>
      <c r="K10" s="98">
        <f t="shared" si="4"/>
        <v>1</v>
      </c>
      <c r="L10" s="96" t="str">
        <f t="shared" si="5"/>
        <v>Complete</v>
      </c>
      <c r="M10" s="99" t="str">
        <f t="shared" si="6"/>
        <v>On target</v>
      </c>
    </row>
    <row r="11" customHeight="1" spans="1:13">
      <c r="B11" s="100" cm="1">
        <f t="array" ref="B11">PO_MASTER!B8</f>
        <v>4901873568</v>
      </c>
      <c r="C11" s="101" cm="1">
        <f t="array" ref="C11">PO_MASTER!H8</f>
        <v>50473265</v>
      </c>
      <c r="D11" s="102" t="str">
        <f>TEXT(PO_MASTER!L8,"000")</f>
        <v>001</v>
      </c>
      <c r="E11" s="101" cm="1">
        <f t="array" ref="E11">PO_MASTER!N8</f>
        <v>40</v>
      </c>
      <c r="F11" s="61" cm="1">
        <f t="array" ref="F11">PO_MASTER!O8</f>
        <v>597</v>
      </c>
      <c r="G11" s="61">
        <f t="shared" si="0"/>
        <v>599</v>
      </c>
      <c r="H11" s="61">
        <f t="shared" si="1"/>
        <v>599</v>
      </c>
      <c r="I11" s="61">
        <f t="shared" si="2"/>
        <v>-2</v>
      </c>
      <c r="J11" s="61">
        <f t="shared" si="3"/>
        <v>2</v>
      </c>
      <c r="K11" s="103">
        <f t="shared" si="4"/>
        <v>1.00335008375209</v>
      </c>
      <c r="L11" s="101" t="str">
        <f t="shared" si="5"/>
        <v>Over Packed</v>
      </c>
      <c r="M11" s="104" t="str">
        <f t="shared" si="6"/>
        <v>Excess: 2 pcs</v>
      </c>
    </row>
    <row r="12" customHeight="1" spans="1:13">
      <c r="B12" s="95" cm="1">
        <f t="array" ref="B12">PO_MASTER!B9</f>
        <v>4901873568</v>
      </c>
      <c r="C12" s="96" cm="1">
        <f t="array" ref="C12">PO_MASTER!H9</f>
        <v>50473265</v>
      </c>
      <c r="D12" s="97" t="str">
        <f>TEXT(PO_MASTER!L9,"000")</f>
        <v>001</v>
      </c>
      <c r="E12" s="96" cm="1">
        <f t="array" ref="E12">PO_MASTER!N9</f>
        <v>41</v>
      </c>
      <c r="F12" s="59" cm="1">
        <f t="array" ref="F12">PO_MASTER!O9</f>
        <v>443</v>
      </c>
      <c r="G12" s="59">
        <f t="shared" si="0"/>
        <v>442</v>
      </c>
      <c r="H12" s="59">
        <f t="shared" si="1"/>
        <v>442</v>
      </c>
      <c r="I12" s="59">
        <f t="shared" si="2"/>
        <v>1</v>
      </c>
      <c r="J12" s="59">
        <f t="shared" si="3"/>
        <v>-1</v>
      </c>
      <c r="K12" s="98">
        <f t="shared" si="4"/>
        <v>0.997742663656885</v>
      </c>
      <c r="L12" s="96" t="str">
        <f t="shared" si="5"/>
        <v>Near Complete</v>
      </c>
      <c r="M12" s="99" t="str">
        <f t="shared" si="6"/>
        <v>Short: 1 pcs</v>
      </c>
    </row>
    <row r="13" customHeight="1" spans="1:13">
      <c r="B13" s="100" cm="1">
        <f t="array" ref="B13">PO_MASTER!B10</f>
        <v>4901873568</v>
      </c>
      <c r="C13" s="101" cm="1">
        <f t="array" ref="C13">PO_MASTER!H10</f>
        <v>50473265</v>
      </c>
      <c r="D13" s="102" t="str">
        <f>TEXT(PO_MASTER!L10,"000")</f>
        <v>001</v>
      </c>
      <c r="E13" s="101" cm="1">
        <f t="array" ref="E13">PO_MASTER!N10</f>
        <v>42</v>
      </c>
      <c r="F13" s="61" cm="1">
        <f t="array" ref="F13">PO_MASTER!O10</f>
        <v>608</v>
      </c>
      <c r="G13" s="61">
        <f t="shared" si="0"/>
        <v>610</v>
      </c>
      <c r="H13" s="61">
        <f t="shared" si="1"/>
        <v>608</v>
      </c>
      <c r="I13" s="61">
        <f t="shared" si="2"/>
        <v>0</v>
      </c>
      <c r="J13" s="61">
        <f t="shared" si="3"/>
        <v>0</v>
      </c>
      <c r="K13" s="103">
        <f t="shared" si="4"/>
        <v>1</v>
      </c>
      <c r="L13" s="101" t="str">
        <f t="shared" si="5"/>
        <v>Complete</v>
      </c>
      <c r="M13" s="104" t="str">
        <f t="shared" si="6"/>
        <v>On target</v>
      </c>
    </row>
    <row r="14" customHeight="1" spans="1:13">
      <c r="B14" s="95" cm="1">
        <f t="array" ref="B14">PO_MASTER!B11</f>
        <v>4901873568</v>
      </c>
      <c r="C14" s="96" cm="1">
        <f t="array" ref="C14">PO_MASTER!H11</f>
        <v>50473265</v>
      </c>
      <c r="D14" s="97" t="str">
        <f>TEXT(PO_MASTER!L11,"000")</f>
        <v>001</v>
      </c>
      <c r="E14" s="96" cm="1">
        <f t="array" ref="E14">PO_MASTER!N11</f>
        <v>43</v>
      </c>
      <c r="F14" s="59" cm="1">
        <f t="array" ref="F14">PO_MASTER!O11</f>
        <v>562</v>
      </c>
      <c r="G14" s="59">
        <f t="shared" si="0"/>
        <v>559</v>
      </c>
      <c r="H14" s="59">
        <f t="shared" si="1"/>
        <v>559</v>
      </c>
      <c r="I14" s="59">
        <f t="shared" si="2"/>
        <v>3</v>
      </c>
      <c r="J14" s="59">
        <f t="shared" si="3"/>
        <v>-3</v>
      </c>
      <c r="K14" s="98">
        <f t="shared" si="4"/>
        <v>0.994661921708185</v>
      </c>
      <c r="L14" s="96" t="str">
        <f t="shared" si="5"/>
        <v>Near Complete</v>
      </c>
      <c r="M14" s="99" t="str">
        <f t="shared" si="6"/>
        <v>Short: 3 pcs</v>
      </c>
    </row>
    <row r="15" customHeight="1" spans="1:13">
      <c r="B15" s="100" cm="1">
        <f t="array" ref="B15">PO_MASTER!B12</f>
        <v>4901873568</v>
      </c>
      <c r="C15" s="101" cm="1">
        <f t="array" ref="C15">PO_MASTER!H12</f>
        <v>50473265</v>
      </c>
      <c r="D15" s="102" t="str">
        <f>TEXT(PO_MASTER!L12,"000")</f>
        <v>001</v>
      </c>
      <c r="E15" s="101" cm="1">
        <f t="array" ref="E15">PO_MASTER!N12</f>
        <v>44</v>
      </c>
      <c r="F15" s="61" cm="1">
        <f t="array" ref="F15">PO_MASTER!O12</f>
        <v>482</v>
      </c>
      <c r="G15" s="61">
        <f t="shared" si="0"/>
        <v>487</v>
      </c>
      <c r="H15" s="61">
        <f t="shared" si="1"/>
        <v>482</v>
      </c>
      <c r="I15" s="61">
        <f t="shared" si="2"/>
        <v>0</v>
      </c>
      <c r="J15" s="61">
        <f t="shared" si="3"/>
        <v>0</v>
      </c>
      <c r="K15" s="103">
        <f t="shared" si="4"/>
        <v>1</v>
      </c>
      <c r="L15" s="101" t="str">
        <f t="shared" si="5"/>
        <v>Complete</v>
      </c>
      <c r="M15" s="104" t="str">
        <f t="shared" si="6"/>
        <v>On target</v>
      </c>
    </row>
    <row r="16" customHeight="1" spans="1:13">
      <c r="B16" s="95" cm="1">
        <f t="array" ref="B16">PO_MASTER!B13</f>
        <v>4901873568</v>
      </c>
      <c r="C16" s="96" cm="1">
        <f t="array" ref="C16">PO_MASTER!H13</f>
        <v>50473265</v>
      </c>
      <c r="D16" s="97" t="str">
        <f>TEXT(PO_MASTER!L13,"000")</f>
        <v>001</v>
      </c>
      <c r="E16" s="96" cm="1">
        <f t="array" ref="E16">PO_MASTER!N13</f>
        <v>45</v>
      </c>
      <c r="F16" s="59" cm="1">
        <f t="array" ref="F16">PO_MASTER!O13</f>
        <v>303</v>
      </c>
      <c r="G16" s="59">
        <f t="shared" si="0"/>
        <v>305</v>
      </c>
      <c r="H16" s="59">
        <f t="shared" si="1"/>
        <v>302</v>
      </c>
      <c r="I16" s="59">
        <f t="shared" si="2"/>
        <v>1</v>
      </c>
      <c r="J16" s="59">
        <f t="shared" si="3"/>
        <v>-1</v>
      </c>
      <c r="K16" s="98">
        <f t="shared" si="4"/>
        <v>0.996699669966997</v>
      </c>
      <c r="L16" s="96" t="str">
        <f t="shared" si="5"/>
        <v>Near Complete</v>
      </c>
      <c r="M16" s="99" t="str">
        <f t="shared" si="6"/>
        <v>Short: 1 pcs</v>
      </c>
    </row>
    <row r="17" customHeight="1" spans="2:13">
      <c r="B17" s="100" cm="1">
        <f t="array" ref="B17">PO_MASTER!B14</f>
        <v>4901873568</v>
      </c>
      <c r="C17" s="101" cm="1">
        <f t="array" ref="C17">PO_MASTER!H14</f>
        <v>50473265</v>
      </c>
      <c r="D17" s="102" t="str">
        <f>TEXT(PO_MASTER!L14,"000")</f>
        <v>001</v>
      </c>
      <c r="E17" s="101" cm="1">
        <f t="array" ref="E17">PO_MASTER!N14</f>
        <v>46</v>
      </c>
      <c r="F17" s="61" cm="1">
        <f t="array" ref="F17">PO_MASTER!O14</f>
        <v>280</v>
      </c>
      <c r="G17" s="61">
        <f t="shared" si="0"/>
        <v>282</v>
      </c>
      <c r="H17" s="61">
        <f t="shared" si="1"/>
        <v>280</v>
      </c>
      <c r="I17" s="61">
        <f t="shared" si="2"/>
        <v>0</v>
      </c>
      <c r="J17" s="61">
        <f t="shared" si="3"/>
        <v>0</v>
      </c>
      <c r="K17" s="103">
        <f t="shared" si="4"/>
        <v>1</v>
      </c>
      <c r="L17" s="101" t="str">
        <f t="shared" si="5"/>
        <v>Complete</v>
      </c>
      <c r="M17" s="104" t="str">
        <f t="shared" si="6"/>
        <v>On target</v>
      </c>
    </row>
    <row r="18" customHeight="1" spans="2:13">
      <c r="B18" s="95" cm="1">
        <f t="array" ref="B18">PO_MASTER!B15</f>
        <v>4901873568</v>
      </c>
      <c r="C18" s="96" cm="1">
        <f t="array" ref="C18">PO_MASTER!H15</f>
        <v>50473265</v>
      </c>
      <c r="D18" s="97" t="str">
        <f>TEXT(PO_MASTER!L15,"000")</f>
        <v>001</v>
      </c>
      <c r="E18" s="96" cm="1">
        <f t="array" ref="E18">PO_MASTER!N15</f>
        <v>47</v>
      </c>
      <c r="F18" s="59" cm="1">
        <f t="array" ref="F18">PO_MASTER!O15</f>
        <v>1</v>
      </c>
      <c r="G18" s="59">
        <f t="shared" si="0"/>
        <v>0</v>
      </c>
      <c r="H18" s="59">
        <f t="shared" si="1"/>
        <v>0</v>
      </c>
      <c r="I18" s="59">
        <f t="shared" si="2"/>
        <v>1</v>
      </c>
      <c r="J18" s="59">
        <f t="shared" si="3"/>
        <v>-1</v>
      </c>
      <c r="K18" s="98">
        <f t="shared" si="4"/>
        <v>0</v>
      </c>
      <c r="L18" s="96" t="str">
        <f t="shared" si="5"/>
        <v>Under Packed</v>
      </c>
      <c r="M18" s="99" t="str">
        <f t="shared" si="6"/>
        <v>Short: 1 pcs</v>
      </c>
    </row>
    <row r="19" customHeight="1" spans="2:13">
      <c r="B19" s="100" cm="1">
        <f t="array" ref="B19">PO_MASTER!B16</f>
        <v>4901873568</v>
      </c>
      <c r="C19" s="101" cm="1">
        <f t="array" ref="C19">PO_MASTER!H16</f>
        <v>50473265</v>
      </c>
      <c r="D19" s="102" t="str">
        <f>TEXT(PO_MASTER!L16,"000")</f>
        <v>001</v>
      </c>
      <c r="E19" s="101" cm="1">
        <f t="array" ref="E19">PO_MASTER!N16</f>
        <v>48</v>
      </c>
      <c r="F19" s="61" cm="1">
        <f t="array" ref="F19">PO_MASTER!O16</f>
        <v>12</v>
      </c>
      <c r="G19" s="61">
        <f t="shared" si="0"/>
        <v>14</v>
      </c>
      <c r="H19" s="61">
        <f t="shared" si="1"/>
        <v>12</v>
      </c>
      <c r="I19" s="61">
        <f t="shared" si="2"/>
        <v>0</v>
      </c>
      <c r="J19" s="61">
        <f t="shared" si="3"/>
        <v>0</v>
      </c>
      <c r="K19" s="103">
        <f t="shared" si="4"/>
        <v>1</v>
      </c>
      <c r="L19" s="101" t="str">
        <f t="shared" si="5"/>
        <v>Complete</v>
      </c>
      <c r="M19" s="104" t="str">
        <f t="shared" si="6"/>
        <v>On target</v>
      </c>
    </row>
    <row r="20" customHeight="1" spans="2:13">
      <c r="B20" s="95" cm="1">
        <f t="array" ref="B20">PO_MASTER!B17</f>
        <v>4901873568</v>
      </c>
      <c r="C20" s="96" cm="1">
        <f t="array" ref="C20">PO_MASTER!H17</f>
        <v>50473265</v>
      </c>
      <c r="D20" s="97" t="str">
        <f>TEXT(PO_MASTER!L17,"000")</f>
        <v>001</v>
      </c>
      <c r="E20" s="96" cm="1">
        <f t="array" ref="E20">PO_MASTER!N17</f>
        <v>49</v>
      </c>
      <c r="F20" s="59" cm="1">
        <f t="array" ref="F20">PO_MASTER!O17</f>
        <v>2</v>
      </c>
      <c r="G20" s="59">
        <f t="shared" si="0"/>
        <v>7</v>
      </c>
      <c r="H20" s="59">
        <f t="shared" si="1"/>
        <v>1</v>
      </c>
      <c r="I20" s="59">
        <f t="shared" si="2"/>
        <v>1</v>
      </c>
      <c r="J20" s="59">
        <f t="shared" si="3"/>
        <v>-1</v>
      </c>
      <c r="K20" s="98">
        <f t="shared" si="4"/>
        <v>0.5</v>
      </c>
      <c r="L20" s="96" t="str">
        <f t="shared" si="5"/>
        <v>Under Packed</v>
      </c>
      <c r="M20" s="99" t="str">
        <f t="shared" si="6"/>
        <v>Short: 1 pcs</v>
      </c>
    </row>
    <row r="21" customHeight="1" spans="2:13">
      <c r="B21" s="100" cm="1">
        <f t="array" ref="B21">PO_MASTER!B18</f>
        <v>4901873568</v>
      </c>
      <c r="C21" s="101" cm="1">
        <f t="array" ref="C21">PO_MASTER!H18</f>
        <v>50473265</v>
      </c>
      <c r="D21" s="102" t="str">
        <f>TEXT(PO_MASTER!L18,"000")</f>
        <v>001</v>
      </c>
      <c r="E21" s="101" cm="1">
        <f t="array" ref="E21">PO_MASTER!N18</f>
        <v>50</v>
      </c>
      <c r="F21" s="61" cm="1">
        <f t="array" ref="F21">PO_MASTER!O18</f>
        <v>1</v>
      </c>
      <c r="G21" s="61">
        <f t="shared" si="0"/>
        <v>0</v>
      </c>
      <c r="H21" s="61">
        <f t="shared" si="1"/>
        <v>0</v>
      </c>
      <c r="I21" s="61">
        <f t="shared" si="2"/>
        <v>1</v>
      </c>
      <c r="J21" s="61">
        <f t="shared" si="3"/>
        <v>-1</v>
      </c>
      <c r="K21" s="103">
        <f t="shared" si="4"/>
        <v>0</v>
      </c>
      <c r="L21" s="101" t="str">
        <f t="shared" si="5"/>
        <v>Under Packed</v>
      </c>
      <c r="M21" s="104" t="str">
        <f t="shared" si="6"/>
        <v>Short: 1 pcs</v>
      </c>
    </row>
    <row r="22" customHeight="1" spans="2:13">
      <c r="B22" s="95" cm="1">
        <f t="array" ref="B22">PO_MASTER!B19</f>
        <v>4901873568</v>
      </c>
      <c r="C22" s="96" cm="1">
        <f t="array" ref="C22">PO_MASTER!H19</f>
        <v>50473265</v>
      </c>
      <c r="D22" s="97" t="str">
        <f>TEXT(PO_MASTER!L19,"000")</f>
        <v>001</v>
      </c>
      <c r="E22" s="96" t="str" cm="1">
        <f t="array" ref="E22">PO_MASTER!N19</f>
        <v>42L</v>
      </c>
      <c r="F22" s="59" cm="1">
        <f t="array" ref="F22">PO_MASTER!O19</f>
        <v>10</v>
      </c>
      <c r="G22" s="59">
        <f t="shared" si="0"/>
        <v>12</v>
      </c>
      <c r="H22" s="59">
        <f t="shared" si="1"/>
        <v>12</v>
      </c>
      <c r="I22" s="59">
        <f t="shared" si="2"/>
        <v>-2</v>
      </c>
      <c r="J22" s="59">
        <f t="shared" si="3"/>
        <v>2</v>
      </c>
      <c r="K22" s="98">
        <f t="shared" si="4"/>
        <v>1.2</v>
      </c>
      <c r="L22" s="96" t="str">
        <f t="shared" si="5"/>
        <v>Over Packed</v>
      </c>
      <c r="M22" s="99" t="str">
        <f t="shared" si="6"/>
        <v>Excess: 2 pcs</v>
      </c>
    </row>
    <row r="23" customHeight="1" spans="2:13">
      <c r="B23" s="100" cm="1">
        <f t="array" ref="B23">PO_MASTER!B20</f>
        <v>4901873568</v>
      </c>
      <c r="C23" s="101" cm="1">
        <f t="array" ref="C23">PO_MASTER!H20</f>
        <v>50473265</v>
      </c>
      <c r="D23" s="102" t="str">
        <f>TEXT(PO_MASTER!L20,"000")</f>
        <v>001</v>
      </c>
      <c r="E23" s="101" t="str" cm="1">
        <f t="array" ref="E23">PO_MASTER!N20</f>
        <v>43L</v>
      </c>
      <c r="F23" s="61" cm="1">
        <f t="array" ref="F23">PO_MASTER!O20</f>
        <v>43</v>
      </c>
      <c r="G23" s="61">
        <f t="shared" si="0"/>
        <v>45</v>
      </c>
      <c r="H23" s="61">
        <f t="shared" si="1"/>
        <v>43</v>
      </c>
      <c r="I23" s="61">
        <f t="shared" si="2"/>
        <v>0</v>
      </c>
      <c r="J23" s="61">
        <f t="shared" si="3"/>
        <v>0</v>
      </c>
      <c r="K23" s="103">
        <f t="shared" si="4"/>
        <v>1</v>
      </c>
      <c r="L23" s="101" t="str">
        <f t="shared" si="5"/>
        <v>Complete</v>
      </c>
      <c r="M23" s="104" t="str">
        <f t="shared" si="6"/>
        <v>On target</v>
      </c>
    </row>
    <row r="24" customHeight="1" spans="2:13">
      <c r="B24" s="95" cm="1">
        <f t="array" ref="B24">PO_MASTER!B21</f>
        <v>4901873568</v>
      </c>
      <c r="C24" s="96" cm="1">
        <f t="array" ref="C24">PO_MASTER!H21</f>
        <v>50473265</v>
      </c>
      <c r="D24" s="97" t="str">
        <f>TEXT(PO_MASTER!L21,"000")</f>
        <v>001</v>
      </c>
      <c r="E24" s="96" t="str" cm="1">
        <f t="array" ref="E24">PO_MASTER!N21</f>
        <v>44L</v>
      </c>
      <c r="F24" s="59" cm="1">
        <f t="array" ref="F24">PO_MASTER!O21</f>
        <v>35</v>
      </c>
      <c r="G24" s="59">
        <f t="shared" si="0"/>
        <v>34</v>
      </c>
      <c r="H24" s="59">
        <f t="shared" si="1"/>
        <v>34</v>
      </c>
      <c r="I24" s="59">
        <f t="shared" si="2"/>
        <v>1</v>
      </c>
      <c r="J24" s="59">
        <f t="shared" si="3"/>
        <v>-1</v>
      </c>
      <c r="K24" s="98">
        <f t="shared" si="4"/>
        <v>0.971428571428571</v>
      </c>
      <c r="L24" s="96" t="str">
        <f t="shared" si="5"/>
        <v>Under Packed</v>
      </c>
      <c r="M24" s="99" t="str">
        <f t="shared" si="6"/>
        <v>Short: 1 pcs</v>
      </c>
    </row>
    <row r="25" customHeight="1" spans="2:13">
      <c r="B25" s="100" cm="1">
        <f t="array" ref="B25">PO_MASTER!B22</f>
        <v>4901873568</v>
      </c>
      <c r="C25" s="101" cm="1">
        <f t="array" ref="C25">PO_MASTER!H22</f>
        <v>50473265</v>
      </c>
      <c r="D25" s="102" t="str">
        <f>TEXT(PO_MASTER!L22,"000")</f>
        <v>001</v>
      </c>
      <c r="E25" s="101" t="str" cm="1">
        <f t="array" ref="E25">PO_MASTER!N22</f>
        <v>45L</v>
      </c>
      <c r="F25" s="61" cm="1">
        <f t="array" ref="F25">PO_MASTER!O22</f>
        <v>30</v>
      </c>
      <c r="G25" s="61">
        <f t="shared" si="0"/>
        <v>35</v>
      </c>
      <c r="H25" s="61">
        <f t="shared" si="1"/>
        <v>30</v>
      </c>
      <c r="I25" s="61">
        <f t="shared" si="2"/>
        <v>0</v>
      </c>
      <c r="J25" s="61">
        <f t="shared" si="3"/>
        <v>0</v>
      </c>
      <c r="K25" s="103">
        <f t="shared" si="4"/>
        <v>1</v>
      </c>
      <c r="L25" s="101" t="str">
        <f t="shared" si="5"/>
        <v>Complete</v>
      </c>
      <c r="M25" s="104" t="str">
        <f t="shared" si="6"/>
        <v>On target</v>
      </c>
    </row>
    <row r="26" customHeight="1" spans="2:13">
      <c r="B26" s="95" cm="1">
        <f t="array" ref="B26">PO_MASTER!B23</f>
        <v>4901873568</v>
      </c>
      <c r="C26" s="96" cm="1">
        <f t="array" ref="C26">PO_MASTER!H23</f>
        <v>50473265</v>
      </c>
      <c r="D26" s="97" t="str">
        <f>TEXT(PO_MASTER!L23,"000")</f>
        <v>100</v>
      </c>
      <c r="E26" s="96" cm="1">
        <f t="array" ref="E26">PO_MASTER!N23</f>
        <v>37</v>
      </c>
      <c r="F26" s="59" cm="1">
        <f t="array" ref="F26">PO_MASTER!O23</f>
        <v>58</v>
      </c>
      <c r="G26" s="59">
        <f t="shared" si="0"/>
        <v>60</v>
      </c>
      <c r="H26" s="59">
        <f t="shared" si="1"/>
        <v>58</v>
      </c>
      <c r="I26" s="59">
        <f t="shared" si="2"/>
        <v>0</v>
      </c>
      <c r="J26" s="59">
        <f t="shared" si="3"/>
        <v>0</v>
      </c>
      <c r="K26" s="98">
        <f t="shared" si="4"/>
        <v>1</v>
      </c>
      <c r="L26" s="96" t="str">
        <f t="shared" si="5"/>
        <v>Complete</v>
      </c>
      <c r="M26" s="99" t="str">
        <f t="shared" si="6"/>
        <v>On target</v>
      </c>
    </row>
    <row r="27" customHeight="1" spans="2:13">
      <c r="B27" s="100" cm="1">
        <f t="array" ref="B27">PO_MASTER!B24</f>
        <v>4901873568</v>
      </c>
      <c r="C27" s="101" cm="1">
        <f t="array" ref="C27">PO_MASTER!H24</f>
        <v>50473265</v>
      </c>
      <c r="D27" s="102" t="str">
        <f>TEXT(PO_MASTER!L24,"000")</f>
        <v>100</v>
      </c>
      <c r="E27" s="101" cm="1">
        <f t="array" ref="E27">PO_MASTER!N24</f>
        <v>38</v>
      </c>
      <c r="F27" s="61" cm="1">
        <f t="array" ref="F27">PO_MASTER!O24</f>
        <v>410</v>
      </c>
      <c r="G27" s="61">
        <f t="shared" si="0"/>
        <v>409</v>
      </c>
      <c r="H27" s="61">
        <f t="shared" si="1"/>
        <v>409</v>
      </c>
      <c r="I27" s="61">
        <f t="shared" si="2"/>
        <v>1</v>
      </c>
      <c r="J27" s="61">
        <f t="shared" si="3"/>
        <v>-1</v>
      </c>
      <c r="K27" s="103">
        <f t="shared" si="4"/>
        <v>0.997560975609756</v>
      </c>
      <c r="L27" s="101" t="str">
        <f t="shared" si="5"/>
        <v>Near Complete</v>
      </c>
      <c r="M27" s="104" t="str">
        <f t="shared" si="6"/>
        <v>Short: 1 pcs</v>
      </c>
    </row>
    <row r="28" customHeight="1" spans="2:13">
      <c r="B28" s="95" cm="1">
        <f t="array" ref="B28">PO_MASTER!B25</f>
        <v>4901873568</v>
      </c>
      <c r="C28" s="96" cm="1">
        <f t="array" ref="C28">PO_MASTER!H25</f>
        <v>50473265</v>
      </c>
      <c r="D28" s="97" t="str">
        <f>TEXT(PO_MASTER!L25,"000")</f>
        <v>100</v>
      </c>
      <c r="E28" s="96" cm="1">
        <f t="array" ref="E28">PO_MASTER!N25</f>
        <v>39</v>
      </c>
      <c r="F28" s="59" cm="1">
        <f t="array" ref="F28">PO_MASTER!O25</f>
        <v>606</v>
      </c>
      <c r="G28" s="59">
        <f t="shared" si="0"/>
        <v>603</v>
      </c>
      <c r="H28" s="59">
        <f t="shared" si="1"/>
        <v>603</v>
      </c>
      <c r="I28" s="59">
        <f t="shared" si="2"/>
        <v>3</v>
      </c>
      <c r="J28" s="59">
        <f t="shared" si="3"/>
        <v>-3</v>
      </c>
      <c r="K28" s="98">
        <f t="shared" si="4"/>
        <v>0.995049504950495</v>
      </c>
      <c r="L28" s="96" t="str">
        <f t="shared" si="5"/>
        <v>Near Complete</v>
      </c>
      <c r="M28" s="99" t="str">
        <f t="shared" si="6"/>
        <v>Short: 3 pcs</v>
      </c>
    </row>
    <row r="29" customHeight="1" spans="2:13">
      <c r="B29" s="100" cm="1">
        <f t="array" ref="B29">PO_MASTER!B26</f>
        <v>4901873568</v>
      </c>
      <c r="C29" s="101" cm="1">
        <f t="array" ref="C29">PO_MASTER!H26</f>
        <v>50473265</v>
      </c>
      <c r="D29" s="102" t="str">
        <f>TEXT(PO_MASTER!L26,"000")</f>
        <v>100</v>
      </c>
      <c r="E29" s="101" cm="1">
        <f t="array" ref="E29">PO_MASTER!N26</f>
        <v>40</v>
      </c>
      <c r="F29" s="61" cm="1">
        <f t="array" ref="F29">PO_MASTER!O26</f>
        <v>1005</v>
      </c>
      <c r="G29" s="61">
        <f t="shared" si="0"/>
        <v>1007</v>
      </c>
      <c r="H29" s="61">
        <f t="shared" si="1"/>
        <v>1005</v>
      </c>
      <c r="I29" s="61">
        <f t="shared" si="2"/>
        <v>0</v>
      </c>
      <c r="J29" s="61">
        <f t="shared" si="3"/>
        <v>0</v>
      </c>
      <c r="K29" s="103">
        <f t="shared" si="4"/>
        <v>1</v>
      </c>
      <c r="L29" s="101" t="str">
        <f t="shared" si="5"/>
        <v>Complete</v>
      </c>
      <c r="M29" s="104" t="str">
        <f t="shared" si="6"/>
        <v>On target</v>
      </c>
    </row>
    <row r="30" customHeight="1" spans="2:13">
      <c r="B30" s="95" cm="1">
        <f t="array" ref="B30">PO_MASTER!B27</f>
        <v>4901873568</v>
      </c>
      <c r="C30" s="96" cm="1">
        <f t="array" ref="C30">PO_MASTER!H27</f>
        <v>50473265</v>
      </c>
      <c r="D30" s="97" t="str">
        <f>TEXT(PO_MASTER!L27,"000")</f>
        <v>100</v>
      </c>
      <c r="E30" s="96" cm="1">
        <f t="array" ref="E30">PO_MASTER!N27</f>
        <v>41</v>
      </c>
      <c r="F30" s="59" cm="1">
        <f t="array" ref="F30">PO_MASTER!O27</f>
        <v>885</v>
      </c>
      <c r="G30" s="59">
        <f t="shared" si="0"/>
        <v>890</v>
      </c>
      <c r="H30" s="59">
        <f t="shared" si="1"/>
        <v>885</v>
      </c>
      <c r="I30" s="59">
        <f t="shared" si="2"/>
        <v>0</v>
      </c>
      <c r="J30" s="59">
        <f t="shared" si="3"/>
        <v>0</v>
      </c>
      <c r="K30" s="98">
        <f t="shared" si="4"/>
        <v>1</v>
      </c>
      <c r="L30" s="96" t="str">
        <f t="shared" si="5"/>
        <v>Complete</v>
      </c>
      <c r="M30" s="99" t="str">
        <f t="shared" si="6"/>
        <v>On target</v>
      </c>
    </row>
    <row r="31" customHeight="1" spans="2:13">
      <c r="B31" s="100" cm="1">
        <f t="array" ref="B31">PO_MASTER!B28</f>
        <v>4901873568</v>
      </c>
      <c r="C31" s="101" cm="1">
        <f t="array" ref="C31">PO_MASTER!H28</f>
        <v>50473265</v>
      </c>
      <c r="D31" s="102" t="str">
        <f>TEXT(PO_MASTER!L28,"000")</f>
        <v>100</v>
      </c>
      <c r="E31" s="101" cm="1">
        <f t="array" ref="E31">PO_MASTER!N28</f>
        <v>42</v>
      </c>
      <c r="F31" s="61" cm="1">
        <f t="array" ref="F31">PO_MASTER!O28</f>
        <v>994</v>
      </c>
      <c r="G31" s="61">
        <f t="shared" si="0"/>
        <v>996</v>
      </c>
      <c r="H31" s="61">
        <f t="shared" si="1"/>
        <v>994</v>
      </c>
      <c r="I31" s="61">
        <f t="shared" si="2"/>
        <v>0</v>
      </c>
      <c r="J31" s="61">
        <f t="shared" si="3"/>
        <v>0</v>
      </c>
      <c r="K31" s="103">
        <f t="shared" si="4"/>
        <v>1</v>
      </c>
      <c r="L31" s="101" t="str">
        <f t="shared" si="5"/>
        <v>Complete</v>
      </c>
      <c r="M31" s="104" t="str">
        <f t="shared" si="6"/>
        <v>On target</v>
      </c>
    </row>
    <row r="32" customHeight="1" spans="2:13">
      <c r="B32" s="95" cm="1">
        <f t="array" ref="B32">PO_MASTER!B29</f>
        <v>4901873568</v>
      </c>
      <c r="C32" s="96" cm="1">
        <f t="array" ref="C32">PO_MASTER!H29</f>
        <v>50473265</v>
      </c>
      <c r="D32" s="97" t="str">
        <f>TEXT(PO_MASTER!L29,"000")</f>
        <v>100</v>
      </c>
      <c r="E32" s="96" cm="1">
        <f t="array" ref="E32">PO_MASTER!N29</f>
        <v>43</v>
      </c>
      <c r="F32" s="59" cm="1">
        <f t="array" ref="F32">PO_MASTER!O29</f>
        <v>797</v>
      </c>
      <c r="G32" s="59">
        <f t="shared" si="0"/>
        <v>799</v>
      </c>
      <c r="H32" s="59">
        <f t="shared" si="1"/>
        <v>796</v>
      </c>
      <c r="I32" s="59">
        <f t="shared" si="2"/>
        <v>1</v>
      </c>
      <c r="J32" s="59">
        <f t="shared" si="3"/>
        <v>-1</v>
      </c>
      <c r="K32" s="98">
        <f t="shared" si="4"/>
        <v>0.998745294855709</v>
      </c>
      <c r="L32" s="96" t="str">
        <f t="shared" si="5"/>
        <v>Near Complete</v>
      </c>
      <c r="M32" s="99" t="str">
        <f t="shared" si="6"/>
        <v>Short: 1 pcs</v>
      </c>
    </row>
    <row r="33" customHeight="1" spans="2:13">
      <c r="B33" s="100" cm="1">
        <f t="array" ref="B33">PO_MASTER!B30</f>
        <v>4901873568</v>
      </c>
      <c r="C33" s="101" cm="1">
        <f t="array" ref="C33">PO_MASTER!H30</f>
        <v>50473265</v>
      </c>
      <c r="D33" s="102" t="str">
        <f>TEXT(PO_MASTER!L30,"000")</f>
        <v>100</v>
      </c>
      <c r="E33" s="101" cm="1">
        <f t="array" ref="E33">PO_MASTER!N30</f>
        <v>44</v>
      </c>
      <c r="F33" s="61" cm="1">
        <f t="array" ref="F33">PO_MASTER!O30</f>
        <v>603</v>
      </c>
      <c r="G33" s="61">
        <f t="shared" si="0"/>
        <v>602</v>
      </c>
      <c r="H33" s="61">
        <f t="shared" si="1"/>
        <v>602</v>
      </c>
      <c r="I33" s="61">
        <f t="shared" si="2"/>
        <v>1</v>
      </c>
      <c r="J33" s="61">
        <f t="shared" si="3"/>
        <v>-1</v>
      </c>
      <c r="K33" s="103">
        <f t="shared" si="4"/>
        <v>0.998341625207297</v>
      </c>
      <c r="L33" s="101" t="str">
        <f t="shared" si="5"/>
        <v>Near Complete</v>
      </c>
      <c r="M33" s="104" t="str">
        <f t="shared" si="6"/>
        <v>Short: 1 pcs</v>
      </c>
    </row>
    <row r="34" customHeight="1" spans="2:13">
      <c r="B34" s="95" cm="1">
        <f t="array" ref="B34">PO_MASTER!B31</f>
        <v>4901873568</v>
      </c>
      <c r="C34" s="96" cm="1">
        <f t="array" ref="C34">PO_MASTER!H31</f>
        <v>50473265</v>
      </c>
      <c r="D34" s="97" t="str">
        <f>TEXT(PO_MASTER!L31,"000")</f>
        <v>100</v>
      </c>
      <c r="E34" s="96" cm="1">
        <f t="array" ref="E34">PO_MASTER!N31</f>
        <v>45</v>
      </c>
      <c r="F34" s="59" cm="1">
        <f t="array" ref="F34">PO_MASTER!O31</f>
        <v>342</v>
      </c>
      <c r="G34" s="59">
        <f t="shared" si="0"/>
        <v>344</v>
      </c>
      <c r="H34" s="59">
        <f t="shared" si="1"/>
        <v>342</v>
      </c>
      <c r="I34" s="59">
        <f t="shared" si="2"/>
        <v>0</v>
      </c>
      <c r="J34" s="59">
        <f t="shared" si="3"/>
        <v>0</v>
      </c>
      <c r="K34" s="98">
        <f t="shared" si="4"/>
        <v>1</v>
      </c>
      <c r="L34" s="96" t="str">
        <f t="shared" si="5"/>
        <v>Complete</v>
      </c>
      <c r="M34" s="99" t="str">
        <f t="shared" si="6"/>
        <v>On target</v>
      </c>
    </row>
    <row r="35" customHeight="1" spans="2:13">
      <c r="B35" s="100" cm="1">
        <f t="array" ref="B35">PO_MASTER!B32</f>
        <v>4901873568</v>
      </c>
      <c r="C35" s="101" cm="1">
        <f t="array" ref="C35">PO_MASTER!H32</f>
        <v>50473265</v>
      </c>
      <c r="D35" s="102" t="str">
        <f>TEXT(PO_MASTER!L32,"000")</f>
        <v>100</v>
      </c>
      <c r="E35" s="101" cm="1">
        <f t="array" ref="E35">PO_MASTER!N32</f>
        <v>46</v>
      </c>
      <c r="F35" s="61" cm="1">
        <f t="array" ref="F35">PO_MASTER!O32</f>
        <v>378</v>
      </c>
      <c r="G35" s="61">
        <f t="shared" si="0"/>
        <v>375</v>
      </c>
      <c r="H35" s="61">
        <f t="shared" si="1"/>
        <v>375</v>
      </c>
      <c r="I35" s="61">
        <f t="shared" si="2"/>
        <v>3</v>
      </c>
      <c r="J35" s="61">
        <f t="shared" si="3"/>
        <v>-3</v>
      </c>
      <c r="K35" s="103">
        <f t="shared" si="4"/>
        <v>0.992063492063492</v>
      </c>
      <c r="L35" s="101" t="str">
        <f t="shared" si="5"/>
        <v>Near Complete</v>
      </c>
      <c r="M35" s="104" t="str">
        <f t="shared" si="6"/>
        <v>Short: 3 pcs</v>
      </c>
    </row>
    <row r="36" customHeight="1" spans="2:13">
      <c r="B36" s="95" cm="1">
        <f t="array" ref="B36">PO_MASTER!B33</f>
        <v>4901873568</v>
      </c>
      <c r="C36" s="96" cm="1">
        <f t="array" ref="C36">PO_MASTER!H33</f>
        <v>50473265</v>
      </c>
      <c r="D36" s="97" t="str">
        <f>TEXT(PO_MASTER!L33,"000")</f>
        <v>100</v>
      </c>
      <c r="E36" s="96" cm="1">
        <f t="array" ref="E36">PO_MASTER!N33</f>
        <v>48</v>
      </c>
      <c r="F36" s="59" cm="1">
        <f t="array" ref="F36">PO_MASTER!O33</f>
        <v>6</v>
      </c>
      <c r="G36" s="59">
        <f t="shared" si="0"/>
        <v>5</v>
      </c>
      <c r="H36" s="59">
        <f t="shared" si="1"/>
        <v>5</v>
      </c>
      <c r="I36" s="59">
        <f t="shared" si="2"/>
        <v>1</v>
      </c>
      <c r="J36" s="59">
        <f t="shared" si="3"/>
        <v>-1</v>
      </c>
      <c r="K36" s="98">
        <f t="shared" si="4"/>
        <v>0.833333333333333</v>
      </c>
      <c r="L36" s="96" t="str">
        <f t="shared" si="5"/>
        <v>Under Packed</v>
      </c>
      <c r="M36" s="99" t="str">
        <f t="shared" si="6"/>
        <v>Short: 1 pcs</v>
      </c>
    </row>
    <row r="37" customHeight="1" spans="2:13">
      <c r="B37" s="100" cm="1">
        <f t="array" ref="B37">PO_MASTER!B34</f>
        <v>4901873568</v>
      </c>
      <c r="C37" s="101" cm="1">
        <f t="array" ref="C37">PO_MASTER!H34</f>
        <v>50473265</v>
      </c>
      <c r="D37" s="102" t="str">
        <f>TEXT(PO_MASTER!L34,"000")</f>
        <v>404</v>
      </c>
      <c r="E37" s="101" cm="1">
        <f t="array" ref="E37">PO_MASTER!N34</f>
        <v>37</v>
      </c>
      <c r="F37" s="61" cm="1">
        <f t="array" ref="F37">PO_MASTER!O34</f>
        <v>18</v>
      </c>
      <c r="G37" s="61">
        <f t="shared" si="0"/>
        <v>20</v>
      </c>
      <c r="H37" s="61">
        <f t="shared" si="1"/>
        <v>18</v>
      </c>
      <c r="I37" s="61">
        <f t="shared" si="2"/>
        <v>0</v>
      </c>
      <c r="J37" s="61">
        <f t="shared" si="3"/>
        <v>0</v>
      </c>
      <c r="K37" s="103">
        <f t="shared" si="4"/>
        <v>1</v>
      </c>
      <c r="L37" s="101" t="str">
        <f t="shared" si="5"/>
        <v>Complete</v>
      </c>
      <c r="M37" s="104" t="str">
        <f t="shared" si="6"/>
        <v>On target</v>
      </c>
    </row>
    <row r="38" customHeight="1" spans="2:13">
      <c r="B38" s="95" cm="1">
        <f t="array" ref="B38">PO_MASTER!B35</f>
        <v>4901873568</v>
      </c>
      <c r="C38" s="96" cm="1">
        <f t="array" ref="C38">PO_MASTER!H35</f>
        <v>50473265</v>
      </c>
      <c r="D38" s="97" t="str">
        <f>TEXT(PO_MASTER!L35,"000")</f>
        <v>404</v>
      </c>
      <c r="E38" s="96" cm="1">
        <f t="array" ref="E38">PO_MASTER!N35</f>
        <v>38</v>
      </c>
      <c r="F38" s="59" cm="1">
        <f t="array" ref="F38">PO_MASTER!O35</f>
        <v>224</v>
      </c>
      <c r="G38" s="59">
        <f t="shared" si="0"/>
        <v>226</v>
      </c>
      <c r="H38" s="59">
        <f t="shared" si="1"/>
        <v>224</v>
      </c>
      <c r="I38" s="59">
        <f t="shared" si="2"/>
        <v>0</v>
      </c>
      <c r="J38" s="59">
        <f t="shared" si="3"/>
        <v>0</v>
      </c>
      <c r="K38" s="98">
        <f t="shared" si="4"/>
        <v>1</v>
      </c>
      <c r="L38" s="96" t="str">
        <f t="shared" si="5"/>
        <v>Complete</v>
      </c>
      <c r="M38" s="99" t="str">
        <f t="shared" si="6"/>
        <v>On target</v>
      </c>
    </row>
    <row r="39" customHeight="1" spans="2:13">
      <c r="B39" s="100" cm="1">
        <f t="array" ref="B39">PO_MASTER!B36</f>
        <v>4901873568</v>
      </c>
      <c r="C39" s="101" cm="1">
        <f t="array" ref="C39">PO_MASTER!H36</f>
        <v>50473265</v>
      </c>
      <c r="D39" s="102" t="str">
        <f>TEXT(PO_MASTER!L36,"000")</f>
        <v>404</v>
      </c>
      <c r="E39" s="101" cm="1">
        <f t="array" ref="E39">PO_MASTER!N36</f>
        <v>39</v>
      </c>
      <c r="F39" s="61" cm="1">
        <f t="array" ref="F39">PO_MASTER!O36</f>
        <v>363</v>
      </c>
      <c r="G39" s="61">
        <f t="shared" si="0"/>
        <v>362</v>
      </c>
      <c r="H39" s="61">
        <f t="shared" si="1"/>
        <v>362</v>
      </c>
      <c r="I39" s="61">
        <f t="shared" si="2"/>
        <v>1</v>
      </c>
      <c r="J39" s="61">
        <f t="shared" si="3"/>
        <v>-1</v>
      </c>
      <c r="K39" s="103">
        <f t="shared" si="4"/>
        <v>0.997245179063361</v>
      </c>
      <c r="L39" s="101" t="str">
        <f t="shared" si="5"/>
        <v>Near Complete</v>
      </c>
      <c r="M39" s="104" t="str">
        <f t="shared" si="6"/>
        <v>Short: 1 pcs</v>
      </c>
    </row>
    <row r="40" customHeight="1" spans="2:13">
      <c r="B40" s="95" cm="1">
        <f t="array" ref="B40">PO_MASTER!B37</f>
        <v>4901873568</v>
      </c>
      <c r="C40" s="96" cm="1">
        <f t="array" ref="C40">PO_MASTER!H37</f>
        <v>50473265</v>
      </c>
      <c r="D40" s="97" t="str">
        <f>TEXT(PO_MASTER!L37,"000")</f>
        <v>404</v>
      </c>
      <c r="E40" s="96" cm="1">
        <f t="array" ref="E40">PO_MASTER!N37</f>
        <v>40</v>
      </c>
      <c r="F40" s="59" cm="1">
        <f t="array" ref="F40">PO_MASTER!O37</f>
        <v>563</v>
      </c>
      <c r="G40" s="59">
        <f t="shared" si="0"/>
        <v>568</v>
      </c>
      <c r="H40" s="59">
        <f t="shared" si="1"/>
        <v>562</v>
      </c>
      <c r="I40" s="59">
        <f t="shared" si="2"/>
        <v>1</v>
      </c>
      <c r="J40" s="59">
        <f t="shared" si="3"/>
        <v>-1</v>
      </c>
      <c r="K40" s="98">
        <f t="shared" si="4"/>
        <v>0.998223801065719</v>
      </c>
      <c r="L40" s="96" t="str">
        <f t="shared" si="5"/>
        <v>Near Complete</v>
      </c>
      <c r="M40" s="99" t="str">
        <f t="shared" si="6"/>
        <v>Short: 1 pcs</v>
      </c>
    </row>
    <row r="41" customHeight="1" spans="2:13">
      <c r="B41" s="100" cm="1">
        <f t="array" ref="B41">PO_MASTER!B38</f>
        <v>4901873568</v>
      </c>
      <c r="C41" s="101" cm="1">
        <f t="array" ref="C41">PO_MASTER!H38</f>
        <v>50473265</v>
      </c>
      <c r="D41" s="102" t="str">
        <f>TEXT(PO_MASTER!L38,"000")</f>
        <v>404</v>
      </c>
      <c r="E41" s="101" cm="1">
        <f t="array" ref="E41">PO_MASTER!N38</f>
        <v>41</v>
      </c>
      <c r="F41" s="61" cm="1">
        <f t="array" ref="F41">PO_MASTER!O38</f>
        <v>551</v>
      </c>
      <c r="G41" s="61">
        <f t="shared" si="0"/>
        <v>553</v>
      </c>
      <c r="H41" s="61">
        <f t="shared" si="1"/>
        <v>551</v>
      </c>
      <c r="I41" s="61">
        <f t="shared" si="2"/>
        <v>0</v>
      </c>
      <c r="J41" s="61">
        <f t="shared" si="3"/>
        <v>0</v>
      </c>
      <c r="K41" s="103">
        <f t="shared" si="4"/>
        <v>1</v>
      </c>
      <c r="L41" s="101" t="str">
        <f t="shared" si="5"/>
        <v>Complete</v>
      </c>
      <c r="M41" s="104" t="str">
        <f t="shared" si="6"/>
        <v>On target</v>
      </c>
    </row>
    <row r="42" customHeight="1" spans="2:13">
      <c r="B42" s="95" cm="1">
        <f t="array" ref="B42">PO_MASTER!B39</f>
        <v>4901873568</v>
      </c>
      <c r="C42" s="96" cm="1">
        <f t="array" ref="C42">PO_MASTER!H39</f>
        <v>50473265</v>
      </c>
      <c r="D42" s="97" t="str">
        <f>TEXT(PO_MASTER!L39,"000")</f>
        <v>404</v>
      </c>
      <c r="E42" s="96" cm="1">
        <f t="array" ref="E42">PO_MASTER!N39</f>
        <v>42</v>
      </c>
      <c r="F42" s="59" cm="1">
        <f t="array" ref="F42">PO_MASTER!O39</f>
        <v>700</v>
      </c>
      <c r="G42" s="59">
        <f t="shared" si="0"/>
        <v>697</v>
      </c>
      <c r="H42" s="59">
        <f t="shared" si="1"/>
        <v>697</v>
      </c>
      <c r="I42" s="59">
        <f t="shared" si="2"/>
        <v>3</v>
      </c>
      <c r="J42" s="59">
        <f t="shared" si="3"/>
        <v>-3</v>
      </c>
      <c r="K42" s="98">
        <f t="shared" si="4"/>
        <v>0.995714285714286</v>
      </c>
      <c r="L42" s="96" t="str">
        <f t="shared" si="5"/>
        <v>Near Complete</v>
      </c>
      <c r="M42" s="99" t="str">
        <f t="shared" si="6"/>
        <v>Short: 3 pcs</v>
      </c>
    </row>
    <row r="43" customHeight="1" spans="2:13">
      <c r="B43" s="100" cm="1">
        <f t="array" ref="B43">PO_MASTER!B40</f>
        <v>4901873568</v>
      </c>
      <c r="C43" s="101" cm="1">
        <f t="array" ref="C43">PO_MASTER!H40</f>
        <v>50473265</v>
      </c>
      <c r="D43" s="102" t="str">
        <f>TEXT(PO_MASTER!L40,"000")</f>
        <v>404</v>
      </c>
      <c r="E43" s="101" cm="1">
        <f t="array" ref="E43">PO_MASTER!N40</f>
        <v>43</v>
      </c>
      <c r="F43" s="61" cm="1">
        <f t="array" ref="F43">PO_MASTER!O40</f>
        <v>641</v>
      </c>
      <c r="G43" s="61">
        <f t="shared" si="0"/>
        <v>643</v>
      </c>
      <c r="H43" s="61">
        <f t="shared" si="1"/>
        <v>641</v>
      </c>
      <c r="I43" s="61">
        <f t="shared" si="2"/>
        <v>0</v>
      </c>
      <c r="J43" s="61">
        <f t="shared" si="3"/>
        <v>0</v>
      </c>
      <c r="K43" s="103">
        <f t="shared" si="4"/>
        <v>1</v>
      </c>
      <c r="L43" s="101" t="str">
        <f t="shared" si="5"/>
        <v>Complete</v>
      </c>
      <c r="M43" s="104" t="str">
        <f t="shared" si="6"/>
        <v>On target</v>
      </c>
    </row>
    <row r="44" customHeight="1" spans="2:13">
      <c r="B44" s="95" cm="1">
        <f t="array" ref="B44">PO_MASTER!B41</f>
        <v>4901873568</v>
      </c>
      <c r="C44" s="96" cm="1">
        <f t="array" ref="C44">PO_MASTER!H41</f>
        <v>50473265</v>
      </c>
      <c r="D44" s="97" t="str">
        <f>TEXT(PO_MASTER!L41,"000")</f>
        <v>404</v>
      </c>
      <c r="E44" s="96" cm="1">
        <f t="array" ref="E44">PO_MASTER!N41</f>
        <v>44</v>
      </c>
      <c r="F44" s="59" cm="1">
        <f t="array" ref="F44">PO_MASTER!O41</f>
        <v>401</v>
      </c>
      <c r="G44" s="59">
        <f t="shared" si="0"/>
        <v>403</v>
      </c>
      <c r="H44" s="59">
        <f t="shared" si="1"/>
        <v>403</v>
      </c>
      <c r="I44" s="59">
        <f t="shared" si="2"/>
        <v>-2</v>
      </c>
      <c r="J44" s="59">
        <f t="shared" si="3"/>
        <v>2</v>
      </c>
      <c r="K44" s="98">
        <f t="shared" si="4"/>
        <v>1.00498753117207</v>
      </c>
      <c r="L44" s="96" t="str">
        <f t="shared" si="5"/>
        <v>Over Packed</v>
      </c>
      <c r="M44" s="99" t="str">
        <f t="shared" si="6"/>
        <v>Excess: 2 pcs</v>
      </c>
    </row>
    <row r="45" customHeight="1" spans="2:13">
      <c r="B45" s="100" cm="1">
        <f t="array" ref="B45">PO_MASTER!B42</f>
        <v>4901873568</v>
      </c>
      <c r="C45" s="101" cm="1">
        <f t="array" ref="C45">PO_MASTER!H42</f>
        <v>50473265</v>
      </c>
      <c r="D45" s="102" t="str">
        <f>TEXT(PO_MASTER!L42,"000")</f>
        <v>404</v>
      </c>
      <c r="E45" s="101" cm="1">
        <f t="array" ref="E45">PO_MASTER!N42</f>
        <v>45</v>
      </c>
      <c r="F45" s="61" cm="1">
        <f t="array" ref="F45">PO_MASTER!O42</f>
        <v>178</v>
      </c>
      <c r="G45" s="61">
        <f t="shared" si="0"/>
        <v>183</v>
      </c>
      <c r="H45" s="61">
        <f t="shared" si="1"/>
        <v>178</v>
      </c>
      <c r="I45" s="61">
        <f t="shared" si="2"/>
        <v>0</v>
      </c>
      <c r="J45" s="61">
        <f t="shared" si="3"/>
        <v>0</v>
      </c>
      <c r="K45" s="103">
        <f t="shared" si="4"/>
        <v>1</v>
      </c>
      <c r="L45" s="101" t="str">
        <f t="shared" si="5"/>
        <v>Complete</v>
      </c>
      <c r="M45" s="104" t="str">
        <f t="shared" si="6"/>
        <v>On target</v>
      </c>
    </row>
    <row r="46" customHeight="1" spans="2:13">
      <c r="B46" s="95" cm="1">
        <f t="array" ref="B46">PO_MASTER!B43</f>
        <v>4901873568</v>
      </c>
      <c r="C46" s="96" cm="1">
        <f t="array" ref="C46">PO_MASTER!H43</f>
        <v>50473265</v>
      </c>
      <c r="D46" s="97" t="str">
        <f>TEXT(PO_MASTER!L43,"000")</f>
        <v>404</v>
      </c>
      <c r="E46" s="96" cm="1">
        <f t="array" ref="E46">PO_MASTER!N43</f>
        <v>46</v>
      </c>
      <c r="F46" s="59" cm="1">
        <f t="array" ref="F46">PO_MASTER!O43</f>
        <v>113</v>
      </c>
      <c r="G46" s="59">
        <f t="shared" si="0"/>
        <v>115</v>
      </c>
      <c r="H46" s="59">
        <f t="shared" si="1"/>
        <v>113</v>
      </c>
      <c r="I46" s="59">
        <f t="shared" si="2"/>
        <v>0</v>
      </c>
      <c r="J46" s="59">
        <f t="shared" si="3"/>
        <v>0</v>
      </c>
      <c r="K46" s="98">
        <f t="shared" si="4"/>
        <v>1</v>
      </c>
      <c r="L46" s="96" t="str">
        <f t="shared" si="5"/>
        <v>Complete</v>
      </c>
      <c r="M46" s="99" t="str">
        <f t="shared" si="6"/>
        <v>On target</v>
      </c>
    </row>
    <row r="47" customHeight="1" spans="2:13">
      <c r="B47" s="100" cm="1">
        <f t="array" ref="B47">PO_MASTER!B44</f>
        <v>4901873568</v>
      </c>
      <c r="C47" s="101" cm="1">
        <f t="array" ref="C47">PO_MASTER!H44</f>
        <v>50473265</v>
      </c>
      <c r="D47" s="102" t="str">
        <f>TEXT(PO_MASTER!L44,"000")</f>
        <v>404</v>
      </c>
      <c r="E47" s="101" t="str" cm="1">
        <f t="array" ref="E47">PO_MASTER!N44</f>
        <v>43L</v>
      </c>
      <c r="F47" s="61" cm="1">
        <f t="array" ref="F47">PO_MASTER!O44</f>
        <v>27</v>
      </c>
      <c r="G47" s="61">
        <f t="shared" si="0"/>
        <v>29</v>
      </c>
      <c r="H47" s="61">
        <f t="shared" si="1"/>
        <v>27</v>
      </c>
      <c r="I47" s="61">
        <f t="shared" si="2"/>
        <v>0</v>
      </c>
      <c r="J47" s="61">
        <f t="shared" si="3"/>
        <v>0</v>
      </c>
      <c r="K47" s="103">
        <f t="shared" si="4"/>
        <v>1</v>
      </c>
      <c r="L47" s="101" t="str">
        <f t="shared" si="5"/>
        <v>Complete</v>
      </c>
      <c r="M47" s="104" t="str">
        <f t="shared" si="6"/>
        <v>On target</v>
      </c>
    </row>
    <row r="48" customHeight="1" spans="2:13">
      <c r="B48" s="95" cm="1">
        <f t="array" ref="B48">PO_MASTER!B45</f>
        <v>4901873568</v>
      </c>
      <c r="C48" s="96" cm="1">
        <f t="array" ref="C48">PO_MASTER!H45</f>
        <v>50473265</v>
      </c>
      <c r="D48" s="97" t="str">
        <f>TEXT(PO_MASTER!L45,"000")</f>
        <v>404</v>
      </c>
      <c r="E48" s="96" t="str" cm="1">
        <f t="array" ref="E48">PO_MASTER!N45</f>
        <v>44L</v>
      </c>
      <c r="F48" s="59" cm="1">
        <f t="array" ref="F48">PO_MASTER!O45</f>
        <v>38</v>
      </c>
      <c r="G48" s="59">
        <f t="shared" si="0"/>
        <v>37</v>
      </c>
      <c r="H48" s="59">
        <f t="shared" si="1"/>
        <v>37</v>
      </c>
      <c r="I48" s="59">
        <f t="shared" si="2"/>
        <v>1</v>
      </c>
      <c r="J48" s="59">
        <f t="shared" si="3"/>
        <v>-1</v>
      </c>
      <c r="K48" s="98">
        <f t="shared" si="4"/>
        <v>0.973684210526316</v>
      </c>
      <c r="L48" s="96" t="str">
        <f t="shared" si="5"/>
        <v>Under Packed</v>
      </c>
      <c r="M48" s="99" t="str">
        <f t="shared" si="6"/>
        <v>Short: 1 pcs</v>
      </c>
    </row>
    <row r="49" customHeight="1" spans="2:13">
      <c r="B49" s="100" cm="1">
        <f t="array" ref="B49">PO_MASTER!B46</f>
        <v>4901873568</v>
      </c>
      <c r="C49" s="101" cm="1">
        <f t="array" ref="C49">PO_MASTER!H46</f>
        <v>50473265</v>
      </c>
      <c r="D49" s="102" t="str">
        <f>TEXT(PO_MASTER!L46,"000")</f>
        <v>404</v>
      </c>
      <c r="E49" s="101" t="str" cm="1">
        <f t="array" ref="E49">PO_MASTER!N46</f>
        <v>45L</v>
      </c>
      <c r="F49" s="61" cm="1">
        <f t="array" ref="F49">PO_MASTER!O46</f>
        <v>15</v>
      </c>
      <c r="G49" s="61">
        <f t="shared" si="0"/>
        <v>12</v>
      </c>
      <c r="H49" s="61">
        <f t="shared" si="1"/>
        <v>12</v>
      </c>
      <c r="I49" s="61">
        <f t="shared" si="2"/>
        <v>3</v>
      </c>
      <c r="J49" s="61">
        <f t="shared" si="3"/>
        <v>-3</v>
      </c>
      <c r="K49" s="103">
        <f t="shared" si="4"/>
        <v>0.8</v>
      </c>
      <c r="L49" s="101" t="str">
        <f t="shared" si="5"/>
        <v>Under Packed</v>
      </c>
      <c r="M49" s="104" t="str">
        <f t="shared" si="6"/>
        <v>Short: 3 pcs</v>
      </c>
    </row>
    <row r="50" customHeight="1" spans="2:13">
      <c r="B50" s="95" cm="1">
        <f t="array" ref="B50">PO_MASTER!B47</f>
        <v>4901873568</v>
      </c>
      <c r="C50" s="96" cm="1">
        <f t="array" ref="C50">PO_MASTER!H47</f>
        <v>50473265</v>
      </c>
      <c r="D50" s="97" t="str">
        <f>TEXT(PO_MASTER!L47,"000")</f>
        <v>452</v>
      </c>
      <c r="E50" s="96" cm="1">
        <f t="array" ref="E50">PO_MASTER!N47</f>
        <v>37</v>
      </c>
      <c r="F50" s="59" cm="1">
        <f t="array" ref="F50">PO_MASTER!O47</f>
        <v>13</v>
      </c>
      <c r="G50" s="59">
        <f t="shared" si="0"/>
        <v>18</v>
      </c>
      <c r="H50" s="59">
        <f t="shared" si="1"/>
        <v>13</v>
      </c>
      <c r="I50" s="59">
        <f t="shared" si="2"/>
        <v>0</v>
      </c>
      <c r="J50" s="59">
        <f t="shared" si="3"/>
        <v>0</v>
      </c>
      <c r="K50" s="98">
        <f t="shared" si="4"/>
        <v>1</v>
      </c>
      <c r="L50" s="96" t="str">
        <f t="shared" si="5"/>
        <v>Complete</v>
      </c>
      <c r="M50" s="99" t="str">
        <f t="shared" si="6"/>
        <v>On target</v>
      </c>
    </row>
    <row r="51" customHeight="1" spans="2:13">
      <c r="B51" s="100" cm="1">
        <f t="array" ref="B51">PO_MASTER!B48</f>
        <v>4901873568</v>
      </c>
      <c r="C51" s="101" cm="1">
        <f t="array" ref="C51">PO_MASTER!H48</f>
        <v>50473265</v>
      </c>
      <c r="D51" s="102" t="str">
        <f>TEXT(PO_MASTER!L48,"000")</f>
        <v>452</v>
      </c>
      <c r="E51" s="101" cm="1">
        <f t="array" ref="E51">PO_MASTER!N48</f>
        <v>38</v>
      </c>
      <c r="F51" s="61" cm="1">
        <f t="array" ref="F51">PO_MASTER!O48</f>
        <v>109</v>
      </c>
      <c r="G51" s="61">
        <f t="shared" si="0"/>
        <v>108</v>
      </c>
      <c r="H51" s="61">
        <f t="shared" si="1"/>
        <v>108</v>
      </c>
      <c r="I51" s="61">
        <f t="shared" si="2"/>
        <v>1</v>
      </c>
      <c r="J51" s="61">
        <f t="shared" si="3"/>
        <v>-1</v>
      </c>
      <c r="K51" s="103">
        <f t="shared" si="4"/>
        <v>0.990825688073395</v>
      </c>
      <c r="L51" s="101" t="str">
        <f t="shared" si="5"/>
        <v>Near Complete</v>
      </c>
      <c r="M51" s="104" t="str">
        <f t="shared" si="6"/>
        <v>Short: 1 pcs</v>
      </c>
    </row>
    <row r="52" customHeight="1" spans="2:13">
      <c r="B52" s="95" cm="1">
        <f t="array" ref="B52">PO_MASTER!B49</f>
        <v>4901873568</v>
      </c>
      <c r="C52" s="96" cm="1">
        <f t="array" ref="C52">PO_MASTER!H49</f>
        <v>50473265</v>
      </c>
      <c r="D52" s="97" t="str">
        <f>TEXT(PO_MASTER!L49,"000")</f>
        <v>452</v>
      </c>
      <c r="E52" s="96" cm="1">
        <f t="array" ref="E52">PO_MASTER!N49</f>
        <v>39</v>
      </c>
      <c r="F52" s="59" cm="1">
        <f t="array" ref="F52">PO_MASTER!O49</f>
        <v>273</v>
      </c>
      <c r="G52" s="59">
        <f t="shared" si="0"/>
        <v>275</v>
      </c>
      <c r="H52" s="59">
        <f t="shared" si="1"/>
        <v>272</v>
      </c>
      <c r="I52" s="59">
        <f t="shared" si="2"/>
        <v>1</v>
      </c>
      <c r="J52" s="59">
        <f t="shared" si="3"/>
        <v>-1</v>
      </c>
      <c r="K52" s="98">
        <f t="shared" si="4"/>
        <v>0.996336996336996</v>
      </c>
      <c r="L52" s="96" t="str">
        <f t="shared" si="5"/>
        <v>Near Complete</v>
      </c>
      <c r="M52" s="99" t="str">
        <f t="shared" si="6"/>
        <v>Short: 1 pcs</v>
      </c>
    </row>
    <row r="53" customHeight="1" spans="2:13">
      <c r="B53" s="100" cm="1">
        <f t="array" ref="B53">PO_MASTER!B50</f>
        <v>4901873568</v>
      </c>
      <c r="C53" s="101" cm="1">
        <f t="array" ref="C53">PO_MASTER!H50</f>
        <v>50473265</v>
      </c>
      <c r="D53" s="102" t="str">
        <f>TEXT(PO_MASTER!L50,"000")</f>
        <v>452</v>
      </c>
      <c r="E53" s="101" cm="1">
        <f t="array" ref="E53">PO_MASTER!N50</f>
        <v>40</v>
      </c>
      <c r="F53" s="61" cm="1">
        <f t="array" ref="F53">PO_MASTER!O50</f>
        <v>393</v>
      </c>
      <c r="G53" s="61">
        <f t="shared" si="0"/>
        <v>395</v>
      </c>
      <c r="H53" s="61">
        <f t="shared" si="1"/>
        <v>393</v>
      </c>
      <c r="I53" s="61">
        <f t="shared" si="2"/>
        <v>0</v>
      </c>
      <c r="J53" s="61">
        <f t="shared" si="3"/>
        <v>0</v>
      </c>
      <c r="K53" s="103">
        <f t="shared" si="4"/>
        <v>1</v>
      </c>
      <c r="L53" s="101" t="str">
        <f t="shared" si="5"/>
        <v>Complete</v>
      </c>
      <c r="M53" s="104" t="str">
        <f t="shared" si="6"/>
        <v>On target</v>
      </c>
    </row>
    <row r="54" customHeight="1" spans="2:13">
      <c r="B54" s="95" cm="1">
        <f t="array" ref="B54">PO_MASTER!B51</f>
        <v>4901873568</v>
      </c>
      <c r="C54" s="96" cm="1">
        <f t="array" ref="C54">PO_MASTER!H51</f>
        <v>50473265</v>
      </c>
      <c r="D54" s="97" t="str">
        <f>TEXT(PO_MASTER!L51,"000")</f>
        <v>452</v>
      </c>
      <c r="E54" s="96" cm="1">
        <f t="array" ref="E54">PO_MASTER!N51</f>
        <v>41</v>
      </c>
      <c r="F54" s="59" cm="1">
        <f t="array" ref="F54">PO_MASTER!O51</f>
        <v>451</v>
      </c>
      <c r="G54" s="59">
        <f t="shared" si="0"/>
        <v>450</v>
      </c>
      <c r="H54" s="59">
        <f t="shared" si="1"/>
        <v>450</v>
      </c>
      <c r="I54" s="59">
        <f t="shared" si="2"/>
        <v>1</v>
      </c>
      <c r="J54" s="59">
        <f t="shared" si="3"/>
        <v>-1</v>
      </c>
      <c r="K54" s="98">
        <f t="shared" si="4"/>
        <v>0.997782705099778</v>
      </c>
      <c r="L54" s="96" t="str">
        <f t="shared" si="5"/>
        <v>Near Complete</v>
      </c>
      <c r="M54" s="99" t="str">
        <f t="shared" si="6"/>
        <v>Short: 1 pcs</v>
      </c>
    </row>
    <row r="55" customHeight="1" spans="2:13">
      <c r="B55" s="100" cm="1">
        <f t="array" ref="B55">PO_MASTER!B52</f>
        <v>4901873568</v>
      </c>
      <c r="C55" s="101" cm="1">
        <f t="array" ref="C55">PO_MASTER!H52</f>
        <v>50473265</v>
      </c>
      <c r="D55" s="102" t="str">
        <f>TEXT(PO_MASTER!L52,"000")</f>
        <v>452</v>
      </c>
      <c r="E55" s="101" cm="1">
        <f t="array" ref="E55">PO_MASTER!N52</f>
        <v>42</v>
      </c>
      <c r="F55" s="61" cm="1">
        <f t="array" ref="F55">PO_MASTER!O52</f>
        <v>540</v>
      </c>
      <c r="G55" s="61">
        <f t="shared" si="0"/>
        <v>545</v>
      </c>
      <c r="H55" s="61">
        <f t="shared" si="1"/>
        <v>543</v>
      </c>
      <c r="I55" s="61">
        <f t="shared" si="2"/>
        <v>-3</v>
      </c>
      <c r="J55" s="61">
        <f t="shared" si="3"/>
        <v>3</v>
      </c>
      <c r="K55" s="103">
        <f t="shared" si="4"/>
        <v>1.00555555555556</v>
      </c>
      <c r="L55" s="101" t="str">
        <f t="shared" si="5"/>
        <v>Over Packed</v>
      </c>
      <c r="M55" s="104" t="str">
        <f t="shared" si="6"/>
        <v>Excess: 3 pcs</v>
      </c>
    </row>
    <row r="56" customHeight="1" spans="2:13">
      <c r="B56" s="95" cm="1">
        <f t="array" ref="B56">PO_MASTER!B53</f>
        <v>4901873568</v>
      </c>
      <c r="C56" s="96" cm="1">
        <f t="array" ref="C56">PO_MASTER!H53</f>
        <v>50473265</v>
      </c>
      <c r="D56" s="97" t="str">
        <f>TEXT(PO_MASTER!L53,"000")</f>
        <v>452</v>
      </c>
      <c r="E56" s="96" cm="1">
        <f t="array" ref="E56">PO_MASTER!N53</f>
        <v>43</v>
      </c>
      <c r="F56" s="59" cm="1">
        <f t="array" ref="F56">PO_MASTER!O53</f>
        <v>464</v>
      </c>
      <c r="G56" s="59">
        <f t="shared" si="0"/>
        <v>461</v>
      </c>
      <c r="H56" s="59">
        <f t="shared" si="1"/>
        <v>461</v>
      </c>
      <c r="I56" s="59">
        <f t="shared" si="2"/>
        <v>3</v>
      </c>
      <c r="J56" s="59">
        <f t="shared" si="3"/>
        <v>-3</v>
      </c>
      <c r="K56" s="98">
        <f t="shared" si="4"/>
        <v>0.993534482758621</v>
      </c>
      <c r="L56" s="96" t="str">
        <f t="shared" si="5"/>
        <v>Near Complete</v>
      </c>
      <c r="M56" s="99" t="str">
        <f t="shared" si="6"/>
        <v>Short: 3 pcs</v>
      </c>
    </row>
    <row r="57" customHeight="1" spans="2:13">
      <c r="B57" s="100" cm="1">
        <f t="array" ref="B57">PO_MASTER!B54</f>
        <v>4901873568</v>
      </c>
      <c r="C57" s="101" cm="1">
        <f t="array" ref="C57">PO_MASTER!H54</f>
        <v>50473265</v>
      </c>
      <c r="D57" s="102" t="str">
        <f>TEXT(PO_MASTER!L54,"000")</f>
        <v>452</v>
      </c>
      <c r="E57" s="101" cm="1">
        <f t="array" ref="E57">PO_MASTER!N54</f>
        <v>44</v>
      </c>
      <c r="F57" s="61" cm="1">
        <f t="array" ref="F57">PO_MASTER!O54</f>
        <v>297</v>
      </c>
      <c r="G57" s="61">
        <f t="shared" si="0"/>
        <v>296</v>
      </c>
      <c r="H57" s="61">
        <f t="shared" si="1"/>
        <v>296</v>
      </c>
      <c r="I57" s="61">
        <f t="shared" si="2"/>
        <v>1</v>
      </c>
      <c r="J57" s="61">
        <f t="shared" si="3"/>
        <v>-1</v>
      </c>
      <c r="K57" s="103">
        <f t="shared" si="4"/>
        <v>0.996632996632997</v>
      </c>
      <c r="L57" s="101" t="str">
        <f t="shared" si="5"/>
        <v>Near Complete</v>
      </c>
      <c r="M57" s="104" t="str">
        <f t="shared" si="6"/>
        <v>Short: 1 pcs</v>
      </c>
    </row>
    <row r="58" customHeight="1" spans="2:13">
      <c r="B58" s="95" cm="1">
        <f t="array" ref="B58">PO_MASTER!B55</f>
        <v>4901873568</v>
      </c>
      <c r="C58" s="96" cm="1">
        <f t="array" ref="C58">PO_MASTER!H55</f>
        <v>50473265</v>
      </c>
      <c r="D58" s="97" t="str">
        <f>TEXT(PO_MASTER!L55,"000")</f>
        <v>452</v>
      </c>
      <c r="E58" s="96" cm="1">
        <f t="array" ref="E58">PO_MASTER!N55</f>
        <v>45</v>
      </c>
      <c r="F58" s="59" cm="1">
        <f t="array" ref="F58">PO_MASTER!O55</f>
        <v>219</v>
      </c>
      <c r="G58" s="59">
        <f t="shared" si="0"/>
        <v>221</v>
      </c>
      <c r="H58" s="59">
        <f t="shared" si="1"/>
        <v>219</v>
      </c>
      <c r="I58" s="59">
        <f t="shared" si="2"/>
        <v>0</v>
      </c>
      <c r="J58" s="59">
        <f t="shared" si="3"/>
        <v>0</v>
      </c>
      <c r="K58" s="98">
        <f t="shared" si="4"/>
        <v>1</v>
      </c>
      <c r="L58" s="96" t="str">
        <f t="shared" si="5"/>
        <v>Complete</v>
      </c>
      <c r="M58" s="99" t="str">
        <f t="shared" si="6"/>
        <v>On target</v>
      </c>
    </row>
    <row r="59" customHeight="1" spans="2:13">
      <c r="B59" s="100" cm="1">
        <f t="array" ref="B59">PO_MASTER!B56</f>
        <v>4901873568</v>
      </c>
      <c r="C59" s="101" cm="1">
        <f t="array" ref="C59">PO_MASTER!H56</f>
        <v>50473265</v>
      </c>
      <c r="D59" s="102" t="str">
        <f>TEXT(PO_MASTER!L56,"000")</f>
        <v>452</v>
      </c>
      <c r="E59" s="101" cm="1">
        <f t="array" ref="E59">PO_MASTER!N56</f>
        <v>46</v>
      </c>
      <c r="F59" s="61" cm="1">
        <f t="array" ref="F59">PO_MASTER!O56</f>
        <v>77</v>
      </c>
      <c r="G59" s="61">
        <f t="shared" si="0"/>
        <v>79</v>
      </c>
      <c r="H59" s="61">
        <f t="shared" si="1"/>
        <v>77</v>
      </c>
      <c r="I59" s="61">
        <f t="shared" si="2"/>
        <v>0</v>
      </c>
      <c r="J59" s="61">
        <f t="shared" si="3"/>
        <v>0</v>
      </c>
      <c r="K59" s="103">
        <f t="shared" si="4"/>
        <v>1</v>
      </c>
      <c r="L59" s="101" t="str">
        <f t="shared" si="5"/>
        <v>Complete</v>
      </c>
      <c r="M59" s="104" t="str">
        <f t="shared" si="6"/>
        <v>On target</v>
      </c>
    </row>
    <row r="60" customHeight="1" spans="2:13">
      <c r="B60" s="95" cm="1">
        <f t="array" ref="B60">PO_MASTER!B57</f>
        <v>4901893255</v>
      </c>
      <c r="C60" s="96" cm="1">
        <f t="array" ref="C60">PO_MASTER!H57</f>
        <v>50576239</v>
      </c>
      <c r="D60" s="97" t="str">
        <f>TEXT(PO_MASTER!L57,"000")</f>
        <v>118</v>
      </c>
      <c r="E60" s="96" t="str" cm="1">
        <f t="array" ref="E60">PO_MASTER!N57</f>
        <v>S</v>
      </c>
      <c r="F60" s="59" cm="1">
        <f t="array" ref="F60">PO_MASTER!O57</f>
        <v>47</v>
      </c>
      <c r="G60" s="59">
        <f t="shared" si="0"/>
        <v>52</v>
      </c>
      <c r="H60" s="59">
        <f t="shared" si="1"/>
        <v>46</v>
      </c>
      <c r="I60" s="59">
        <f t="shared" si="2"/>
        <v>1</v>
      </c>
      <c r="J60" s="59">
        <f t="shared" si="3"/>
        <v>-1</v>
      </c>
      <c r="K60" s="98">
        <f t="shared" si="4"/>
        <v>0.978723404255319</v>
      </c>
      <c r="L60" s="96" t="str">
        <f t="shared" si="5"/>
        <v>Under Packed</v>
      </c>
      <c r="M60" s="99" t="str">
        <f t="shared" si="6"/>
        <v>Short: 1 pcs</v>
      </c>
    </row>
    <row r="61" customHeight="1" spans="2:13">
      <c r="B61" s="100" cm="1">
        <f t="array" ref="B61">PO_MASTER!B58</f>
        <v>4901893255</v>
      </c>
      <c r="C61" s="101" cm="1">
        <f t="array" ref="C61">PO_MASTER!H58</f>
        <v>50576239</v>
      </c>
      <c r="D61" s="102" t="str">
        <f>TEXT(PO_MASTER!L58,"000")</f>
        <v>118</v>
      </c>
      <c r="E61" s="101" t="str" cm="1">
        <f t="array" ref="E61">PO_MASTER!N58</f>
        <v>M</v>
      </c>
      <c r="F61" s="61" cm="1">
        <f t="array" ref="F61">PO_MASTER!O58</f>
        <v>146</v>
      </c>
      <c r="G61" s="61">
        <f t="shared" si="0"/>
        <v>148</v>
      </c>
      <c r="H61" s="61">
        <f t="shared" si="1"/>
        <v>146</v>
      </c>
      <c r="I61" s="61">
        <f t="shared" si="2"/>
        <v>0</v>
      </c>
      <c r="J61" s="61">
        <f t="shared" si="3"/>
        <v>0</v>
      </c>
      <c r="K61" s="103">
        <f t="shared" si="4"/>
        <v>1</v>
      </c>
      <c r="L61" s="101" t="str">
        <f t="shared" si="5"/>
        <v>Complete</v>
      </c>
      <c r="M61" s="104" t="str">
        <f t="shared" si="6"/>
        <v>On target</v>
      </c>
    </row>
    <row r="62" customHeight="1" spans="2:13">
      <c r="B62" s="95" cm="1">
        <f t="array" ref="B62">PO_MASTER!B59</f>
        <v>4901893255</v>
      </c>
      <c r="C62" s="96" cm="1">
        <f t="array" ref="C62">PO_MASTER!H59</f>
        <v>50576239</v>
      </c>
      <c r="D62" s="97" t="str">
        <f>TEXT(PO_MASTER!L59,"000")</f>
        <v>118</v>
      </c>
      <c r="E62" s="96" t="str" cm="1">
        <f t="array" ref="E62">PO_MASTER!N59</f>
        <v>L</v>
      </c>
      <c r="F62" s="59" cm="1">
        <f t="array" ref="F62">PO_MASTER!O59</f>
        <v>164</v>
      </c>
      <c r="G62" s="59">
        <f t="shared" si="0"/>
        <v>166</v>
      </c>
      <c r="H62" s="59">
        <f t="shared" si="1"/>
        <v>164</v>
      </c>
      <c r="I62" s="59">
        <f t="shared" si="2"/>
        <v>0</v>
      </c>
      <c r="J62" s="59">
        <f t="shared" si="3"/>
        <v>0</v>
      </c>
      <c r="K62" s="98">
        <f t="shared" si="4"/>
        <v>1</v>
      </c>
      <c r="L62" s="96" t="str">
        <f t="shared" si="5"/>
        <v>Complete</v>
      </c>
      <c r="M62" s="99" t="str">
        <f t="shared" si="6"/>
        <v>On target</v>
      </c>
    </row>
    <row r="63" customHeight="1" spans="2:13">
      <c r="B63" s="100" cm="1">
        <f t="array" ref="B63">PO_MASTER!B60</f>
        <v>4901893255</v>
      </c>
      <c r="C63" s="101" cm="1">
        <f t="array" ref="C63">PO_MASTER!H60</f>
        <v>50576239</v>
      </c>
      <c r="D63" s="102" t="str">
        <f>TEXT(PO_MASTER!L60,"000")</f>
        <v>118</v>
      </c>
      <c r="E63" s="101" t="str" cm="1">
        <f t="array" ref="E63">PO_MASTER!N60</f>
        <v>XL</v>
      </c>
      <c r="F63" s="61" cm="1">
        <f t="array" ref="F63">PO_MASTER!O60</f>
        <v>134</v>
      </c>
      <c r="G63" s="61">
        <f t="shared" si="0"/>
        <v>131</v>
      </c>
      <c r="H63" s="61">
        <f t="shared" si="1"/>
        <v>131</v>
      </c>
      <c r="I63" s="61">
        <f t="shared" si="2"/>
        <v>3</v>
      </c>
      <c r="J63" s="61">
        <f t="shared" si="3"/>
        <v>-3</v>
      </c>
      <c r="K63" s="103">
        <f t="shared" si="4"/>
        <v>0.977611940298508</v>
      </c>
      <c r="L63" s="101" t="str">
        <f t="shared" si="5"/>
        <v>Under Packed</v>
      </c>
      <c r="M63" s="104" t="str">
        <f t="shared" si="6"/>
        <v>Short: 3 pcs</v>
      </c>
    </row>
    <row r="64" customHeight="1" spans="2:13">
      <c r="B64" s="95" cm="1">
        <f t="array" ref="B64">PO_MASTER!B61</f>
        <v>4901893255</v>
      </c>
      <c r="C64" s="96" cm="1">
        <f t="array" ref="C64">PO_MASTER!H61</f>
        <v>50576239</v>
      </c>
      <c r="D64" s="97" t="str">
        <f>TEXT(PO_MASTER!L61,"000")</f>
        <v>118</v>
      </c>
      <c r="E64" s="96" t="str" cm="1">
        <f t="array" ref="E64">PO_MASTER!N61</f>
        <v>XXL</v>
      </c>
      <c r="F64" s="59" cm="1">
        <f t="array" ref="F64">PO_MASTER!O61</f>
        <v>76</v>
      </c>
      <c r="G64" s="59">
        <f t="shared" si="0"/>
        <v>78</v>
      </c>
      <c r="H64" s="59">
        <f t="shared" si="1"/>
        <v>75</v>
      </c>
      <c r="I64" s="59">
        <f t="shared" si="2"/>
        <v>1</v>
      </c>
      <c r="J64" s="59">
        <f t="shared" si="3"/>
        <v>-1</v>
      </c>
      <c r="K64" s="98">
        <f t="shared" si="4"/>
        <v>0.986842105263158</v>
      </c>
      <c r="L64" s="96" t="str">
        <f t="shared" si="5"/>
        <v>Near Complete</v>
      </c>
      <c r="M64" s="99" t="str">
        <f t="shared" si="6"/>
        <v>Short: 1 pcs</v>
      </c>
    </row>
    <row r="65" customHeight="1" spans="2:13">
      <c r="B65" s="100" cm="1">
        <f t="array" ref="B65">PO_MASTER!B62</f>
        <v>4901893255</v>
      </c>
      <c r="C65" s="101" cm="1">
        <f t="array" ref="C65">PO_MASTER!H62</f>
        <v>50576239</v>
      </c>
      <c r="D65" s="102" t="str">
        <f>TEXT(PO_MASTER!L62,"000")</f>
        <v>118</v>
      </c>
      <c r="E65" s="101" t="str" cm="1">
        <f t="array" ref="E65">PO_MASTER!N62</f>
        <v>XXXL</v>
      </c>
      <c r="F65" s="61" cm="1">
        <f t="array" ref="F65">PO_MASTER!O62</f>
        <v>17</v>
      </c>
      <c r="G65" s="61">
        <f t="shared" si="0"/>
        <v>22</v>
      </c>
      <c r="H65" s="61">
        <f t="shared" si="1"/>
        <v>17</v>
      </c>
      <c r="I65" s="61">
        <f t="shared" si="2"/>
        <v>0</v>
      </c>
      <c r="J65" s="61">
        <f t="shared" si="3"/>
        <v>0</v>
      </c>
      <c r="K65" s="103">
        <f t="shared" si="4"/>
        <v>1</v>
      </c>
      <c r="L65" s="101" t="str">
        <f t="shared" si="5"/>
        <v>Complete</v>
      </c>
      <c r="M65" s="104" t="str">
        <f t="shared" si="6"/>
        <v>On target</v>
      </c>
    </row>
    <row r="66" customHeight="1" spans="2:13">
      <c r="B66" s="95" cm="1">
        <f t="array" ref="B66">PO_MASTER!B63</f>
        <v>4901893255</v>
      </c>
      <c r="C66" s="96" cm="1">
        <f t="array" ref="C66">PO_MASTER!H63</f>
        <v>50576239</v>
      </c>
      <c r="D66" s="97" t="str">
        <f>TEXT(PO_MASTER!L63,"000")</f>
        <v>404</v>
      </c>
      <c r="E66" s="96" t="str" cm="1">
        <f t="array" ref="E66">PO_MASTER!N63</f>
        <v>S</v>
      </c>
      <c r="F66" s="59" cm="1">
        <f t="array" ref="F66">PO_MASTER!O63</f>
        <v>12</v>
      </c>
      <c r="G66" s="59">
        <f t="shared" si="0"/>
        <v>11</v>
      </c>
      <c r="H66" s="59">
        <f t="shared" si="1"/>
        <v>11</v>
      </c>
      <c r="I66" s="59">
        <f t="shared" si="2"/>
        <v>1</v>
      </c>
      <c r="J66" s="59">
        <f t="shared" si="3"/>
        <v>-1</v>
      </c>
      <c r="K66" s="98">
        <f t="shared" si="4"/>
        <v>0.916666666666667</v>
      </c>
      <c r="L66" s="96" t="str">
        <f t="shared" si="5"/>
        <v>Under Packed</v>
      </c>
      <c r="M66" s="99" t="str">
        <f t="shared" si="6"/>
        <v>Short: 1 pcs</v>
      </c>
    </row>
    <row r="67" customHeight="1" spans="2:13">
      <c r="B67" s="100" cm="1">
        <f t="array" ref="B67">PO_MASTER!B64</f>
        <v>4901893255</v>
      </c>
      <c r="C67" s="101" cm="1">
        <f t="array" ref="C67">PO_MASTER!H64</f>
        <v>50576239</v>
      </c>
      <c r="D67" s="102" t="str">
        <f>TEXT(PO_MASTER!L64,"000")</f>
        <v>404</v>
      </c>
      <c r="E67" s="101" t="str" cm="1">
        <f t="array" ref="E67">PO_MASTER!N64</f>
        <v>M</v>
      </c>
      <c r="F67" s="61" cm="1">
        <f t="array" ref="F67">PO_MASTER!O64</f>
        <v>50</v>
      </c>
      <c r="G67" s="61">
        <f t="shared" si="0"/>
        <v>52</v>
      </c>
      <c r="H67" s="61">
        <f t="shared" si="1"/>
        <v>50</v>
      </c>
      <c r="I67" s="61">
        <f t="shared" si="2"/>
        <v>0</v>
      </c>
      <c r="J67" s="61">
        <f t="shared" si="3"/>
        <v>0</v>
      </c>
      <c r="K67" s="103">
        <f t="shared" si="4"/>
        <v>1</v>
      </c>
      <c r="L67" s="101" t="str">
        <f t="shared" si="5"/>
        <v>Complete</v>
      </c>
      <c r="M67" s="104" t="str">
        <f t="shared" si="6"/>
        <v>On target</v>
      </c>
    </row>
    <row r="68" customHeight="1" spans="2:13">
      <c r="B68" s="95" cm="1">
        <f t="array" ref="B68">PO_MASTER!B65</f>
        <v>4901893255</v>
      </c>
      <c r="C68" s="96" cm="1">
        <f t="array" ref="C68">PO_MASTER!H65</f>
        <v>50576239</v>
      </c>
      <c r="D68" s="97" t="str">
        <f>TEXT(PO_MASTER!L65,"000")</f>
        <v>404</v>
      </c>
      <c r="E68" s="96" t="str" cm="1">
        <f t="array" ref="E68">PO_MASTER!N65</f>
        <v>L</v>
      </c>
      <c r="F68" s="59" cm="1">
        <f t="array" ref="F68">PO_MASTER!O65</f>
        <v>73</v>
      </c>
      <c r="G68" s="59">
        <f t="shared" si="0"/>
        <v>75</v>
      </c>
      <c r="H68" s="59">
        <f t="shared" si="1"/>
        <v>72</v>
      </c>
      <c r="I68" s="59">
        <f t="shared" si="2"/>
        <v>1</v>
      </c>
      <c r="J68" s="59">
        <f t="shared" si="3"/>
        <v>-1</v>
      </c>
      <c r="K68" s="98">
        <f t="shared" si="4"/>
        <v>0.986301369863014</v>
      </c>
      <c r="L68" s="96" t="str">
        <f t="shared" si="5"/>
        <v>Near Complete</v>
      </c>
      <c r="M68" s="99" t="str">
        <f t="shared" si="6"/>
        <v>Short: 1 pcs</v>
      </c>
    </row>
    <row r="69" customHeight="1" spans="2:13">
      <c r="B69" s="100" cm="1">
        <f t="array" ref="B69">PO_MASTER!B66</f>
        <v>4901893255</v>
      </c>
      <c r="C69" s="101" cm="1">
        <f t="array" ref="C69">PO_MASTER!H66</f>
        <v>50576239</v>
      </c>
      <c r="D69" s="102" t="str">
        <f>TEXT(PO_MASTER!L66,"000")</f>
        <v>404</v>
      </c>
      <c r="E69" s="101" t="str" cm="1">
        <f t="array" ref="E69">PO_MASTER!N66</f>
        <v>XL</v>
      </c>
      <c r="F69" s="61" cm="1">
        <f t="array" ref="F69">PO_MASTER!O66</f>
        <v>33</v>
      </c>
      <c r="G69" s="61">
        <f t="shared" si="0"/>
        <v>32</v>
      </c>
      <c r="H69" s="61">
        <f t="shared" si="1"/>
        <v>32</v>
      </c>
      <c r="I69" s="61">
        <f t="shared" si="2"/>
        <v>1</v>
      </c>
      <c r="J69" s="61">
        <f t="shared" si="3"/>
        <v>-1</v>
      </c>
      <c r="K69" s="103">
        <f t="shared" si="4"/>
        <v>0.96969696969697</v>
      </c>
      <c r="L69" s="101" t="str">
        <f t="shared" si="5"/>
        <v>Under Packed</v>
      </c>
      <c r="M69" s="104" t="str">
        <f t="shared" si="6"/>
        <v>Short: 1 pcs</v>
      </c>
    </row>
    <row r="70" customHeight="1" spans="2:13">
      <c r="B70" s="95" cm="1">
        <f t="array" ref="B70">PO_MASTER!B67</f>
        <v>4901893255</v>
      </c>
      <c r="C70" s="96" cm="1">
        <f t="array" ref="C70">PO_MASTER!H67</f>
        <v>50576239</v>
      </c>
      <c r="D70" s="97" t="str">
        <f>TEXT(PO_MASTER!L67,"000")</f>
        <v>404</v>
      </c>
      <c r="E70" s="96" t="str" cm="1">
        <f t="array" ref="E70">PO_MASTER!N67</f>
        <v>XXL</v>
      </c>
      <c r="F70" s="59" cm="1">
        <f t="array" ref="F70">PO_MASTER!O67</f>
        <v>20</v>
      </c>
      <c r="G70" s="59">
        <f t="shared" si="0"/>
        <v>17</v>
      </c>
      <c r="H70" s="59">
        <f t="shared" si="1"/>
        <v>17</v>
      </c>
      <c r="I70" s="59">
        <f t="shared" si="2"/>
        <v>3</v>
      </c>
      <c r="J70" s="59">
        <f t="shared" si="3"/>
        <v>-3</v>
      </c>
      <c r="K70" s="98">
        <f t="shared" si="4"/>
        <v>0.85</v>
      </c>
      <c r="L70" s="96" t="str">
        <f t="shared" si="5"/>
        <v>Under Packed</v>
      </c>
      <c r="M70" s="99" t="str">
        <f t="shared" si="6"/>
        <v>Short: 3 pcs</v>
      </c>
    </row>
    <row r="71" customHeight="1" spans="2:13">
      <c r="B71" s="100" cm="1">
        <f t="array" ref="B71">PO_MASTER!B68</f>
        <v>4901893255</v>
      </c>
      <c r="C71" s="101" cm="1">
        <f t="array" ref="C71">PO_MASTER!H68</f>
        <v>50576239</v>
      </c>
      <c r="D71" s="102" t="str">
        <f>TEXT(PO_MASTER!L68,"000")</f>
        <v>404</v>
      </c>
      <c r="E71" s="101" t="str" cm="1">
        <f t="array" ref="E71">PO_MASTER!N68</f>
        <v>XXXL</v>
      </c>
      <c r="F71" s="61" cm="1">
        <f t="array" ref="F71">PO_MASTER!O68</f>
        <v>4</v>
      </c>
      <c r="G71" s="61">
        <f t="shared" si="0"/>
        <v>6</v>
      </c>
      <c r="H71" s="61">
        <f t="shared" si="1"/>
        <v>4</v>
      </c>
      <c r="I71" s="61">
        <f t="shared" si="2"/>
        <v>0</v>
      </c>
      <c r="J71" s="61">
        <f t="shared" si="3"/>
        <v>0</v>
      </c>
      <c r="K71" s="103">
        <f t="shared" si="4"/>
        <v>1</v>
      </c>
      <c r="L71" s="101" t="str">
        <f t="shared" si="5"/>
        <v>Complete</v>
      </c>
      <c r="M71" s="104" t="str">
        <f t="shared" si="6"/>
        <v>On target</v>
      </c>
    </row>
    <row r="72" customHeight="1" spans="2:13">
      <c r="B72" s="95" cm="1">
        <f t="array" ref="B72">PO_MASTER!B69</f>
        <v>4901893255</v>
      </c>
      <c r="C72" s="96" cm="1">
        <f t="array" ref="C72">PO_MASTER!H69</f>
        <v>50576239</v>
      </c>
      <c r="D72" s="97" t="str">
        <f>TEXT(PO_MASTER!L69,"000")</f>
        <v>923</v>
      </c>
      <c r="E72" s="96" t="str" cm="1">
        <f t="array" ref="E72">PO_MASTER!N69</f>
        <v>S</v>
      </c>
      <c r="F72" s="59" cm="1">
        <f t="array" ref="F72">PO_MASTER!O69</f>
        <v>155</v>
      </c>
      <c r="G72" s="59">
        <f t="shared" si="0"/>
        <v>154</v>
      </c>
      <c r="H72" s="59">
        <f t="shared" si="1"/>
        <v>154</v>
      </c>
      <c r="I72" s="59">
        <f t="shared" si="2"/>
        <v>1</v>
      </c>
      <c r="J72" s="59">
        <f t="shared" si="3"/>
        <v>-1</v>
      </c>
      <c r="K72" s="98">
        <f t="shared" si="4"/>
        <v>0.993548387096774</v>
      </c>
      <c r="L72" s="96" t="str">
        <f t="shared" si="5"/>
        <v>Near Complete</v>
      </c>
      <c r="M72" s="99" t="str">
        <f t="shared" si="6"/>
        <v>Short: 1 pcs</v>
      </c>
    </row>
    <row r="73" customHeight="1" spans="2:13">
      <c r="B73" s="100" cm="1">
        <f t="array" ref="B73">PO_MASTER!B70</f>
        <v>4901893255</v>
      </c>
      <c r="C73" s="101" cm="1">
        <f t="array" ref="C73">PO_MASTER!H70</f>
        <v>50576239</v>
      </c>
      <c r="D73" s="102" t="str">
        <f>TEXT(PO_MASTER!L70,"000")</f>
        <v>923</v>
      </c>
      <c r="E73" s="101" t="str" cm="1">
        <f t="array" ref="E73">PO_MASTER!N70</f>
        <v>M</v>
      </c>
      <c r="F73" s="61" cm="1">
        <f t="array" ref="F73">PO_MASTER!O70</f>
        <v>456</v>
      </c>
      <c r="G73" s="61">
        <f t="shared" si="0"/>
        <v>458</v>
      </c>
      <c r="H73" s="61">
        <f t="shared" si="1"/>
        <v>456</v>
      </c>
      <c r="I73" s="61">
        <f t="shared" si="2"/>
        <v>0</v>
      </c>
      <c r="J73" s="61">
        <f t="shared" si="3"/>
        <v>0</v>
      </c>
      <c r="K73" s="103">
        <f t="shared" si="4"/>
        <v>1</v>
      </c>
      <c r="L73" s="101" t="str">
        <f t="shared" si="5"/>
        <v>Complete</v>
      </c>
      <c r="M73" s="104" t="str">
        <f t="shared" si="6"/>
        <v>On target</v>
      </c>
    </row>
    <row r="74" customHeight="1" spans="2:13">
      <c r="B74" s="95" cm="1">
        <f t="array" ref="B74">PO_MASTER!B71</f>
        <v>4901893255</v>
      </c>
      <c r="C74" s="96" cm="1">
        <f t="array" ref="C74">PO_MASTER!H71</f>
        <v>50576239</v>
      </c>
      <c r="D74" s="97" t="str">
        <f>TEXT(PO_MASTER!L71,"000")</f>
        <v>923</v>
      </c>
      <c r="E74" s="96" t="str" cm="1">
        <f t="array" ref="E74">PO_MASTER!N71</f>
        <v>L</v>
      </c>
      <c r="F74" s="59" cm="1">
        <f t="array" ref="F74">PO_MASTER!O71</f>
        <v>508</v>
      </c>
      <c r="G74" s="59">
        <f t="shared" si="0"/>
        <v>510</v>
      </c>
      <c r="H74" s="59">
        <f t="shared" si="1"/>
        <v>508</v>
      </c>
      <c r="I74" s="59">
        <f t="shared" si="2"/>
        <v>0</v>
      </c>
      <c r="J74" s="59">
        <f t="shared" si="3"/>
        <v>0</v>
      </c>
      <c r="K74" s="98">
        <f t="shared" si="4"/>
        <v>1</v>
      </c>
      <c r="L74" s="96" t="str">
        <f t="shared" si="5"/>
        <v>Complete</v>
      </c>
      <c r="M74" s="99" t="str">
        <f t="shared" si="6"/>
        <v>On target</v>
      </c>
    </row>
    <row r="75" customHeight="1" spans="2:13">
      <c r="B75" s="100" cm="1">
        <f t="array" ref="B75">PO_MASTER!B72</f>
        <v>4901893255</v>
      </c>
      <c r="C75" s="101" cm="1">
        <f t="array" ref="C75">PO_MASTER!H72</f>
        <v>50576239</v>
      </c>
      <c r="D75" s="102" t="str">
        <f>TEXT(PO_MASTER!L72,"000")</f>
        <v>923</v>
      </c>
      <c r="E75" s="101" t="str" cm="1">
        <f t="array" ref="E75">PO_MASTER!N72</f>
        <v>XL</v>
      </c>
      <c r="F75" s="61" cm="1">
        <f t="array" ref="F75">PO_MASTER!O72</f>
        <v>387</v>
      </c>
      <c r="G75" s="61">
        <f t="shared" si="0"/>
        <v>392</v>
      </c>
      <c r="H75" s="61">
        <f t="shared" si="1"/>
        <v>387</v>
      </c>
      <c r="I75" s="61">
        <f t="shared" si="2"/>
        <v>0</v>
      </c>
      <c r="J75" s="61">
        <f t="shared" si="3"/>
        <v>0</v>
      </c>
      <c r="K75" s="103">
        <f t="shared" si="4"/>
        <v>1</v>
      </c>
      <c r="L75" s="101" t="str">
        <f t="shared" si="5"/>
        <v>Complete</v>
      </c>
      <c r="M75" s="104" t="str">
        <f t="shared" si="6"/>
        <v>On target</v>
      </c>
    </row>
    <row r="76" customHeight="1" spans="2:13">
      <c r="B76" s="95" cm="1">
        <f t="array" ref="B76">PO_MASTER!B73</f>
        <v>4901893255</v>
      </c>
      <c r="C76" s="96" cm="1">
        <f t="array" ref="C76">PO_MASTER!H73</f>
        <v>50576239</v>
      </c>
      <c r="D76" s="97" t="str">
        <f>TEXT(PO_MASTER!L73,"000")</f>
        <v>923</v>
      </c>
      <c r="E76" s="96" t="str" cm="1">
        <f t="array" ref="E76">PO_MASTER!N73</f>
        <v>XXL</v>
      </c>
      <c r="F76" s="59" cm="1">
        <f t="array" ref="F76">PO_MASTER!O73</f>
        <v>190</v>
      </c>
      <c r="G76" s="59">
        <f t="shared" si="0"/>
        <v>192</v>
      </c>
      <c r="H76" s="59">
        <f t="shared" si="1"/>
        <v>189</v>
      </c>
      <c r="I76" s="59">
        <f t="shared" si="2"/>
        <v>1</v>
      </c>
      <c r="J76" s="59">
        <f t="shared" si="3"/>
        <v>-1</v>
      </c>
      <c r="K76" s="98">
        <f t="shared" si="4"/>
        <v>0.994736842105263</v>
      </c>
      <c r="L76" s="96" t="str">
        <f t="shared" si="5"/>
        <v>Near Complete</v>
      </c>
      <c r="M76" s="99" t="str">
        <f t="shared" si="6"/>
        <v>Short: 1 pcs</v>
      </c>
    </row>
    <row r="77" customHeight="1" spans="2:13">
      <c r="B77" s="100" cm="1">
        <f t="array" ref="B77">PO_MASTER!B74</f>
        <v>4901893255</v>
      </c>
      <c r="C77" s="101" cm="1">
        <f t="array" ref="C77">PO_MASTER!H74</f>
        <v>50576239</v>
      </c>
      <c r="D77" s="102" t="str">
        <f>TEXT(PO_MASTER!L74,"000")</f>
        <v>923</v>
      </c>
      <c r="E77" s="101" t="str" cm="1">
        <f t="array" ref="E77">PO_MASTER!N74</f>
        <v>XXXL</v>
      </c>
      <c r="F77" s="61" cm="1">
        <f t="array" ref="F77">PO_MASTER!O74</f>
        <v>33</v>
      </c>
      <c r="G77" s="61">
        <f t="shared" si="0"/>
        <v>30</v>
      </c>
      <c r="H77" s="61">
        <f t="shared" si="1"/>
        <v>30</v>
      </c>
      <c r="I77" s="61">
        <f t="shared" si="2"/>
        <v>3</v>
      </c>
      <c r="J77" s="61">
        <f t="shared" si="3"/>
        <v>-3</v>
      </c>
      <c r="K77" s="103">
        <f t="shared" si="4"/>
        <v>0.909090909090909</v>
      </c>
      <c r="L77" s="101" t="str">
        <f t="shared" si="5"/>
        <v>Under Packed</v>
      </c>
      <c r="M77" s="104" t="str">
        <f t="shared" si="6"/>
        <v>Short: 3 pcs</v>
      </c>
    </row>
    <row r="78" ht="19.5" customHeight="1" spans="2:13">
      <c r="B78" s="105" t="s">
        <v>98</v>
      </c>
      <c r="C78" s="87"/>
      <c r="D78" s="87"/>
      <c r="E78" s="87"/>
      <c r="F78" s="106">
        <f t="shared" ref="F78:J78" si="7">SUM(F8:F77)</f>
        <v>19450</v>
      </c>
      <c r="G78" s="106">
        <f t="shared" si="7"/>
        <v>19533</v>
      </c>
      <c r="H78" s="106">
        <f t="shared" si="7"/>
        <v>19406</v>
      </c>
      <c r="I78" s="106">
        <f t="shared" si="7"/>
        <v>44</v>
      </c>
      <c r="J78" s="106">
        <f t="shared" si="7"/>
        <v>-44</v>
      </c>
      <c r="K78" s="107">
        <f t="shared" si="4"/>
        <v>0.997737789203085</v>
      </c>
      <c r="L78" s="108" t="str">
        <f>COUNTIF(L8:L77,"Complete")&amp;" of "&amp;COUNTA(L8:L77)&amp;" complete"</f>
        <v>31 of 70 complete</v>
      </c>
      <c r="M78" s="109"/>
    </row>
    <row r="80" ht="16.5" customHeight="1" spans="2:13">
      <c r="B80" s="45" t="s">
        <v>246</v>
      </c>
    </row>
    <row r="81" ht="19.5" customHeight="1" spans="2:10">
      <c r="B81" s="110" t="s">
        <v>247</v>
      </c>
      <c r="D81" s="111" t="s">
        <v>248</v>
      </c>
      <c r="F81" s="112" t="s">
        <v>249</v>
      </c>
      <c r="H81" s="113" t="s">
        <v>250</v>
      </c>
      <c r="J81" s="114" t="s">
        <v>251</v>
      </c>
    </row>
  </sheetData>
  <mergeCells count="21">
    <mergeCell ref="A1:M1"/>
    <mergeCell ref="A2:M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78:E78"/>
    <mergeCell ref="B80:M80"/>
    <mergeCell ref="B81:C81"/>
    <mergeCell ref="D81:E81"/>
    <mergeCell ref="F81:G81"/>
    <mergeCell ref="H81:I81"/>
    <mergeCell ref="J81:M81"/>
  </mergeCells>
  <conditionalFormatting sqref="I8:I77">
    <cfRule type="cellIs" dxfId="0" priority="1" operator="greaterThan">
      <formula>0</formula>
    </cfRule>
  </conditionalFormatting>
  <conditionalFormatting sqref="J8:J77">
    <cfRule type="cellIs" dxfId="1" priority="4" operator="greaterThan">
      <formula>0</formula>
    </cfRule>
    <cfRule type="cellIs" dxfId="0" priority="3" operator="lessThan">
      <formula>0</formula>
    </cfRule>
    <cfRule type="cellIs" dxfId="2" priority="2" operator="equal">
      <formula>0</formula>
    </cfRule>
  </conditionalFormatting>
  <conditionalFormatting sqref="L8:L77">
    <cfRule type="containsText" dxfId="3" priority="8" operator="between" text="Over Packed">
      <formula>NOT(ISERROR(SEARCH("Over Packed",L8)))</formula>
    </cfRule>
    <cfRule type="containsText" dxfId="4" priority="7" operator="between" text="Near Complete">
      <formula>NOT(ISERROR(SEARCH("Near Complete",L8)))</formula>
    </cfRule>
    <cfRule type="containsText" dxfId="5" priority="6" operator="between" text="Under Packed">
      <formula>NOT(ISERROR(SEARCH("Under Packed",L8)))</formula>
    </cfRule>
    <cfRule type="containsText" dxfId="6" priority="5" operator="between" text="Complete">
      <formula>NOT(ISERROR(SEARCH("Complete",L8)))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104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8.84761904761905" defaultRowHeight="15" customHeight="1"/>
  <cols>
    <col min="1" max="1" width="3.41904761904762" customWidth="1"/>
    <col min="2" max="2" width="16" customWidth="1"/>
    <col min="3" max="3" width="25.1428571428571" customWidth="1"/>
    <col min="4" max="4" width="18.2857142857143" customWidth="1"/>
    <col min="5" max="12" width="16" customWidth="1"/>
  </cols>
  <sheetData>
    <row r="1" ht="25.5" customHeight="1" spans="1:12">
      <c r="A1" s="64" t="s">
        <v>252</v>
      </c>
    </row>
    <row r="2" customHeight="1" spans="1:12">
      <c r="A2" s="65" t="s">
        <v>253</v>
      </c>
    </row>
    <row r="3" ht="4.5" customHeight="1"/>
    <row r="4" ht="18" customHeight="1" spans="1:12">
      <c r="B4" s="45" t="s">
        <v>254</v>
      </c>
      <c r="F4" s="45"/>
      <c r="J4" s="45"/>
    </row>
    <row r="5" customHeight="1" spans="1:12">
      <c r="B5" s="66" t="s">
        <v>255</v>
      </c>
      <c r="C5" s="66" t="s">
        <v>256</v>
      </c>
      <c r="D5" s="66" t="s">
        <v>257</v>
      </c>
      <c r="F5" s="66"/>
      <c r="G5" s="66"/>
      <c r="H5" s="66"/>
      <c r="J5" s="66"/>
      <c r="K5" s="66"/>
      <c r="L5" s="66"/>
    </row>
    <row r="6" customHeight="1" spans="1:12">
      <c r="B6" s="70">
        <v>1</v>
      </c>
      <c r="C6" s="71" t="s">
        <v>72</v>
      </c>
      <c r="D6" s="72" t="s">
        <v>258</v>
      </c>
      <c r="F6" s="73"/>
      <c r="G6" s="74"/>
      <c r="H6" s="74"/>
      <c r="J6" s="74"/>
      <c r="K6" s="67"/>
      <c r="L6" s="74"/>
    </row>
    <row r="7" customHeight="1" spans="1:12">
      <c r="B7" s="75">
        <v>100</v>
      </c>
      <c r="C7" s="76" t="s">
        <v>83</v>
      </c>
      <c r="D7" s="77" t="s">
        <v>259</v>
      </c>
      <c r="F7" s="78"/>
      <c r="G7" s="79"/>
      <c r="H7" s="79"/>
      <c r="J7" s="79"/>
      <c r="K7" s="69"/>
      <c r="L7" s="79"/>
    </row>
    <row r="8" customHeight="1" spans="1:12">
      <c r="B8" s="70">
        <v>118</v>
      </c>
      <c r="C8" s="71" t="s">
        <v>88</v>
      </c>
      <c r="D8" s="72" t="s">
        <v>259</v>
      </c>
      <c r="F8" s="73"/>
      <c r="G8" s="74"/>
      <c r="H8" s="74"/>
      <c r="J8" s="74"/>
      <c r="K8" s="67"/>
      <c r="L8" s="74"/>
    </row>
    <row r="9" customHeight="1" spans="1:12">
      <c r="B9" s="75">
        <v>404</v>
      </c>
      <c r="C9" s="76" t="s">
        <v>84</v>
      </c>
      <c r="D9" s="77" t="s">
        <v>258</v>
      </c>
      <c r="F9" s="78"/>
      <c r="G9" s="79"/>
      <c r="H9" s="79"/>
      <c r="J9" s="79"/>
      <c r="K9" s="69"/>
      <c r="L9" s="79"/>
    </row>
    <row r="10" customHeight="1" spans="1:12">
      <c r="B10" s="70">
        <v>452</v>
      </c>
      <c r="C10" s="71" t="s">
        <v>85</v>
      </c>
      <c r="D10" s="72" t="s">
        <v>259</v>
      </c>
      <c r="F10" s="73"/>
      <c r="G10" s="74"/>
      <c r="H10" s="74"/>
      <c r="J10" s="74"/>
      <c r="K10" s="67"/>
      <c r="L10" s="74"/>
    </row>
    <row r="11" customHeight="1" spans="1:12">
      <c r="B11" s="75">
        <v>923</v>
      </c>
      <c r="C11" s="76" t="s">
        <v>97</v>
      </c>
      <c r="D11" s="77" t="s">
        <v>260</v>
      </c>
      <c r="F11" s="78"/>
      <c r="G11" s="79"/>
      <c r="H11" s="79"/>
    </row>
    <row r="12" customHeight="1" spans="1:12">
      <c r="B12" s="70">
        <v>200</v>
      </c>
      <c r="C12" s="71" t="s">
        <v>261</v>
      </c>
      <c r="D12" s="72" t="s">
        <v>260</v>
      </c>
      <c r="F12" s="73"/>
      <c r="G12" s="74"/>
      <c r="H12" s="74"/>
    </row>
    <row r="13" customHeight="1" spans="1:12">
      <c r="B13" s="75">
        <v>610</v>
      </c>
      <c r="C13" s="76" t="s">
        <v>262</v>
      </c>
      <c r="D13" s="77" t="s">
        <v>258</v>
      </c>
      <c r="F13" s="78"/>
      <c r="G13" s="79"/>
      <c r="H13" s="79"/>
    </row>
    <row r="14" customHeight="1" spans="1:12">
      <c r="F14" s="73"/>
      <c r="G14" s="74"/>
      <c r="H14" s="74"/>
    </row>
    <row r="15" ht="18" customHeight="1" spans="1:12">
      <c r="B15" s="45" t="s">
        <v>263</v>
      </c>
      <c r="F15" s="78"/>
      <c r="G15" s="79"/>
      <c r="H15" s="79"/>
    </row>
    <row r="16" customHeight="1" spans="1:12">
      <c r="B16" s="66" t="s">
        <v>62</v>
      </c>
      <c r="C16" s="66" t="s">
        <v>264</v>
      </c>
      <c r="D16" s="66" t="s">
        <v>265</v>
      </c>
      <c r="F16" s="73"/>
      <c r="G16" s="80"/>
      <c r="H16" s="74"/>
    </row>
    <row r="17" customHeight="1" spans="2:11">
      <c r="B17" s="72">
        <v>37</v>
      </c>
      <c r="C17" s="72" t="s">
        <v>266</v>
      </c>
      <c r="D17" s="72">
        <v>1</v>
      </c>
      <c r="E17" s="66"/>
      <c r="F17" s="78"/>
      <c r="G17" s="66"/>
      <c r="H17" s="66"/>
      <c r="I17" s="66"/>
      <c r="J17" s="66"/>
      <c r="K17" s="66"/>
    </row>
    <row r="18" customHeight="1" spans="2:11">
      <c r="B18" s="77">
        <v>38</v>
      </c>
      <c r="C18" s="81" t="s">
        <v>266</v>
      </c>
      <c r="D18" s="81">
        <v>2</v>
      </c>
      <c r="E18" s="74"/>
      <c r="F18" s="73"/>
      <c r="G18" s="74"/>
      <c r="H18" s="74"/>
      <c r="I18" s="74"/>
      <c r="J18" s="74"/>
      <c r="K18" s="82"/>
    </row>
    <row r="19" customHeight="1" spans="2:11">
      <c r="B19" s="72">
        <v>39</v>
      </c>
      <c r="C19" s="83" t="s">
        <v>266</v>
      </c>
      <c r="D19" s="83">
        <v>3</v>
      </c>
      <c r="E19" s="79"/>
      <c r="F19" s="78"/>
      <c r="G19" s="79"/>
      <c r="H19" s="79"/>
      <c r="I19" s="79"/>
      <c r="J19" s="79"/>
      <c r="K19" s="84"/>
    </row>
    <row r="20" customHeight="1" spans="2:11">
      <c r="B20" s="77">
        <v>40</v>
      </c>
      <c r="C20" s="81" t="s">
        <v>266</v>
      </c>
      <c r="D20" s="81">
        <v>4</v>
      </c>
      <c r="E20" s="74"/>
      <c r="F20" s="73"/>
      <c r="G20" s="74"/>
      <c r="H20" s="74"/>
      <c r="I20" s="74"/>
      <c r="J20" s="74"/>
      <c r="K20" s="82"/>
    </row>
    <row r="21" customHeight="1" spans="2:11">
      <c r="B21" s="72">
        <v>41</v>
      </c>
      <c r="C21" s="83" t="s">
        <v>266</v>
      </c>
      <c r="D21" s="83">
        <v>5</v>
      </c>
      <c r="E21" s="79"/>
      <c r="F21" s="78"/>
      <c r="G21" s="79"/>
      <c r="H21" s="79"/>
      <c r="I21" s="79"/>
      <c r="J21" s="79"/>
      <c r="K21" s="84"/>
    </row>
    <row r="22" customHeight="1" spans="2:11">
      <c r="B22" s="77">
        <v>42</v>
      </c>
      <c r="C22" s="81" t="s">
        <v>266</v>
      </c>
      <c r="D22" s="81">
        <v>6</v>
      </c>
      <c r="E22" s="74"/>
      <c r="F22" s="73"/>
      <c r="G22" s="74"/>
      <c r="H22" s="74"/>
      <c r="I22" s="74"/>
      <c r="J22" s="74"/>
      <c r="K22" s="82"/>
    </row>
    <row r="23" customHeight="1" spans="2:11">
      <c r="B23" s="72">
        <v>43</v>
      </c>
      <c r="C23" s="83" t="s">
        <v>266</v>
      </c>
      <c r="D23" s="83">
        <v>7</v>
      </c>
      <c r="E23" s="79"/>
      <c r="F23" s="78"/>
      <c r="G23" s="79"/>
      <c r="H23" s="79"/>
    </row>
    <row r="24" customHeight="1" spans="2:11">
      <c r="B24" s="77">
        <v>44</v>
      </c>
      <c r="C24" s="77" t="s">
        <v>266</v>
      </c>
      <c r="D24" s="77">
        <v>8</v>
      </c>
    </row>
    <row r="25" customHeight="1" spans="2:11">
      <c r="B25" s="72">
        <v>45</v>
      </c>
      <c r="C25" s="72" t="s">
        <v>266</v>
      </c>
      <c r="D25" s="72">
        <v>9</v>
      </c>
      <c r="F25" s="78"/>
      <c r="G25" s="79"/>
      <c r="H25" s="79"/>
    </row>
    <row r="26" customHeight="1" spans="2:11">
      <c r="B26" s="77">
        <v>46</v>
      </c>
      <c r="C26" s="77" t="s">
        <v>266</v>
      </c>
      <c r="D26" s="77">
        <v>10</v>
      </c>
      <c r="F26" s="73"/>
      <c r="G26" s="80"/>
      <c r="H26" s="74"/>
    </row>
    <row r="27" customHeight="1" spans="2:11">
      <c r="B27" s="72">
        <v>47</v>
      </c>
      <c r="C27" s="72" t="s">
        <v>266</v>
      </c>
      <c r="D27" s="72">
        <v>11</v>
      </c>
      <c r="E27" s="66"/>
      <c r="F27" s="78"/>
      <c r="G27" s="66"/>
      <c r="H27" s="66"/>
      <c r="I27" s="66"/>
      <c r="J27" s="66"/>
    </row>
    <row r="28" customHeight="1" spans="2:11">
      <c r="B28" s="77">
        <v>48</v>
      </c>
      <c r="C28" s="77" t="s">
        <v>266</v>
      </c>
      <c r="D28" s="77">
        <v>12</v>
      </c>
      <c r="E28" s="74"/>
      <c r="F28" s="73"/>
      <c r="G28" s="74"/>
      <c r="H28" s="67"/>
      <c r="I28" s="74"/>
      <c r="J28" s="74"/>
    </row>
    <row r="29" customHeight="1" spans="2:11">
      <c r="B29" s="72">
        <v>49</v>
      </c>
      <c r="C29" s="72" t="s">
        <v>266</v>
      </c>
      <c r="D29" s="72">
        <v>13</v>
      </c>
      <c r="E29" s="79"/>
      <c r="F29" s="78"/>
      <c r="G29" s="79"/>
      <c r="H29" s="69"/>
      <c r="I29" s="79"/>
      <c r="J29" s="79"/>
    </row>
    <row r="30" customHeight="1" spans="2:11">
      <c r="B30" s="77">
        <v>50</v>
      </c>
      <c r="C30" s="77" t="s">
        <v>266</v>
      </c>
      <c r="D30" s="77">
        <v>14</v>
      </c>
      <c r="E30" s="74"/>
      <c r="F30" s="73"/>
      <c r="G30" s="74"/>
      <c r="H30" s="67"/>
      <c r="I30" s="74"/>
      <c r="J30" s="74"/>
    </row>
    <row r="31" customHeight="1" spans="2:11">
      <c r="B31" s="72" t="s">
        <v>79</v>
      </c>
      <c r="C31" s="72" t="s">
        <v>267</v>
      </c>
      <c r="D31" s="72">
        <v>15</v>
      </c>
      <c r="E31" s="79"/>
      <c r="F31" s="78"/>
      <c r="G31" s="79"/>
      <c r="H31" s="69"/>
      <c r="I31" s="79"/>
      <c r="J31" s="79"/>
    </row>
    <row r="32" customHeight="1" spans="2:11">
      <c r="B32" s="77" t="s">
        <v>80</v>
      </c>
      <c r="C32" s="77" t="s">
        <v>267</v>
      </c>
      <c r="D32" s="77">
        <v>16</v>
      </c>
      <c r="E32" s="74"/>
      <c r="F32" s="73"/>
      <c r="G32" s="74"/>
      <c r="H32" s="74"/>
    </row>
    <row r="33" customHeight="1" spans="2:9">
      <c r="B33" s="72" t="s">
        <v>81</v>
      </c>
      <c r="C33" s="72" t="s">
        <v>267</v>
      </c>
      <c r="D33" s="72">
        <v>17</v>
      </c>
      <c r="F33" s="78"/>
      <c r="G33" s="79"/>
      <c r="H33" s="79"/>
    </row>
    <row r="34" customHeight="1" spans="2:9">
      <c r="B34" s="77" t="s">
        <v>82</v>
      </c>
      <c r="C34" s="77" t="s">
        <v>267</v>
      </c>
      <c r="D34" s="77">
        <v>18</v>
      </c>
      <c r="E34" s="45"/>
      <c r="H34" s="45"/>
    </row>
    <row r="35" customHeight="1" spans="2:9">
      <c r="B35" s="72" t="s">
        <v>268</v>
      </c>
      <c r="C35" s="72" t="s">
        <v>269</v>
      </c>
      <c r="D35" s="72">
        <v>1</v>
      </c>
      <c r="E35" s="66"/>
      <c r="F35" s="66"/>
      <c r="H35" s="66"/>
      <c r="I35" s="66"/>
    </row>
    <row r="36" customHeight="1" spans="2:9">
      <c r="B36" s="77" t="s">
        <v>89</v>
      </c>
      <c r="C36" s="77" t="s">
        <v>269</v>
      </c>
      <c r="D36" s="77">
        <v>2</v>
      </c>
      <c r="E36" s="74"/>
      <c r="F36" s="67"/>
      <c r="H36" s="74"/>
      <c r="I36" s="67"/>
    </row>
    <row r="37" customHeight="1" spans="2:9">
      <c r="B37" s="72" t="s">
        <v>92</v>
      </c>
      <c r="C37" s="72" t="s">
        <v>269</v>
      </c>
      <c r="D37" s="72">
        <v>3</v>
      </c>
      <c r="E37" s="79"/>
      <c r="F37" s="69"/>
      <c r="H37" s="79"/>
      <c r="I37" s="69"/>
    </row>
    <row r="38" customHeight="1" spans="2:9">
      <c r="B38" s="77" t="s">
        <v>93</v>
      </c>
      <c r="C38" s="77" t="s">
        <v>269</v>
      </c>
      <c r="D38" s="77">
        <v>4</v>
      </c>
      <c r="E38" s="74"/>
      <c r="F38" s="67"/>
      <c r="H38" s="74"/>
      <c r="I38" s="67"/>
    </row>
    <row r="39" customHeight="1" spans="2:9">
      <c r="B39" s="72" t="s">
        <v>94</v>
      </c>
      <c r="C39" s="72" t="s">
        <v>269</v>
      </c>
      <c r="D39" s="72">
        <v>5</v>
      </c>
      <c r="H39" s="79"/>
      <c r="I39" s="69"/>
    </row>
    <row r="40" customHeight="1" spans="2:9">
      <c r="B40" s="77" t="s">
        <v>95</v>
      </c>
      <c r="C40" s="77" t="s">
        <v>269</v>
      </c>
      <c r="D40" s="77">
        <v>6</v>
      </c>
      <c r="H40" s="74"/>
      <c r="I40" s="67"/>
    </row>
    <row r="41" customHeight="1" spans="2:9">
      <c r="B41" s="72" t="s">
        <v>96</v>
      </c>
      <c r="C41" s="72" t="s">
        <v>269</v>
      </c>
      <c r="D41" s="72">
        <v>7</v>
      </c>
    </row>
    <row r="42" customHeight="1" spans="2:9">
      <c r="B42" s="77" t="s">
        <v>270</v>
      </c>
      <c r="C42" s="77" t="s">
        <v>269</v>
      </c>
      <c r="D42" s="77">
        <v>8</v>
      </c>
    </row>
    <row r="43" customHeight="1" spans="2:9">
      <c r="B43" s="72" t="s">
        <v>271</v>
      </c>
      <c r="C43" s="72" t="s">
        <v>269</v>
      </c>
      <c r="D43" s="72">
        <v>9</v>
      </c>
    </row>
    <row r="45" ht="18" customHeight="1" spans="2:9">
      <c r="B45" s="45" t="s">
        <v>272</v>
      </c>
    </row>
    <row r="46" customHeight="1" spans="2:9">
      <c r="B46" s="66" t="s">
        <v>56</v>
      </c>
      <c r="C46" s="66" t="s">
        <v>58</v>
      </c>
      <c r="D46" s="66" t="s">
        <v>273</v>
      </c>
    </row>
    <row r="47" customHeight="1" spans="2:9">
      <c r="B47" s="72">
        <v>50473265</v>
      </c>
      <c r="C47" s="71" t="s">
        <v>74</v>
      </c>
      <c r="D47" s="72" t="s">
        <v>274</v>
      </c>
    </row>
    <row r="48" customHeight="1" spans="2:9">
      <c r="B48" s="77">
        <v>50576239</v>
      </c>
      <c r="C48" s="76" t="s">
        <v>87</v>
      </c>
      <c r="D48" s="77" t="s">
        <v>274</v>
      </c>
    </row>
    <row r="49" customHeight="1" spans="2:6">
      <c r="B49" s="72">
        <v>50480000</v>
      </c>
      <c r="C49" s="71" t="s">
        <v>275</v>
      </c>
      <c r="D49" s="72" t="s">
        <v>274</v>
      </c>
    </row>
    <row r="50" customHeight="1" spans="2:6">
      <c r="B50" s="77">
        <v>50600000</v>
      </c>
      <c r="C50" s="76" t="s">
        <v>276</v>
      </c>
      <c r="D50" s="77" t="s">
        <v>274</v>
      </c>
    </row>
    <row r="51" customHeight="1" spans="2:6">
      <c r="B51" s="72">
        <v>50700000</v>
      </c>
      <c r="C51" s="71" t="s">
        <v>277</v>
      </c>
      <c r="D51" s="72" t="s">
        <v>278</v>
      </c>
    </row>
    <row r="53" ht="18" customHeight="1" spans="2:6">
      <c r="B53" s="45" t="s">
        <v>279</v>
      </c>
    </row>
    <row r="54" customHeight="1" spans="2:6">
      <c r="B54" s="66" t="s">
        <v>56</v>
      </c>
      <c r="C54" s="66" t="s">
        <v>280</v>
      </c>
      <c r="D54" s="66" t="s">
        <v>281</v>
      </c>
      <c r="E54" s="66" t="s">
        <v>282</v>
      </c>
    </row>
    <row r="55" customHeight="1" spans="2:6">
      <c r="B55" s="72">
        <v>50473265</v>
      </c>
      <c r="C55" s="83">
        <v>280</v>
      </c>
      <c r="D55" s="83">
        <v>1200</v>
      </c>
      <c r="E55" s="72">
        <v>14</v>
      </c>
    </row>
    <row r="56" customHeight="1" spans="2:6">
      <c r="B56" s="77">
        <v>50576239</v>
      </c>
      <c r="C56" s="81">
        <v>320</v>
      </c>
      <c r="D56" s="81">
        <v>1300</v>
      </c>
      <c r="E56" s="77">
        <v>14</v>
      </c>
    </row>
    <row r="57" customHeight="1" spans="2:6">
      <c r="B57" s="72">
        <v>50480000</v>
      </c>
      <c r="C57" s="83">
        <v>260</v>
      </c>
      <c r="D57" s="83">
        <v>1100</v>
      </c>
      <c r="E57" s="72">
        <v>15</v>
      </c>
    </row>
    <row r="58" customHeight="1" spans="2:6">
      <c r="B58" s="77">
        <v>50600000</v>
      </c>
      <c r="C58" s="81">
        <v>300</v>
      </c>
      <c r="D58" s="81">
        <v>1200</v>
      </c>
      <c r="E58" s="77">
        <v>14</v>
      </c>
    </row>
    <row r="59" customHeight="1" spans="2:6">
      <c r="B59" s="72">
        <v>50700000</v>
      </c>
      <c r="C59" s="83">
        <v>550</v>
      </c>
      <c r="D59" s="83">
        <v>1500</v>
      </c>
      <c r="E59" s="72">
        <v>10</v>
      </c>
    </row>
    <row r="60" customHeight="1" spans="2:6">
      <c r="B60" s="77" t="s">
        <v>283</v>
      </c>
      <c r="C60" s="81">
        <v>300</v>
      </c>
      <c r="D60" s="81">
        <v>1200</v>
      </c>
      <c r="E60" s="77">
        <v>14</v>
      </c>
    </row>
    <row r="62" ht="18" customHeight="1" spans="2:6">
      <c r="B62" s="45" t="s">
        <v>284</v>
      </c>
    </row>
    <row r="63" customHeight="1" spans="2:6">
      <c r="B63" s="66" t="s">
        <v>264</v>
      </c>
      <c r="C63" s="66" t="s">
        <v>285</v>
      </c>
      <c r="D63" s="66" t="s">
        <v>286</v>
      </c>
      <c r="E63" s="66" t="s">
        <v>287</v>
      </c>
      <c r="F63" s="66" t="s">
        <v>138</v>
      </c>
    </row>
    <row r="64" customHeight="1" spans="2:6">
      <c r="B64" s="72" t="s">
        <v>288</v>
      </c>
      <c r="C64" s="72">
        <v>40</v>
      </c>
      <c r="D64" s="72">
        <v>30</v>
      </c>
      <c r="E64" s="72">
        <v>20</v>
      </c>
      <c r="F64" s="85">
        <f t="shared" ref="F64:F68" si="0">C64*D64*E64/1000000</f>
        <v>0.024</v>
      </c>
    </row>
    <row r="65" customHeight="1" spans="2:6">
      <c r="B65" s="77" t="s">
        <v>289</v>
      </c>
      <c r="C65" s="77">
        <v>50</v>
      </c>
      <c r="D65" s="77">
        <v>40</v>
      </c>
      <c r="E65" s="77">
        <v>30</v>
      </c>
      <c r="F65" s="86">
        <f t="shared" si="0"/>
        <v>0.06</v>
      </c>
    </row>
    <row r="66" customHeight="1" spans="2:6">
      <c r="B66" s="72" t="s">
        <v>290</v>
      </c>
      <c r="C66" s="72">
        <v>60</v>
      </c>
      <c r="D66" s="72">
        <v>40</v>
      </c>
      <c r="E66" s="72">
        <v>35</v>
      </c>
      <c r="F66" s="85">
        <f t="shared" si="0"/>
        <v>0.084</v>
      </c>
    </row>
    <row r="67" customHeight="1" spans="2:6">
      <c r="B67" s="77" t="s">
        <v>94</v>
      </c>
      <c r="C67" s="77">
        <v>70</v>
      </c>
      <c r="D67" s="77">
        <v>50</v>
      </c>
      <c r="E67" s="77">
        <v>40</v>
      </c>
      <c r="F67" s="86">
        <f t="shared" si="0"/>
        <v>0.14</v>
      </c>
    </row>
    <row r="68" customHeight="1" spans="2:6">
      <c r="B68" s="72" t="s">
        <v>291</v>
      </c>
      <c r="C68" s="72">
        <v>55</v>
      </c>
      <c r="D68" s="72">
        <v>40</v>
      </c>
      <c r="E68" s="72">
        <v>30</v>
      </c>
      <c r="F68" s="85">
        <f t="shared" si="0"/>
        <v>0.066</v>
      </c>
    </row>
    <row r="70" ht="18" customHeight="1" spans="2:6">
      <c r="B70" s="45" t="s">
        <v>292</v>
      </c>
    </row>
    <row r="71" customHeight="1" spans="2:6">
      <c r="B71" s="66" t="s">
        <v>255</v>
      </c>
      <c r="C71" s="66" t="s">
        <v>256</v>
      </c>
      <c r="D71" s="66" t="s">
        <v>293</v>
      </c>
      <c r="E71" s="66" t="s">
        <v>294</v>
      </c>
    </row>
    <row r="72" customHeight="1" spans="2:6">
      <c r="B72" s="72" t="s">
        <v>295</v>
      </c>
      <c r="C72" s="71" t="s">
        <v>296</v>
      </c>
      <c r="D72" s="72" t="s">
        <v>297</v>
      </c>
      <c r="E72" s="72" t="s">
        <v>298</v>
      </c>
    </row>
    <row r="73" customHeight="1" spans="2:6">
      <c r="B73" s="77" t="s">
        <v>299</v>
      </c>
      <c r="C73" s="76" t="s">
        <v>300</v>
      </c>
      <c r="D73" s="77" t="s">
        <v>301</v>
      </c>
      <c r="E73" s="77" t="s">
        <v>302</v>
      </c>
    </row>
    <row r="74" customHeight="1" spans="2:6">
      <c r="B74" s="72" t="s">
        <v>303</v>
      </c>
      <c r="C74" s="71" t="s">
        <v>304</v>
      </c>
      <c r="D74" s="72" t="s">
        <v>305</v>
      </c>
      <c r="E74" s="72" t="s">
        <v>306</v>
      </c>
    </row>
    <row r="75" customHeight="1" spans="2:6">
      <c r="B75" s="77" t="s">
        <v>307</v>
      </c>
      <c r="C75" s="76" t="s">
        <v>308</v>
      </c>
      <c r="D75" s="77" t="s">
        <v>297</v>
      </c>
      <c r="E75" s="77" t="s">
        <v>298</v>
      </c>
    </row>
    <row r="76" customHeight="1" spans="2:6">
      <c r="B76" s="72" t="s">
        <v>309</v>
      </c>
      <c r="C76" s="71" t="s">
        <v>310</v>
      </c>
      <c r="D76" s="72" t="s">
        <v>311</v>
      </c>
      <c r="E76" s="72" t="s">
        <v>312</v>
      </c>
    </row>
    <row r="78" ht="18" customHeight="1" spans="2:6">
      <c r="B78" s="45" t="s">
        <v>313</v>
      </c>
    </row>
    <row r="79" customHeight="1" spans="2:6">
      <c r="B79" s="66" t="s">
        <v>314</v>
      </c>
      <c r="C79" s="66" t="s">
        <v>315</v>
      </c>
      <c r="D79" s="66" t="s">
        <v>316</v>
      </c>
      <c r="E79" s="66" t="s">
        <v>293</v>
      </c>
    </row>
    <row r="80" customHeight="1" spans="2:6">
      <c r="B80" s="72">
        <v>6094373</v>
      </c>
      <c r="C80" s="71" t="s">
        <v>73</v>
      </c>
      <c r="D80" s="72" t="s">
        <v>317</v>
      </c>
      <c r="E80" s="72" t="s">
        <v>318</v>
      </c>
    </row>
    <row r="81" customHeight="1" spans="2:5">
      <c r="B81" s="77">
        <v>6094500</v>
      </c>
      <c r="C81" s="76" t="s">
        <v>319</v>
      </c>
      <c r="D81" s="77" t="s">
        <v>320</v>
      </c>
      <c r="E81" s="77" t="s">
        <v>318</v>
      </c>
    </row>
    <row r="82" customHeight="1" spans="2:5">
      <c r="B82" s="72">
        <v>6094620</v>
      </c>
      <c r="C82" s="71" t="s">
        <v>321</v>
      </c>
      <c r="D82" s="72" t="s">
        <v>322</v>
      </c>
      <c r="E82" s="72" t="s">
        <v>318</v>
      </c>
    </row>
    <row r="83" customHeight="1" spans="2:5">
      <c r="B83" s="77">
        <v>6094700</v>
      </c>
      <c r="C83" s="76" t="s">
        <v>323</v>
      </c>
      <c r="D83" s="77" t="s">
        <v>324</v>
      </c>
      <c r="E83" s="77" t="s">
        <v>318</v>
      </c>
    </row>
    <row r="85" ht="18" customHeight="1" spans="2:5">
      <c r="B85" s="45" t="s">
        <v>325</v>
      </c>
    </row>
    <row r="86" customHeight="1" spans="2:5">
      <c r="B86" s="66" t="s">
        <v>255</v>
      </c>
      <c r="C86" s="66" t="s">
        <v>256</v>
      </c>
    </row>
    <row r="87" customHeight="1" spans="2:5">
      <c r="B87" s="72" t="s">
        <v>326</v>
      </c>
      <c r="C87" s="71" t="s">
        <v>327</v>
      </c>
    </row>
    <row r="88" customHeight="1" spans="2:5">
      <c r="B88" s="77" t="s">
        <v>328</v>
      </c>
      <c r="C88" s="76" t="s">
        <v>329</v>
      </c>
    </row>
    <row r="89" customHeight="1" spans="2:5">
      <c r="B89" s="72" t="s">
        <v>330</v>
      </c>
      <c r="C89" s="71" t="s">
        <v>331</v>
      </c>
    </row>
    <row r="90" customHeight="1" spans="2:5">
      <c r="B90" s="77" t="s">
        <v>332</v>
      </c>
      <c r="C90" s="76" t="s">
        <v>333</v>
      </c>
    </row>
    <row r="92" ht="18" customHeight="1" spans="2:5">
      <c r="B92" s="45" t="s">
        <v>334</v>
      </c>
    </row>
    <row r="93" customHeight="1" spans="2:5">
      <c r="B93" s="66" t="s">
        <v>255</v>
      </c>
      <c r="C93" s="66" t="s">
        <v>256</v>
      </c>
    </row>
    <row r="94" customHeight="1" spans="2:5">
      <c r="B94" s="72" t="s">
        <v>335</v>
      </c>
      <c r="C94" s="71" t="s">
        <v>336</v>
      </c>
    </row>
    <row r="95" customHeight="1" spans="2:5">
      <c r="B95" s="77" t="s">
        <v>337</v>
      </c>
      <c r="C95" s="76" t="s">
        <v>338</v>
      </c>
    </row>
    <row r="96" customHeight="1" spans="2:5">
      <c r="B96" s="72" t="s">
        <v>339</v>
      </c>
      <c r="C96" s="71" t="s">
        <v>340</v>
      </c>
    </row>
    <row r="98" ht="18" customHeight="1" spans="2:3">
      <c r="B98" s="45" t="s">
        <v>341</v>
      </c>
    </row>
    <row r="99" customHeight="1" spans="2:3">
      <c r="B99" s="66" t="s">
        <v>255</v>
      </c>
      <c r="C99" s="66" t="s">
        <v>315</v>
      </c>
    </row>
    <row r="100" customHeight="1" spans="2:3">
      <c r="B100" s="72" t="s">
        <v>342</v>
      </c>
      <c r="C100" s="71" t="s">
        <v>318</v>
      </c>
    </row>
    <row r="101" customHeight="1" spans="2:3">
      <c r="B101" s="77" t="s">
        <v>343</v>
      </c>
      <c r="C101" s="76" t="s">
        <v>297</v>
      </c>
    </row>
    <row r="102" customHeight="1" spans="2:3">
      <c r="B102" s="72" t="s">
        <v>344</v>
      </c>
      <c r="C102" s="71" t="s">
        <v>345</v>
      </c>
    </row>
    <row r="103" customHeight="1" spans="2:3">
      <c r="B103" s="77" t="s">
        <v>346</v>
      </c>
      <c r="C103" s="76" t="s">
        <v>305</v>
      </c>
    </row>
    <row r="104" customHeight="1" spans="2:3">
      <c r="B104" s="72" t="s">
        <v>347</v>
      </c>
      <c r="C104" s="71" t="s">
        <v>311</v>
      </c>
    </row>
  </sheetData>
  <mergeCells count="9">
    <mergeCell ref="A1:F1"/>
    <mergeCell ref="A2:F2"/>
    <mergeCell ref="B4:C4"/>
    <mergeCell ref="B15:C15"/>
    <mergeCell ref="B45:C45"/>
    <mergeCell ref="B53:D53"/>
    <mergeCell ref="B62:F62"/>
    <mergeCell ref="B70:D70"/>
    <mergeCell ref="B78:D78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32"/>
  <sheetViews>
    <sheetView workbookViewId="0">
      <selection activeCell="A1" sqref="A1:D1"/>
    </sheetView>
  </sheetViews>
  <sheetFormatPr defaultColWidth="8.84761904761905" defaultRowHeight="15" customHeight="1" outlineLevelCol="3"/>
  <cols>
    <col min="1" max="1" width="3.41904761904762" customWidth="1"/>
    <col min="2" max="2" width="36.5714285714286" customWidth="1"/>
    <col min="3" max="3" width="25.1428571428571" customWidth="1"/>
    <col min="4" max="4" width="54.847619047619" customWidth="1"/>
  </cols>
  <sheetData>
    <row r="1" ht="25.5" customHeight="1" spans="1:4">
      <c r="A1" s="64" t="s">
        <v>348</v>
      </c>
    </row>
    <row r="2" customHeight="1" spans="1:4">
      <c r="A2" s="65" t="s">
        <v>349</v>
      </c>
    </row>
    <row r="3" ht="4.5" customHeight="1"/>
    <row r="4" ht="18" customHeight="1" spans="1:4">
      <c r="B4" s="45" t="s">
        <v>350</v>
      </c>
    </row>
    <row r="5" customHeight="1" spans="1:4">
      <c r="B5" s="66" t="s">
        <v>351</v>
      </c>
      <c r="C5" s="66" t="s">
        <v>352</v>
      </c>
      <c r="D5" s="66" t="s">
        <v>256</v>
      </c>
    </row>
    <row r="6" ht="16.5" customHeight="1" spans="1:4">
      <c r="B6" s="67" t="s">
        <v>353</v>
      </c>
      <c r="C6" s="68">
        <v>14</v>
      </c>
      <c r="D6" s="67" t="s">
        <v>354</v>
      </c>
    </row>
    <row r="7" ht="16.5" customHeight="1" spans="1:4">
      <c r="B7" s="69" t="s">
        <v>355</v>
      </c>
      <c r="C7" s="68">
        <v>300</v>
      </c>
      <c r="D7" s="69" t="s">
        <v>356</v>
      </c>
    </row>
    <row r="8" ht="16.5" customHeight="1" spans="1:4">
      <c r="B8" s="67" t="s">
        <v>357</v>
      </c>
      <c r="C8" s="68">
        <v>1200</v>
      </c>
      <c r="D8" s="67" t="s">
        <v>358</v>
      </c>
    </row>
    <row r="9" ht="16.5" customHeight="1" spans="1:4">
      <c r="B9" s="69" t="s">
        <v>359</v>
      </c>
      <c r="C9" s="68">
        <v>2</v>
      </c>
      <c r="D9" s="69" t="s">
        <v>360</v>
      </c>
    </row>
    <row r="10" ht="16.5" customHeight="1" spans="1:4">
      <c r="B10" s="67" t="s">
        <v>361</v>
      </c>
      <c r="C10" s="68" t="s">
        <v>362</v>
      </c>
      <c r="D10" s="67" t="s">
        <v>363</v>
      </c>
    </row>
    <row r="11" ht="16.5" customHeight="1" spans="1:4">
      <c r="B11" s="69" t="s">
        <v>364</v>
      </c>
      <c r="C11" s="68" t="s">
        <v>365</v>
      </c>
      <c r="D11" s="69" t="s">
        <v>366</v>
      </c>
    </row>
    <row r="12" ht="16.5" customHeight="1" spans="1:4">
      <c r="B12" s="67" t="s">
        <v>367</v>
      </c>
      <c r="C12" s="68">
        <v>10</v>
      </c>
      <c r="D12" s="67" t="s">
        <v>368</v>
      </c>
    </row>
    <row r="13" ht="16.5" customHeight="1" spans="1:4">
      <c r="B13" s="69" t="s">
        <v>369</v>
      </c>
      <c r="C13" s="68" t="s">
        <v>370</v>
      </c>
      <c r="D13" s="69" t="s">
        <v>371</v>
      </c>
    </row>
    <row r="14" ht="16.5" customHeight="1" spans="1:4">
      <c r="B14" s="67" t="s">
        <v>372</v>
      </c>
      <c r="C14" s="68" t="s">
        <v>0</v>
      </c>
      <c r="D14" s="67" t="s">
        <v>373</v>
      </c>
    </row>
    <row r="15" ht="7.5" customHeight="1"/>
    <row r="16" ht="18" customHeight="1" spans="1:4">
      <c r="B16" s="45" t="s">
        <v>374</v>
      </c>
    </row>
    <row r="17" customHeight="1" spans="2:4">
      <c r="B17" s="66" t="s">
        <v>375</v>
      </c>
      <c r="C17" s="66" t="s">
        <v>352</v>
      </c>
      <c r="D17" s="66" t="s">
        <v>222</v>
      </c>
    </row>
    <row r="18" ht="16.5" customHeight="1" spans="2:4">
      <c r="B18" s="67" t="s">
        <v>376</v>
      </c>
      <c r="C18" s="68" t="s">
        <v>109</v>
      </c>
      <c r="D18" s="67" t="s">
        <v>377</v>
      </c>
    </row>
    <row r="19" ht="16.5" customHeight="1" spans="2:4">
      <c r="B19" s="69" t="s">
        <v>378</v>
      </c>
      <c r="C19" s="68" t="s">
        <v>379</v>
      </c>
      <c r="D19" s="69" t="s">
        <v>380</v>
      </c>
    </row>
    <row r="20" ht="16.5" customHeight="1" spans="2:4">
      <c r="B20" s="67" t="s">
        <v>381</v>
      </c>
      <c r="C20" s="68" t="s">
        <v>382</v>
      </c>
      <c r="D20" s="67" t="s">
        <v>383</v>
      </c>
    </row>
    <row r="21" ht="16.5" customHeight="1" spans="2:4">
      <c r="B21" s="69" t="s">
        <v>384</v>
      </c>
      <c r="C21" s="68" t="s">
        <v>77</v>
      </c>
      <c r="D21" s="69" t="s">
        <v>385</v>
      </c>
    </row>
    <row r="22" ht="16.5" customHeight="1" spans="2:4">
      <c r="B22" s="67" t="s">
        <v>386</v>
      </c>
      <c r="C22" s="68" t="s">
        <v>387</v>
      </c>
      <c r="D22" s="67" t="s">
        <v>388</v>
      </c>
    </row>
    <row r="23" ht="16.5" customHeight="1" spans="2:4">
      <c r="B23" s="69" t="s">
        <v>389</v>
      </c>
      <c r="C23" s="68" t="s">
        <v>390</v>
      </c>
      <c r="D23" s="69" t="s">
        <v>391</v>
      </c>
    </row>
    <row r="24" ht="7.5" customHeight="1"/>
    <row r="25" ht="18" customHeight="1" spans="2:4">
      <c r="B25" s="45" t="s">
        <v>392</v>
      </c>
    </row>
    <row r="26" customHeight="1" spans="2:4">
      <c r="B26" s="66" t="s">
        <v>393</v>
      </c>
      <c r="C26" s="66" t="s">
        <v>352</v>
      </c>
      <c r="D26" s="66" t="s">
        <v>394</v>
      </c>
    </row>
    <row r="27" ht="16.5" customHeight="1" spans="2:4">
      <c r="B27" s="67" t="s">
        <v>395</v>
      </c>
      <c r="C27" s="24" t="s">
        <v>6</v>
      </c>
      <c r="D27" s="67" t="s">
        <v>396</v>
      </c>
    </row>
    <row r="28" ht="16.5" customHeight="1" spans="2:4">
      <c r="B28" s="69" t="s">
        <v>397</v>
      </c>
      <c r="C28" s="18" t="s">
        <v>398</v>
      </c>
      <c r="D28" s="69" t="s">
        <v>399</v>
      </c>
    </row>
    <row r="29" ht="16.5" customHeight="1" spans="2:4">
      <c r="B29" s="67" t="s">
        <v>400</v>
      </c>
      <c r="C29" s="24" t="s">
        <v>401</v>
      </c>
      <c r="D29" s="67" t="s">
        <v>402</v>
      </c>
    </row>
    <row r="30" ht="16.5" customHeight="1" spans="2:4">
      <c r="B30" s="69" t="s">
        <v>403</v>
      </c>
      <c r="C30" s="18" t="s">
        <v>404</v>
      </c>
      <c r="D30" s="69" t="s">
        <v>405</v>
      </c>
    </row>
    <row r="31" ht="16.5" customHeight="1" spans="2:4">
      <c r="B31" s="67" t="s">
        <v>406</v>
      </c>
      <c r="C31" s="24" t="s">
        <v>407</v>
      </c>
      <c r="D31" s="67" t="s">
        <v>408</v>
      </c>
    </row>
    <row r="32" ht="16.5" customHeight="1" spans="2:4">
      <c r="B32" s="69" t="s">
        <v>409</v>
      </c>
      <c r="C32" s="18" t="s">
        <v>398</v>
      </c>
      <c r="D32" s="69" t="s">
        <v>410</v>
      </c>
    </row>
  </sheetData>
  <mergeCells count="5">
    <mergeCell ref="A1:D1"/>
    <mergeCell ref="A2:D2"/>
    <mergeCell ref="B4:D4"/>
    <mergeCell ref="B16:D16"/>
    <mergeCell ref="B25:D25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1:M65"/>
  <sheetViews>
    <sheetView tabSelected="1" workbookViewId="0">
      <pane ySplit="10" topLeftCell="A11" activePane="bottomLeft" state="frozen"/>
      <selection/>
      <selection pane="bottomLeft" activeCell="B65" sqref="B65:M65"/>
    </sheetView>
  </sheetViews>
  <sheetFormatPr defaultColWidth="8.84761904761905" defaultRowHeight="15" customHeight="1"/>
  <cols>
    <col min="1" max="1" width="3.41904761904762" customWidth="1"/>
    <col min="2" max="13" width="14.847619047619" customWidth="1"/>
    <col min="14" max="14" width="3.41904761904762" customWidth="1"/>
  </cols>
  <sheetData>
    <row r="1" ht="33" customHeight="1" spans="2:12">
      <c r="B1" s="44" t="s">
        <v>411</v>
      </c>
    </row>
    <row r="2" ht="16.5" customHeight="1" spans="2:12">
      <c r="B2" s="45" t="s">
        <v>412</v>
      </c>
    </row>
    <row r="3" ht="6" customHeight="1"/>
    <row r="4" ht="16.5" customHeight="1" spans="2:12">
      <c r="B4" s="46" t="s">
        <v>413</v>
      </c>
      <c r="D4" s="46" t="s">
        <v>414</v>
      </c>
      <c r="F4" s="46" t="s">
        <v>415</v>
      </c>
      <c r="H4" s="46" t="s">
        <v>416</v>
      </c>
      <c r="J4" s="46" t="s">
        <v>9</v>
      </c>
      <c r="L4" s="46" t="s">
        <v>10</v>
      </c>
    </row>
    <row r="5" ht="34.5" customHeight="1" spans="2:12">
      <c r="B5" s="47" cm="1">
        <f t="array" ref="B5">SUMPRODUCT(1/COUNTIF(PO_MASTER!B5:B74,PO_MASTER!B5:B74))</f>
        <v>2</v>
      </c>
      <c r="D5" s="48">
        <f>SUM(PO_MASTER!O5:O74)</f>
        <v>19450</v>
      </c>
      <c r="F5" s="49">
        <f>SUM(CUT_SHEET!H8:H77)</f>
        <v>19406</v>
      </c>
      <c r="H5" s="50">
        <f>D5-F5</f>
        <v>44</v>
      </c>
      <c r="J5" s="51" cm="1">
        <f t="array" ref="J5">SUMPRODUCT(CEILING(PO_MASTER!O5:O74,SETTINGS!C6)/SETTINGS!C6)</f>
        <v>1425</v>
      </c>
      <c r="L5" s="52">
        <f>F5/D5</f>
        <v>0.997737789203085</v>
      </c>
    </row>
    <row r="6" ht="7.5" customHeight="1"/>
    <row r="7" ht="16.5" customHeight="1" spans="2:12">
      <c r="B7" s="53" t="s">
        <v>417</v>
      </c>
      <c r="E7" s="53" t="s">
        <v>418</v>
      </c>
      <c r="H7" s="53" t="s">
        <v>419</v>
      </c>
      <c r="K7" s="53" t="s">
        <v>420</v>
      </c>
    </row>
    <row r="8" ht="27" customHeight="1" spans="2:12">
      <c r="B8" s="54">
        <f>F5*0.3</f>
        <v>5821.8</v>
      </c>
      <c r="E8" s="54">
        <f>B8+J5*1.2</f>
        <v>7531.8</v>
      </c>
      <c r="H8" s="55">
        <f>J5*0.06</f>
        <v>85.5</v>
      </c>
      <c r="K8" s="56">
        <f>AVERAGE(CUT_SHEET!K8:K77)</f>
        <v>0.953827960830094</v>
      </c>
    </row>
    <row r="9" ht="9" customHeight="1"/>
    <row r="10" ht="18" customHeight="1" spans="2:12">
      <c r="B10" s="45" t="s">
        <v>421</v>
      </c>
    </row>
    <row r="11" customHeight="1" spans="2:12">
      <c r="B11" s="13" t="s">
        <v>422</v>
      </c>
      <c r="D11" s="13" t="s">
        <v>423</v>
      </c>
      <c r="F11" s="13" t="s">
        <v>424</v>
      </c>
      <c r="H11" s="13" t="s">
        <v>425</v>
      </c>
      <c r="J11" s="13" t="s">
        <v>426</v>
      </c>
    </row>
    <row r="12" customHeight="1" spans="2:12">
      <c r="B12" s="57" t="s">
        <v>132</v>
      </c>
      <c r="C12" s="57" t="s">
        <v>243</v>
      </c>
      <c r="D12" s="57" t="s">
        <v>56</v>
      </c>
      <c r="E12" s="57" t="s">
        <v>243</v>
      </c>
      <c r="F12" s="57" t="s">
        <v>62</v>
      </c>
      <c r="G12" s="57" t="s">
        <v>243</v>
      </c>
      <c r="H12" s="57" t="s">
        <v>50</v>
      </c>
      <c r="I12" s="57" t="s">
        <v>243</v>
      </c>
      <c r="J12" s="57" t="s">
        <v>427</v>
      </c>
      <c r="K12" s="57" t="s">
        <v>428</v>
      </c>
      <c r="L12" s="57" t="s">
        <v>156</v>
      </c>
    </row>
    <row r="13" customHeight="1" spans="2:12">
      <c r="B13" s="58" t="s">
        <v>429</v>
      </c>
      <c r="C13" s="59">
        <f>SUMIFS(CUT_SHEET!H8:H77,CUT_SHEET!D8:D77,"001")</f>
        <v>4186</v>
      </c>
      <c r="D13" s="58">
        <v>50473265</v>
      </c>
      <c r="E13" s="59">
        <f>SUMIFS(CUT_SHEET!H8:H77,CUT_SHEET!C8:C77,50473265)</f>
        <v>16917</v>
      </c>
      <c r="F13" s="58">
        <v>37</v>
      </c>
      <c r="G13" s="59">
        <f>SUMIFS(CUT_SHEET!H8:H77,CUT_SHEET!E8:E77,37)</f>
        <v>138</v>
      </c>
      <c r="H13" s="58">
        <v>4901873568</v>
      </c>
      <c r="I13" s="59">
        <f>SUMIFS(CUT_SHEET!H8:H77,CUT_SHEET!B8:B77,4901873568)</f>
        <v>16917</v>
      </c>
      <c r="J13" s="58">
        <v>4901873568</v>
      </c>
      <c r="K13" s="59" cm="1">
        <f t="array" ref="K13">I13</f>
        <v>16917</v>
      </c>
      <c r="L13" s="59">
        <f>16945-K13</f>
        <v>28</v>
      </c>
    </row>
    <row r="14" customHeight="1" spans="2:12">
      <c r="B14" s="60" t="s">
        <v>430</v>
      </c>
      <c r="C14" s="61">
        <f>SUMIFS(CUT_SHEET!H8:H77,CUT_SHEET!D8:D77,"100")</f>
        <v>6074</v>
      </c>
      <c r="D14" s="60">
        <v>50576239</v>
      </c>
      <c r="E14" s="61">
        <f>SUMIFS(CUT_SHEET!H8:H77,CUT_SHEET!C8:C77,50576239)</f>
        <v>2489</v>
      </c>
      <c r="F14" s="60">
        <v>38</v>
      </c>
      <c r="G14" s="61">
        <f>SUMIFS(CUT_SHEET!H8:H77,CUT_SHEET!E8:E77,38)</f>
        <v>950</v>
      </c>
      <c r="H14" s="60">
        <v>4901893255</v>
      </c>
      <c r="I14" s="61">
        <f>SUMIFS(CUT_SHEET!H8:H77,CUT_SHEET!B8:B77,4901893255)</f>
        <v>2489</v>
      </c>
      <c r="J14" s="60">
        <v>4901893255</v>
      </c>
      <c r="K14" s="61" cm="1">
        <f t="array" ref="K14">I14</f>
        <v>2489</v>
      </c>
      <c r="L14" s="61">
        <f>2505-K14</f>
        <v>16</v>
      </c>
    </row>
    <row r="15" customHeight="1" spans="2:12">
      <c r="B15" s="58" t="s">
        <v>431</v>
      </c>
      <c r="C15" s="59">
        <f>SUMIFS(CUT_SHEET!H8:H77,CUT_SHEET!D8:D77,"118")</f>
        <v>579</v>
      </c>
      <c r="F15" s="58">
        <v>39</v>
      </c>
      <c r="G15" s="59">
        <f>SUMIFS(CUT_SHEET!H8:H77,CUT_SHEET!E8:E77,39)</f>
        <v>1761</v>
      </c>
    </row>
    <row r="16" customHeight="1" spans="2:12">
      <c r="B16" s="60" t="s">
        <v>432</v>
      </c>
      <c r="C16" s="61">
        <f>SUMIFS(CUT_SHEET!H8:H77,CUT_SHEET!D8:D77,"404")</f>
        <v>4011</v>
      </c>
      <c r="F16" s="60">
        <v>40</v>
      </c>
      <c r="G16" s="61">
        <f>SUMIFS(CUT_SHEET!H8:H77,CUT_SHEET!E8:E77,40)</f>
        <v>2559</v>
      </c>
    </row>
    <row r="17" customHeight="1" spans="2:10">
      <c r="B17" s="58" t="s">
        <v>433</v>
      </c>
      <c r="C17" s="59">
        <f>SUMIFS(CUT_SHEET!H8:H77,CUT_SHEET!D8:D77,"452")</f>
        <v>2832</v>
      </c>
      <c r="F17" s="58">
        <v>41</v>
      </c>
      <c r="G17" s="59">
        <f>SUMIFS(CUT_SHEET!H8:H77,CUT_SHEET!E8:E77,41)</f>
        <v>2328</v>
      </c>
    </row>
    <row r="18" customHeight="1" spans="2:10">
      <c r="B18" s="60" t="s">
        <v>434</v>
      </c>
      <c r="C18" s="61">
        <f>SUMIFS(CUT_SHEET!H8:H77,CUT_SHEET!D8:D77,"923")</f>
        <v>1724</v>
      </c>
      <c r="F18" s="60">
        <v>42</v>
      </c>
      <c r="G18" s="61">
        <f>SUMIFS(CUT_SHEET!H8:H77,CUT_SHEET!E8:E77,42)</f>
        <v>2842</v>
      </c>
    </row>
    <row r="19" customHeight="1" spans="2:10">
      <c r="F19" s="58">
        <v>43</v>
      </c>
      <c r="G19" s="59">
        <f>SUMIFS(CUT_SHEET!H8:H77,CUT_SHEET!E8:E77,43)</f>
        <v>2457</v>
      </c>
    </row>
    <row r="20" customHeight="1" spans="2:10">
      <c r="F20" s="60">
        <v>44</v>
      </c>
      <c r="G20" s="61">
        <f>SUMIFS(CUT_SHEET!H8:H77,CUT_SHEET!E8:E77,44)</f>
        <v>1783</v>
      </c>
      <c r="H20" s="13" t="s">
        <v>435</v>
      </c>
    </row>
    <row r="21" customHeight="1" spans="2:10">
      <c r="F21" s="58">
        <v>45</v>
      </c>
      <c r="G21" s="59">
        <f>SUMIFS(CUT_SHEET!H8:H77,CUT_SHEET!E8:E77,45)</f>
        <v>1041</v>
      </c>
      <c r="H21" s="57" t="s">
        <v>436</v>
      </c>
      <c r="I21" s="57" t="s">
        <v>437</v>
      </c>
      <c r="J21" s="57" t="s">
        <v>438</v>
      </c>
    </row>
    <row r="22" customHeight="1" spans="2:10">
      <c r="F22" s="60">
        <v>46</v>
      </c>
      <c r="G22" s="61">
        <f>SUMIFS(CUT_SHEET!H8:H77,CUT_SHEET!E8:E77,46)</f>
        <v>845</v>
      </c>
      <c r="H22" s="62" t="s">
        <v>439</v>
      </c>
      <c r="I22" s="59">
        <v>1000</v>
      </c>
      <c r="J22" s="59">
        <v>1000</v>
      </c>
    </row>
    <row r="23" customHeight="1" spans="2:10">
      <c r="F23" s="58">
        <v>47</v>
      </c>
      <c r="G23" s="59">
        <f>SUMIFS(CUT_SHEET!H8:H77,CUT_SHEET!E8:E77,47)</f>
        <v>0</v>
      </c>
      <c r="H23" s="63" t="s">
        <v>440</v>
      </c>
      <c r="I23" s="61">
        <v>3200</v>
      </c>
      <c r="J23" s="61">
        <v>2200</v>
      </c>
    </row>
    <row r="24" customHeight="1" spans="2:10">
      <c r="F24" s="60">
        <v>48</v>
      </c>
      <c r="G24" s="61">
        <f>SUMIFS(CUT_SHEET!H8:H77,CUT_SHEET!E8:E77,48)</f>
        <v>17</v>
      </c>
      <c r="H24" s="62" t="s">
        <v>441</v>
      </c>
      <c r="I24" s="59">
        <v>6100</v>
      </c>
      <c r="J24" s="59">
        <v>2900</v>
      </c>
    </row>
    <row r="25" customHeight="1" spans="2:10">
      <c r="F25" s="58">
        <v>49</v>
      </c>
      <c r="G25" s="59">
        <f>SUMIFS(CUT_SHEET!H8:H77,CUT_SHEET!E8:E77,49)</f>
        <v>1</v>
      </c>
      <c r="H25" s="63" t="s">
        <v>442</v>
      </c>
      <c r="I25" s="61">
        <v>9400</v>
      </c>
      <c r="J25" s="61">
        <v>3300</v>
      </c>
    </row>
    <row r="26" customHeight="1" spans="2:10">
      <c r="F26" s="60">
        <v>50</v>
      </c>
      <c r="G26" s="61">
        <f>SUMIFS(CUT_SHEET!H8:H77,CUT_SHEET!E8:E77,50)</f>
        <v>0</v>
      </c>
      <c r="H26" s="62" t="s">
        <v>443</v>
      </c>
      <c r="I26" s="59">
        <v>12200</v>
      </c>
      <c r="J26" s="59">
        <v>2800</v>
      </c>
    </row>
    <row r="27" customHeight="1" spans="2:10">
      <c r="F27" s="58" t="s">
        <v>79</v>
      </c>
      <c r="G27" s="59">
        <f>SUMIFS(CUT_SHEET!H8:H77,CUT_SHEET!E8:E77,"42L")</f>
        <v>12</v>
      </c>
      <c r="H27" s="63" t="s">
        <v>444</v>
      </c>
      <c r="I27" s="61">
        <v>15500</v>
      </c>
      <c r="J27" s="61">
        <v>3300</v>
      </c>
    </row>
    <row r="28" customHeight="1" spans="2:10">
      <c r="F28" s="60" t="s">
        <v>80</v>
      </c>
      <c r="G28" s="61">
        <f>SUMIFS(CUT_SHEET!H8:H77,CUT_SHEET!E8:E77,"43L")</f>
        <v>70</v>
      </c>
      <c r="H28" s="62" t="s">
        <v>445</v>
      </c>
      <c r="I28" s="59">
        <v>18000</v>
      </c>
      <c r="J28" s="59">
        <v>2500</v>
      </c>
    </row>
    <row r="29" customHeight="1" spans="2:10">
      <c r="F29" s="58" t="s">
        <v>81</v>
      </c>
      <c r="G29" s="59">
        <f>SUMIFS(CUT_SHEET!H8:H77,CUT_SHEET!E8:E77,"44L")</f>
        <v>71</v>
      </c>
      <c r="H29" s="63" t="s">
        <v>398</v>
      </c>
      <c r="I29" s="61">
        <v>19406</v>
      </c>
      <c r="J29" s="61">
        <v>1406</v>
      </c>
    </row>
    <row r="30" customHeight="1" spans="2:10">
      <c r="F30" s="60" t="s">
        <v>82</v>
      </c>
      <c r="G30" s="61">
        <f>SUMIFS(CUT_SHEET!H8:H77,CUT_SHEET!E8:E77,"45L")</f>
        <v>42</v>
      </c>
    </row>
    <row r="31" ht="7.5" customHeight="1"/>
    <row r="32" ht="19.5" customHeight="1" spans="2:10">
      <c r="B32" s="12" t="s">
        <v>446</v>
      </c>
    </row>
    <row r="33" ht="3" customHeight="1"/>
    <row r="65" ht="16.5" customHeight="1" spans="2:2">
      <c r="B65" s="43" t="s">
        <v>447</v>
      </c>
    </row>
  </sheetData>
  <mergeCells count="31">
    <mergeCell ref="B1:M1"/>
    <mergeCell ref="B2:M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7:D7"/>
    <mergeCell ref="E7:G7"/>
    <mergeCell ref="H7:J7"/>
    <mergeCell ref="K7:M7"/>
    <mergeCell ref="B8:D8"/>
    <mergeCell ref="E8:G8"/>
    <mergeCell ref="H8:J8"/>
    <mergeCell ref="K8:M8"/>
    <mergeCell ref="B10:M10"/>
    <mergeCell ref="B11:C11"/>
    <mergeCell ref="D11:E11"/>
    <mergeCell ref="F11:G11"/>
    <mergeCell ref="H11:I11"/>
    <mergeCell ref="J11:L11"/>
    <mergeCell ref="H20:J20"/>
    <mergeCell ref="B32:M32"/>
    <mergeCell ref="B65:M65"/>
  </mergeCells>
  <pageMargins left="0.7" right="0.7" top="0.75" bottom="0.75" header="0.3" footer="0.3"/>
  <pageSetup paperSize="1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B1:H40"/>
  <sheetViews>
    <sheetView workbookViewId="0">
      <pane ySplit="4" topLeftCell="A5" activePane="bottomLeft" state="frozen"/>
      <selection/>
      <selection pane="bottomLeft" activeCell="J12" sqref="J12"/>
    </sheetView>
  </sheetViews>
  <sheetFormatPr defaultColWidth="8.84761904761905" defaultRowHeight="15" customHeight="1" outlineLevelCol="7"/>
  <cols>
    <col min="1" max="1" width="3.41904761904762" customWidth="1"/>
    <col min="2" max="2" width="9.14285714285714" customWidth="1"/>
    <col min="3" max="3" width="36.5714285714286" customWidth="1"/>
    <col min="4" max="4" width="48" customWidth="1"/>
    <col min="5" max="6" width="20.5714285714286" customWidth="1"/>
    <col min="7" max="7" width="18.2857142857143" customWidth="1"/>
    <col min="8" max="8" width="16" customWidth="1"/>
  </cols>
  <sheetData>
    <row r="1" ht="27" customHeight="1" spans="2:8">
      <c r="B1" s="1" t="s">
        <v>448</v>
      </c>
    </row>
    <row r="2" ht="16.5" customHeight="1" spans="2:8">
      <c r="B2" s="2" t="s">
        <v>449</v>
      </c>
    </row>
    <row r="3" ht="6" customHeight="1"/>
    <row r="4" ht="16.5" customHeight="1" spans="2:8">
      <c r="B4" s="3" t="s">
        <v>450</v>
      </c>
    </row>
    <row r="5" customHeight="1" spans="2:8">
      <c r="B5" s="4" t="s">
        <v>451</v>
      </c>
      <c r="D5" s="5" t="s">
        <v>452</v>
      </c>
      <c r="G5" s="6" t="str">
        <f ca="1">"Created: "&amp;TEXT(TODAY(),"DD.MM.YYYY")</f>
        <v>Created: 03.07.2026</v>
      </c>
    </row>
    <row r="6" customHeight="1" spans="2:8">
      <c r="B6" s="4" t="s">
        <v>100</v>
      </c>
      <c r="D6" s="7">
        <v>4901873568</v>
      </c>
      <c r="E6" s="4" t="s">
        <v>101</v>
      </c>
      <c r="F6" s="7">
        <v>50473265</v>
      </c>
      <c r="G6" s="4" t="s">
        <v>453</v>
      </c>
      <c r="H6" s="8" cm="1">
        <f t="array" ref="H6">DASHBOARD!J5</f>
        <v>1425</v>
      </c>
    </row>
    <row r="7" customHeight="1" spans="2:8">
      <c r="B7" s="4" t="s">
        <v>454</v>
      </c>
      <c r="D7" s="9" cm="1">
        <f t="array" ref="D7">DASHBOARD!D5</f>
        <v>19450</v>
      </c>
      <c r="E7" s="4" t="s">
        <v>455</v>
      </c>
      <c r="F7" s="7" t="str">
        <f>DASHBOARD!B8&amp;" kg"</f>
        <v>5821.8 kg</v>
      </c>
      <c r="G7" s="4" t="s">
        <v>456</v>
      </c>
      <c r="H7" s="10" cm="1">
        <f t="array" ref="H7">DASHBOARD!H8</f>
        <v>85.5</v>
      </c>
    </row>
    <row r="8" customHeight="1" spans="2:8">
      <c r="B8" s="4" t="s">
        <v>116</v>
      </c>
      <c r="D8" s="7" t="s">
        <v>457</v>
      </c>
      <c r="G8" s="11" t="s">
        <v>75</v>
      </c>
    </row>
    <row r="9" ht="7.5" customHeight="1"/>
    <row r="10" ht="19.5" customHeight="1" spans="2:8">
      <c r="B10" s="12" t="s">
        <v>458</v>
      </c>
    </row>
    <row r="11" ht="22.5" customHeight="1" spans="2:8">
      <c r="B11" s="13" t="s">
        <v>49</v>
      </c>
      <c r="C11" s="13" t="s">
        <v>459</v>
      </c>
      <c r="D11" s="13" t="s">
        <v>460</v>
      </c>
      <c r="E11" s="13" t="s">
        <v>461</v>
      </c>
      <c r="F11" s="13" t="s">
        <v>462</v>
      </c>
      <c r="G11" s="13" t="s">
        <v>68</v>
      </c>
      <c r="H11" s="13" t="s">
        <v>463</v>
      </c>
    </row>
    <row r="12" ht="22.5" customHeight="1" spans="2:8">
      <c r="B12" s="14">
        <v>1</v>
      </c>
      <c r="C12" s="15" t="s">
        <v>464</v>
      </c>
      <c r="D12" s="16" t="s">
        <v>465</v>
      </c>
      <c r="E12" s="17" t="s">
        <v>466</v>
      </c>
      <c r="F12" s="18" t="s">
        <v>467</v>
      </c>
      <c r="G12" s="19" t="s">
        <v>468</v>
      </c>
      <c r="H12" s="20" t="s">
        <v>469</v>
      </c>
    </row>
    <row r="13" ht="22.5" customHeight="1" spans="2:8">
      <c r="B13" s="14">
        <v>2</v>
      </c>
      <c r="C13" s="21" t="s">
        <v>470</v>
      </c>
      <c r="D13" s="22" t="s">
        <v>471</v>
      </c>
      <c r="E13" s="23" t="s">
        <v>472</v>
      </c>
      <c r="F13" s="24" t="s">
        <v>473</v>
      </c>
      <c r="G13" s="19" t="s">
        <v>468</v>
      </c>
      <c r="H13" s="20" t="s">
        <v>469</v>
      </c>
    </row>
    <row r="14" ht="22.5" customHeight="1" spans="2:8">
      <c r="B14" s="14">
        <v>3</v>
      </c>
      <c r="C14" s="15" t="s">
        <v>474</v>
      </c>
      <c r="D14" s="16" t="s">
        <v>475</v>
      </c>
      <c r="E14" s="17" t="s">
        <v>476</v>
      </c>
      <c r="F14" s="18" t="s">
        <v>477</v>
      </c>
      <c r="G14" s="19" t="s">
        <v>468</v>
      </c>
      <c r="H14" s="20" t="s">
        <v>469</v>
      </c>
    </row>
    <row r="15" ht="22.5" customHeight="1" spans="2:8">
      <c r="B15" s="14">
        <v>4</v>
      </c>
      <c r="C15" s="21" t="s">
        <v>478</v>
      </c>
      <c r="D15" s="22" t="s">
        <v>479</v>
      </c>
      <c r="E15" s="23" t="s">
        <v>480</v>
      </c>
      <c r="F15" s="24" t="s">
        <v>481</v>
      </c>
      <c r="G15" s="19" t="s">
        <v>468</v>
      </c>
      <c r="H15" s="20" t="s">
        <v>482</v>
      </c>
    </row>
    <row r="16" ht="22.5" customHeight="1" spans="2:8">
      <c r="B16" s="14">
        <v>5</v>
      </c>
      <c r="C16" s="15" t="s">
        <v>483</v>
      </c>
      <c r="D16" s="16" t="s">
        <v>484</v>
      </c>
      <c r="E16" s="17" t="s">
        <v>485</v>
      </c>
      <c r="F16" s="18" t="s">
        <v>486</v>
      </c>
      <c r="G16" s="19" t="s">
        <v>468</v>
      </c>
      <c r="H16" s="20" t="s">
        <v>469</v>
      </c>
    </row>
    <row r="17" ht="22.5" customHeight="1" spans="2:8">
      <c r="B17" s="14">
        <v>6</v>
      </c>
      <c r="C17" s="21" t="s">
        <v>487</v>
      </c>
      <c r="D17" s="22" t="s">
        <v>488</v>
      </c>
      <c r="E17" s="23" t="s">
        <v>489</v>
      </c>
      <c r="F17" s="24" t="s">
        <v>490</v>
      </c>
      <c r="G17" s="19" t="s">
        <v>468</v>
      </c>
      <c r="H17" s="20" t="s">
        <v>491</v>
      </c>
    </row>
    <row r="18" ht="6" customHeight="1"/>
    <row r="19" ht="19.5" customHeight="1" spans="2:8">
      <c r="B19" s="12" t="s">
        <v>492</v>
      </c>
    </row>
    <row r="20" customHeight="1" spans="2:8">
      <c r="B20" s="4" t="s">
        <v>493</v>
      </c>
      <c r="D20" s="25" t="str" cm="1">
        <f t="array" ref="D20">SETTINGS!C11</f>
        <v>C:\HugoBoss\Exports</v>
      </c>
      <c r="G20" s="26" t="s">
        <v>494</v>
      </c>
    </row>
    <row r="21" customHeight="1" spans="2:8">
      <c r="B21" s="4" t="s">
        <v>495</v>
      </c>
      <c r="D21" s="25" t="str" cm="1">
        <f t="array" ref="D21">SETTINGS!C10</f>
        <v>A1:AZ100</v>
      </c>
      <c r="G21" s="26" t="s">
        <v>496</v>
      </c>
    </row>
    <row r="22" customHeight="1" spans="2:8">
      <c r="B22" s="4" t="s">
        <v>497</v>
      </c>
      <c r="D22" s="25" t="s">
        <v>498</v>
      </c>
      <c r="E22" s="4" t="s">
        <v>499</v>
      </c>
      <c r="G22" s="27" t="s">
        <v>500</v>
      </c>
    </row>
    <row r="23" customHeight="1" spans="2:8">
      <c r="B23" s="4" t="s">
        <v>501</v>
      </c>
      <c r="D23" s="7" t="s">
        <v>502</v>
      </c>
      <c r="E23" s="4" t="s">
        <v>503</v>
      </c>
      <c r="G23" s="28" t="s">
        <v>504</v>
      </c>
    </row>
    <row r="24" ht="6" customHeight="1"/>
    <row r="25" ht="19.5" customHeight="1" spans="2:8">
      <c r="B25" s="12" t="s">
        <v>505</v>
      </c>
    </row>
    <row r="26" ht="18" customHeight="1" spans="2:8">
      <c r="B26" s="13" t="s">
        <v>506</v>
      </c>
      <c r="C26" s="13" t="s">
        <v>507</v>
      </c>
      <c r="D26" s="13" t="s">
        <v>459</v>
      </c>
      <c r="E26" s="13" t="s">
        <v>62</v>
      </c>
      <c r="F26" s="13" t="s">
        <v>508</v>
      </c>
      <c r="G26" s="13" t="s">
        <v>509</v>
      </c>
      <c r="H26" s="13" t="s">
        <v>68</v>
      </c>
    </row>
    <row r="27" ht="16.5" customHeight="1" spans="2:8">
      <c r="B27" s="29" t="s">
        <v>510</v>
      </c>
      <c r="C27" s="30" t="s">
        <v>471</v>
      </c>
      <c r="D27" s="31" t="s">
        <v>511</v>
      </c>
      <c r="E27" s="31" t="s">
        <v>512</v>
      </c>
      <c r="F27" s="31" t="s">
        <v>513</v>
      </c>
      <c r="G27" s="31" t="s">
        <v>3</v>
      </c>
      <c r="H27" s="32" t="s">
        <v>514</v>
      </c>
    </row>
    <row r="28" ht="16.5" customHeight="1" spans="2:8">
      <c r="B28" s="33" t="s">
        <v>515</v>
      </c>
      <c r="C28" s="34" t="s">
        <v>475</v>
      </c>
      <c r="D28" s="35" t="s">
        <v>516</v>
      </c>
      <c r="E28" s="35" t="s">
        <v>517</v>
      </c>
      <c r="F28" s="35" t="s">
        <v>518</v>
      </c>
      <c r="G28" s="35" t="s">
        <v>3</v>
      </c>
      <c r="H28" s="32" t="s">
        <v>514</v>
      </c>
    </row>
    <row r="29" ht="16.5" customHeight="1" spans="2:8">
      <c r="B29" s="29" t="s">
        <v>519</v>
      </c>
      <c r="C29" s="30" t="s">
        <v>484</v>
      </c>
      <c r="D29" s="31" t="s">
        <v>511</v>
      </c>
      <c r="E29" s="31" t="s">
        <v>520</v>
      </c>
      <c r="F29" s="31" t="s">
        <v>521</v>
      </c>
      <c r="G29" s="31" t="s">
        <v>3</v>
      </c>
      <c r="H29" s="32" t="s">
        <v>514</v>
      </c>
    </row>
    <row r="30" ht="16.5" customHeight="1" spans="2:8">
      <c r="B30" s="33" t="s">
        <v>522</v>
      </c>
      <c r="C30" s="34" t="s">
        <v>523</v>
      </c>
      <c r="D30" s="35" t="s">
        <v>511</v>
      </c>
      <c r="E30" s="35" t="s">
        <v>524</v>
      </c>
      <c r="F30" s="35" t="s">
        <v>525</v>
      </c>
      <c r="G30" s="35" t="s">
        <v>3</v>
      </c>
      <c r="H30" s="32" t="s">
        <v>514</v>
      </c>
    </row>
    <row r="31" ht="6" customHeight="1"/>
    <row r="32" ht="19.5" customHeight="1" spans="2:8">
      <c r="B32" s="12" t="s">
        <v>526</v>
      </c>
    </row>
    <row r="33" ht="16.5" customHeight="1" spans="2:8">
      <c r="B33" s="13" t="s">
        <v>527</v>
      </c>
      <c r="D33" s="13" t="s">
        <v>528</v>
      </c>
      <c r="F33" s="13" t="s">
        <v>529</v>
      </c>
      <c r="H33" s="13" t="s">
        <v>530</v>
      </c>
    </row>
    <row r="34" ht="18" customHeight="1" spans="2:8">
      <c r="B34" s="36" t="s">
        <v>531</v>
      </c>
      <c r="D34" s="37" t="s">
        <v>33</v>
      </c>
      <c r="F34" s="38" t="s">
        <v>532</v>
      </c>
      <c r="H34" s="39">
        <v>30</v>
      </c>
    </row>
    <row r="35" ht="18" customHeight="1" spans="2:8">
      <c r="B35" s="40" t="s">
        <v>533</v>
      </c>
      <c r="D35" s="41" t="s">
        <v>43</v>
      </c>
      <c r="F35" s="38" t="s">
        <v>532</v>
      </c>
      <c r="H35" s="42">
        <v>65</v>
      </c>
    </row>
    <row r="36" ht="18" customHeight="1" spans="2:8">
      <c r="B36" s="36" t="s">
        <v>534</v>
      </c>
      <c r="D36" s="37" t="s">
        <v>535</v>
      </c>
      <c r="F36" s="38" t="s">
        <v>532</v>
      </c>
      <c r="H36" s="39">
        <v>81</v>
      </c>
    </row>
    <row r="37" ht="18" customHeight="1" spans="2:8">
      <c r="B37" s="40" t="s">
        <v>536</v>
      </c>
      <c r="D37" s="41" t="s">
        <v>537</v>
      </c>
      <c r="F37" s="38" t="s">
        <v>532</v>
      </c>
      <c r="H37" s="42">
        <v>53</v>
      </c>
    </row>
    <row r="38" ht="18" customHeight="1" spans="2:8">
      <c r="B38" s="36" t="s">
        <v>538</v>
      </c>
      <c r="D38" s="37" t="s">
        <v>539</v>
      </c>
      <c r="F38" s="38" t="s">
        <v>532</v>
      </c>
      <c r="H38" s="39">
        <v>75</v>
      </c>
    </row>
    <row r="39" ht="6" customHeight="1"/>
    <row r="40" ht="18" customHeight="1" spans="2:8">
      <c r="B40" s="43" t="s">
        <v>540</v>
      </c>
    </row>
  </sheetData>
  <mergeCells count="46">
    <mergeCell ref="B1:H1"/>
    <mergeCell ref="B2:H2"/>
    <mergeCell ref="B4:H4"/>
    <mergeCell ref="B5:C5"/>
    <mergeCell ref="D5:F5"/>
    <mergeCell ref="G5:H5"/>
    <mergeCell ref="B6:C6"/>
    <mergeCell ref="B7:C7"/>
    <mergeCell ref="B8:C8"/>
    <mergeCell ref="D8:F8"/>
    <mergeCell ref="G8:H8"/>
    <mergeCell ref="B10:H10"/>
    <mergeCell ref="B19:H19"/>
    <mergeCell ref="B20:C20"/>
    <mergeCell ref="D20:F20"/>
    <mergeCell ref="G20:H20"/>
    <mergeCell ref="B21:C21"/>
    <mergeCell ref="D21:F21"/>
    <mergeCell ref="G21:H21"/>
    <mergeCell ref="B22:C22"/>
    <mergeCell ref="E22:F22"/>
    <mergeCell ref="G22:H22"/>
    <mergeCell ref="B23:C23"/>
    <mergeCell ref="E23:F23"/>
    <mergeCell ref="G23:H23"/>
    <mergeCell ref="B25:H25"/>
    <mergeCell ref="B32:H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40:H4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HOME</vt:lpstr>
      <vt:lpstr>PO_MASTER</vt:lpstr>
      <vt:lpstr>PACKING_LIST</vt:lpstr>
      <vt:lpstr>CARTON_ALLOCATION</vt:lpstr>
      <vt:lpstr>CUT_SHEET</vt:lpstr>
      <vt:lpstr>MASTER_DATA</vt:lpstr>
      <vt:lpstr>SETTINGS</vt:lpstr>
      <vt:lpstr>DASHBOARD</vt:lpstr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KPR CSO</dc:creator>
  <cp:lastModifiedBy>YASH</cp:lastModifiedBy>
  <dcterms:created xsi:type="dcterms:W3CDTF">2016-07-25T14:04:00Z</dcterms:created>
  <cp:lastPrinted>2025-07-18T07:20:00Z</cp:lastPrinted>
  <dcterms:modified xsi:type="dcterms:W3CDTF">2026-07-03T17:26:01Z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9F8FA3B04F6148578E3FA0428A23BE4D_12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