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Ready to ship\Ready to ship\Yash\INITIAL TESTS\"/>
    </mc:Choice>
  </mc:AlternateContent>
  <bookViews>
    <workbookView xWindow="0" yWindow="0" windowWidth="27945" windowHeight="12300" tabRatio="805" activeTab="9"/>
  </bookViews>
  <sheets>
    <sheet name="SETTINGS" sheetId="1" r:id="rId1"/>
    <sheet name="PRODUCTION ORDER" sheetId="2" r:id="rId2"/>
    <sheet name="MASTER DATA" sheetId="3" r:id="rId3"/>
    <sheet name="EXPORT" sheetId="4" r:id="rId4"/>
    <sheet name="PACKING LIST" sheetId="5" r:id="rId5"/>
    <sheet name="RULES" sheetId="6" state="hidden" r:id="rId6"/>
    <sheet name="PACKING ENTRY" sheetId="7" r:id="rId7"/>
    <sheet name="SUMMARY" sheetId="8" r:id="rId8"/>
    <sheet name="DASHBOARD" sheetId="9" r:id="rId9"/>
    <sheet name="VBA SOURCE" sheetId="10" r:id="rId10"/>
  </sheets>
  <definedNames>
    <definedName name="_xlnm._FilterDatabase" localSheetId="6" hidden="1">'PACKING ENTRY'!$A$3:$S$503</definedName>
    <definedName name="_xlnm.Print_Area" localSheetId="4">'PACKING LIST'!$A$7:$BM$169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4" l="1"/>
  <c r="F5" i="7"/>
  <c r="D13" i="9" l="1"/>
  <c r="E13" i="9"/>
  <c r="B13" i="9"/>
  <c r="C13" i="9"/>
  <c r="G13" i="9"/>
  <c r="H13" i="9"/>
  <c r="I13" i="9"/>
  <c r="J13" i="9"/>
  <c r="A36" i="8"/>
  <c r="A35" i="8"/>
  <c r="A34" i="8"/>
  <c r="A24" i="8"/>
  <c r="A23" i="8"/>
  <c r="A22" i="8"/>
  <c r="A16" i="8"/>
  <c r="B12" i="8"/>
  <c r="B11" i="8"/>
  <c r="B10" i="8"/>
  <c r="B9" i="8"/>
  <c r="B8" i="8"/>
  <c r="B7" i="8"/>
  <c r="L4" i="8"/>
  <c r="H4" i="8"/>
  <c r="J4" i="8" s="1"/>
  <c r="D4" i="8"/>
  <c r="R503" i="7"/>
  <c r="Q503" i="7"/>
  <c r="P503" i="7"/>
  <c r="O503" i="7"/>
  <c r="N503" i="7"/>
  <c r="M503" i="7"/>
  <c r="R502" i="7"/>
  <c r="Q502" i="7"/>
  <c r="P502" i="7"/>
  <c r="O502" i="7"/>
  <c r="N502" i="7"/>
  <c r="M502" i="7"/>
  <c r="R501" i="7"/>
  <c r="Q501" i="7"/>
  <c r="P501" i="7"/>
  <c r="O501" i="7"/>
  <c r="N501" i="7"/>
  <c r="M501" i="7"/>
  <c r="R500" i="7"/>
  <c r="Q500" i="7"/>
  <c r="P500" i="7"/>
  <c r="O500" i="7"/>
  <c r="N500" i="7"/>
  <c r="M500" i="7"/>
  <c r="R499" i="7"/>
  <c r="Q499" i="7"/>
  <c r="P499" i="7"/>
  <c r="O499" i="7"/>
  <c r="N499" i="7"/>
  <c r="M499" i="7"/>
  <c r="R498" i="7"/>
  <c r="Q498" i="7"/>
  <c r="P498" i="7"/>
  <c r="O498" i="7"/>
  <c r="N498" i="7"/>
  <c r="M498" i="7"/>
  <c r="R497" i="7"/>
  <c r="Q497" i="7"/>
  <c r="P497" i="7"/>
  <c r="O497" i="7"/>
  <c r="N497" i="7"/>
  <c r="M497" i="7"/>
  <c r="R496" i="7"/>
  <c r="Q496" i="7"/>
  <c r="P496" i="7"/>
  <c r="O496" i="7"/>
  <c r="N496" i="7"/>
  <c r="M496" i="7"/>
  <c r="R495" i="7"/>
  <c r="Q495" i="7"/>
  <c r="P495" i="7"/>
  <c r="O495" i="7"/>
  <c r="N495" i="7"/>
  <c r="M495" i="7"/>
  <c r="R494" i="7"/>
  <c r="Q494" i="7"/>
  <c r="P494" i="7"/>
  <c r="O494" i="7"/>
  <c r="N494" i="7"/>
  <c r="M494" i="7"/>
  <c r="R493" i="7"/>
  <c r="Q493" i="7"/>
  <c r="P493" i="7"/>
  <c r="O493" i="7"/>
  <c r="N493" i="7"/>
  <c r="M493" i="7"/>
  <c r="R492" i="7"/>
  <c r="Q492" i="7"/>
  <c r="P492" i="7"/>
  <c r="O492" i="7"/>
  <c r="N492" i="7"/>
  <c r="M492" i="7"/>
  <c r="R491" i="7"/>
  <c r="Q491" i="7"/>
  <c r="P491" i="7"/>
  <c r="O491" i="7"/>
  <c r="N491" i="7"/>
  <c r="M491" i="7"/>
  <c r="R490" i="7"/>
  <c r="Q490" i="7"/>
  <c r="P490" i="7"/>
  <c r="O490" i="7"/>
  <c r="N490" i="7"/>
  <c r="M490" i="7"/>
  <c r="R489" i="7"/>
  <c r="Q489" i="7"/>
  <c r="P489" i="7"/>
  <c r="O489" i="7"/>
  <c r="N489" i="7"/>
  <c r="M489" i="7"/>
  <c r="R488" i="7"/>
  <c r="Q488" i="7"/>
  <c r="P488" i="7"/>
  <c r="O488" i="7"/>
  <c r="N488" i="7"/>
  <c r="M488" i="7"/>
  <c r="R487" i="7"/>
  <c r="Q487" i="7"/>
  <c r="P487" i="7"/>
  <c r="O487" i="7"/>
  <c r="N487" i="7"/>
  <c r="M487" i="7"/>
  <c r="R486" i="7"/>
  <c r="Q486" i="7"/>
  <c r="P486" i="7"/>
  <c r="O486" i="7"/>
  <c r="N486" i="7"/>
  <c r="M486" i="7"/>
  <c r="R485" i="7"/>
  <c r="Q485" i="7"/>
  <c r="P485" i="7"/>
  <c r="O485" i="7"/>
  <c r="N485" i="7"/>
  <c r="M485" i="7"/>
  <c r="R484" i="7"/>
  <c r="Q484" i="7"/>
  <c r="P484" i="7"/>
  <c r="O484" i="7"/>
  <c r="N484" i="7"/>
  <c r="M484" i="7"/>
  <c r="R483" i="7"/>
  <c r="Q483" i="7"/>
  <c r="P483" i="7"/>
  <c r="O483" i="7"/>
  <c r="N483" i="7"/>
  <c r="M483" i="7"/>
  <c r="R482" i="7"/>
  <c r="Q482" i="7"/>
  <c r="P482" i="7"/>
  <c r="O482" i="7"/>
  <c r="N482" i="7"/>
  <c r="M482" i="7"/>
  <c r="R481" i="7"/>
  <c r="Q481" i="7"/>
  <c r="P481" i="7"/>
  <c r="O481" i="7"/>
  <c r="N481" i="7"/>
  <c r="M481" i="7"/>
  <c r="R480" i="7"/>
  <c r="Q480" i="7"/>
  <c r="P480" i="7"/>
  <c r="O480" i="7"/>
  <c r="N480" i="7"/>
  <c r="M480" i="7"/>
  <c r="R479" i="7"/>
  <c r="Q479" i="7"/>
  <c r="P479" i="7"/>
  <c r="O479" i="7"/>
  <c r="N479" i="7"/>
  <c r="M479" i="7"/>
  <c r="R478" i="7"/>
  <c r="Q478" i="7"/>
  <c r="P478" i="7"/>
  <c r="O478" i="7"/>
  <c r="N478" i="7"/>
  <c r="M478" i="7"/>
  <c r="R477" i="7"/>
  <c r="Q477" i="7"/>
  <c r="P477" i="7"/>
  <c r="O477" i="7"/>
  <c r="N477" i="7"/>
  <c r="M477" i="7"/>
  <c r="R476" i="7"/>
  <c r="Q476" i="7"/>
  <c r="P476" i="7"/>
  <c r="O476" i="7"/>
  <c r="N476" i="7"/>
  <c r="M476" i="7"/>
  <c r="R475" i="7"/>
  <c r="Q475" i="7"/>
  <c r="P475" i="7"/>
  <c r="O475" i="7"/>
  <c r="N475" i="7"/>
  <c r="M475" i="7"/>
  <c r="R474" i="7"/>
  <c r="Q474" i="7"/>
  <c r="P474" i="7"/>
  <c r="O474" i="7"/>
  <c r="N474" i="7"/>
  <c r="M474" i="7"/>
  <c r="R473" i="7"/>
  <c r="Q473" i="7"/>
  <c r="P473" i="7"/>
  <c r="O473" i="7"/>
  <c r="N473" i="7"/>
  <c r="M473" i="7"/>
  <c r="R472" i="7"/>
  <c r="Q472" i="7"/>
  <c r="P472" i="7"/>
  <c r="O472" i="7"/>
  <c r="N472" i="7"/>
  <c r="M472" i="7"/>
  <c r="R471" i="7"/>
  <c r="Q471" i="7"/>
  <c r="P471" i="7"/>
  <c r="O471" i="7"/>
  <c r="N471" i="7"/>
  <c r="M471" i="7"/>
  <c r="R470" i="7"/>
  <c r="Q470" i="7"/>
  <c r="P470" i="7"/>
  <c r="O470" i="7"/>
  <c r="N470" i="7"/>
  <c r="M470" i="7"/>
  <c r="R469" i="7"/>
  <c r="Q469" i="7"/>
  <c r="P469" i="7"/>
  <c r="O469" i="7"/>
  <c r="N469" i="7"/>
  <c r="M469" i="7"/>
  <c r="R468" i="7"/>
  <c r="Q468" i="7"/>
  <c r="P468" i="7"/>
  <c r="O468" i="7"/>
  <c r="N468" i="7"/>
  <c r="M468" i="7"/>
  <c r="R467" i="7"/>
  <c r="Q467" i="7"/>
  <c r="P467" i="7"/>
  <c r="O467" i="7"/>
  <c r="N467" i="7"/>
  <c r="M467" i="7"/>
  <c r="R466" i="7"/>
  <c r="Q466" i="7"/>
  <c r="P466" i="7"/>
  <c r="O466" i="7"/>
  <c r="N466" i="7"/>
  <c r="M466" i="7"/>
  <c r="R465" i="7"/>
  <c r="Q465" i="7"/>
  <c r="P465" i="7"/>
  <c r="O465" i="7"/>
  <c r="N465" i="7"/>
  <c r="M465" i="7"/>
  <c r="R464" i="7"/>
  <c r="Q464" i="7"/>
  <c r="P464" i="7"/>
  <c r="O464" i="7"/>
  <c r="N464" i="7"/>
  <c r="M464" i="7"/>
  <c r="R463" i="7"/>
  <c r="Q463" i="7"/>
  <c r="P463" i="7"/>
  <c r="O463" i="7"/>
  <c r="N463" i="7"/>
  <c r="M463" i="7"/>
  <c r="R462" i="7"/>
  <c r="Q462" i="7"/>
  <c r="P462" i="7"/>
  <c r="O462" i="7"/>
  <c r="N462" i="7"/>
  <c r="M462" i="7"/>
  <c r="R461" i="7"/>
  <c r="Q461" i="7"/>
  <c r="P461" i="7"/>
  <c r="O461" i="7"/>
  <c r="N461" i="7"/>
  <c r="M461" i="7"/>
  <c r="R460" i="7"/>
  <c r="Q460" i="7"/>
  <c r="P460" i="7"/>
  <c r="O460" i="7"/>
  <c r="N460" i="7"/>
  <c r="M460" i="7"/>
  <c r="R459" i="7"/>
  <c r="Q459" i="7"/>
  <c r="P459" i="7"/>
  <c r="O459" i="7"/>
  <c r="N459" i="7"/>
  <c r="M459" i="7"/>
  <c r="R458" i="7"/>
  <c r="Q458" i="7"/>
  <c r="P458" i="7"/>
  <c r="O458" i="7"/>
  <c r="N458" i="7"/>
  <c r="M458" i="7"/>
  <c r="R457" i="7"/>
  <c r="Q457" i="7"/>
  <c r="P457" i="7"/>
  <c r="O457" i="7"/>
  <c r="N457" i="7"/>
  <c r="M457" i="7"/>
  <c r="R456" i="7"/>
  <c r="Q456" i="7"/>
  <c r="P456" i="7"/>
  <c r="O456" i="7"/>
  <c r="N456" i="7"/>
  <c r="M456" i="7"/>
  <c r="R455" i="7"/>
  <c r="Q455" i="7"/>
  <c r="P455" i="7"/>
  <c r="O455" i="7"/>
  <c r="N455" i="7"/>
  <c r="M455" i="7"/>
  <c r="R454" i="7"/>
  <c r="Q454" i="7"/>
  <c r="P454" i="7"/>
  <c r="O454" i="7"/>
  <c r="N454" i="7"/>
  <c r="M454" i="7"/>
  <c r="R453" i="7"/>
  <c r="Q453" i="7"/>
  <c r="P453" i="7"/>
  <c r="O453" i="7"/>
  <c r="N453" i="7"/>
  <c r="M453" i="7"/>
  <c r="R452" i="7"/>
  <c r="Q452" i="7"/>
  <c r="P452" i="7"/>
  <c r="O452" i="7"/>
  <c r="N452" i="7"/>
  <c r="M452" i="7"/>
  <c r="R451" i="7"/>
  <c r="Q451" i="7"/>
  <c r="P451" i="7"/>
  <c r="O451" i="7"/>
  <c r="N451" i="7"/>
  <c r="M451" i="7"/>
  <c r="R450" i="7"/>
  <c r="Q450" i="7"/>
  <c r="P450" i="7"/>
  <c r="O450" i="7"/>
  <c r="N450" i="7"/>
  <c r="M450" i="7"/>
  <c r="R449" i="7"/>
  <c r="Q449" i="7"/>
  <c r="P449" i="7"/>
  <c r="O449" i="7"/>
  <c r="N449" i="7"/>
  <c r="M449" i="7"/>
  <c r="R448" i="7"/>
  <c r="Q448" i="7"/>
  <c r="P448" i="7"/>
  <c r="O448" i="7"/>
  <c r="N448" i="7"/>
  <c r="M448" i="7"/>
  <c r="R447" i="7"/>
  <c r="Q447" i="7"/>
  <c r="P447" i="7"/>
  <c r="O447" i="7"/>
  <c r="N447" i="7"/>
  <c r="M447" i="7"/>
  <c r="R446" i="7"/>
  <c r="Q446" i="7"/>
  <c r="P446" i="7"/>
  <c r="O446" i="7"/>
  <c r="N446" i="7"/>
  <c r="M446" i="7"/>
  <c r="R445" i="7"/>
  <c r="Q445" i="7"/>
  <c r="P445" i="7"/>
  <c r="O445" i="7"/>
  <c r="N445" i="7"/>
  <c r="M445" i="7"/>
  <c r="R444" i="7"/>
  <c r="Q444" i="7"/>
  <c r="P444" i="7"/>
  <c r="O444" i="7"/>
  <c r="N444" i="7"/>
  <c r="M444" i="7"/>
  <c r="R443" i="7"/>
  <c r="Q443" i="7"/>
  <c r="P443" i="7"/>
  <c r="O443" i="7"/>
  <c r="N443" i="7"/>
  <c r="M443" i="7"/>
  <c r="R442" i="7"/>
  <c r="Q442" i="7"/>
  <c r="P442" i="7"/>
  <c r="O442" i="7"/>
  <c r="N442" i="7"/>
  <c r="M442" i="7"/>
  <c r="R441" i="7"/>
  <c r="Q441" i="7"/>
  <c r="P441" i="7"/>
  <c r="O441" i="7"/>
  <c r="N441" i="7"/>
  <c r="M441" i="7"/>
  <c r="R440" i="7"/>
  <c r="Q440" i="7"/>
  <c r="P440" i="7"/>
  <c r="O440" i="7"/>
  <c r="N440" i="7"/>
  <c r="M440" i="7"/>
  <c r="R439" i="7"/>
  <c r="Q439" i="7"/>
  <c r="P439" i="7"/>
  <c r="O439" i="7"/>
  <c r="N439" i="7"/>
  <c r="M439" i="7"/>
  <c r="R438" i="7"/>
  <c r="Q438" i="7"/>
  <c r="P438" i="7"/>
  <c r="O438" i="7"/>
  <c r="N438" i="7"/>
  <c r="M438" i="7"/>
  <c r="R437" i="7"/>
  <c r="Q437" i="7"/>
  <c r="P437" i="7"/>
  <c r="O437" i="7"/>
  <c r="N437" i="7"/>
  <c r="M437" i="7"/>
  <c r="R436" i="7"/>
  <c r="Q436" i="7"/>
  <c r="P436" i="7"/>
  <c r="O436" i="7"/>
  <c r="N436" i="7"/>
  <c r="M436" i="7"/>
  <c r="R435" i="7"/>
  <c r="Q435" i="7"/>
  <c r="P435" i="7"/>
  <c r="O435" i="7"/>
  <c r="N435" i="7"/>
  <c r="M435" i="7"/>
  <c r="R434" i="7"/>
  <c r="Q434" i="7"/>
  <c r="P434" i="7"/>
  <c r="O434" i="7"/>
  <c r="N434" i="7"/>
  <c r="M434" i="7"/>
  <c r="R433" i="7"/>
  <c r="Q433" i="7"/>
  <c r="P433" i="7"/>
  <c r="O433" i="7"/>
  <c r="N433" i="7"/>
  <c r="M433" i="7"/>
  <c r="R432" i="7"/>
  <c r="Q432" i="7"/>
  <c r="P432" i="7"/>
  <c r="O432" i="7"/>
  <c r="N432" i="7"/>
  <c r="M432" i="7"/>
  <c r="R431" i="7"/>
  <c r="Q431" i="7"/>
  <c r="P431" i="7"/>
  <c r="O431" i="7"/>
  <c r="N431" i="7"/>
  <c r="M431" i="7"/>
  <c r="R430" i="7"/>
  <c r="Q430" i="7"/>
  <c r="P430" i="7"/>
  <c r="O430" i="7"/>
  <c r="N430" i="7"/>
  <c r="M430" i="7"/>
  <c r="R429" i="7"/>
  <c r="Q429" i="7"/>
  <c r="P429" i="7"/>
  <c r="O429" i="7"/>
  <c r="N429" i="7"/>
  <c r="M429" i="7"/>
  <c r="R428" i="7"/>
  <c r="Q428" i="7"/>
  <c r="P428" i="7"/>
  <c r="O428" i="7"/>
  <c r="N428" i="7"/>
  <c r="M428" i="7"/>
  <c r="R427" i="7"/>
  <c r="Q427" i="7"/>
  <c r="P427" i="7"/>
  <c r="O427" i="7"/>
  <c r="N427" i="7"/>
  <c r="M427" i="7"/>
  <c r="R426" i="7"/>
  <c r="Q426" i="7"/>
  <c r="P426" i="7"/>
  <c r="O426" i="7"/>
  <c r="N426" i="7"/>
  <c r="M426" i="7"/>
  <c r="R425" i="7"/>
  <c r="Q425" i="7"/>
  <c r="P425" i="7"/>
  <c r="O425" i="7"/>
  <c r="N425" i="7"/>
  <c r="M425" i="7"/>
  <c r="R424" i="7"/>
  <c r="Q424" i="7"/>
  <c r="P424" i="7"/>
  <c r="O424" i="7"/>
  <c r="N424" i="7"/>
  <c r="M424" i="7"/>
  <c r="R423" i="7"/>
  <c r="Q423" i="7"/>
  <c r="P423" i="7"/>
  <c r="O423" i="7"/>
  <c r="N423" i="7"/>
  <c r="M423" i="7"/>
  <c r="R422" i="7"/>
  <c r="Q422" i="7"/>
  <c r="P422" i="7"/>
  <c r="O422" i="7"/>
  <c r="N422" i="7"/>
  <c r="M422" i="7"/>
  <c r="R421" i="7"/>
  <c r="Q421" i="7"/>
  <c r="P421" i="7"/>
  <c r="O421" i="7"/>
  <c r="N421" i="7"/>
  <c r="M421" i="7"/>
  <c r="R420" i="7"/>
  <c r="Q420" i="7"/>
  <c r="P420" i="7"/>
  <c r="O420" i="7"/>
  <c r="N420" i="7"/>
  <c r="M420" i="7"/>
  <c r="R419" i="7"/>
  <c r="Q419" i="7"/>
  <c r="P419" i="7"/>
  <c r="O419" i="7"/>
  <c r="N419" i="7"/>
  <c r="M419" i="7"/>
  <c r="R418" i="7"/>
  <c r="Q418" i="7"/>
  <c r="P418" i="7"/>
  <c r="O418" i="7"/>
  <c r="N418" i="7"/>
  <c r="M418" i="7"/>
  <c r="R417" i="7"/>
  <c r="Q417" i="7"/>
  <c r="P417" i="7"/>
  <c r="O417" i="7"/>
  <c r="N417" i="7"/>
  <c r="M417" i="7"/>
  <c r="R416" i="7"/>
  <c r="Q416" i="7"/>
  <c r="P416" i="7"/>
  <c r="O416" i="7"/>
  <c r="N416" i="7"/>
  <c r="M416" i="7"/>
  <c r="R415" i="7"/>
  <c r="Q415" i="7"/>
  <c r="P415" i="7"/>
  <c r="O415" i="7"/>
  <c r="N415" i="7"/>
  <c r="M415" i="7"/>
  <c r="R414" i="7"/>
  <c r="Q414" i="7"/>
  <c r="P414" i="7"/>
  <c r="O414" i="7"/>
  <c r="N414" i="7"/>
  <c r="M414" i="7"/>
  <c r="R413" i="7"/>
  <c r="Q413" i="7"/>
  <c r="P413" i="7"/>
  <c r="O413" i="7"/>
  <c r="N413" i="7"/>
  <c r="M413" i="7"/>
  <c r="R412" i="7"/>
  <c r="Q412" i="7"/>
  <c r="P412" i="7"/>
  <c r="O412" i="7"/>
  <c r="N412" i="7"/>
  <c r="M412" i="7"/>
  <c r="R411" i="7"/>
  <c r="Q411" i="7"/>
  <c r="P411" i="7"/>
  <c r="O411" i="7"/>
  <c r="N411" i="7"/>
  <c r="M411" i="7"/>
  <c r="R410" i="7"/>
  <c r="Q410" i="7"/>
  <c r="P410" i="7"/>
  <c r="O410" i="7"/>
  <c r="N410" i="7"/>
  <c r="M410" i="7"/>
  <c r="R409" i="7"/>
  <c r="Q409" i="7"/>
  <c r="P409" i="7"/>
  <c r="O409" i="7"/>
  <c r="N409" i="7"/>
  <c r="M409" i="7"/>
  <c r="R408" i="7"/>
  <c r="Q408" i="7"/>
  <c r="P408" i="7"/>
  <c r="O408" i="7"/>
  <c r="N408" i="7"/>
  <c r="M408" i="7"/>
  <c r="R407" i="7"/>
  <c r="Q407" i="7"/>
  <c r="P407" i="7"/>
  <c r="O407" i="7"/>
  <c r="N407" i="7"/>
  <c r="M407" i="7"/>
  <c r="R406" i="7"/>
  <c r="Q406" i="7"/>
  <c r="P406" i="7"/>
  <c r="O406" i="7"/>
  <c r="N406" i="7"/>
  <c r="M406" i="7"/>
  <c r="R405" i="7"/>
  <c r="Q405" i="7"/>
  <c r="P405" i="7"/>
  <c r="O405" i="7"/>
  <c r="N405" i="7"/>
  <c r="M405" i="7"/>
  <c r="R404" i="7"/>
  <c r="Q404" i="7"/>
  <c r="P404" i="7"/>
  <c r="O404" i="7"/>
  <c r="N404" i="7"/>
  <c r="M404" i="7"/>
  <c r="R403" i="7"/>
  <c r="Q403" i="7"/>
  <c r="P403" i="7"/>
  <c r="O403" i="7"/>
  <c r="N403" i="7"/>
  <c r="M403" i="7"/>
  <c r="R402" i="7"/>
  <c r="Q402" i="7"/>
  <c r="P402" i="7"/>
  <c r="O402" i="7"/>
  <c r="N402" i="7"/>
  <c r="M402" i="7"/>
  <c r="R401" i="7"/>
  <c r="Q401" i="7"/>
  <c r="P401" i="7"/>
  <c r="O401" i="7"/>
  <c r="N401" i="7"/>
  <c r="M401" i="7"/>
  <c r="R400" i="7"/>
  <c r="Q400" i="7"/>
  <c r="P400" i="7"/>
  <c r="O400" i="7"/>
  <c r="N400" i="7"/>
  <c r="M400" i="7"/>
  <c r="R399" i="7"/>
  <c r="Q399" i="7"/>
  <c r="P399" i="7"/>
  <c r="O399" i="7"/>
  <c r="N399" i="7"/>
  <c r="M399" i="7"/>
  <c r="R398" i="7"/>
  <c r="Q398" i="7"/>
  <c r="P398" i="7"/>
  <c r="O398" i="7"/>
  <c r="N398" i="7"/>
  <c r="M398" i="7"/>
  <c r="R397" i="7"/>
  <c r="Q397" i="7"/>
  <c r="P397" i="7"/>
  <c r="O397" i="7"/>
  <c r="N397" i="7"/>
  <c r="M397" i="7"/>
  <c r="R396" i="7"/>
  <c r="Q396" i="7"/>
  <c r="P396" i="7"/>
  <c r="O396" i="7"/>
  <c r="N396" i="7"/>
  <c r="M396" i="7"/>
  <c r="R395" i="7"/>
  <c r="Q395" i="7"/>
  <c r="P395" i="7"/>
  <c r="O395" i="7"/>
  <c r="N395" i="7"/>
  <c r="M395" i="7"/>
  <c r="R394" i="7"/>
  <c r="Q394" i="7"/>
  <c r="P394" i="7"/>
  <c r="O394" i="7"/>
  <c r="N394" i="7"/>
  <c r="M394" i="7"/>
  <c r="R393" i="7"/>
  <c r="Q393" i="7"/>
  <c r="P393" i="7"/>
  <c r="O393" i="7"/>
  <c r="N393" i="7"/>
  <c r="M393" i="7"/>
  <c r="R392" i="7"/>
  <c r="Q392" i="7"/>
  <c r="P392" i="7"/>
  <c r="O392" i="7"/>
  <c r="N392" i="7"/>
  <c r="M392" i="7"/>
  <c r="R391" i="7"/>
  <c r="Q391" i="7"/>
  <c r="P391" i="7"/>
  <c r="O391" i="7"/>
  <c r="N391" i="7"/>
  <c r="M391" i="7"/>
  <c r="R390" i="7"/>
  <c r="Q390" i="7"/>
  <c r="P390" i="7"/>
  <c r="O390" i="7"/>
  <c r="N390" i="7"/>
  <c r="M390" i="7"/>
  <c r="R389" i="7"/>
  <c r="Q389" i="7"/>
  <c r="P389" i="7"/>
  <c r="O389" i="7"/>
  <c r="N389" i="7"/>
  <c r="M389" i="7"/>
  <c r="R388" i="7"/>
  <c r="Q388" i="7"/>
  <c r="P388" i="7"/>
  <c r="O388" i="7"/>
  <c r="N388" i="7"/>
  <c r="M388" i="7"/>
  <c r="R387" i="7"/>
  <c r="Q387" i="7"/>
  <c r="P387" i="7"/>
  <c r="O387" i="7"/>
  <c r="N387" i="7"/>
  <c r="M387" i="7"/>
  <c r="R386" i="7"/>
  <c r="Q386" i="7"/>
  <c r="P386" i="7"/>
  <c r="O386" i="7"/>
  <c r="N386" i="7"/>
  <c r="M386" i="7"/>
  <c r="R385" i="7"/>
  <c r="Q385" i="7"/>
  <c r="P385" i="7"/>
  <c r="O385" i="7"/>
  <c r="N385" i="7"/>
  <c r="M385" i="7"/>
  <c r="R384" i="7"/>
  <c r="Q384" i="7"/>
  <c r="P384" i="7"/>
  <c r="O384" i="7"/>
  <c r="N384" i="7"/>
  <c r="M384" i="7"/>
  <c r="R383" i="7"/>
  <c r="Q383" i="7"/>
  <c r="P383" i="7"/>
  <c r="O383" i="7"/>
  <c r="N383" i="7"/>
  <c r="M383" i="7"/>
  <c r="R382" i="7"/>
  <c r="Q382" i="7"/>
  <c r="P382" i="7"/>
  <c r="O382" i="7"/>
  <c r="N382" i="7"/>
  <c r="M382" i="7"/>
  <c r="R381" i="7"/>
  <c r="Q381" i="7"/>
  <c r="P381" i="7"/>
  <c r="O381" i="7"/>
  <c r="N381" i="7"/>
  <c r="M381" i="7"/>
  <c r="R380" i="7"/>
  <c r="Q380" i="7"/>
  <c r="P380" i="7"/>
  <c r="O380" i="7"/>
  <c r="N380" i="7"/>
  <c r="M380" i="7"/>
  <c r="R379" i="7"/>
  <c r="Q379" i="7"/>
  <c r="P379" i="7"/>
  <c r="O379" i="7"/>
  <c r="N379" i="7"/>
  <c r="M379" i="7"/>
  <c r="R378" i="7"/>
  <c r="Q378" i="7"/>
  <c r="P378" i="7"/>
  <c r="O378" i="7"/>
  <c r="N378" i="7"/>
  <c r="M378" i="7"/>
  <c r="R377" i="7"/>
  <c r="Q377" i="7"/>
  <c r="P377" i="7"/>
  <c r="O377" i="7"/>
  <c r="N377" i="7"/>
  <c r="M377" i="7"/>
  <c r="R376" i="7"/>
  <c r="Q376" i="7"/>
  <c r="P376" i="7"/>
  <c r="O376" i="7"/>
  <c r="N376" i="7"/>
  <c r="M376" i="7"/>
  <c r="R375" i="7"/>
  <c r="Q375" i="7"/>
  <c r="P375" i="7"/>
  <c r="O375" i="7"/>
  <c r="N375" i="7"/>
  <c r="M375" i="7"/>
  <c r="R374" i="7"/>
  <c r="Q374" i="7"/>
  <c r="P374" i="7"/>
  <c r="O374" i="7"/>
  <c r="N374" i="7"/>
  <c r="M374" i="7"/>
  <c r="R373" i="7"/>
  <c r="Q373" i="7"/>
  <c r="P373" i="7"/>
  <c r="O373" i="7"/>
  <c r="N373" i="7"/>
  <c r="M373" i="7"/>
  <c r="R372" i="7"/>
  <c r="Q372" i="7"/>
  <c r="P372" i="7"/>
  <c r="O372" i="7"/>
  <c r="N372" i="7"/>
  <c r="M372" i="7"/>
  <c r="R371" i="7"/>
  <c r="Q371" i="7"/>
  <c r="P371" i="7"/>
  <c r="O371" i="7"/>
  <c r="N371" i="7"/>
  <c r="M371" i="7"/>
  <c r="R370" i="7"/>
  <c r="Q370" i="7"/>
  <c r="P370" i="7"/>
  <c r="O370" i="7"/>
  <c r="N370" i="7"/>
  <c r="M370" i="7"/>
  <c r="R369" i="7"/>
  <c r="Q369" i="7"/>
  <c r="P369" i="7"/>
  <c r="O369" i="7"/>
  <c r="N369" i="7"/>
  <c r="M369" i="7"/>
  <c r="R368" i="7"/>
  <c r="Q368" i="7"/>
  <c r="P368" i="7"/>
  <c r="O368" i="7"/>
  <c r="N368" i="7"/>
  <c r="M368" i="7"/>
  <c r="R367" i="7"/>
  <c r="Q367" i="7"/>
  <c r="P367" i="7"/>
  <c r="O367" i="7"/>
  <c r="N367" i="7"/>
  <c r="M367" i="7"/>
  <c r="R366" i="7"/>
  <c r="Q366" i="7"/>
  <c r="P366" i="7"/>
  <c r="O366" i="7"/>
  <c r="N366" i="7"/>
  <c r="M366" i="7"/>
  <c r="R365" i="7"/>
  <c r="Q365" i="7"/>
  <c r="P365" i="7"/>
  <c r="O365" i="7"/>
  <c r="N365" i="7"/>
  <c r="M365" i="7"/>
  <c r="R364" i="7"/>
  <c r="Q364" i="7"/>
  <c r="P364" i="7"/>
  <c r="O364" i="7"/>
  <c r="N364" i="7"/>
  <c r="M364" i="7"/>
  <c r="R363" i="7"/>
  <c r="Q363" i="7"/>
  <c r="P363" i="7"/>
  <c r="O363" i="7"/>
  <c r="N363" i="7"/>
  <c r="M363" i="7"/>
  <c r="R362" i="7"/>
  <c r="Q362" i="7"/>
  <c r="P362" i="7"/>
  <c r="O362" i="7"/>
  <c r="N362" i="7"/>
  <c r="M362" i="7"/>
  <c r="R361" i="7"/>
  <c r="Q361" i="7"/>
  <c r="P361" i="7"/>
  <c r="O361" i="7"/>
  <c r="N361" i="7"/>
  <c r="M361" i="7"/>
  <c r="R360" i="7"/>
  <c r="Q360" i="7"/>
  <c r="P360" i="7"/>
  <c r="O360" i="7"/>
  <c r="N360" i="7"/>
  <c r="M360" i="7"/>
  <c r="R359" i="7"/>
  <c r="Q359" i="7"/>
  <c r="P359" i="7"/>
  <c r="O359" i="7"/>
  <c r="N359" i="7"/>
  <c r="M359" i="7"/>
  <c r="R358" i="7"/>
  <c r="Q358" i="7"/>
  <c r="P358" i="7"/>
  <c r="O358" i="7"/>
  <c r="N358" i="7"/>
  <c r="M358" i="7"/>
  <c r="R357" i="7"/>
  <c r="Q357" i="7"/>
  <c r="P357" i="7"/>
  <c r="O357" i="7"/>
  <c r="N357" i="7"/>
  <c r="M357" i="7"/>
  <c r="R356" i="7"/>
  <c r="Q356" i="7"/>
  <c r="P356" i="7"/>
  <c r="O356" i="7"/>
  <c r="N356" i="7"/>
  <c r="M356" i="7"/>
  <c r="R355" i="7"/>
  <c r="Q355" i="7"/>
  <c r="P355" i="7"/>
  <c r="O355" i="7"/>
  <c r="N355" i="7"/>
  <c r="M355" i="7"/>
  <c r="R354" i="7"/>
  <c r="Q354" i="7"/>
  <c r="P354" i="7"/>
  <c r="O354" i="7"/>
  <c r="N354" i="7"/>
  <c r="M354" i="7"/>
  <c r="R353" i="7"/>
  <c r="Q353" i="7"/>
  <c r="P353" i="7"/>
  <c r="O353" i="7"/>
  <c r="N353" i="7"/>
  <c r="M353" i="7"/>
  <c r="R352" i="7"/>
  <c r="Q352" i="7"/>
  <c r="P352" i="7"/>
  <c r="O352" i="7"/>
  <c r="N352" i="7"/>
  <c r="M352" i="7"/>
  <c r="R351" i="7"/>
  <c r="Q351" i="7"/>
  <c r="P351" i="7"/>
  <c r="O351" i="7"/>
  <c r="N351" i="7"/>
  <c r="M351" i="7"/>
  <c r="R350" i="7"/>
  <c r="Q350" i="7"/>
  <c r="P350" i="7"/>
  <c r="O350" i="7"/>
  <c r="N350" i="7"/>
  <c r="M350" i="7"/>
  <c r="R349" i="7"/>
  <c r="Q349" i="7"/>
  <c r="P349" i="7"/>
  <c r="O349" i="7"/>
  <c r="N349" i="7"/>
  <c r="M349" i="7"/>
  <c r="R348" i="7"/>
  <c r="Q348" i="7"/>
  <c r="P348" i="7"/>
  <c r="O348" i="7"/>
  <c r="N348" i="7"/>
  <c r="M348" i="7"/>
  <c r="R347" i="7"/>
  <c r="Q347" i="7"/>
  <c r="P347" i="7"/>
  <c r="O347" i="7"/>
  <c r="N347" i="7"/>
  <c r="M347" i="7"/>
  <c r="R346" i="7"/>
  <c r="Q346" i="7"/>
  <c r="P346" i="7"/>
  <c r="O346" i="7"/>
  <c r="N346" i="7"/>
  <c r="M346" i="7"/>
  <c r="R345" i="7"/>
  <c r="Q345" i="7"/>
  <c r="P345" i="7"/>
  <c r="O345" i="7"/>
  <c r="N345" i="7"/>
  <c r="M345" i="7"/>
  <c r="R344" i="7"/>
  <c r="Q344" i="7"/>
  <c r="P344" i="7"/>
  <c r="O344" i="7"/>
  <c r="N344" i="7"/>
  <c r="M344" i="7"/>
  <c r="R343" i="7"/>
  <c r="Q343" i="7"/>
  <c r="P343" i="7"/>
  <c r="O343" i="7"/>
  <c r="N343" i="7"/>
  <c r="M343" i="7"/>
  <c r="R342" i="7"/>
  <c r="Q342" i="7"/>
  <c r="P342" i="7"/>
  <c r="O342" i="7"/>
  <c r="N342" i="7"/>
  <c r="M342" i="7"/>
  <c r="R341" i="7"/>
  <c r="Q341" i="7"/>
  <c r="P341" i="7"/>
  <c r="O341" i="7"/>
  <c r="N341" i="7"/>
  <c r="M341" i="7"/>
  <c r="R340" i="7"/>
  <c r="Q340" i="7"/>
  <c r="P340" i="7"/>
  <c r="O340" i="7"/>
  <c r="N340" i="7"/>
  <c r="M340" i="7"/>
  <c r="R339" i="7"/>
  <c r="Q339" i="7"/>
  <c r="P339" i="7"/>
  <c r="O339" i="7"/>
  <c r="N339" i="7"/>
  <c r="M339" i="7"/>
  <c r="R338" i="7"/>
  <c r="Q338" i="7"/>
  <c r="P338" i="7"/>
  <c r="O338" i="7"/>
  <c r="N338" i="7"/>
  <c r="M338" i="7"/>
  <c r="R337" i="7"/>
  <c r="Q337" i="7"/>
  <c r="P337" i="7"/>
  <c r="O337" i="7"/>
  <c r="N337" i="7"/>
  <c r="M337" i="7"/>
  <c r="R336" i="7"/>
  <c r="Q336" i="7"/>
  <c r="P336" i="7"/>
  <c r="O336" i="7"/>
  <c r="N336" i="7"/>
  <c r="M336" i="7"/>
  <c r="R335" i="7"/>
  <c r="Q335" i="7"/>
  <c r="P335" i="7"/>
  <c r="O335" i="7"/>
  <c r="N335" i="7"/>
  <c r="M335" i="7"/>
  <c r="R334" i="7"/>
  <c r="Q334" i="7"/>
  <c r="P334" i="7"/>
  <c r="O334" i="7"/>
  <c r="N334" i="7"/>
  <c r="M334" i="7"/>
  <c r="R333" i="7"/>
  <c r="Q333" i="7"/>
  <c r="P333" i="7"/>
  <c r="O333" i="7"/>
  <c r="N333" i="7"/>
  <c r="M333" i="7"/>
  <c r="R332" i="7"/>
  <c r="Q332" i="7"/>
  <c r="P332" i="7"/>
  <c r="O332" i="7"/>
  <c r="N332" i="7"/>
  <c r="M332" i="7"/>
  <c r="R331" i="7"/>
  <c r="Q331" i="7"/>
  <c r="P331" i="7"/>
  <c r="O331" i="7"/>
  <c r="N331" i="7"/>
  <c r="M331" i="7"/>
  <c r="R330" i="7"/>
  <c r="Q330" i="7"/>
  <c r="P330" i="7"/>
  <c r="O330" i="7"/>
  <c r="N330" i="7"/>
  <c r="M330" i="7"/>
  <c r="R329" i="7"/>
  <c r="Q329" i="7"/>
  <c r="P329" i="7"/>
  <c r="O329" i="7"/>
  <c r="N329" i="7"/>
  <c r="M329" i="7"/>
  <c r="R328" i="7"/>
  <c r="Q328" i="7"/>
  <c r="P328" i="7"/>
  <c r="O328" i="7"/>
  <c r="N328" i="7"/>
  <c r="M328" i="7"/>
  <c r="R327" i="7"/>
  <c r="Q327" i="7"/>
  <c r="P327" i="7"/>
  <c r="O327" i="7"/>
  <c r="N327" i="7"/>
  <c r="M327" i="7"/>
  <c r="R326" i="7"/>
  <c r="Q326" i="7"/>
  <c r="P326" i="7"/>
  <c r="O326" i="7"/>
  <c r="N326" i="7"/>
  <c r="M326" i="7"/>
  <c r="R325" i="7"/>
  <c r="Q325" i="7"/>
  <c r="P325" i="7"/>
  <c r="O325" i="7"/>
  <c r="N325" i="7"/>
  <c r="M325" i="7"/>
  <c r="R324" i="7"/>
  <c r="Q324" i="7"/>
  <c r="P324" i="7"/>
  <c r="O324" i="7"/>
  <c r="N324" i="7"/>
  <c r="M324" i="7"/>
  <c r="R323" i="7"/>
  <c r="Q323" i="7"/>
  <c r="P323" i="7"/>
  <c r="O323" i="7"/>
  <c r="N323" i="7"/>
  <c r="M323" i="7"/>
  <c r="R322" i="7"/>
  <c r="Q322" i="7"/>
  <c r="P322" i="7"/>
  <c r="O322" i="7"/>
  <c r="N322" i="7"/>
  <c r="M322" i="7"/>
  <c r="R321" i="7"/>
  <c r="Q321" i="7"/>
  <c r="P321" i="7"/>
  <c r="O321" i="7"/>
  <c r="N321" i="7"/>
  <c r="M321" i="7"/>
  <c r="R320" i="7"/>
  <c r="Q320" i="7"/>
  <c r="P320" i="7"/>
  <c r="O320" i="7"/>
  <c r="N320" i="7"/>
  <c r="M320" i="7"/>
  <c r="R319" i="7"/>
  <c r="Q319" i="7"/>
  <c r="P319" i="7"/>
  <c r="O319" i="7"/>
  <c r="N319" i="7"/>
  <c r="M319" i="7"/>
  <c r="R318" i="7"/>
  <c r="Q318" i="7"/>
  <c r="P318" i="7"/>
  <c r="O318" i="7"/>
  <c r="N318" i="7"/>
  <c r="M318" i="7"/>
  <c r="R317" i="7"/>
  <c r="Q317" i="7"/>
  <c r="P317" i="7"/>
  <c r="O317" i="7"/>
  <c r="N317" i="7"/>
  <c r="M317" i="7"/>
  <c r="R316" i="7"/>
  <c r="Q316" i="7"/>
  <c r="P316" i="7"/>
  <c r="O316" i="7"/>
  <c r="N316" i="7"/>
  <c r="M316" i="7"/>
  <c r="R315" i="7"/>
  <c r="Q315" i="7"/>
  <c r="P315" i="7"/>
  <c r="O315" i="7"/>
  <c r="N315" i="7"/>
  <c r="M315" i="7"/>
  <c r="R314" i="7"/>
  <c r="Q314" i="7"/>
  <c r="P314" i="7"/>
  <c r="O314" i="7"/>
  <c r="N314" i="7"/>
  <c r="M314" i="7"/>
  <c r="R313" i="7"/>
  <c r="Q313" i="7"/>
  <c r="P313" i="7"/>
  <c r="O313" i="7"/>
  <c r="N313" i="7"/>
  <c r="M313" i="7"/>
  <c r="R312" i="7"/>
  <c r="Q312" i="7"/>
  <c r="P312" i="7"/>
  <c r="O312" i="7"/>
  <c r="N312" i="7"/>
  <c r="M312" i="7"/>
  <c r="R311" i="7"/>
  <c r="Q311" i="7"/>
  <c r="P311" i="7"/>
  <c r="O311" i="7"/>
  <c r="N311" i="7"/>
  <c r="M311" i="7"/>
  <c r="R310" i="7"/>
  <c r="Q310" i="7"/>
  <c r="P310" i="7"/>
  <c r="O310" i="7"/>
  <c r="N310" i="7"/>
  <c r="M310" i="7"/>
  <c r="R309" i="7"/>
  <c r="Q309" i="7"/>
  <c r="P309" i="7"/>
  <c r="O309" i="7"/>
  <c r="N309" i="7"/>
  <c r="M309" i="7"/>
  <c r="R308" i="7"/>
  <c r="Q308" i="7"/>
  <c r="P308" i="7"/>
  <c r="O308" i="7"/>
  <c r="N308" i="7"/>
  <c r="M308" i="7"/>
  <c r="R307" i="7"/>
  <c r="Q307" i="7"/>
  <c r="P307" i="7"/>
  <c r="O307" i="7"/>
  <c r="N307" i="7"/>
  <c r="M307" i="7"/>
  <c r="R306" i="7"/>
  <c r="Q306" i="7"/>
  <c r="P306" i="7"/>
  <c r="O306" i="7"/>
  <c r="N306" i="7"/>
  <c r="M306" i="7"/>
  <c r="R305" i="7"/>
  <c r="Q305" i="7"/>
  <c r="P305" i="7"/>
  <c r="O305" i="7"/>
  <c r="N305" i="7"/>
  <c r="M305" i="7"/>
  <c r="R304" i="7"/>
  <c r="Q304" i="7"/>
  <c r="P304" i="7"/>
  <c r="O304" i="7"/>
  <c r="N304" i="7"/>
  <c r="M304" i="7"/>
  <c r="R303" i="7"/>
  <c r="Q303" i="7"/>
  <c r="P303" i="7"/>
  <c r="O303" i="7"/>
  <c r="N303" i="7"/>
  <c r="M303" i="7"/>
  <c r="R302" i="7"/>
  <c r="Q302" i="7"/>
  <c r="P302" i="7"/>
  <c r="O302" i="7"/>
  <c r="N302" i="7"/>
  <c r="M302" i="7"/>
  <c r="R301" i="7"/>
  <c r="Q301" i="7"/>
  <c r="P301" i="7"/>
  <c r="O301" i="7"/>
  <c r="N301" i="7"/>
  <c r="M301" i="7"/>
  <c r="R300" i="7"/>
  <c r="Q300" i="7"/>
  <c r="P300" i="7"/>
  <c r="O300" i="7"/>
  <c r="N300" i="7"/>
  <c r="M300" i="7"/>
  <c r="R299" i="7"/>
  <c r="Q299" i="7"/>
  <c r="P299" i="7"/>
  <c r="O299" i="7"/>
  <c r="N299" i="7"/>
  <c r="M299" i="7"/>
  <c r="R298" i="7"/>
  <c r="Q298" i="7"/>
  <c r="P298" i="7"/>
  <c r="O298" i="7"/>
  <c r="N298" i="7"/>
  <c r="M298" i="7"/>
  <c r="R297" i="7"/>
  <c r="Q297" i="7"/>
  <c r="P297" i="7"/>
  <c r="O297" i="7"/>
  <c r="N297" i="7"/>
  <c r="M297" i="7"/>
  <c r="R296" i="7"/>
  <c r="Q296" i="7"/>
  <c r="P296" i="7"/>
  <c r="O296" i="7"/>
  <c r="N296" i="7"/>
  <c r="M296" i="7"/>
  <c r="R295" i="7"/>
  <c r="Q295" i="7"/>
  <c r="P295" i="7"/>
  <c r="O295" i="7"/>
  <c r="N295" i="7"/>
  <c r="M295" i="7"/>
  <c r="R294" i="7"/>
  <c r="Q294" i="7"/>
  <c r="P294" i="7"/>
  <c r="O294" i="7"/>
  <c r="N294" i="7"/>
  <c r="M294" i="7"/>
  <c r="R293" i="7"/>
  <c r="Q293" i="7"/>
  <c r="P293" i="7"/>
  <c r="O293" i="7"/>
  <c r="N293" i="7"/>
  <c r="M293" i="7"/>
  <c r="R292" i="7"/>
  <c r="Q292" i="7"/>
  <c r="P292" i="7"/>
  <c r="O292" i="7"/>
  <c r="N292" i="7"/>
  <c r="M292" i="7"/>
  <c r="R291" i="7"/>
  <c r="Q291" i="7"/>
  <c r="P291" i="7"/>
  <c r="O291" i="7"/>
  <c r="N291" i="7"/>
  <c r="M291" i="7"/>
  <c r="R290" i="7"/>
  <c r="Q290" i="7"/>
  <c r="P290" i="7"/>
  <c r="O290" i="7"/>
  <c r="N290" i="7"/>
  <c r="M290" i="7"/>
  <c r="R289" i="7"/>
  <c r="Q289" i="7"/>
  <c r="P289" i="7"/>
  <c r="O289" i="7"/>
  <c r="N289" i="7"/>
  <c r="M289" i="7"/>
  <c r="R288" i="7"/>
  <c r="Q288" i="7"/>
  <c r="P288" i="7"/>
  <c r="O288" i="7"/>
  <c r="N288" i="7"/>
  <c r="M288" i="7"/>
  <c r="R287" i="7"/>
  <c r="Q287" i="7"/>
  <c r="P287" i="7"/>
  <c r="O287" i="7"/>
  <c r="N287" i="7"/>
  <c r="M287" i="7"/>
  <c r="R286" i="7"/>
  <c r="Q286" i="7"/>
  <c r="P286" i="7"/>
  <c r="O286" i="7"/>
  <c r="N286" i="7"/>
  <c r="M286" i="7"/>
  <c r="R285" i="7"/>
  <c r="Q285" i="7"/>
  <c r="P285" i="7"/>
  <c r="O285" i="7"/>
  <c r="N285" i="7"/>
  <c r="M285" i="7"/>
  <c r="R284" i="7"/>
  <c r="Q284" i="7"/>
  <c r="P284" i="7"/>
  <c r="O284" i="7"/>
  <c r="N284" i="7"/>
  <c r="M284" i="7"/>
  <c r="R283" i="7"/>
  <c r="Q283" i="7"/>
  <c r="P283" i="7"/>
  <c r="O283" i="7"/>
  <c r="N283" i="7"/>
  <c r="M283" i="7"/>
  <c r="R282" i="7"/>
  <c r="Q282" i="7"/>
  <c r="P282" i="7"/>
  <c r="O282" i="7"/>
  <c r="N282" i="7"/>
  <c r="M282" i="7"/>
  <c r="R281" i="7"/>
  <c r="Q281" i="7"/>
  <c r="P281" i="7"/>
  <c r="O281" i="7"/>
  <c r="N281" i="7"/>
  <c r="M281" i="7"/>
  <c r="R280" i="7"/>
  <c r="Q280" i="7"/>
  <c r="P280" i="7"/>
  <c r="O280" i="7"/>
  <c r="N280" i="7"/>
  <c r="M280" i="7"/>
  <c r="R279" i="7"/>
  <c r="Q279" i="7"/>
  <c r="P279" i="7"/>
  <c r="O279" i="7"/>
  <c r="N279" i="7"/>
  <c r="M279" i="7"/>
  <c r="R278" i="7"/>
  <c r="Q278" i="7"/>
  <c r="P278" i="7"/>
  <c r="O278" i="7"/>
  <c r="N278" i="7"/>
  <c r="M278" i="7"/>
  <c r="R277" i="7"/>
  <c r="Q277" i="7"/>
  <c r="P277" i="7"/>
  <c r="O277" i="7"/>
  <c r="N277" i="7"/>
  <c r="M277" i="7"/>
  <c r="R276" i="7"/>
  <c r="Q276" i="7"/>
  <c r="P276" i="7"/>
  <c r="O276" i="7"/>
  <c r="N276" i="7"/>
  <c r="M276" i="7"/>
  <c r="R275" i="7"/>
  <c r="Q275" i="7"/>
  <c r="P275" i="7"/>
  <c r="O275" i="7"/>
  <c r="N275" i="7"/>
  <c r="M275" i="7"/>
  <c r="R274" i="7"/>
  <c r="Q274" i="7"/>
  <c r="P274" i="7"/>
  <c r="O274" i="7"/>
  <c r="N274" i="7"/>
  <c r="M274" i="7"/>
  <c r="R273" i="7"/>
  <c r="Q273" i="7"/>
  <c r="P273" i="7"/>
  <c r="O273" i="7"/>
  <c r="N273" i="7"/>
  <c r="M273" i="7"/>
  <c r="R272" i="7"/>
  <c r="Q272" i="7"/>
  <c r="P272" i="7"/>
  <c r="O272" i="7"/>
  <c r="N272" i="7"/>
  <c r="M272" i="7"/>
  <c r="R271" i="7"/>
  <c r="Q271" i="7"/>
  <c r="P271" i="7"/>
  <c r="O271" i="7"/>
  <c r="N271" i="7"/>
  <c r="M271" i="7"/>
  <c r="R270" i="7"/>
  <c r="Q270" i="7"/>
  <c r="P270" i="7"/>
  <c r="O270" i="7"/>
  <c r="N270" i="7"/>
  <c r="M270" i="7"/>
  <c r="R269" i="7"/>
  <c r="Q269" i="7"/>
  <c r="P269" i="7"/>
  <c r="O269" i="7"/>
  <c r="N269" i="7"/>
  <c r="M269" i="7"/>
  <c r="R268" i="7"/>
  <c r="Q268" i="7"/>
  <c r="P268" i="7"/>
  <c r="O268" i="7"/>
  <c r="N268" i="7"/>
  <c r="M268" i="7"/>
  <c r="R267" i="7"/>
  <c r="Q267" i="7"/>
  <c r="P267" i="7"/>
  <c r="O267" i="7"/>
  <c r="N267" i="7"/>
  <c r="M267" i="7"/>
  <c r="R266" i="7"/>
  <c r="Q266" i="7"/>
  <c r="P266" i="7"/>
  <c r="O266" i="7"/>
  <c r="N266" i="7"/>
  <c r="M266" i="7"/>
  <c r="R265" i="7"/>
  <c r="Q265" i="7"/>
  <c r="P265" i="7"/>
  <c r="O265" i="7"/>
  <c r="N265" i="7"/>
  <c r="M265" i="7"/>
  <c r="R264" i="7"/>
  <c r="Q264" i="7"/>
  <c r="P264" i="7"/>
  <c r="O264" i="7"/>
  <c r="N264" i="7"/>
  <c r="M264" i="7"/>
  <c r="R263" i="7"/>
  <c r="Q263" i="7"/>
  <c r="P263" i="7"/>
  <c r="O263" i="7"/>
  <c r="N263" i="7"/>
  <c r="M263" i="7"/>
  <c r="R262" i="7"/>
  <c r="Q262" i="7"/>
  <c r="P262" i="7"/>
  <c r="O262" i="7"/>
  <c r="N262" i="7"/>
  <c r="M262" i="7"/>
  <c r="R261" i="7"/>
  <c r="Q261" i="7"/>
  <c r="P261" i="7"/>
  <c r="O261" i="7"/>
  <c r="N261" i="7"/>
  <c r="M261" i="7"/>
  <c r="R260" i="7"/>
  <c r="Q260" i="7"/>
  <c r="P260" i="7"/>
  <c r="O260" i="7"/>
  <c r="N260" i="7"/>
  <c r="M260" i="7"/>
  <c r="R259" i="7"/>
  <c r="Q259" i="7"/>
  <c r="P259" i="7"/>
  <c r="O259" i="7"/>
  <c r="N259" i="7"/>
  <c r="M259" i="7"/>
  <c r="R258" i="7"/>
  <c r="Q258" i="7"/>
  <c r="P258" i="7"/>
  <c r="O258" i="7"/>
  <c r="N258" i="7"/>
  <c r="M258" i="7"/>
  <c r="R257" i="7"/>
  <c r="Q257" i="7"/>
  <c r="P257" i="7"/>
  <c r="O257" i="7"/>
  <c r="N257" i="7"/>
  <c r="M257" i="7"/>
  <c r="R256" i="7"/>
  <c r="Q256" i="7"/>
  <c r="P256" i="7"/>
  <c r="O256" i="7"/>
  <c r="N256" i="7"/>
  <c r="M256" i="7"/>
  <c r="R255" i="7"/>
  <c r="Q255" i="7"/>
  <c r="P255" i="7"/>
  <c r="O255" i="7"/>
  <c r="N255" i="7"/>
  <c r="M255" i="7"/>
  <c r="R254" i="7"/>
  <c r="Q254" i="7"/>
  <c r="P254" i="7"/>
  <c r="O254" i="7"/>
  <c r="N254" i="7"/>
  <c r="M254" i="7"/>
  <c r="R253" i="7"/>
  <c r="Q253" i="7"/>
  <c r="P253" i="7"/>
  <c r="O253" i="7"/>
  <c r="N253" i="7"/>
  <c r="M253" i="7"/>
  <c r="R252" i="7"/>
  <c r="Q252" i="7"/>
  <c r="P252" i="7"/>
  <c r="O252" i="7"/>
  <c r="N252" i="7"/>
  <c r="M252" i="7"/>
  <c r="R251" i="7"/>
  <c r="Q251" i="7"/>
  <c r="P251" i="7"/>
  <c r="O251" i="7"/>
  <c r="N251" i="7"/>
  <c r="M251" i="7"/>
  <c r="R250" i="7"/>
  <c r="Q250" i="7"/>
  <c r="P250" i="7"/>
  <c r="O250" i="7"/>
  <c r="N250" i="7"/>
  <c r="M250" i="7"/>
  <c r="R249" i="7"/>
  <c r="Q249" i="7"/>
  <c r="P249" i="7"/>
  <c r="O249" i="7"/>
  <c r="N249" i="7"/>
  <c r="M249" i="7"/>
  <c r="R248" i="7"/>
  <c r="Q248" i="7"/>
  <c r="P248" i="7"/>
  <c r="O248" i="7"/>
  <c r="N248" i="7"/>
  <c r="M248" i="7"/>
  <c r="R247" i="7"/>
  <c r="Q247" i="7"/>
  <c r="P247" i="7"/>
  <c r="O247" i="7"/>
  <c r="N247" i="7"/>
  <c r="M247" i="7"/>
  <c r="R246" i="7"/>
  <c r="Q246" i="7"/>
  <c r="P246" i="7"/>
  <c r="O246" i="7"/>
  <c r="N246" i="7"/>
  <c r="M246" i="7"/>
  <c r="R245" i="7"/>
  <c r="Q245" i="7"/>
  <c r="P245" i="7"/>
  <c r="O245" i="7"/>
  <c r="N245" i="7"/>
  <c r="M245" i="7"/>
  <c r="R244" i="7"/>
  <c r="Q244" i="7"/>
  <c r="P244" i="7"/>
  <c r="O244" i="7"/>
  <c r="N244" i="7"/>
  <c r="M244" i="7"/>
  <c r="R243" i="7"/>
  <c r="Q243" i="7"/>
  <c r="P243" i="7"/>
  <c r="O243" i="7"/>
  <c r="N243" i="7"/>
  <c r="M243" i="7"/>
  <c r="R242" i="7"/>
  <c r="Q242" i="7"/>
  <c r="P242" i="7"/>
  <c r="O242" i="7"/>
  <c r="N242" i="7"/>
  <c r="M242" i="7"/>
  <c r="R241" i="7"/>
  <c r="Q241" i="7"/>
  <c r="P241" i="7"/>
  <c r="O241" i="7"/>
  <c r="N241" i="7"/>
  <c r="M241" i="7"/>
  <c r="R240" i="7"/>
  <c r="Q240" i="7"/>
  <c r="P240" i="7"/>
  <c r="O240" i="7"/>
  <c r="N240" i="7"/>
  <c r="M240" i="7"/>
  <c r="R239" i="7"/>
  <c r="Q239" i="7"/>
  <c r="P239" i="7"/>
  <c r="O239" i="7"/>
  <c r="N239" i="7"/>
  <c r="M239" i="7"/>
  <c r="R238" i="7"/>
  <c r="Q238" i="7"/>
  <c r="P238" i="7"/>
  <c r="O238" i="7"/>
  <c r="N238" i="7"/>
  <c r="M238" i="7"/>
  <c r="R237" i="7"/>
  <c r="Q237" i="7"/>
  <c r="P237" i="7"/>
  <c r="O237" i="7"/>
  <c r="N237" i="7"/>
  <c r="M237" i="7"/>
  <c r="R236" i="7"/>
  <c r="Q236" i="7"/>
  <c r="P236" i="7"/>
  <c r="O236" i="7"/>
  <c r="N236" i="7"/>
  <c r="M236" i="7"/>
  <c r="R235" i="7"/>
  <c r="Q235" i="7"/>
  <c r="P235" i="7"/>
  <c r="O235" i="7"/>
  <c r="N235" i="7"/>
  <c r="M235" i="7"/>
  <c r="R234" i="7"/>
  <c r="Q234" i="7"/>
  <c r="P234" i="7"/>
  <c r="O234" i="7"/>
  <c r="N234" i="7"/>
  <c r="M234" i="7"/>
  <c r="R233" i="7"/>
  <c r="Q233" i="7"/>
  <c r="P233" i="7"/>
  <c r="O233" i="7"/>
  <c r="N233" i="7"/>
  <c r="M233" i="7"/>
  <c r="R232" i="7"/>
  <c r="Q232" i="7"/>
  <c r="P232" i="7"/>
  <c r="O232" i="7"/>
  <c r="N232" i="7"/>
  <c r="M232" i="7"/>
  <c r="R231" i="7"/>
  <c r="Q231" i="7"/>
  <c r="P231" i="7"/>
  <c r="O231" i="7"/>
  <c r="N231" i="7"/>
  <c r="M231" i="7"/>
  <c r="R230" i="7"/>
  <c r="Q230" i="7"/>
  <c r="P230" i="7"/>
  <c r="O230" i="7"/>
  <c r="N230" i="7"/>
  <c r="M230" i="7"/>
  <c r="R229" i="7"/>
  <c r="Q229" i="7"/>
  <c r="P229" i="7"/>
  <c r="O229" i="7"/>
  <c r="N229" i="7"/>
  <c r="M229" i="7"/>
  <c r="R228" i="7"/>
  <c r="Q228" i="7"/>
  <c r="P228" i="7"/>
  <c r="O228" i="7"/>
  <c r="N228" i="7"/>
  <c r="M228" i="7"/>
  <c r="R227" i="7"/>
  <c r="Q227" i="7"/>
  <c r="P227" i="7"/>
  <c r="O227" i="7"/>
  <c r="N227" i="7"/>
  <c r="M227" i="7"/>
  <c r="R226" i="7"/>
  <c r="Q226" i="7"/>
  <c r="P226" i="7"/>
  <c r="O226" i="7"/>
  <c r="N226" i="7"/>
  <c r="M226" i="7"/>
  <c r="R225" i="7"/>
  <c r="Q225" i="7"/>
  <c r="P225" i="7"/>
  <c r="O225" i="7"/>
  <c r="N225" i="7"/>
  <c r="M225" i="7"/>
  <c r="R224" i="7"/>
  <c r="Q224" i="7"/>
  <c r="P224" i="7"/>
  <c r="O224" i="7"/>
  <c r="N224" i="7"/>
  <c r="M224" i="7"/>
  <c r="R223" i="7"/>
  <c r="Q223" i="7"/>
  <c r="P223" i="7"/>
  <c r="O223" i="7"/>
  <c r="N223" i="7"/>
  <c r="M223" i="7"/>
  <c r="R222" i="7"/>
  <c r="Q222" i="7"/>
  <c r="P222" i="7"/>
  <c r="O222" i="7"/>
  <c r="N222" i="7"/>
  <c r="M222" i="7"/>
  <c r="R221" i="7"/>
  <c r="Q221" i="7"/>
  <c r="P221" i="7"/>
  <c r="O221" i="7"/>
  <c r="N221" i="7"/>
  <c r="M221" i="7"/>
  <c r="R220" i="7"/>
  <c r="Q220" i="7"/>
  <c r="P220" i="7"/>
  <c r="O220" i="7"/>
  <c r="N220" i="7"/>
  <c r="M220" i="7"/>
  <c r="R219" i="7"/>
  <c r="Q219" i="7"/>
  <c r="P219" i="7"/>
  <c r="O219" i="7"/>
  <c r="N219" i="7"/>
  <c r="M219" i="7"/>
  <c r="R218" i="7"/>
  <c r="Q218" i="7"/>
  <c r="P218" i="7"/>
  <c r="O218" i="7"/>
  <c r="N218" i="7"/>
  <c r="M218" i="7"/>
  <c r="R217" i="7"/>
  <c r="Q217" i="7"/>
  <c r="P217" i="7"/>
  <c r="O217" i="7"/>
  <c r="N217" i="7"/>
  <c r="M217" i="7"/>
  <c r="R216" i="7"/>
  <c r="Q216" i="7"/>
  <c r="P216" i="7"/>
  <c r="O216" i="7"/>
  <c r="N216" i="7"/>
  <c r="M216" i="7"/>
  <c r="R215" i="7"/>
  <c r="Q215" i="7"/>
  <c r="P215" i="7"/>
  <c r="O215" i="7"/>
  <c r="N215" i="7"/>
  <c r="M215" i="7"/>
  <c r="R214" i="7"/>
  <c r="Q214" i="7"/>
  <c r="P214" i="7"/>
  <c r="O214" i="7"/>
  <c r="N214" i="7"/>
  <c r="M214" i="7"/>
  <c r="R213" i="7"/>
  <c r="Q213" i="7"/>
  <c r="P213" i="7"/>
  <c r="O213" i="7"/>
  <c r="N213" i="7"/>
  <c r="M213" i="7"/>
  <c r="R212" i="7"/>
  <c r="Q212" i="7"/>
  <c r="P212" i="7"/>
  <c r="O212" i="7"/>
  <c r="N212" i="7"/>
  <c r="M212" i="7"/>
  <c r="R211" i="7"/>
  <c r="Q211" i="7"/>
  <c r="P211" i="7"/>
  <c r="O211" i="7"/>
  <c r="N211" i="7"/>
  <c r="M211" i="7"/>
  <c r="R210" i="7"/>
  <c r="Q210" i="7"/>
  <c r="P210" i="7"/>
  <c r="O210" i="7"/>
  <c r="N210" i="7"/>
  <c r="M210" i="7"/>
  <c r="R209" i="7"/>
  <c r="Q209" i="7"/>
  <c r="P209" i="7"/>
  <c r="O209" i="7"/>
  <c r="N209" i="7"/>
  <c r="M209" i="7"/>
  <c r="R208" i="7"/>
  <c r="Q208" i="7"/>
  <c r="P208" i="7"/>
  <c r="O208" i="7"/>
  <c r="N208" i="7"/>
  <c r="M208" i="7"/>
  <c r="R207" i="7"/>
  <c r="Q207" i="7"/>
  <c r="P207" i="7"/>
  <c r="O207" i="7"/>
  <c r="N207" i="7"/>
  <c r="M207" i="7"/>
  <c r="R206" i="7"/>
  <c r="Q206" i="7"/>
  <c r="P206" i="7"/>
  <c r="O206" i="7"/>
  <c r="N206" i="7"/>
  <c r="M206" i="7"/>
  <c r="R205" i="7"/>
  <c r="Q205" i="7"/>
  <c r="P205" i="7"/>
  <c r="O205" i="7"/>
  <c r="N205" i="7"/>
  <c r="M205" i="7"/>
  <c r="R204" i="7"/>
  <c r="Q204" i="7"/>
  <c r="P204" i="7"/>
  <c r="O204" i="7"/>
  <c r="N204" i="7"/>
  <c r="M204" i="7"/>
  <c r="R203" i="7"/>
  <c r="Q203" i="7"/>
  <c r="P203" i="7"/>
  <c r="O203" i="7"/>
  <c r="N203" i="7"/>
  <c r="M203" i="7"/>
  <c r="R202" i="7"/>
  <c r="Q202" i="7"/>
  <c r="P202" i="7"/>
  <c r="O202" i="7"/>
  <c r="N202" i="7"/>
  <c r="M202" i="7"/>
  <c r="R201" i="7"/>
  <c r="Q201" i="7"/>
  <c r="P201" i="7"/>
  <c r="O201" i="7"/>
  <c r="N201" i="7"/>
  <c r="M201" i="7"/>
  <c r="R200" i="7"/>
  <c r="Q200" i="7"/>
  <c r="P200" i="7"/>
  <c r="O200" i="7"/>
  <c r="N200" i="7"/>
  <c r="M200" i="7"/>
  <c r="R199" i="7"/>
  <c r="Q199" i="7"/>
  <c r="P199" i="7"/>
  <c r="O199" i="7"/>
  <c r="N199" i="7"/>
  <c r="M199" i="7"/>
  <c r="R198" i="7"/>
  <c r="Q198" i="7"/>
  <c r="P198" i="7"/>
  <c r="O198" i="7"/>
  <c r="N198" i="7"/>
  <c r="M198" i="7"/>
  <c r="R197" i="7"/>
  <c r="Q197" i="7"/>
  <c r="P197" i="7"/>
  <c r="O197" i="7"/>
  <c r="N197" i="7"/>
  <c r="M197" i="7"/>
  <c r="R196" i="7"/>
  <c r="Q196" i="7"/>
  <c r="P196" i="7"/>
  <c r="O196" i="7"/>
  <c r="N196" i="7"/>
  <c r="M196" i="7"/>
  <c r="R195" i="7"/>
  <c r="Q195" i="7"/>
  <c r="P195" i="7"/>
  <c r="O195" i="7"/>
  <c r="N195" i="7"/>
  <c r="M195" i="7"/>
  <c r="R194" i="7"/>
  <c r="Q194" i="7"/>
  <c r="P194" i="7"/>
  <c r="O194" i="7"/>
  <c r="N194" i="7"/>
  <c r="M194" i="7"/>
  <c r="R193" i="7"/>
  <c r="Q193" i="7"/>
  <c r="P193" i="7"/>
  <c r="O193" i="7"/>
  <c r="N193" i="7"/>
  <c r="M193" i="7"/>
  <c r="R192" i="7"/>
  <c r="Q192" i="7"/>
  <c r="P192" i="7"/>
  <c r="O192" i="7"/>
  <c r="N192" i="7"/>
  <c r="M192" i="7"/>
  <c r="R191" i="7"/>
  <c r="Q191" i="7"/>
  <c r="P191" i="7"/>
  <c r="O191" i="7"/>
  <c r="N191" i="7"/>
  <c r="M191" i="7"/>
  <c r="R190" i="7"/>
  <c r="Q190" i="7"/>
  <c r="P190" i="7"/>
  <c r="O190" i="7"/>
  <c r="N190" i="7"/>
  <c r="M190" i="7"/>
  <c r="R189" i="7"/>
  <c r="Q189" i="7"/>
  <c r="P189" i="7"/>
  <c r="O189" i="7"/>
  <c r="N189" i="7"/>
  <c r="M189" i="7"/>
  <c r="R188" i="7"/>
  <c r="Q188" i="7"/>
  <c r="P188" i="7"/>
  <c r="O188" i="7"/>
  <c r="N188" i="7"/>
  <c r="M188" i="7"/>
  <c r="R187" i="7"/>
  <c r="Q187" i="7"/>
  <c r="P187" i="7"/>
  <c r="O187" i="7"/>
  <c r="N187" i="7"/>
  <c r="M187" i="7"/>
  <c r="R186" i="7"/>
  <c r="Q186" i="7"/>
  <c r="P186" i="7"/>
  <c r="O186" i="7"/>
  <c r="N186" i="7"/>
  <c r="M186" i="7"/>
  <c r="R185" i="7"/>
  <c r="Q185" i="7"/>
  <c r="P185" i="7"/>
  <c r="O185" i="7"/>
  <c r="N185" i="7"/>
  <c r="M185" i="7"/>
  <c r="R184" i="7"/>
  <c r="Q184" i="7"/>
  <c r="P184" i="7"/>
  <c r="O184" i="7"/>
  <c r="N184" i="7"/>
  <c r="M184" i="7"/>
  <c r="R183" i="7"/>
  <c r="Q183" i="7"/>
  <c r="P183" i="7"/>
  <c r="O183" i="7"/>
  <c r="N183" i="7"/>
  <c r="M183" i="7"/>
  <c r="R182" i="7"/>
  <c r="Q182" i="7"/>
  <c r="P182" i="7"/>
  <c r="O182" i="7"/>
  <c r="N182" i="7"/>
  <c r="M182" i="7"/>
  <c r="R181" i="7"/>
  <c r="Q181" i="7"/>
  <c r="P181" i="7"/>
  <c r="O181" i="7"/>
  <c r="N181" i="7"/>
  <c r="M181" i="7"/>
  <c r="R180" i="7"/>
  <c r="Q180" i="7"/>
  <c r="P180" i="7"/>
  <c r="O180" i="7"/>
  <c r="N180" i="7"/>
  <c r="M180" i="7"/>
  <c r="R179" i="7"/>
  <c r="Q179" i="7"/>
  <c r="P179" i="7"/>
  <c r="O179" i="7"/>
  <c r="N179" i="7"/>
  <c r="M179" i="7"/>
  <c r="R178" i="7"/>
  <c r="Q178" i="7"/>
  <c r="P178" i="7"/>
  <c r="O178" i="7"/>
  <c r="N178" i="7"/>
  <c r="M178" i="7"/>
  <c r="R177" i="7"/>
  <c r="Q177" i="7"/>
  <c r="P177" i="7"/>
  <c r="O177" i="7"/>
  <c r="N177" i="7"/>
  <c r="M177" i="7"/>
  <c r="R176" i="7"/>
  <c r="Q176" i="7"/>
  <c r="P176" i="7"/>
  <c r="O176" i="7"/>
  <c r="N176" i="7"/>
  <c r="M176" i="7"/>
  <c r="R175" i="7"/>
  <c r="Q175" i="7"/>
  <c r="P175" i="7"/>
  <c r="O175" i="7"/>
  <c r="N175" i="7"/>
  <c r="M175" i="7"/>
  <c r="R174" i="7"/>
  <c r="Q174" i="7"/>
  <c r="P174" i="7"/>
  <c r="O174" i="7"/>
  <c r="N174" i="7"/>
  <c r="M174" i="7"/>
  <c r="R173" i="7"/>
  <c r="Q173" i="7"/>
  <c r="P173" i="7"/>
  <c r="O173" i="7"/>
  <c r="N173" i="7"/>
  <c r="M173" i="7"/>
  <c r="R172" i="7"/>
  <c r="Q172" i="7"/>
  <c r="P172" i="7"/>
  <c r="O172" i="7"/>
  <c r="N172" i="7"/>
  <c r="M172" i="7"/>
  <c r="R171" i="7"/>
  <c r="Q171" i="7"/>
  <c r="P171" i="7"/>
  <c r="O171" i="7"/>
  <c r="N171" i="7"/>
  <c r="M171" i="7"/>
  <c r="R170" i="7"/>
  <c r="Q170" i="7"/>
  <c r="P170" i="7"/>
  <c r="O170" i="7"/>
  <c r="N170" i="7"/>
  <c r="M170" i="7"/>
  <c r="R169" i="7"/>
  <c r="Q169" i="7"/>
  <c r="P169" i="7"/>
  <c r="O169" i="7"/>
  <c r="N169" i="7"/>
  <c r="M169" i="7"/>
  <c r="R168" i="7"/>
  <c r="Q168" i="7"/>
  <c r="P168" i="7"/>
  <c r="O168" i="7"/>
  <c r="N168" i="7"/>
  <c r="M168" i="7"/>
  <c r="R167" i="7"/>
  <c r="Q167" i="7"/>
  <c r="P167" i="7"/>
  <c r="O167" i="7"/>
  <c r="N167" i="7"/>
  <c r="M167" i="7"/>
  <c r="R166" i="7"/>
  <c r="Q166" i="7"/>
  <c r="P166" i="7"/>
  <c r="O166" i="7"/>
  <c r="N166" i="7"/>
  <c r="M166" i="7"/>
  <c r="R165" i="7"/>
  <c r="Q165" i="7"/>
  <c r="P165" i="7"/>
  <c r="O165" i="7"/>
  <c r="N165" i="7"/>
  <c r="M165" i="7"/>
  <c r="R164" i="7"/>
  <c r="Q164" i="7"/>
  <c r="P164" i="7"/>
  <c r="O164" i="7"/>
  <c r="N164" i="7"/>
  <c r="M164" i="7"/>
  <c r="R163" i="7"/>
  <c r="Q163" i="7"/>
  <c r="P163" i="7"/>
  <c r="O163" i="7"/>
  <c r="N163" i="7"/>
  <c r="M163" i="7"/>
  <c r="R162" i="7"/>
  <c r="Q162" i="7"/>
  <c r="P162" i="7"/>
  <c r="O162" i="7"/>
  <c r="N162" i="7"/>
  <c r="M162" i="7"/>
  <c r="R161" i="7"/>
  <c r="Q161" i="7"/>
  <c r="P161" i="7"/>
  <c r="O161" i="7"/>
  <c r="N161" i="7"/>
  <c r="M161" i="7"/>
  <c r="R160" i="7"/>
  <c r="Q160" i="7"/>
  <c r="P160" i="7"/>
  <c r="O160" i="7"/>
  <c r="N160" i="7"/>
  <c r="M160" i="7"/>
  <c r="R159" i="7"/>
  <c r="Q159" i="7"/>
  <c r="P159" i="7"/>
  <c r="O159" i="7"/>
  <c r="N159" i="7"/>
  <c r="M159" i="7"/>
  <c r="R158" i="7"/>
  <c r="Q158" i="7"/>
  <c r="P158" i="7"/>
  <c r="O158" i="7"/>
  <c r="N158" i="7"/>
  <c r="M158" i="7"/>
  <c r="R157" i="7"/>
  <c r="Q157" i="7"/>
  <c r="P157" i="7"/>
  <c r="O157" i="7"/>
  <c r="N157" i="7"/>
  <c r="M157" i="7"/>
  <c r="R156" i="7"/>
  <c r="Q156" i="7"/>
  <c r="P156" i="7"/>
  <c r="O156" i="7"/>
  <c r="N156" i="7"/>
  <c r="M156" i="7"/>
  <c r="R155" i="7"/>
  <c r="Q155" i="7"/>
  <c r="P155" i="7"/>
  <c r="O155" i="7"/>
  <c r="N155" i="7"/>
  <c r="M155" i="7"/>
  <c r="R154" i="7"/>
  <c r="Q154" i="7"/>
  <c r="P154" i="7"/>
  <c r="O154" i="7"/>
  <c r="N154" i="7"/>
  <c r="M154" i="7"/>
  <c r="R153" i="7"/>
  <c r="Q153" i="7"/>
  <c r="P153" i="7"/>
  <c r="O153" i="7"/>
  <c r="N153" i="7"/>
  <c r="M153" i="7"/>
  <c r="R152" i="7"/>
  <c r="Q152" i="7"/>
  <c r="P152" i="7"/>
  <c r="O152" i="7"/>
  <c r="N152" i="7"/>
  <c r="M152" i="7"/>
  <c r="R151" i="7"/>
  <c r="Q151" i="7"/>
  <c r="P151" i="7"/>
  <c r="O151" i="7"/>
  <c r="N151" i="7"/>
  <c r="M151" i="7"/>
  <c r="R150" i="7"/>
  <c r="Q150" i="7"/>
  <c r="P150" i="7"/>
  <c r="O150" i="7"/>
  <c r="N150" i="7"/>
  <c r="M150" i="7"/>
  <c r="R149" i="7"/>
  <c r="Q149" i="7"/>
  <c r="P149" i="7"/>
  <c r="O149" i="7"/>
  <c r="N149" i="7"/>
  <c r="M149" i="7"/>
  <c r="R148" i="7"/>
  <c r="Q148" i="7"/>
  <c r="P148" i="7"/>
  <c r="O148" i="7"/>
  <c r="N148" i="7"/>
  <c r="M148" i="7"/>
  <c r="R147" i="7"/>
  <c r="Q147" i="7"/>
  <c r="P147" i="7"/>
  <c r="O147" i="7"/>
  <c r="N147" i="7"/>
  <c r="M147" i="7"/>
  <c r="R146" i="7"/>
  <c r="Q146" i="7"/>
  <c r="P146" i="7"/>
  <c r="O146" i="7"/>
  <c r="N146" i="7"/>
  <c r="M146" i="7"/>
  <c r="R145" i="7"/>
  <c r="Q145" i="7"/>
  <c r="P145" i="7"/>
  <c r="O145" i="7"/>
  <c r="N145" i="7"/>
  <c r="M145" i="7"/>
  <c r="R144" i="7"/>
  <c r="Q144" i="7"/>
  <c r="P144" i="7"/>
  <c r="O144" i="7"/>
  <c r="N144" i="7"/>
  <c r="M144" i="7"/>
  <c r="R143" i="7"/>
  <c r="Q143" i="7"/>
  <c r="P143" i="7"/>
  <c r="O143" i="7"/>
  <c r="N143" i="7"/>
  <c r="M143" i="7"/>
  <c r="R142" i="7"/>
  <c r="Q142" i="7"/>
  <c r="P142" i="7"/>
  <c r="O142" i="7"/>
  <c r="N142" i="7"/>
  <c r="M142" i="7"/>
  <c r="R141" i="7"/>
  <c r="Q141" i="7"/>
  <c r="P141" i="7"/>
  <c r="O141" i="7"/>
  <c r="N141" i="7"/>
  <c r="M141" i="7"/>
  <c r="R140" i="7"/>
  <c r="Q140" i="7"/>
  <c r="P140" i="7"/>
  <c r="O140" i="7"/>
  <c r="N140" i="7"/>
  <c r="M140" i="7"/>
  <c r="R139" i="7"/>
  <c r="Q139" i="7"/>
  <c r="P139" i="7"/>
  <c r="O139" i="7"/>
  <c r="N139" i="7"/>
  <c r="M139" i="7"/>
  <c r="R138" i="7"/>
  <c r="Q138" i="7"/>
  <c r="P138" i="7"/>
  <c r="O138" i="7"/>
  <c r="N138" i="7"/>
  <c r="M138" i="7"/>
  <c r="R137" i="7"/>
  <c r="Q137" i="7"/>
  <c r="P137" i="7"/>
  <c r="O137" i="7"/>
  <c r="N137" i="7"/>
  <c r="M137" i="7"/>
  <c r="R136" i="7"/>
  <c r="Q136" i="7"/>
  <c r="P136" i="7"/>
  <c r="O136" i="7"/>
  <c r="N136" i="7"/>
  <c r="M136" i="7"/>
  <c r="R135" i="7"/>
  <c r="Q135" i="7"/>
  <c r="P135" i="7"/>
  <c r="O135" i="7"/>
  <c r="N135" i="7"/>
  <c r="M135" i="7"/>
  <c r="R134" i="7"/>
  <c r="Q134" i="7"/>
  <c r="P134" i="7"/>
  <c r="O134" i="7"/>
  <c r="N134" i="7"/>
  <c r="M134" i="7"/>
  <c r="R133" i="7"/>
  <c r="Q133" i="7"/>
  <c r="P133" i="7"/>
  <c r="O133" i="7"/>
  <c r="N133" i="7"/>
  <c r="M133" i="7"/>
  <c r="R132" i="7"/>
  <c r="Q132" i="7"/>
  <c r="P132" i="7"/>
  <c r="O132" i="7"/>
  <c r="N132" i="7"/>
  <c r="M132" i="7"/>
  <c r="R131" i="7"/>
  <c r="Q131" i="7"/>
  <c r="P131" i="7"/>
  <c r="O131" i="7"/>
  <c r="N131" i="7"/>
  <c r="M131" i="7"/>
  <c r="R130" i="7"/>
  <c r="Q130" i="7"/>
  <c r="P130" i="7"/>
  <c r="O130" i="7"/>
  <c r="N130" i="7"/>
  <c r="M130" i="7"/>
  <c r="R129" i="7"/>
  <c r="Q129" i="7"/>
  <c r="P129" i="7"/>
  <c r="O129" i="7"/>
  <c r="N129" i="7"/>
  <c r="M129" i="7"/>
  <c r="R128" i="7"/>
  <c r="Q128" i="7"/>
  <c r="P128" i="7"/>
  <c r="O128" i="7"/>
  <c r="N128" i="7"/>
  <c r="M128" i="7"/>
  <c r="R127" i="7"/>
  <c r="Q127" i="7"/>
  <c r="P127" i="7"/>
  <c r="O127" i="7"/>
  <c r="N127" i="7"/>
  <c r="M127" i="7"/>
  <c r="R126" i="7"/>
  <c r="Q126" i="7"/>
  <c r="P126" i="7"/>
  <c r="O126" i="7"/>
  <c r="N126" i="7"/>
  <c r="M126" i="7"/>
  <c r="R125" i="7"/>
  <c r="Q125" i="7"/>
  <c r="P125" i="7"/>
  <c r="O125" i="7"/>
  <c r="N125" i="7"/>
  <c r="M125" i="7"/>
  <c r="R124" i="7"/>
  <c r="Q124" i="7"/>
  <c r="P124" i="7"/>
  <c r="O124" i="7"/>
  <c r="N124" i="7"/>
  <c r="M124" i="7"/>
  <c r="R123" i="7"/>
  <c r="Q123" i="7"/>
  <c r="P123" i="7"/>
  <c r="O123" i="7"/>
  <c r="N123" i="7"/>
  <c r="M123" i="7"/>
  <c r="R122" i="7"/>
  <c r="Q122" i="7"/>
  <c r="P122" i="7"/>
  <c r="O122" i="7"/>
  <c r="N122" i="7"/>
  <c r="M122" i="7"/>
  <c r="R121" i="7"/>
  <c r="Q121" i="7"/>
  <c r="P121" i="7"/>
  <c r="O121" i="7"/>
  <c r="N121" i="7"/>
  <c r="M121" i="7"/>
  <c r="R120" i="7"/>
  <c r="Q120" i="7"/>
  <c r="P120" i="7"/>
  <c r="O120" i="7"/>
  <c r="N120" i="7"/>
  <c r="M120" i="7"/>
  <c r="R119" i="7"/>
  <c r="Q119" i="7"/>
  <c r="P119" i="7"/>
  <c r="O119" i="7"/>
  <c r="N119" i="7"/>
  <c r="M119" i="7"/>
  <c r="R118" i="7"/>
  <c r="Q118" i="7"/>
  <c r="P118" i="7"/>
  <c r="O118" i="7"/>
  <c r="N118" i="7"/>
  <c r="M118" i="7"/>
  <c r="R117" i="7"/>
  <c r="Q117" i="7"/>
  <c r="P117" i="7"/>
  <c r="O117" i="7"/>
  <c r="N117" i="7"/>
  <c r="M117" i="7"/>
  <c r="R116" i="7"/>
  <c r="Q116" i="7"/>
  <c r="P116" i="7"/>
  <c r="O116" i="7"/>
  <c r="N116" i="7"/>
  <c r="M116" i="7"/>
  <c r="R115" i="7"/>
  <c r="Q115" i="7"/>
  <c r="P115" i="7"/>
  <c r="O115" i="7"/>
  <c r="N115" i="7"/>
  <c r="M115" i="7"/>
  <c r="R114" i="7"/>
  <c r="Q114" i="7"/>
  <c r="P114" i="7"/>
  <c r="O114" i="7"/>
  <c r="N114" i="7"/>
  <c r="M114" i="7"/>
  <c r="R113" i="7"/>
  <c r="Q113" i="7"/>
  <c r="P113" i="7"/>
  <c r="O113" i="7"/>
  <c r="N113" i="7"/>
  <c r="M113" i="7"/>
  <c r="R112" i="7"/>
  <c r="Q112" i="7"/>
  <c r="P112" i="7"/>
  <c r="O112" i="7"/>
  <c r="N112" i="7"/>
  <c r="M112" i="7"/>
  <c r="R111" i="7"/>
  <c r="Q111" i="7"/>
  <c r="P111" i="7"/>
  <c r="O111" i="7"/>
  <c r="N111" i="7"/>
  <c r="M111" i="7"/>
  <c r="R110" i="7"/>
  <c r="Q110" i="7"/>
  <c r="P110" i="7"/>
  <c r="O110" i="7"/>
  <c r="N110" i="7"/>
  <c r="M110" i="7"/>
  <c r="R109" i="7"/>
  <c r="Q109" i="7"/>
  <c r="P109" i="7"/>
  <c r="O109" i="7"/>
  <c r="N109" i="7"/>
  <c r="M109" i="7"/>
  <c r="R108" i="7"/>
  <c r="Q108" i="7"/>
  <c r="P108" i="7"/>
  <c r="O108" i="7"/>
  <c r="N108" i="7"/>
  <c r="M108" i="7"/>
  <c r="R107" i="7"/>
  <c r="Q107" i="7"/>
  <c r="P107" i="7"/>
  <c r="O107" i="7"/>
  <c r="N107" i="7"/>
  <c r="M107" i="7"/>
  <c r="R106" i="7"/>
  <c r="Q106" i="7"/>
  <c r="P106" i="7"/>
  <c r="O106" i="7"/>
  <c r="N106" i="7"/>
  <c r="M106" i="7"/>
  <c r="R105" i="7"/>
  <c r="Q105" i="7"/>
  <c r="P105" i="7"/>
  <c r="O105" i="7"/>
  <c r="N105" i="7"/>
  <c r="M105" i="7"/>
  <c r="R104" i="7"/>
  <c r="Q104" i="7"/>
  <c r="P104" i="7"/>
  <c r="O104" i="7"/>
  <c r="N104" i="7"/>
  <c r="M104" i="7"/>
  <c r="R103" i="7"/>
  <c r="Q103" i="7"/>
  <c r="P103" i="7"/>
  <c r="O103" i="7"/>
  <c r="N103" i="7"/>
  <c r="M103" i="7"/>
  <c r="R102" i="7"/>
  <c r="Q102" i="7"/>
  <c r="P102" i="7"/>
  <c r="O102" i="7"/>
  <c r="N102" i="7"/>
  <c r="M102" i="7"/>
  <c r="R101" i="7"/>
  <c r="Q101" i="7"/>
  <c r="P101" i="7"/>
  <c r="O101" i="7"/>
  <c r="N101" i="7"/>
  <c r="M101" i="7"/>
  <c r="I34" i="7"/>
  <c r="F34" i="7"/>
  <c r="C34" i="7"/>
  <c r="G29" i="7"/>
  <c r="I15" i="7"/>
  <c r="F12" i="7"/>
  <c r="C12" i="7"/>
  <c r="I11" i="7"/>
  <c r="F11" i="7"/>
  <c r="C11" i="7"/>
  <c r="I10" i="7"/>
  <c r="F10" i="7"/>
  <c r="C10" i="7"/>
  <c r="I9" i="7"/>
  <c r="F9" i="7"/>
  <c r="C9" i="7"/>
  <c r="I8" i="7"/>
  <c r="F8" i="7"/>
  <c r="C8" i="7"/>
  <c r="F35" i="7"/>
  <c r="AJ169" i="5"/>
  <c r="AG169" i="5"/>
  <c r="U169" i="5"/>
  <c r="T169" i="5"/>
  <c r="S169" i="5"/>
  <c r="R169" i="5"/>
  <c r="Q169" i="5"/>
  <c r="P169" i="5"/>
  <c r="O169" i="5"/>
  <c r="N169" i="5"/>
  <c r="AJ168" i="5"/>
  <c r="AH168" i="5"/>
  <c r="AG168" i="5"/>
  <c r="AF168" i="5"/>
  <c r="AE168" i="5"/>
  <c r="AD168" i="5"/>
  <c r="AC168" i="5"/>
  <c r="AB168" i="5"/>
  <c r="AA168" i="5"/>
  <c r="Z168" i="5"/>
  <c r="Y168" i="5"/>
  <c r="X168" i="5"/>
  <c r="W168" i="5"/>
  <c r="V168" i="5"/>
  <c r="U168" i="5"/>
  <c r="T168" i="5"/>
  <c r="S168" i="5"/>
  <c r="R168" i="5"/>
  <c r="Q168" i="5"/>
  <c r="P168" i="5"/>
  <c r="O168" i="5"/>
  <c r="N168" i="5"/>
  <c r="M168" i="5"/>
  <c r="AJ167" i="5"/>
  <c r="AH167" i="5"/>
  <c r="AG167" i="5"/>
  <c r="AF167" i="5"/>
  <c r="AE167" i="5"/>
  <c r="AD167" i="5"/>
  <c r="AC167" i="5"/>
  <c r="AB167" i="5"/>
  <c r="AA167" i="5"/>
  <c r="Z167" i="5"/>
  <c r="Y167" i="5"/>
  <c r="X167" i="5"/>
  <c r="W167" i="5"/>
  <c r="V167" i="5"/>
  <c r="U167" i="5"/>
  <c r="T167" i="5"/>
  <c r="S167" i="5"/>
  <c r="R167" i="5"/>
  <c r="Q167" i="5"/>
  <c r="P167" i="5"/>
  <c r="O167" i="5"/>
  <c r="N167" i="5"/>
  <c r="M167" i="5"/>
  <c r="AJ166" i="5"/>
  <c r="AJ165" i="5"/>
  <c r="K164" i="5"/>
  <c r="M163" i="5"/>
  <c r="AJ160" i="5"/>
  <c r="AC160" i="5"/>
  <c r="AB160" i="5"/>
  <c r="AA160" i="5"/>
  <c r="Z160" i="5"/>
  <c r="Y160" i="5"/>
  <c r="X160" i="5"/>
  <c r="W160" i="5"/>
  <c r="V160" i="5"/>
  <c r="U160" i="5"/>
  <c r="T160" i="5"/>
  <c r="S160" i="5"/>
  <c r="R160" i="5"/>
  <c r="Q160" i="5"/>
  <c r="P160" i="5"/>
  <c r="O160" i="5"/>
  <c r="N160" i="5"/>
  <c r="M160" i="5"/>
  <c r="AJ159" i="5"/>
  <c r="AH159" i="5"/>
  <c r="AG159" i="5"/>
  <c r="AF159" i="5"/>
  <c r="AE159" i="5"/>
  <c r="AD159" i="5"/>
  <c r="AC159" i="5"/>
  <c r="AB159" i="5"/>
  <c r="AA159" i="5"/>
  <c r="Z159" i="5"/>
  <c r="Y159" i="5"/>
  <c r="X159" i="5"/>
  <c r="W159" i="5"/>
  <c r="V159" i="5"/>
  <c r="U159" i="5"/>
  <c r="T159" i="5"/>
  <c r="S159" i="5"/>
  <c r="R159" i="5"/>
  <c r="Q159" i="5"/>
  <c r="P159" i="5"/>
  <c r="O159" i="5"/>
  <c r="N159" i="5"/>
  <c r="M159" i="5"/>
  <c r="AJ158" i="5"/>
  <c r="AH158" i="5"/>
  <c r="AG158" i="5"/>
  <c r="AF158" i="5"/>
  <c r="AE158" i="5"/>
  <c r="AD158" i="5"/>
  <c r="AC158" i="5"/>
  <c r="AB158" i="5"/>
  <c r="AA158" i="5"/>
  <c r="Z158" i="5"/>
  <c r="Y158" i="5"/>
  <c r="X158" i="5"/>
  <c r="W158" i="5"/>
  <c r="V158" i="5"/>
  <c r="U158" i="5"/>
  <c r="T158" i="5"/>
  <c r="S158" i="5"/>
  <c r="R158" i="5"/>
  <c r="Q158" i="5"/>
  <c r="P158" i="5"/>
  <c r="O158" i="5"/>
  <c r="N158" i="5"/>
  <c r="M158" i="5"/>
  <c r="AJ157" i="5"/>
  <c r="AJ156" i="5"/>
  <c r="K155" i="5"/>
  <c r="M154" i="5"/>
  <c r="AJ151" i="5"/>
  <c r="V151" i="5"/>
  <c r="T151" i="5"/>
  <c r="S151" i="5"/>
  <c r="R151" i="5"/>
  <c r="Q151" i="5"/>
  <c r="O151" i="5"/>
  <c r="N151" i="5"/>
  <c r="AJ150" i="5"/>
  <c r="AH150" i="5"/>
  <c r="AG150" i="5"/>
  <c r="AF150" i="5"/>
  <c r="AE150" i="5"/>
  <c r="AD150" i="5"/>
  <c r="AC150" i="5"/>
  <c r="AB150" i="5"/>
  <c r="AA150" i="5"/>
  <c r="Z150" i="5"/>
  <c r="Y150" i="5"/>
  <c r="X150" i="5"/>
  <c r="W150" i="5"/>
  <c r="V150" i="5"/>
  <c r="U150" i="5"/>
  <c r="T150" i="5"/>
  <c r="S150" i="5"/>
  <c r="R150" i="5"/>
  <c r="Q150" i="5"/>
  <c r="P150" i="5"/>
  <c r="O150" i="5"/>
  <c r="N150" i="5"/>
  <c r="M150" i="5"/>
  <c r="AJ149" i="5"/>
  <c r="AH149" i="5"/>
  <c r="AG149" i="5"/>
  <c r="AF149" i="5"/>
  <c r="AE149" i="5"/>
  <c r="AD149" i="5"/>
  <c r="AC149" i="5"/>
  <c r="AB149" i="5"/>
  <c r="AA149" i="5"/>
  <c r="Z149" i="5"/>
  <c r="Y149" i="5"/>
  <c r="X149" i="5"/>
  <c r="W149" i="5"/>
  <c r="V149" i="5"/>
  <c r="U149" i="5"/>
  <c r="T149" i="5"/>
  <c r="S149" i="5"/>
  <c r="R149" i="5"/>
  <c r="Q149" i="5"/>
  <c r="P149" i="5"/>
  <c r="O149" i="5"/>
  <c r="N149" i="5"/>
  <c r="M149" i="5"/>
  <c r="AJ148" i="5"/>
  <c r="AJ147" i="5"/>
  <c r="K146" i="5"/>
  <c r="M145" i="5"/>
  <c r="AJ142" i="5"/>
  <c r="V142" i="5"/>
  <c r="U142" i="5"/>
  <c r="T142" i="5"/>
  <c r="S142" i="5"/>
  <c r="R142" i="5"/>
  <c r="Q142" i="5"/>
  <c r="P142" i="5"/>
  <c r="O142" i="5"/>
  <c r="N142" i="5"/>
  <c r="M142" i="5"/>
  <c r="AJ141" i="5"/>
  <c r="AH141" i="5"/>
  <c r="AG141" i="5"/>
  <c r="AF141" i="5"/>
  <c r="AE141" i="5"/>
  <c r="AD141" i="5"/>
  <c r="AC141" i="5"/>
  <c r="AB141" i="5"/>
  <c r="AA141" i="5"/>
  <c r="Z141" i="5"/>
  <c r="Y141" i="5"/>
  <c r="X141" i="5"/>
  <c r="W141" i="5"/>
  <c r="V141" i="5"/>
  <c r="U141" i="5"/>
  <c r="T141" i="5"/>
  <c r="S141" i="5"/>
  <c r="R141" i="5"/>
  <c r="Q141" i="5"/>
  <c r="P141" i="5"/>
  <c r="O141" i="5"/>
  <c r="N141" i="5"/>
  <c r="M141" i="5"/>
  <c r="AJ140" i="5"/>
  <c r="AH140" i="5"/>
  <c r="AG140" i="5"/>
  <c r="AF140" i="5"/>
  <c r="AE140" i="5"/>
  <c r="AD140" i="5"/>
  <c r="AC140" i="5"/>
  <c r="AB140" i="5"/>
  <c r="AA140" i="5"/>
  <c r="Z140" i="5"/>
  <c r="Y140" i="5"/>
  <c r="X140" i="5"/>
  <c r="W140" i="5"/>
  <c r="V140" i="5"/>
  <c r="U140" i="5"/>
  <c r="T140" i="5"/>
  <c r="S140" i="5"/>
  <c r="R140" i="5"/>
  <c r="Q140" i="5"/>
  <c r="P140" i="5"/>
  <c r="O140" i="5"/>
  <c r="N140" i="5"/>
  <c r="M140" i="5"/>
  <c r="AJ139" i="5"/>
  <c r="AJ138" i="5"/>
  <c r="K137" i="5"/>
  <c r="M136" i="5"/>
  <c r="U134" i="5"/>
  <c r="AJ132" i="5"/>
  <c r="AH132" i="5"/>
  <c r="AG132" i="5"/>
  <c r="AF132" i="5"/>
  <c r="AE132" i="5"/>
  <c r="AD132" i="5"/>
  <c r="AC132" i="5"/>
  <c r="AB132" i="5"/>
  <c r="AA132" i="5"/>
  <c r="Z132" i="5"/>
  <c r="Y132" i="5"/>
  <c r="X132" i="5"/>
  <c r="W132" i="5"/>
  <c r="V132" i="5"/>
  <c r="U132" i="5"/>
  <c r="T132" i="5"/>
  <c r="S132" i="5"/>
  <c r="R132" i="5"/>
  <c r="Q132" i="5"/>
  <c r="P132" i="5"/>
  <c r="O132" i="5"/>
  <c r="N132" i="5"/>
  <c r="M132" i="5"/>
  <c r="AJ131" i="5"/>
  <c r="AH131" i="5"/>
  <c r="AG131" i="5"/>
  <c r="AF131" i="5"/>
  <c r="AE131" i="5"/>
  <c r="AD131" i="5"/>
  <c r="AC131" i="5"/>
  <c r="AB131" i="5"/>
  <c r="AA131" i="5"/>
  <c r="Z131" i="5"/>
  <c r="Y131" i="5"/>
  <c r="X131" i="5"/>
  <c r="W131" i="5"/>
  <c r="V131" i="5"/>
  <c r="U131" i="5"/>
  <c r="T131" i="5"/>
  <c r="S131" i="5"/>
  <c r="R131" i="5"/>
  <c r="Q131" i="5"/>
  <c r="P131" i="5"/>
  <c r="O131" i="5"/>
  <c r="N131" i="5"/>
  <c r="M131" i="5"/>
  <c r="AJ130" i="5"/>
  <c r="AJ129" i="5"/>
  <c r="AI128" i="5"/>
  <c r="AH128" i="5"/>
  <c r="AG128" i="5"/>
  <c r="AF128" i="5"/>
  <c r="AE128" i="5"/>
  <c r="AD128" i="5"/>
  <c r="AC128" i="5"/>
  <c r="AB128" i="5"/>
  <c r="AA128" i="5"/>
  <c r="Z128" i="5"/>
  <c r="Y128" i="5"/>
  <c r="X128" i="5"/>
  <c r="W128" i="5"/>
  <c r="V128" i="5"/>
  <c r="U128" i="5"/>
  <c r="T128" i="5"/>
  <c r="S128" i="5"/>
  <c r="R128" i="5"/>
  <c r="Q128" i="5"/>
  <c r="P128" i="5"/>
  <c r="O128" i="5"/>
  <c r="N128" i="5"/>
  <c r="M128" i="5"/>
  <c r="K128" i="5"/>
  <c r="M127" i="5"/>
  <c r="AB124" i="5"/>
  <c r="S124" i="5"/>
  <c r="P124" i="5"/>
  <c r="AJ123" i="5"/>
  <c r="V123" i="5"/>
  <c r="U123" i="5"/>
  <c r="T123" i="5"/>
  <c r="S123" i="5"/>
  <c r="R123" i="5"/>
  <c r="Q123" i="5"/>
  <c r="P123" i="5"/>
  <c r="O123" i="5"/>
  <c r="N123" i="5"/>
  <c r="M123" i="5"/>
  <c r="AJ122" i="5"/>
  <c r="AB122" i="5"/>
  <c r="AA122" i="5"/>
  <c r="Z122" i="5"/>
  <c r="Y122" i="5"/>
  <c r="X122" i="5"/>
  <c r="W122" i="5"/>
  <c r="V122" i="5"/>
  <c r="U122" i="5"/>
  <c r="T122" i="5"/>
  <c r="S122" i="5"/>
  <c r="R122" i="5"/>
  <c r="Q122" i="5"/>
  <c r="P122" i="5"/>
  <c r="O122" i="5"/>
  <c r="N122" i="5"/>
  <c r="M122" i="5"/>
  <c r="AJ121" i="5"/>
  <c r="AB121" i="5"/>
  <c r="AA121" i="5"/>
  <c r="Z121" i="5"/>
  <c r="Y121" i="5"/>
  <c r="X121" i="5"/>
  <c r="W121" i="5"/>
  <c r="V121" i="5"/>
  <c r="U121" i="5"/>
  <c r="T121" i="5"/>
  <c r="S121" i="5"/>
  <c r="R121" i="5"/>
  <c r="Q121" i="5"/>
  <c r="P121" i="5"/>
  <c r="O121" i="5"/>
  <c r="N121" i="5"/>
  <c r="M121" i="5"/>
  <c r="AJ120" i="5"/>
  <c r="AJ119" i="5"/>
  <c r="AI118" i="5"/>
  <c r="AH118" i="5"/>
  <c r="AG118" i="5"/>
  <c r="AF118" i="5"/>
  <c r="AE118" i="5"/>
  <c r="AD118" i="5"/>
  <c r="AC118" i="5"/>
  <c r="AB118" i="5"/>
  <c r="AA118" i="5"/>
  <c r="Z118" i="5"/>
  <c r="Y118" i="5"/>
  <c r="X118" i="5"/>
  <c r="W118" i="5"/>
  <c r="V118" i="5"/>
  <c r="U118" i="5"/>
  <c r="T118" i="5"/>
  <c r="S118" i="5"/>
  <c r="R118" i="5"/>
  <c r="Q118" i="5"/>
  <c r="P118" i="5"/>
  <c r="O118" i="5"/>
  <c r="N118" i="5"/>
  <c r="M118" i="5"/>
  <c r="AJ114" i="5"/>
  <c r="V114" i="5"/>
  <c r="U114" i="5"/>
  <c r="T114" i="5"/>
  <c r="S114" i="5"/>
  <c r="R114" i="5"/>
  <c r="Q114" i="5"/>
  <c r="P114" i="5"/>
  <c r="O114" i="5"/>
  <c r="N114" i="5"/>
  <c r="AJ113" i="5"/>
  <c r="V113" i="5"/>
  <c r="U113" i="5"/>
  <c r="T113" i="5"/>
  <c r="S113" i="5"/>
  <c r="R113" i="5"/>
  <c r="Q113" i="5"/>
  <c r="P113" i="5"/>
  <c r="O113" i="5"/>
  <c r="N113" i="5"/>
  <c r="AJ112" i="5"/>
  <c r="V112" i="5"/>
  <c r="U112" i="5"/>
  <c r="T112" i="5"/>
  <c r="S112" i="5"/>
  <c r="R112" i="5"/>
  <c r="Q112" i="5"/>
  <c r="P112" i="5"/>
  <c r="O112" i="5"/>
  <c r="N112" i="5"/>
  <c r="AJ111" i="5"/>
  <c r="AJ110" i="5"/>
  <c r="AI109" i="5"/>
  <c r="AH109" i="5"/>
  <c r="AG109" i="5"/>
  <c r="AF109" i="5"/>
  <c r="AE109" i="5"/>
  <c r="AD109" i="5"/>
  <c r="AC109" i="5"/>
  <c r="AB109" i="5"/>
  <c r="AA109" i="5"/>
  <c r="Z109" i="5"/>
  <c r="Y109" i="5"/>
  <c r="X109" i="5"/>
  <c r="W109" i="5"/>
  <c r="V109" i="5"/>
  <c r="U109" i="5"/>
  <c r="T109" i="5"/>
  <c r="S109" i="5"/>
  <c r="R109" i="5"/>
  <c r="Q109" i="5"/>
  <c r="P109" i="5"/>
  <c r="O109" i="5"/>
  <c r="N109" i="5"/>
  <c r="M109" i="5"/>
  <c r="AJ105" i="5"/>
  <c r="T105" i="5"/>
  <c r="S105" i="5"/>
  <c r="R105" i="5"/>
  <c r="Q105" i="5"/>
  <c r="P105" i="5"/>
  <c r="AJ104" i="5"/>
  <c r="V104" i="5"/>
  <c r="U104" i="5"/>
  <c r="T104" i="5"/>
  <c r="S104" i="5"/>
  <c r="R104" i="5"/>
  <c r="Q104" i="5"/>
  <c r="P104" i="5"/>
  <c r="O104" i="5"/>
  <c r="N104" i="5"/>
  <c r="M104" i="5"/>
  <c r="AJ103" i="5"/>
  <c r="V103" i="5"/>
  <c r="U103" i="5"/>
  <c r="T103" i="5"/>
  <c r="S103" i="5"/>
  <c r="R103" i="5"/>
  <c r="Q103" i="5"/>
  <c r="P103" i="5"/>
  <c r="O103" i="5"/>
  <c r="N103" i="5"/>
  <c r="M103" i="5"/>
  <c r="AJ102" i="5"/>
  <c r="AJ101" i="5"/>
  <c r="AI100" i="5"/>
  <c r="AH100" i="5"/>
  <c r="AG100" i="5"/>
  <c r="AF100" i="5"/>
  <c r="AE100" i="5"/>
  <c r="AD100" i="5"/>
  <c r="AC100" i="5"/>
  <c r="AB100" i="5"/>
  <c r="AA100" i="5"/>
  <c r="Z100" i="5"/>
  <c r="Y100" i="5"/>
  <c r="X100" i="5"/>
  <c r="W100" i="5"/>
  <c r="V100" i="5"/>
  <c r="U100" i="5"/>
  <c r="T100" i="5"/>
  <c r="S100" i="5"/>
  <c r="R100" i="5"/>
  <c r="Q100" i="5"/>
  <c r="P100" i="5"/>
  <c r="O100" i="5"/>
  <c r="N100" i="5"/>
  <c r="M100" i="5"/>
  <c r="AJ95" i="5"/>
  <c r="AI95" i="5"/>
  <c r="AH95" i="5"/>
  <c r="AG95" i="5"/>
  <c r="AF95" i="5"/>
  <c r="AE95" i="5"/>
  <c r="AD95" i="5"/>
  <c r="AC95" i="5"/>
  <c r="AB95" i="5"/>
  <c r="AA95" i="5"/>
  <c r="Z95" i="5"/>
  <c r="Y95" i="5"/>
  <c r="X95" i="5"/>
  <c r="V95" i="5"/>
  <c r="U95" i="5"/>
  <c r="T95" i="5"/>
  <c r="S95" i="5"/>
  <c r="R95" i="5"/>
  <c r="Q95" i="5"/>
  <c r="P95" i="5"/>
  <c r="O95" i="5"/>
  <c r="N95" i="5"/>
  <c r="M95" i="5"/>
  <c r="AJ94" i="5"/>
  <c r="AI94" i="5"/>
  <c r="AH94" i="5"/>
  <c r="AG94" i="5"/>
  <c r="AF94" i="5"/>
  <c r="AE94" i="5"/>
  <c r="AD94" i="5"/>
  <c r="AC94" i="5"/>
  <c r="AB94" i="5"/>
  <c r="AA94" i="5"/>
  <c r="Z94" i="5"/>
  <c r="Y94" i="5"/>
  <c r="X94" i="5"/>
  <c r="W94" i="5"/>
  <c r="V94" i="5"/>
  <c r="U94" i="5"/>
  <c r="T94" i="5"/>
  <c r="S94" i="5"/>
  <c r="R94" i="5"/>
  <c r="Q94" i="5"/>
  <c r="P94" i="5"/>
  <c r="O94" i="5"/>
  <c r="N94" i="5"/>
  <c r="M94" i="5"/>
  <c r="AJ93" i="5"/>
  <c r="AI93" i="5"/>
  <c r="AH93" i="5"/>
  <c r="AG93" i="5"/>
  <c r="AF93" i="5"/>
  <c r="AE93" i="5"/>
  <c r="AD93" i="5"/>
  <c r="AC93" i="5"/>
  <c r="AB93" i="5"/>
  <c r="AA93" i="5"/>
  <c r="Z93" i="5"/>
  <c r="Y93" i="5"/>
  <c r="X93" i="5"/>
  <c r="W93" i="5"/>
  <c r="V93" i="5"/>
  <c r="U93" i="5"/>
  <c r="T93" i="5"/>
  <c r="S93" i="5"/>
  <c r="R93" i="5"/>
  <c r="Q93" i="5"/>
  <c r="P93" i="5"/>
  <c r="O93" i="5"/>
  <c r="N93" i="5"/>
  <c r="M93" i="5"/>
  <c r="AQ92" i="5"/>
  <c r="AJ92" i="5"/>
  <c r="AJ91" i="5"/>
  <c r="AI90" i="5"/>
  <c r="AH90" i="5"/>
  <c r="AG90" i="5"/>
  <c r="AF90" i="5"/>
  <c r="AE90" i="5"/>
  <c r="AD90" i="5"/>
  <c r="AC90" i="5"/>
  <c r="AB90" i="5"/>
  <c r="AA90" i="5"/>
  <c r="Z90" i="5"/>
  <c r="Y90" i="5"/>
  <c r="X90" i="5"/>
  <c r="W90" i="5"/>
  <c r="V90" i="5"/>
  <c r="U90" i="5"/>
  <c r="T90" i="5"/>
  <c r="S90" i="5"/>
  <c r="R90" i="5"/>
  <c r="Q90" i="5"/>
  <c r="P90" i="5"/>
  <c r="O90" i="5"/>
  <c r="N90" i="5"/>
  <c r="M90" i="5"/>
  <c r="AQ88" i="5"/>
  <c r="AL83" i="5"/>
  <c r="AK83" i="5"/>
  <c r="AJ83" i="5"/>
  <c r="AI83" i="5"/>
  <c r="AH83" i="5"/>
  <c r="AG83" i="5"/>
  <c r="AF83" i="5"/>
  <c r="AE83" i="5"/>
  <c r="AD83" i="5"/>
  <c r="AC83" i="5"/>
  <c r="AB83" i="5"/>
  <c r="AA83" i="5"/>
  <c r="Z83" i="5"/>
  <c r="Y83" i="5"/>
  <c r="X83" i="5"/>
  <c r="W83" i="5"/>
  <c r="V83" i="5"/>
  <c r="U83" i="5"/>
  <c r="T83" i="5"/>
  <c r="S83" i="5"/>
  <c r="R83" i="5"/>
  <c r="Q83" i="5"/>
  <c r="P83" i="5"/>
  <c r="O83" i="5"/>
  <c r="N83" i="5"/>
  <c r="M83" i="5"/>
  <c r="AL80" i="5"/>
  <c r="AJ80" i="5"/>
  <c r="AI80" i="5"/>
  <c r="AH80" i="5"/>
  <c r="AG80" i="5"/>
  <c r="AF80" i="5"/>
  <c r="AE80" i="5"/>
  <c r="AD80" i="5"/>
  <c r="AC80" i="5"/>
  <c r="AB80" i="5"/>
  <c r="AA80" i="5"/>
  <c r="Z80" i="5"/>
  <c r="Y80" i="5"/>
  <c r="X80" i="5"/>
  <c r="W80" i="5"/>
  <c r="V80" i="5"/>
  <c r="U80" i="5"/>
  <c r="T80" i="5"/>
  <c r="S80" i="5"/>
  <c r="R80" i="5"/>
  <c r="Q80" i="5"/>
  <c r="P80" i="5"/>
  <c r="O80" i="5"/>
  <c r="N80" i="5"/>
  <c r="M80" i="5"/>
  <c r="C79" i="5"/>
  <c r="A79" i="5"/>
  <c r="C78" i="5"/>
  <c r="A78" i="5"/>
  <c r="C77" i="5"/>
  <c r="A77" i="5"/>
  <c r="AL73" i="5"/>
  <c r="AJ73" i="5"/>
  <c r="AI73" i="5"/>
  <c r="AH73" i="5"/>
  <c r="AG73" i="5"/>
  <c r="AF73" i="5"/>
  <c r="AE73" i="5"/>
  <c r="AD73" i="5"/>
  <c r="AC73" i="5"/>
  <c r="AB73" i="5"/>
  <c r="AA73" i="5"/>
  <c r="Z73" i="5"/>
  <c r="Y73" i="5"/>
  <c r="X73" i="5"/>
  <c r="W73" i="5"/>
  <c r="V73" i="5"/>
  <c r="U73" i="5"/>
  <c r="T73" i="5"/>
  <c r="S73" i="5"/>
  <c r="R73" i="5"/>
  <c r="Q73" i="5"/>
  <c r="P73" i="5"/>
  <c r="O73" i="5"/>
  <c r="N73" i="5"/>
  <c r="M73" i="5"/>
  <c r="AL72" i="5"/>
  <c r="AK72" i="5"/>
  <c r="C72" i="5"/>
  <c r="A72" i="5"/>
  <c r="AL71" i="5"/>
  <c r="AK71" i="5"/>
  <c r="C71" i="5"/>
  <c r="A71" i="5"/>
  <c r="AL70" i="5"/>
  <c r="AK70" i="5"/>
  <c r="C70" i="5"/>
  <c r="A70" i="5"/>
  <c r="AL69" i="5"/>
  <c r="AK69" i="5"/>
  <c r="C69" i="5"/>
  <c r="A69" i="5"/>
  <c r="AL68" i="5"/>
  <c r="C68" i="5"/>
  <c r="A68" i="5"/>
  <c r="AL67" i="5"/>
  <c r="C67" i="5"/>
  <c r="A67" i="5"/>
  <c r="AL66" i="5"/>
  <c r="C66" i="5"/>
  <c r="A66" i="5"/>
  <c r="AL65" i="5"/>
  <c r="C65" i="5"/>
  <c r="A65" i="5"/>
  <c r="AL64" i="5"/>
  <c r="C64" i="5"/>
  <c r="A64" i="5"/>
  <c r="AL63" i="5"/>
  <c r="C63" i="5"/>
  <c r="A63" i="5"/>
  <c r="AL62" i="5"/>
  <c r="C62" i="5"/>
  <c r="A62" i="5"/>
  <c r="AL61" i="5"/>
  <c r="V61" i="5"/>
  <c r="C61" i="5"/>
  <c r="A61" i="5"/>
  <c r="AL60" i="5"/>
  <c r="U60" i="5"/>
  <c r="C60" i="5"/>
  <c r="A60" i="5"/>
  <c r="AL59" i="5"/>
  <c r="T59" i="5"/>
  <c r="C59" i="5"/>
  <c r="A59" i="5"/>
  <c r="AL58" i="5"/>
  <c r="S58" i="5"/>
  <c r="C58" i="5"/>
  <c r="A58" i="5"/>
  <c r="AL57" i="5"/>
  <c r="R57" i="5"/>
  <c r="C57" i="5"/>
  <c r="A57" i="5"/>
  <c r="AL56" i="5"/>
  <c r="Q56" i="5"/>
  <c r="C56" i="5"/>
  <c r="A56" i="5"/>
  <c r="AL55" i="5"/>
  <c r="P55" i="5"/>
  <c r="C55" i="5"/>
  <c r="A55" i="5"/>
  <c r="AL54" i="5"/>
  <c r="O54" i="5"/>
  <c r="C54" i="5"/>
  <c r="A54" i="5"/>
  <c r="AL53" i="5"/>
  <c r="N53" i="5"/>
  <c r="C53" i="5"/>
  <c r="A53" i="5"/>
  <c r="AL52" i="5"/>
  <c r="M52" i="5"/>
  <c r="C52" i="5"/>
  <c r="A52" i="5"/>
  <c r="AL48" i="5"/>
  <c r="AJ48" i="5"/>
  <c r="AI48" i="5"/>
  <c r="AH48" i="5"/>
  <c r="AG48" i="5"/>
  <c r="AF48" i="5"/>
  <c r="AE48" i="5"/>
  <c r="AD48" i="5"/>
  <c r="AC48" i="5"/>
  <c r="AB48" i="5"/>
  <c r="AA48" i="5"/>
  <c r="Z48" i="5"/>
  <c r="Y48" i="5"/>
  <c r="X48" i="5"/>
  <c r="W48" i="5"/>
  <c r="V48" i="5"/>
  <c r="U48" i="5"/>
  <c r="T48" i="5"/>
  <c r="S48" i="5"/>
  <c r="R48" i="5"/>
  <c r="Q48" i="5"/>
  <c r="P48" i="5"/>
  <c r="O48" i="5"/>
  <c r="N48" i="5"/>
  <c r="M48" i="5"/>
  <c r="C47" i="5"/>
  <c r="A47" i="5"/>
  <c r="AL46" i="5"/>
  <c r="C46" i="5"/>
  <c r="A46" i="5"/>
  <c r="AL45" i="5"/>
  <c r="C45" i="5"/>
  <c r="A45" i="5"/>
  <c r="AL41" i="5"/>
  <c r="AJ41" i="5"/>
  <c r="AI41" i="5"/>
  <c r="AH41" i="5"/>
  <c r="AG41" i="5"/>
  <c r="AF41" i="5"/>
  <c r="AE41" i="5"/>
  <c r="AD41" i="5"/>
  <c r="AC41" i="5"/>
  <c r="AB41" i="5"/>
  <c r="AA41" i="5"/>
  <c r="Z41" i="5"/>
  <c r="Y41" i="5"/>
  <c r="X41" i="5"/>
  <c r="W41" i="5"/>
  <c r="V41" i="5"/>
  <c r="U41" i="5"/>
  <c r="T41" i="5"/>
  <c r="S41" i="5"/>
  <c r="R41" i="5"/>
  <c r="Q41" i="5"/>
  <c r="P41" i="5"/>
  <c r="O41" i="5"/>
  <c r="N41" i="5"/>
  <c r="M41" i="5"/>
  <c r="C40" i="5"/>
  <c r="A40" i="5"/>
  <c r="C39" i="5"/>
  <c r="A39" i="5"/>
  <c r="AL38" i="5"/>
  <c r="C38" i="5"/>
  <c r="A38" i="5"/>
  <c r="AL37" i="5"/>
  <c r="C37" i="5"/>
  <c r="A37" i="5"/>
  <c r="AL36" i="5"/>
  <c r="T36" i="5"/>
  <c r="C36" i="5"/>
  <c r="A36" i="5"/>
  <c r="AL35" i="5"/>
  <c r="S35" i="5"/>
  <c r="C35" i="5"/>
  <c r="A35" i="5"/>
  <c r="AL34" i="5"/>
  <c r="R34" i="5"/>
  <c r="C34" i="5"/>
  <c r="A34" i="5"/>
  <c r="AL33" i="5"/>
  <c r="Q33" i="5"/>
  <c r="C33" i="5"/>
  <c r="A33" i="5"/>
  <c r="AL32" i="5"/>
  <c r="P32" i="5"/>
  <c r="C32" i="5"/>
  <c r="A32" i="5"/>
  <c r="AL31" i="5"/>
  <c r="O31" i="5"/>
  <c r="C31" i="5"/>
  <c r="A31" i="5"/>
  <c r="AL30" i="5"/>
  <c r="N30" i="5"/>
  <c r="C30" i="5"/>
  <c r="A30" i="5"/>
  <c r="AL26" i="5"/>
  <c r="AJ26" i="5"/>
  <c r="AI26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C25" i="5"/>
  <c r="A25" i="5"/>
  <c r="C24" i="5"/>
  <c r="A24" i="5"/>
  <c r="AL23" i="5"/>
  <c r="C23" i="5"/>
  <c r="O4" i="5"/>
  <c r="L4" i="5"/>
  <c r="B4" i="5"/>
  <c r="B26" i="4"/>
  <c r="B25" i="4"/>
  <c r="B24" i="4"/>
  <c r="F20" i="4"/>
  <c r="F19" i="4"/>
  <c r="C19" i="4"/>
  <c r="C11" i="4"/>
  <c r="F8" i="4"/>
  <c r="F7" i="4"/>
  <c r="C7" i="4"/>
  <c r="F6" i="4"/>
  <c r="C6" i="4"/>
  <c r="C5" i="4"/>
  <c r="F68" i="3"/>
  <c r="F67" i="3"/>
  <c r="F66" i="3"/>
  <c r="F65" i="3"/>
  <c r="F64" i="3"/>
  <c r="R10" i="2"/>
  <c r="R9" i="2"/>
  <c r="R8" i="2"/>
  <c r="R7" i="2"/>
  <c r="R6" i="2"/>
  <c r="R5" i="2"/>
  <c r="D32" i="1"/>
  <c r="D31" i="1"/>
  <c r="D30" i="1"/>
  <c r="D29" i="1"/>
  <c r="E25" i="1"/>
  <c r="H5" i="8" l="1"/>
  <c r="H6" i="8" s="1"/>
  <c r="B17" i="8"/>
  <c r="E4" i="5"/>
  <c r="D6" i="5" s="1"/>
  <c r="F5" i="4"/>
  <c r="B19" i="7"/>
  <c r="B27" i="7"/>
  <c r="I35" i="7"/>
  <c r="M4" i="8"/>
  <c r="I5" i="7"/>
  <c r="B24" i="7"/>
  <c r="N4" i="8"/>
  <c r="B21" i="7"/>
  <c r="B26" i="7"/>
  <c r="G6" i="5"/>
  <c r="B23" i="7"/>
  <c r="C20" i="4"/>
  <c r="B20" i="7"/>
  <c r="B28" i="7"/>
  <c r="I4" i="8"/>
  <c r="L5" i="8"/>
  <c r="B25" i="7"/>
  <c r="C35" i="7"/>
  <c r="B22" i="7"/>
  <c r="B6" i="8"/>
  <c r="F13" i="9" s="1"/>
  <c r="E4" i="8"/>
  <c r="D5" i="8"/>
  <c r="D6" i="8" s="1"/>
  <c r="F4" i="8"/>
  <c r="F6" i="5" l="1"/>
  <c r="C6" i="5"/>
  <c r="E6" i="5"/>
  <c r="H4" i="5"/>
  <c r="K6" i="5"/>
  <c r="J5" i="8"/>
  <c r="I5" i="8"/>
  <c r="H6" i="5"/>
  <c r="I6" i="5"/>
  <c r="B6" i="5"/>
  <c r="J6" i="5"/>
  <c r="J6" i="8"/>
  <c r="I6" i="8"/>
  <c r="D25" i="7"/>
  <c r="G25" i="7"/>
  <c r="F25" i="7"/>
  <c r="E25" i="7"/>
  <c r="L6" i="8"/>
  <c r="L7" i="8" s="1"/>
  <c r="G27" i="7"/>
  <c r="F27" i="7"/>
  <c r="E27" i="7"/>
  <c r="D27" i="7"/>
  <c r="G22" i="7"/>
  <c r="F22" i="7"/>
  <c r="E22" i="7"/>
  <c r="D22" i="7"/>
  <c r="F23" i="7"/>
  <c r="E23" i="7"/>
  <c r="D23" i="7"/>
  <c r="G23" i="7"/>
  <c r="N5" i="8"/>
  <c r="M5" i="8"/>
  <c r="E28" i="7"/>
  <c r="D28" i="7"/>
  <c r="G28" i="7"/>
  <c r="F28" i="7"/>
  <c r="G26" i="7"/>
  <c r="F26" i="7"/>
  <c r="E26" i="7"/>
  <c r="D26" i="7"/>
  <c r="G21" i="7"/>
  <c r="F21" i="7"/>
  <c r="E21" i="7"/>
  <c r="D21" i="7"/>
  <c r="G19" i="7"/>
  <c r="F19" i="7"/>
  <c r="E19" i="7"/>
  <c r="D19" i="7"/>
  <c r="E20" i="7"/>
  <c r="D20" i="7"/>
  <c r="G20" i="7"/>
  <c r="F20" i="7"/>
  <c r="G24" i="7"/>
  <c r="F24" i="7"/>
  <c r="E24" i="7"/>
  <c r="D24" i="7"/>
  <c r="H7" i="8"/>
  <c r="D7" i="8"/>
  <c r="D8" i="8" s="1"/>
  <c r="E5" i="8"/>
  <c r="F5" i="8"/>
  <c r="E6" i="8"/>
  <c r="F6" i="8"/>
  <c r="L8" i="8" l="1"/>
  <c r="L9" i="8" s="1"/>
  <c r="N7" i="8"/>
  <c r="M7" i="8"/>
  <c r="N6" i="8"/>
  <c r="M6" i="8"/>
  <c r="J7" i="8"/>
  <c r="I7" i="8"/>
  <c r="H8" i="8"/>
  <c r="F8" i="8"/>
  <c r="E8" i="8"/>
  <c r="D9" i="8"/>
  <c r="D10" i="8" s="1"/>
  <c r="F7" i="8"/>
  <c r="E7" i="8"/>
  <c r="N8" i="8" l="1"/>
  <c r="M8" i="8"/>
  <c r="H9" i="8"/>
  <c r="I8" i="8"/>
  <c r="J8" i="8"/>
  <c r="N9" i="8"/>
  <c r="M9" i="8"/>
  <c r="L10" i="8"/>
  <c r="D11" i="8"/>
  <c r="E10" i="8"/>
  <c r="F10" i="8"/>
  <c r="F9" i="8"/>
  <c r="E9" i="8"/>
  <c r="H10" i="8" l="1"/>
  <c r="J9" i="8"/>
  <c r="I9" i="8"/>
  <c r="N10" i="8"/>
  <c r="M10" i="8"/>
  <c r="L11" i="8"/>
  <c r="F11" i="8"/>
  <c r="E11" i="8"/>
  <c r="D12" i="8"/>
  <c r="D13" i="8" s="1"/>
  <c r="J10" i="8" l="1"/>
  <c r="I10" i="8"/>
  <c r="H11" i="8"/>
  <c r="H12" i="8" s="1"/>
  <c r="H13" i="8" s="1"/>
  <c r="M11" i="8"/>
  <c r="N11" i="8"/>
  <c r="L12" i="8"/>
  <c r="F13" i="8"/>
  <c r="E13" i="8"/>
  <c r="F12" i="8"/>
  <c r="E12" i="8"/>
  <c r="D14" i="8"/>
  <c r="J13" i="8" l="1"/>
  <c r="I13" i="8"/>
  <c r="H14" i="8"/>
  <c r="J11" i="8"/>
  <c r="I11" i="8"/>
  <c r="J12" i="8"/>
  <c r="I12" i="8"/>
  <c r="N12" i="8"/>
  <c r="M12" i="8"/>
  <c r="L13" i="8"/>
  <c r="F14" i="8"/>
  <c r="E14" i="8"/>
  <c r="D15" i="8"/>
  <c r="I14" i="8" l="1"/>
  <c r="J14" i="8"/>
  <c r="H15" i="8"/>
  <c r="N13" i="8"/>
  <c r="M13" i="8"/>
  <c r="L14" i="8"/>
  <c r="F15" i="8"/>
  <c r="E15" i="8"/>
  <c r="D16" i="8"/>
  <c r="N14" i="8" l="1"/>
  <c r="M14" i="8"/>
  <c r="L15" i="8"/>
  <c r="J15" i="8"/>
  <c r="I15" i="8"/>
  <c r="H16" i="8"/>
  <c r="F16" i="8"/>
  <c r="E16" i="8"/>
  <c r="D17" i="8"/>
  <c r="N15" i="8" l="1"/>
  <c r="M15" i="8"/>
  <c r="L16" i="8"/>
  <c r="J16" i="8"/>
  <c r="I16" i="8"/>
  <c r="H17" i="8"/>
  <c r="F17" i="8"/>
  <c r="E17" i="8"/>
  <c r="D18" i="8"/>
  <c r="J17" i="8" l="1"/>
  <c r="I17" i="8"/>
  <c r="H18" i="8"/>
  <c r="M16" i="8"/>
  <c r="N16" i="8"/>
  <c r="L17" i="8"/>
  <c r="F18" i="8"/>
  <c r="E18" i="8"/>
  <c r="D19" i="8"/>
  <c r="J18" i="8" l="1"/>
  <c r="I18" i="8"/>
  <c r="H19" i="8"/>
  <c r="N17" i="8"/>
  <c r="M17" i="8"/>
  <c r="L18" i="8"/>
  <c r="F19" i="8"/>
  <c r="E19" i="8"/>
  <c r="D20" i="8"/>
  <c r="I19" i="8" l="1"/>
  <c r="J19" i="8"/>
  <c r="H20" i="8"/>
  <c r="N18" i="8"/>
  <c r="M18" i="8"/>
  <c r="L19" i="8"/>
  <c r="F20" i="8"/>
  <c r="E20" i="8"/>
  <c r="D21" i="8"/>
  <c r="N19" i="8" l="1"/>
  <c r="M19" i="8"/>
  <c r="L20" i="8"/>
  <c r="J20" i="8"/>
  <c r="I20" i="8"/>
  <c r="H21" i="8"/>
  <c r="F21" i="8"/>
  <c r="E21" i="8"/>
  <c r="D22" i="8"/>
  <c r="N20" i="8" l="1"/>
  <c r="M20" i="8"/>
  <c r="L21" i="8"/>
  <c r="J21" i="8"/>
  <c r="I21" i="8"/>
  <c r="H22" i="8"/>
  <c r="F22" i="8"/>
  <c r="E22" i="8"/>
  <c r="D23" i="8"/>
  <c r="N21" i="8" l="1"/>
  <c r="M21" i="8"/>
  <c r="L22" i="8"/>
  <c r="J22" i="8"/>
  <c r="I22" i="8"/>
  <c r="H23" i="8"/>
  <c r="F23" i="8"/>
  <c r="E23" i="8"/>
  <c r="D24" i="8"/>
  <c r="N22" i="8" l="1"/>
  <c r="M22" i="8"/>
  <c r="L23" i="8"/>
  <c r="J23" i="8"/>
  <c r="I23" i="8"/>
  <c r="H24" i="8"/>
  <c r="F24" i="8"/>
  <c r="E24" i="8"/>
  <c r="D25" i="8"/>
  <c r="N23" i="8" l="1"/>
  <c r="M23" i="8"/>
  <c r="L24" i="8"/>
  <c r="J24" i="8"/>
  <c r="I24" i="8"/>
  <c r="H25" i="8"/>
  <c r="F25" i="8"/>
  <c r="E25" i="8"/>
  <c r="D26" i="8"/>
  <c r="J25" i="8" l="1"/>
  <c r="I25" i="8"/>
  <c r="H26" i="8"/>
  <c r="N24" i="8"/>
  <c r="M24" i="8"/>
  <c r="L25" i="8"/>
  <c r="F26" i="8"/>
  <c r="E26" i="8"/>
  <c r="D27" i="8"/>
  <c r="J26" i="8" l="1"/>
  <c r="I26" i="8"/>
  <c r="H27" i="8"/>
  <c r="N25" i="8"/>
  <c r="M25" i="8"/>
  <c r="L26" i="8"/>
  <c r="E27" i="8"/>
  <c r="F27" i="8"/>
  <c r="D28" i="8"/>
  <c r="J27" i="8" l="1"/>
  <c r="I27" i="8"/>
  <c r="H28" i="8"/>
  <c r="M26" i="8"/>
  <c r="N26" i="8"/>
  <c r="L27" i="8"/>
  <c r="E28" i="8"/>
  <c r="F28" i="8"/>
  <c r="D29" i="8"/>
  <c r="J28" i="8" l="1"/>
  <c r="I28" i="8"/>
  <c r="H29" i="8"/>
  <c r="N27" i="8"/>
  <c r="M27" i="8"/>
  <c r="L28" i="8"/>
  <c r="F29" i="8"/>
  <c r="E29" i="8"/>
  <c r="D30" i="8"/>
  <c r="N28" i="8" l="1"/>
  <c r="M28" i="8"/>
  <c r="L29" i="8"/>
  <c r="J29" i="8"/>
  <c r="I29" i="8"/>
  <c r="H30" i="8"/>
  <c r="F30" i="8"/>
  <c r="E30" i="8"/>
  <c r="D31" i="8"/>
  <c r="N29" i="8" l="1"/>
  <c r="M29" i="8"/>
  <c r="L30" i="8"/>
  <c r="J30" i="8"/>
  <c r="I30" i="8"/>
  <c r="H31" i="8"/>
  <c r="F31" i="8"/>
  <c r="E31" i="8"/>
  <c r="D32" i="8"/>
  <c r="M30" i="8" l="1"/>
  <c r="N30" i="8"/>
  <c r="L31" i="8"/>
  <c r="J31" i="8"/>
  <c r="I31" i="8"/>
  <c r="H32" i="8"/>
  <c r="F32" i="8"/>
  <c r="E32" i="8"/>
  <c r="D33" i="8"/>
  <c r="N31" i="8" l="1"/>
  <c r="M31" i="8"/>
  <c r="L32" i="8"/>
  <c r="J32" i="8"/>
  <c r="I32" i="8"/>
  <c r="H33" i="8"/>
  <c r="F33" i="8"/>
  <c r="E33" i="8"/>
  <c r="D34" i="8"/>
  <c r="J33" i="8" l="1"/>
  <c r="I33" i="8"/>
  <c r="H34" i="8"/>
  <c r="N32" i="8"/>
  <c r="M32" i="8"/>
  <c r="L33" i="8"/>
  <c r="E34" i="8"/>
  <c r="F34" i="8"/>
  <c r="D35" i="8"/>
  <c r="J34" i="8" l="1"/>
  <c r="I34" i="8"/>
  <c r="H35" i="8"/>
  <c r="N33" i="8"/>
  <c r="M33" i="8"/>
  <c r="L34" i="8"/>
  <c r="F35" i="8"/>
  <c r="E35" i="8"/>
  <c r="D36" i="8"/>
  <c r="N34" i="8" l="1"/>
  <c r="M34" i="8"/>
  <c r="L35" i="8"/>
  <c r="J35" i="8"/>
  <c r="I35" i="8"/>
  <c r="H36" i="8"/>
  <c r="F36" i="8"/>
  <c r="E36" i="8"/>
  <c r="D37" i="8"/>
  <c r="J36" i="8" l="1"/>
  <c r="I36" i="8"/>
  <c r="H37" i="8"/>
  <c r="M35" i="8"/>
  <c r="N35" i="8"/>
  <c r="L36" i="8"/>
  <c r="F37" i="8"/>
  <c r="E37" i="8"/>
  <c r="D38" i="8"/>
  <c r="J37" i="8" l="1"/>
  <c r="I37" i="8"/>
  <c r="H38" i="8"/>
  <c r="N36" i="8"/>
  <c r="M36" i="8"/>
  <c r="L37" i="8"/>
  <c r="F38" i="8"/>
  <c r="E38" i="8"/>
  <c r="D39" i="8"/>
  <c r="N37" i="8" l="1"/>
  <c r="M37" i="8"/>
  <c r="L38" i="8"/>
  <c r="I38" i="8"/>
  <c r="J38" i="8"/>
  <c r="H39" i="8"/>
  <c r="F39" i="8"/>
  <c r="E39" i="8"/>
  <c r="D40" i="8"/>
  <c r="N38" i="8" l="1"/>
  <c r="M38" i="8"/>
  <c r="L39" i="8"/>
  <c r="J39" i="8"/>
  <c r="I39" i="8"/>
  <c r="H40" i="8"/>
  <c r="E40" i="8"/>
  <c r="F40" i="8"/>
  <c r="J40" i="8" l="1"/>
  <c r="I40" i="8"/>
  <c r="N39" i="8"/>
  <c r="M39" i="8"/>
  <c r="L40" i="8"/>
  <c r="N40" i="8" l="1"/>
  <c r="M40" i="8"/>
</calcChain>
</file>

<file path=xl/sharedStrings.xml><?xml version="1.0" encoding="utf-8"?>
<sst xmlns="http://schemas.openxmlformats.org/spreadsheetml/2006/main" count="1353" uniqueCount="655">
  <si>
    <t>⚙️  SETTINGS — System Configuration</t>
  </si>
  <si>
    <t>Manage supplier info, factory address, export folder, branding, and template rules</t>
  </si>
  <si>
    <t>①  SUPPLIER / COMPANY INFORMATION</t>
  </si>
  <si>
    <t>Company Name</t>
  </si>
  <si>
    <t>Laguna Clothing Pvt Ltd</t>
  </si>
  <si>
    <t>Customer</t>
  </si>
  <si>
    <t>HUGO BOSS</t>
  </si>
  <si>
    <t>GST / VAT No.</t>
  </si>
  <si>
    <t>27ABCDE1234F1Z5</t>
  </si>
  <si>
    <t>Contact Email</t>
  </si>
  <si>
    <t>exports@laguna-clothing.com</t>
  </si>
  <si>
    <t>Contact Phone</t>
  </si>
  <si>
    <t>+91-22-4123-5678</t>
  </si>
  <si>
    <t>Website</t>
  </si>
  <si>
    <t>www.laguna-clothing.com</t>
  </si>
  <si>
    <t>Registered Address</t>
  </si>
  <si>
    <t>Plot 45, MIDC Industrial Area, Mumbai 400072, India</t>
  </si>
  <si>
    <t>Country</t>
  </si>
  <si>
    <t>India-IN</t>
  </si>
  <si>
    <t>Buyer Reference</t>
  </si>
  <si>
    <t>HUGO BOSS AG, Metzingen, Germany</t>
  </si>
  <si>
    <t>Compliance</t>
  </si>
  <si>
    <t>BSCI / SEDEX Certified</t>
  </si>
  <si>
    <t>②  FACTORY ADDRESS</t>
  </si>
  <si>
    <t>Factory Name</t>
  </si>
  <si>
    <t>Laguna Clothing Pvt Ltd — Unit 1</t>
  </si>
  <si>
    <t>Factory Code</t>
  </si>
  <si>
    <t>LCP-U1</t>
  </si>
  <si>
    <t>Factory Address</t>
  </si>
  <si>
    <t>Plot 45, MIDC Industrial Area, Mumbai 400072</t>
  </si>
  <si>
    <t>Factory Type</t>
  </si>
  <si>
    <t>Cut-Make-Trim (CMT)</t>
  </si>
  <si>
    <t>Port of Loading</t>
  </si>
  <si>
    <t>JNPT (Nhava Sheva), Mumbai</t>
  </si>
  <si>
    <t>Country of Origin</t>
  </si>
  <si>
    <t>India (IN)</t>
  </si>
  <si>
    <t>③  EXPORT CONFIGURATION</t>
  </si>
  <si>
    <t>Export Folder Path</t>
  </si>
  <si>
    <t>C:\HUGO_BOSS\Exports\</t>
  </si>
  <si>
    <t>Default File Format</t>
  </si>
  <si>
    <t>Both (Excel + PDF)</t>
  </si>
  <si>
    <t>PDF Orientation</t>
  </si>
  <si>
    <t>Landscape A4</t>
  </si>
  <si>
    <t>Auto-Increment Log</t>
  </si>
  <si>
    <t>Yes (Append to SUMMARY)</t>
  </si>
  <si>
    <t>Overwrite Behavior</t>
  </si>
  <si>
    <t>Prompt before overwrite</t>
  </si>
  <si>
    <t>④  LOGO &amp; BRANDING</t>
  </si>
  <si>
    <t>Company Logo Path</t>
  </si>
  <si>
    <t>C:\HUGO_BOSS\Assets\logo_laguna.png</t>
  </si>
  <si>
    <t>Header Text</t>
  </si>
  <si>
    <t>HUGO BOSS PACKING LIST</t>
  </si>
  <si>
    <t>Footer Text</t>
  </si>
  <si>
    <t>© Laguna Clothing Pvt Ltd</t>
  </si>
  <si>
    <t>⑤  DEFAULT CARTON CAPACITY &amp; DIMENSIONS</t>
  </si>
  <si>
    <t>Default Carton Capacity (pcs)</t>
  </si>
  <si>
    <t>Allowed Values</t>
  </si>
  <si>
    <t>8 | 12 | 14 | 18 | 21 | 24</t>
  </si>
  <si>
    <t>Max Sizes per Carton</t>
  </si>
  <si>
    <t>Max Colors per Carton</t>
  </si>
  <si>
    <t>Carton Length (mm)</t>
  </si>
  <si>
    <t>Carton Width (mm)</t>
  </si>
  <si>
    <t>Carton Height (mm)</t>
  </si>
  <si>
    <t>CBM per Carton</t>
  </si>
  <si>
    <t>Default Net Weight (kg)</t>
  </si>
  <si>
    <t>Default Gross Weight (kg)</t>
  </si>
  <si>
    <t>⑥  TEMPLATE MANAGEMENT</t>
  </si>
  <si>
    <t>Product Type</t>
  </si>
  <si>
    <t>Template Name</t>
  </si>
  <si>
    <t>Size Count</t>
  </si>
  <si>
    <t>Sizes Range</t>
  </si>
  <si>
    <t>Footwear</t>
  </si>
  <si>
    <t>Footwear Template</t>
  </si>
  <si>
    <t>37 → 46 (EU sizing)</t>
  </si>
  <si>
    <t>Apparel</t>
  </si>
  <si>
    <t>Apparel Template</t>
  </si>
  <si>
    <t>XS → XXXL</t>
  </si>
  <si>
    <t>Kids</t>
  </si>
  <si>
    <t>Kids Template</t>
  </si>
  <si>
    <t>92 → 122 (cm height)</t>
  </si>
  <si>
    <t>Accessories</t>
  </si>
  <si>
    <t>Accessories Template</t>
  </si>
  <si>
    <t>One Size / S / M / L</t>
  </si>
  <si>
    <t>⑦  SHEET PROTECTION</t>
  </si>
  <si>
    <t>Protection Password</t>
  </si>
  <si>
    <t>hbpack</t>
  </si>
  <si>
    <t>Protected Sheets</t>
  </si>
  <si>
    <t>PACKING LIST, RULES, MASTER DATA</t>
  </si>
  <si>
    <t>💡 Changes here take effect immediately across all modules. Backup this file before major edits.</t>
  </si>
  <si>
    <t>📋 PO MASTER — Purchase Order Database</t>
  </si>
  <si>
    <t>Central repository of all purchase orders. Data here drives PACKING INPUT dropdowns and auto-population.</t>
  </si>
  <si>
    <t>PO Number</t>
  </si>
  <si>
    <t>Season</t>
  </si>
  <si>
    <t>Brand</t>
  </si>
  <si>
    <t>Division</t>
  </si>
  <si>
    <t>Factory</t>
  </si>
  <si>
    <t>Style</t>
  </si>
  <si>
    <t>Form</t>
  </si>
  <si>
    <t>Form Name</t>
  </si>
  <si>
    <t>Quality</t>
  </si>
  <si>
    <t>Color Code</t>
  </si>
  <si>
    <t>Color Description</t>
  </si>
  <si>
    <t>Delivery Date</t>
  </si>
  <si>
    <t>Destination</t>
  </si>
  <si>
    <t>📊 PO MASTER KPI</t>
  </si>
  <si>
    <t>SS26</t>
  </si>
  <si>
    <t>BOSS</t>
  </si>
  <si>
    <t>Menswear</t>
  </si>
  <si>
    <t>SH</t>
  </si>
  <si>
    <t>Shirt LS Slim</t>
  </si>
  <si>
    <t>100% Cotton</t>
  </si>
  <si>
    <t>Black</t>
  </si>
  <si>
    <t>Germany-DE</t>
  </si>
  <si>
    <t>Total POs</t>
  </si>
  <si>
    <t>Shirt SS Regular</t>
  </si>
  <si>
    <t>Navy</t>
  </si>
  <si>
    <t>Apparel POs</t>
  </si>
  <si>
    <t>FW26</t>
  </si>
  <si>
    <t>HUGO</t>
  </si>
  <si>
    <t>TR</t>
  </si>
  <si>
    <t>Trouser Slim Fit</t>
  </si>
  <si>
    <t>97% Cotton 3% EA</t>
  </si>
  <si>
    <t>Footwear POs</t>
  </si>
  <si>
    <t>Womenswear</t>
  </si>
  <si>
    <t>BL</t>
  </si>
  <si>
    <t>Blazer Regular</t>
  </si>
  <si>
    <t>Wool Blend</t>
  </si>
  <si>
    <t>Dark Blue</t>
  </si>
  <si>
    <t>France-FR</t>
  </si>
  <si>
    <t>Kids POs</t>
  </si>
  <si>
    <t>BOSS Footwear Italy Srl</t>
  </si>
  <si>
    <t>SN</t>
  </si>
  <si>
    <t>Sneaker Low Cut</t>
  </si>
  <si>
    <t>Leather Upper</t>
  </si>
  <si>
    <t>Italy-IT</t>
  </si>
  <si>
    <t>Accessories POs</t>
  </si>
  <si>
    <t>Sneaker High Cut</t>
  </si>
  <si>
    <t>White</t>
  </si>
  <si>
    <t>USA-US</t>
  </si>
  <si>
    <t>Next Delivery</t>
  </si>
  <si>
    <t>BT</t>
  </si>
  <si>
    <t>Chelsea Boot</t>
  </si>
  <si>
    <t>Full Grain Leather</t>
  </si>
  <si>
    <t>Brown</t>
  </si>
  <si>
    <t>UK-GB</t>
  </si>
  <si>
    <t>BOSS Kids</t>
  </si>
  <si>
    <t>Kidswear</t>
  </si>
  <si>
    <t>Laguna Kids Division</t>
  </si>
  <si>
    <t>TS</t>
  </si>
  <si>
    <t>Kids T-Shirt</t>
  </si>
  <si>
    <t>PT</t>
  </si>
  <si>
    <t>Kids Pants</t>
  </si>
  <si>
    <t>BOSS Accessories GmbH</t>
  </si>
  <si>
    <t>BG</t>
  </si>
  <si>
    <t>Leather Belt</t>
  </si>
  <si>
    <t>WL</t>
  </si>
  <si>
    <t>Bifold Wallet</t>
  </si>
  <si>
    <t>DR</t>
  </si>
  <si>
    <t>Summer Dress</t>
  </si>
  <si>
    <t>100% Viscose</t>
  </si>
  <si>
    <t>Sky Blue</t>
  </si>
  <si>
    <t>Spain-ES</t>
  </si>
  <si>
    <t>💡 Tip: Add new POs starting from the next empty row. Product Type drives which packing template is loaded. Fields here auto-populate PACKING INPUT when a PO is selected.</t>
  </si>
  <si>
    <t>MASTER DATA</t>
  </si>
  <si>
    <t>COLORS</t>
  </si>
  <si>
    <t>Code</t>
  </si>
  <si>
    <t>Description</t>
  </si>
  <si>
    <t>Family</t>
  </si>
  <si>
    <t>Dark</t>
  </si>
  <si>
    <t>Light</t>
  </si>
  <si>
    <t>Open White</t>
  </si>
  <si>
    <t>Light Blue</t>
  </si>
  <si>
    <t>Beige Overflow</t>
  </si>
  <si>
    <t>Neutral</t>
  </si>
  <si>
    <t>Grey Melange</t>
  </si>
  <si>
    <t>SIZES</t>
  </si>
  <si>
    <t>Size</t>
  </si>
  <si>
    <t>Type</t>
  </si>
  <si>
    <t>Sort Order</t>
  </si>
  <si>
    <t>Numeric</t>
  </si>
  <si>
    <t>42L</t>
  </si>
  <si>
    <t>Numeric-Long</t>
  </si>
  <si>
    <t>43L</t>
  </si>
  <si>
    <t>44L</t>
  </si>
  <si>
    <t>45L</t>
  </si>
  <si>
    <t>XS</t>
  </si>
  <si>
    <t>Alpha</t>
  </si>
  <si>
    <t>S</t>
  </si>
  <si>
    <t>M</t>
  </si>
  <si>
    <t>L</t>
  </si>
  <si>
    <t>XL</t>
  </si>
  <si>
    <t>XXL</t>
  </si>
  <si>
    <t>XXXL</t>
  </si>
  <si>
    <t>4XL</t>
  </si>
  <si>
    <t>5XL</t>
  </si>
  <si>
    <t>STYLE MASTER</t>
  </si>
  <si>
    <t>Category</t>
  </si>
  <si>
    <t>H-JOE-kent-C1-214</t>
  </si>
  <si>
    <t>Men Shirt</t>
  </si>
  <si>
    <t>P-LIAM-BD-271</t>
  </si>
  <si>
    <t>H-Rikki-Fit</t>
  </si>
  <si>
    <t>P-JASON-BD</t>
  </si>
  <si>
    <t>H-EDDIE-Slim</t>
  </si>
  <si>
    <t>Men Trouser</t>
  </si>
  <si>
    <t>WEIGHT MASTER (grams)</t>
  </si>
  <si>
    <t>Net Wt/pc</t>
  </si>
  <si>
    <t>Carton Wt</t>
  </si>
  <si>
    <t>Pcs/Carton</t>
  </si>
  <si>
    <t>DEFAULT</t>
  </si>
  <si>
    <t>CARTON SIZES (cm)</t>
  </si>
  <si>
    <t>Length</t>
  </si>
  <si>
    <t>Width</t>
  </si>
  <si>
    <t>Height</t>
  </si>
  <si>
    <t>CBM</t>
  </si>
  <si>
    <t>Small</t>
  </si>
  <si>
    <t>Medium</t>
  </si>
  <si>
    <t>Large</t>
  </si>
  <si>
    <t>Custom</t>
  </si>
  <si>
    <t>DESTINATIONS</t>
  </si>
  <si>
    <t>Port</t>
  </si>
  <si>
    <t>DC_FIL</t>
  </si>
  <si>
    <t>DC FPG Filderstadt</t>
  </si>
  <si>
    <t>Germany</t>
  </si>
  <si>
    <t>Hamburg</t>
  </si>
  <si>
    <t>DC_SAV</t>
  </si>
  <si>
    <t>DC Savannah GA</t>
  </si>
  <si>
    <t>USA</t>
  </si>
  <si>
    <t>Savannah</t>
  </si>
  <si>
    <t>DC_COL</t>
  </si>
  <si>
    <t>DC Coldrerio</t>
  </si>
  <si>
    <t>Switzerland</t>
  </si>
  <si>
    <t>Basel</t>
  </si>
  <si>
    <t>DC_MET</t>
  </si>
  <si>
    <t>DC Metzingen</t>
  </si>
  <si>
    <t>DC_TOK</t>
  </si>
  <si>
    <t>DC Tokyo</t>
  </si>
  <si>
    <t>Japan</t>
  </si>
  <si>
    <t>Tokyo</t>
  </si>
  <si>
    <t>FACTORIES</t>
  </si>
  <si>
    <t>Vendor No</t>
  </si>
  <si>
    <t>Name</t>
  </si>
  <si>
    <t>City</t>
  </si>
  <si>
    <t>LAGUNA INDIA PVT LTD</t>
  </si>
  <si>
    <t>Kanakapura</t>
  </si>
  <si>
    <t>India</t>
  </si>
  <si>
    <t>ORIENT CRAFT LTD</t>
  </si>
  <si>
    <t>Gurgaon</t>
  </si>
  <si>
    <t>MATRIX CLOTHING</t>
  </si>
  <si>
    <t>Chennai</t>
  </si>
  <si>
    <t>SHAHI EXPORTS</t>
  </si>
  <si>
    <t>Bangalore</t>
  </si>
  <si>
    <t>SHIPMENT TYPES</t>
  </si>
  <si>
    <t>SCC</t>
  </si>
  <si>
    <t>Sea freight</t>
  </si>
  <si>
    <t>AIR</t>
  </si>
  <si>
    <t>Air freight</t>
  </si>
  <si>
    <t>LCL</t>
  </si>
  <si>
    <t>Less than container</t>
  </si>
  <si>
    <t>FCL</t>
  </si>
  <si>
    <t>Full container</t>
  </si>
  <si>
    <t>UNITS</t>
  </si>
  <si>
    <t>PC</t>
  </si>
  <si>
    <t>Pieces</t>
  </si>
  <si>
    <t>CTN</t>
  </si>
  <si>
    <t>Cartons</t>
  </si>
  <si>
    <t>KG</t>
  </si>
  <si>
    <t>Kilograms</t>
  </si>
  <si>
    <t>COUNTRIES</t>
  </si>
  <si>
    <t>IN</t>
  </si>
  <si>
    <t>DE</t>
  </si>
  <si>
    <t>US</t>
  </si>
  <si>
    <t>United States</t>
  </si>
  <si>
    <t>CH</t>
  </si>
  <si>
    <t>JP</t>
  </si>
  <si>
    <t>📤 EXPORT MODULE — Generate Excel &amp; PDF Deliverables</t>
  </si>
  <si>
    <t>Files auto-named as PONumber.xlsx / PONumber.pdf. Path is remembered for future exports.</t>
  </si>
  <si>
    <t>①  CURRENT EXPORT JOB (auto-loaded from PACKING INPUT)</t>
  </si>
  <si>
    <t>Total Pieces</t>
  </si>
  <si>
    <t>Total Cartons</t>
  </si>
  <si>
    <t>Excel File Name</t>
  </si>
  <si>
    <t>PDF File Name</t>
  </si>
  <si>
    <t>②  EXPORT FOLDER — Set your destination path (persisted across sessions)</t>
  </si>
  <si>
    <t>Current Folder</t>
  </si>
  <si>
    <t>🗂️  OPEN CURRENT FOLDER</t>
  </si>
  <si>
    <t>🔄  RESET</t>
  </si>
  <si>
    <t>③  EXPORT ACTIONS — Choose your output format</t>
  </si>
  <si>
    <t>📊  EXPORT EXCEL</t>
  </si>
  <si>
    <t>📄  EXPORT PDF</t>
  </si>
  <si>
    <t>📦  BOTH</t>
  </si>
  <si>
    <t>→ Saves as [PO].xlsx</t>
  </si>
  <si>
    <t>→ Saves as [PO].pdf</t>
  </si>
  <si>
    <t>→ Saves both</t>
  </si>
  <si>
    <t>④  PRE-EXPORT VALIDATION</t>
  </si>
  <si>
    <t>PO Present</t>
  </si>
  <si>
    <t>Folder Set</t>
  </si>
  <si>
    <t>Template Ready</t>
  </si>
  <si>
    <t>Ready to Export</t>
  </si>
  <si>
    <t>⑤  EXPORT HISTORY LOG</t>
  </si>
  <si>
    <t>Date/Time</t>
  </si>
  <si>
    <t>Format</t>
  </si>
  <si>
    <t>File Name</t>
  </si>
  <si>
    <t>Status</t>
  </si>
  <si>
    <t>User</t>
  </si>
  <si>
    <t>Both</t>
  </si>
  <si>
    <t>4901873568.xlsx + .pdf</t>
  </si>
  <si>
    <t>✅ Success</t>
  </si>
  <si>
    <t>System User</t>
  </si>
  <si>
    <t>PDF</t>
  </si>
  <si>
    <t>4901893257.pdf</t>
  </si>
  <si>
    <t>Excel</t>
  </si>
  <si>
    <t>4901893300.xlsx</t>
  </si>
  <si>
    <t>🏠 DASHBOARD</t>
  </si>
  <si>
    <t>📄 PACKING LIST</t>
  </si>
  <si>
    <t>📥 INPUT</t>
  </si>
  <si>
    <t>📄 PACKING LIST — Template-Driven Output</t>
  </si>
  <si>
    <t>This sheet auto-loads the correct template layout (Footwear / Apparel / Kids / Accessories) based on selected PO's Product Type</t>
  </si>
  <si>
    <t>Active PO</t>
  </si>
  <si>
    <t>Active Template</t>
  </si>
  <si>
    <t>▶  DYNAMIC SIZE HEADER (updates when PO changes)  ◀</t>
  </si>
  <si>
    <t>Size Header:</t>
  </si>
  <si>
    <t>TOTAL</t>
  </si>
  <si>
    <t>Delivery address:</t>
  </si>
  <si>
    <t>Supplier name :</t>
  </si>
  <si>
    <t>HUGO BOSS TICINO SA</t>
  </si>
  <si>
    <t>Laguna Clothing PVT LTD</t>
  </si>
  <si>
    <t>143/2 KALEGOWDANA DODDI</t>
  </si>
  <si>
    <t>HUGO BOSS Logistikzentrum</t>
  </si>
  <si>
    <t>BM ROAD, NH 209 KANAKPURA TALUK</t>
  </si>
  <si>
    <t>Hugo Boss Strasse 1-7</t>
  </si>
  <si>
    <t>562117 RAMANAGARA</t>
  </si>
  <si>
    <t>70794 Filderstadt</t>
  </si>
  <si>
    <t>CON NO:HB/</t>
  </si>
  <si>
    <t>Carton N°</t>
  </si>
  <si>
    <t>PO NO</t>
  </si>
  <si>
    <t>STYLE NO</t>
  </si>
  <si>
    <t>FORM NO</t>
  </si>
  <si>
    <t>FORM NAME</t>
  </si>
  <si>
    <t>QUALITY</t>
  </si>
  <si>
    <t>Colour N°</t>
  </si>
  <si>
    <t xml:space="preserve">Colour   </t>
  </si>
  <si>
    <t>ITEM</t>
  </si>
  <si>
    <t>37A</t>
  </si>
  <si>
    <t>38A</t>
  </si>
  <si>
    <t>39A</t>
  </si>
  <si>
    <t>40A</t>
  </si>
  <si>
    <t>41A</t>
  </si>
  <si>
    <t>42A</t>
  </si>
  <si>
    <t>39L</t>
  </si>
  <si>
    <t>40L</t>
  </si>
  <si>
    <t>41L</t>
  </si>
  <si>
    <t>N° Cartons</t>
  </si>
  <si>
    <t>Per CTN Qty</t>
  </si>
  <si>
    <t>Total pieces</t>
  </si>
  <si>
    <t>G.W / carton</t>
  </si>
  <si>
    <t>N.W/ carton</t>
  </si>
  <si>
    <t xml:space="preserve">GW </t>
  </si>
  <si>
    <t>NW</t>
  </si>
  <si>
    <t>Carton Size</t>
  </si>
  <si>
    <t>-</t>
  </si>
  <si>
    <t>H-HANK-SP-C1-271</t>
  </si>
  <si>
    <t>00010</t>
  </si>
  <si>
    <t>584X382X312 MM</t>
  </si>
  <si>
    <t xml:space="preserve">S -Total </t>
  </si>
  <si>
    <t>00020</t>
  </si>
  <si>
    <t>00030</t>
  </si>
  <si>
    <t>43A</t>
  </si>
  <si>
    <t>44A</t>
  </si>
  <si>
    <t>00040</t>
  </si>
  <si>
    <t>00050</t>
  </si>
  <si>
    <t>SUMMARY</t>
  </si>
  <si>
    <t>COLOUR</t>
  </si>
  <si>
    <t>584X382X212 MM</t>
  </si>
  <si>
    <t>Sizes</t>
  </si>
  <si>
    <t>584X382X105 MM</t>
  </si>
  <si>
    <t>Order</t>
  </si>
  <si>
    <t>384X287X105 MM</t>
  </si>
  <si>
    <t>CUT QTY</t>
  </si>
  <si>
    <t>Packed</t>
  </si>
  <si>
    <t>+ OR -'</t>
  </si>
  <si>
    <t>%</t>
  </si>
  <si>
    <t>RULES - HUGO BOSS Packing Instructions</t>
  </si>
  <si>
    <t>Rule</t>
  </si>
  <si>
    <t>Validation</t>
  </si>
  <si>
    <t>Message</t>
  </si>
  <si>
    <t>Maximum carton quantity &lt;= SETTINGS!B4</t>
  </si>
  <si>
    <t>Maximum carton quantity exceeded.</t>
  </si>
  <si>
    <t>Maximum mixed sizes &lt;= SETTINGS!B5</t>
  </si>
  <si>
    <t>Only three different sizes are allowed.</t>
  </si>
  <si>
    <t>One colour per carton</t>
  </si>
  <si>
    <t>Mixed colours are not allowed.</t>
  </si>
  <si>
    <t>One style per carton</t>
  </si>
  <si>
    <t>Mixed styles are prohibited.</t>
  </si>
  <si>
    <t>One quality per carton</t>
  </si>
  <si>
    <t>Mixed qualities are prohibited.</t>
  </si>
  <si>
    <t>One form per carton</t>
  </si>
  <si>
    <t>Mixed forms are prohibited.</t>
  </si>
  <si>
    <t>No duplicate carton number</t>
  </si>
  <si>
    <t>Duplicate carton number detected.</t>
  </si>
  <si>
    <t>Packed quantity cannot exceed ordered quantity</t>
  </si>
  <si>
    <t>Packed quantity exceeds Production Order quantity.</t>
  </si>
  <si>
    <t>Balance quantity always visible</t>
  </si>
  <si>
    <t>Check SUMMARY sheet.</t>
  </si>
  <si>
    <t>Sequential carton numbering</t>
  </si>
  <si>
    <t>Carton numbering gap detected.</t>
  </si>
  <si>
    <t>Automatic S-Total after each item</t>
  </si>
  <si>
    <t>Run Generate Packing List.</t>
  </si>
  <si>
    <t>Grand total equals sum of S-Totals</t>
  </si>
  <si>
    <t>Grand total mismatch.</t>
  </si>
  <si>
    <t>📥 PACKING INPUT — Primary Working Screen</t>
  </si>
  <si>
    <t>Step 1: Select PO → Step 2: Auto-populated details load → Step 3: Enter sizes &amp; carton capacity → Step 4: Generate Packing List</t>
  </si>
  <si>
    <t>①  PO SELECTION</t>
  </si>
  <si>
    <t>Purchase Order #</t>
  </si>
  <si>
    <t>Template to Load</t>
  </si>
  <si>
    <t>②  AUTO-POPULATED PO DETAILS (read-only, sourced from PO MASTER)</t>
  </si>
  <si>
    <t>Packing Date</t>
  </si>
  <si>
    <t>Prepared By</t>
  </si>
  <si>
    <t>③  CARTON CAPACITY (pieces per carton)</t>
  </si>
  <si>
    <t>Carton Capacity</t>
  </si>
  <si>
    <t>Suggested Range</t>
  </si>
  <si>
    <t>Validation Status</t>
  </si>
  <si>
    <t>④  DYNAMIC SIZE ENTRY — Sizes auto-load based on Product Type (Footwear/Apparel/Kids/Accessories)</t>
  </si>
  <si>
    <t>Order Qty</t>
  </si>
  <si>
    <t>Packed Qty</t>
  </si>
  <si>
    <t>Cartons Needed</t>
  </si>
  <si>
    <t>Balance</t>
  </si>
  <si>
    <t>Notes</t>
  </si>
  <si>
    <t>Priority</t>
  </si>
  <si>
    <t>Size Set</t>
  </si>
  <si>
    <t>One Size</t>
  </si>
  <si>
    <t>▶  GENERATE PACKING LIST  ◀</t>
  </si>
  <si>
    <t>⚠️  PRE-GENERATION VALIDATION CHECKLIST</t>
  </si>
  <si>
    <t>PO Selected</t>
  </si>
  <si>
    <t>Carton Capacity Valid</t>
  </si>
  <si>
    <t>Total Qty Entered</t>
  </si>
  <si>
    <t>Product Type Detected</t>
  </si>
  <si>
    <t>Ready to Generate</t>
  </si>
  <si>
    <t>🏠 BACK TO DASHBOARD</t>
  </si>
  <si>
    <t>📋 VIEW PO MASTER</t>
  </si>
  <si>
    <t>📄 VIEW PACKING LIST</t>
  </si>
  <si>
    <t>📊 SUMMARY — Real-Time Shipment Control</t>
  </si>
  <si>
    <t>Breakdown Panels</t>
  </si>
  <si>
    <t>Live KPIs • Export history • Packing activity log</t>
  </si>
  <si>
    <t>Color-wise | Size-wise | Item-wise packed quantities</t>
  </si>
  <si>
    <t>Colour</t>
  </si>
  <si>
    <t>Item</t>
  </si>
  <si>
    <t>① KEY METRICS</t>
  </si>
  <si>
    <t>Metric</t>
  </si>
  <si>
    <t>Value</t>
  </si>
  <si>
    <t>Unit</t>
  </si>
  <si>
    <t>📄 Packing Lists Generated</t>
  </si>
  <si>
    <t>lists</t>
  </si>
  <si>
    <t>📦 Total Cartons</t>
  </si>
  <si>
    <t>cartons</t>
  </si>
  <si>
    <t>🎯 Total Pieces (Ordered)</t>
  </si>
  <si>
    <t>pcs</t>
  </si>
  <si>
    <t>✅ Total Pieces (Packed)</t>
  </si>
  <si>
    <t>⚖️ Balance to Pack</t>
  </si>
  <si>
    <t>📈 Progress %</t>
  </si>
  <si>
    <t>complete</t>
  </si>
  <si>
    <t>📅 Packing Date</t>
  </si>
  <si>
    <t>today</t>
  </si>
  <si>
    <t>👤 User Name</t>
  </si>
  <si>
    <t>operator</t>
  </si>
  <si>
    <t>② SHIPMENT STATUS</t>
  </si>
  <si>
    <t>③ EXPORT HISTORY LOG</t>
  </si>
  <si>
    <t>(Auto-appended by VBA when Export runs. Shows last 15 exports.)</t>
  </si>
  <si>
    <t>④ PACKING LISTS GENERATED (recent)</t>
  </si>
  <si>
    <t>Date</t>
  </si>
  <si>
    <t>📦 HUGO BOSS PACKING MANAGEMENT SYSTEM</t>
  </si>
  <si>
    <t>Main Navigation - Select an action below to begin</t>
  </si>
  <si>
    <t>🆕  NEW PACKING LIST</t>
  </si>
  <si>
    <t>📋  PO MASTER</t>
  </si>
  <si>
    <t>📥  PACKING INPUT</t>
  </si>
  <si>
    <t>📄  PACKING LISTS</t>
  </si>
  <si>
    <t>📊  SUMMARY</t>
  </si>
  <si>
    <t>📤  EXPORT</t>
  </si>
  <si>
    <t>⚙️  SETTINGS</t>
  </si>
  <si>
    <t>📚  MASTER DATA</t>
  </si>
  <si>
    <t>📏  RULES</t>
  </si>
  <si>
    <t>📈 LIVE KPI OVERVIEW</t>
  </si>
  <si>
    <t>Ordered Qty</t>
  </si>
  <si>
    <t>Progress</t>
  </si>
  <si>
    <t>Last Update</t>
  </si>
  <si>
    <t>© Laguna Clothing Pvt Ltd  |  HUGO BOSS Packing System v2.0  |  Workflow: Dashboard → PO Master → Packing Input → Generate → Template → Export</t>
  </si>
  <si>
    <t>Button Reference Guide</t>
  </si>
  <si>
    <t>NEW PACKING LIST</t>
  </si>
  <si>
    <t>Start a fresh packing entry workflow (clears PACKING ENTRY sheet)</t>
  </si>
  <si>
    <t>PO MASTER</t>
  </si>
  <si>
    <t>View/manage the purchase order database (PRODUCTION ORDER sheet)</t>
  </si>
  <si>
    <t>PACKING INPUT</t>
  </si>
  <si>
    <t>Select PO, auto-populate details, enter sizes &amp; carton capacity</t>
  </si>
  <si>
    <t>PACKING LISTS</t>
  </si>
  <si>
    <t>View the generated Packing List template output</t>
  </si>
  <si>
    <t>Review shipment KPIs and category breakdowns</t>
  </si>
  <si>
    <t>EXPORT</t>
  </si>
  <si>
    <t>Export packing list as PONumber.xlsx and PONumber.pdf</t>
  </si>
  <si>
    <t>SETTINGS</t>
  </si>
  <si>
    <t>Configure supplier info, defaults, and template management</t>
  </si>
  <si>
    <t>🧩 VBA SOURCE — Module Architecture &amp; Code Registry</t>
  </si>
  <si>
    <t>Blueprint of every VBA module, Sub, and Function that powers the Packing Management System</t>
  </si>
  <si>
    <t>①  MODULE RESPONSIBILITIES MATRIX</t>
  </si>
  <si>
    <t>Module</t>
  </si>
  <si>
    <t>Primary Responsibility</t>
  </si>
  <si>
    <t>Key Subs/Functions</t>
  </si>
  <si>
    <t>Triggered By</t>
  </si>
  <si>
    <t>Depends On</t>
  </si>
  <si>
    <t>Module_Dashboard</t>
  </si>
  <si>
    <t>Navigation hub — routes user to each screen</t>
  </si>
  <si>
    <t>GoToPOMaster / GoToPackingInput / GoToPackingList / GoToSummary / GoToExport / GoToSettings / NewPackingList</t>
  </si>
  <si>
    <t>Dashboard buttons</t>
  </si>
  <si>
    <t>None</t>
  </si>
  <si>
    <t>Module_PO</t>
  </si>
  <si>
    <t>Manage PO Master database (add / edit / lookup POs)</t>
  </si>
  <si>
    <t>AddNewPO / ValidatePONumber / GetPODetails(poNum) / RefreshPOList</t>
  </si>
  <si>
    <t>PO Master buttons</t>
  </si>
  <si>
    <t>Module_Validation, Module_Utilities</t>
  </si>
  <si>
    <t>Module_PackingInput</t>
  </si>
  <si>
    <t>Handle PO selection, auto-populate, size loading, carton capacity</t>
  </si>
  <si>
    <t>OnPOSelected / LoadPODetails / LoadDynamicSizes(productType) / ValidateCartonCapacity / ClearInput</t>
  </si>
  <si>
    <t>Worksheet_Change on C5, C15</t>
  </si>
  <si>
    <t>Module_PO, Module_Template</t>
  </si>
  <si>
    <t>Module_Template</t>
  </si>
  <si>
    <t>Determine correct template &amp; load sizes per Product Type</t>
  </si>
  <si>
    <t>GetTemplateName(productType) / GetSizesArray(productType) / LoadTemplateLayout(templateName)</t>
  </si>
  <si>
    <t>Called by Module_PackingInput &amp; Module_PackingGenerator</t>
  </si>
  <si>
    <t>MASTER DATA, RULES</t>
  </si>
  <si>
    <t>Module_PackingGenerator</t>
  </si>
  <si>
    <t>Core engine — generate packing list, distribute cartons, populate template</t>
  </si>
  <si>
    <t>GeneratePackingList (MAIN) / CalculateCartonDistribution / NumberCartons / PopulateTemplateHeader / PopulateSizeQuantities / CalculateTotals / CalculateWeights</t>
  </si>
  <si>
    <t>Generate Packing List button (PACKING ENTRY!B31)</t>
  </si>
  <si>
    <t>Module_Template, Module_Validation, Module_Utilities</t>
  </si>
  <si>
    <t>Module_Export</t>
  </si>
  <si>
    <t>Browse folder, export Excel/PDF, log to history</t>
  </si>
  <si>
    <t>BrowseExportFolder / ExportExcel / ExportPDF / ExportBoth / OpenExportFolder / LogExport</t>
  </si>
  <si>
    <t>EXPORT sheet buttons (B12, B15, E15, G15)</t>
  </si>
  <si>
    <t>Module_Settings, Module_Validation</t>
  </si>
  <si>
    <t>Module_Settings</t>
  </si>
  <si>
    <t>Read/write persisted settings (paths, defaults, protection)</t>
  </si>
  <si>
    <t>GetSetting(key) / SaveSetting(key, value) / ApplyDefaults / ProtectSheets / UnprotectSheets</t>
  </si>
  <si>
    <t>Workbook_Open, Settings changes</t>
  </si>
  <si>
    <t>Module_Validation</t>
  </si>
  <si>
    <t>Central input validation &amp; user-friendly error messages</t>
  </si>
  <si>
    <t>ValidatePO / ValidateCartonCapacity / ValidateQuantities / ValidateTemplate / ValidateExportFolder / ShowError(msg)</t>
  </si>
  <si>
    <t>Called throughout system</t>
  </si>
  <si>
    <t>Module_Utilities</t>
  </si>
  <si>
    <t>Shared helper functions (date, string, file, sheet ops)</t>
  </si>
  <si>
    <t>GetLastRow(ws, col) / SheetExists(name) / SafeCopy / FormatFileName / GetUserName / EnsureFolderExists</t>
  </si>
  <si>
    <t>②  EVENT &amp; TRIGGER MAP</t>
  </si>
  <si>
    <t>Trigger Location</t>
  </si>
  <si>
    <t>Event Type</t>
  </si>
  <si>
    <t>Handler / Macro</t>
  </si>
  <si>
    <t>Result</t>
  </si>
  <si>
    <t>Error Path</t>
  </si>
  <si>
    <t>Workbook (ThisWorkbook)</t>
  </si>
  <si>
    <t>Workbook_Open</t>
  </si>
  <si>
    <t>Module_Settings.ApplyDefaults + refresh PO_List</t>
  </si>
  <si>
    <t>System ready state</t>
  </si>
  <si>
    <t>Log to SUMMARY history</t>
  </si>
  <si>
    <t>PACKING ENTRY!C5</t>
  </si>
  <si>
    <t>Worksheet_Change</t>
  </si>
  <si>
    <t>Module_PackingInput.OnPOSelected</t>
  </si>
  <si>
    <t>Auto-populate 12 fields + load sizes</t>
  </si>
  <si>
    <t>Show 'PO not found'</t>
  </si>
  <si>
    <t>PACKING ENTRY!C15</t>
  </si>
  <si>
    <t>Module_PackingInput.ValidateCartonCapacity</t>
  </si>
  <si>
    <t>Update validation status</t>
  </si>
  <si>
    <t>Show 'Invalid capacity 1-100'</t>
  </si>
  <si>
    <t>PACKING ENTRY!B31 (Generate)</t>
  </si>
  <si>
    <t>Worksheet_BeforeDoubleClick</t>
  </si>
  <si>
    <t>Module_PackingGenerator.GeneratePackingList</t>
  </si>
  <si>
    <t>Populate PACKING LIST template</t>
  </si>
  <si>
    <t>Show checklist errors</t>
  </si>
  <si>
    <t>EXPORT!B12 (Browse)</t>
  </si>
  <si>
    <t>Module_Export.BrowseExportFolder</t>
  </si>
  <si>
    <t>Save path to SETTINGS!C15</t>
  </si>
  <si>
    <t>Retain previous path</t>
  </si>
  <si>
    <t>EXPORT!B15/E15/G15</t>
  </si>
  <si>
    <t>Module_Export.ExportExcel / ExportPDF / ExportBoth</t>
  </si>
  <si>
    <t>Files saved as [PO].xlsx / [PO].pdf</t>
  </si>
  <si>
    <t>Prompt overwrite / abort</t>
  </si>
  <si>
    <t>DASHBOARD!B5:J9 buttons</t>
  </si>
  <si>
    <t>Module_Dashboard.GoTo* routines</t>
  </si>
  <si>
    <t>Navigate to target sheet</t>
  </si>
  <si>
    <t>Sheet not found → alert</t>
  </si>
  <si>
    <t>③  CORE ALGORITHM — GeneratePackingList()  (Module_PackingGenerator)</t>
  </si>
  <si>
    <t>Step</t>
  </si>
  <si>
    <t>Action</t>
  </si>
  <si>
    <t>Validate: PO selected, Carton Capacity 1-100, Quantities &gt; 0, Product Type not empty → else raise user-friendly error</t>
  </si>
  <si>
    <t>Read PO info via VLOOKUP against PO_Data (Style, Form, Quality, Color, Factory, Customer, Delivery, Destination)</t>
  </si>
  <si>
    <t>Read entered size quantities from PACKING ENTRY!B19:C28 (dynamic — skip empty size rows)</t>
  </si>
  <si>
    <t>For each size: cartons = CEILING(orderQty / cartonCapacity). Distribute qty across cartons (last carton may be partial)</t>
  </si>
  <si>
    <t>Number cartons sequentially starting from 1. Enforce RULES: One color per carton, Max 3 mixed sizes, Sequential numbering</t>
  </si>
  <si>
    <t>Route to correct template: GetTemplateName(productType) → 'Footwear' / 'Apparel' / 'Kids' / 'Accessories' Template</t>
  </si>
  <si>
    <t>Populate PACKING LIST template header (PO, Style, Customer, etc.) and size columns dynamically — ONLY replace dynamic values, PRESERVE formatting/borders/logos/print areas/merged cells/formulas/page setup</t>
  </si>
  <si>
    <t>Compute totals: Total Pieces, Total Cartons, Total Gross Weight (from SETTINGS defaults), Total Net Weight, Total CBM</t>
  </si>
  <si>
    <t>Refresh SUMMARY logs, activate PACKING LIST sheet, display 'Success — [PO] generated with N cartons'</t>
  </si>
  <si>
    <t>④  ERROR HANDLING REGISTRY</t>
  </si>
  <si>
    <t>Error Code</t>
  </si>
  <si>
    <t>Condition</t>
  </si>
  <si>
    <t>User-Friendly Message</t>
  </si>
  <si>
    <t>Severity</t>
  </si>
  <si>
    <t>Handler</t>
  </si>
  <si>
    <t>ERR-001</t>
  </si>
  <si>
    <t>PO not selected</t>
  </si>
  <si>
    <t>⚠️ Please select a PO from the dropdown in PACKING INPUT!C5</t>
  </si>
  <si>
    <t>Blocking</t>
  </si>
  <si>
    <t>Module_Validation.ValidatePO</t>
  </si>
  <si>
    <t>ERR-002</t>
  </si>
  <si>
    <t>Carton Capacity invalid</t>
  </si>
  <si>
    <t>⚠️ Enter a whole number between 1 and 100 for Carton Capacity</t>
  </si>
  <si>
    <t>Module_Validation.ValidateCartonCapacity</t>
  </si>
  <si>
    <t>ERR-003</t>
  </si>
  <si>
    <t>Template missing / Product Type empty</t>
  </si>
  <si>
    <t>⚠️ Template not found for this Product Type. Check PO MASTER column O.</t>
  </si>
  <si>
    <t>Module_Template.GetTemplateName</t>
  </si>
  <si>
    <t>ERR-004</t>
  </si>
  <si>
    <t>Export folder not found</t>
  </si>
  <si>
    <t>⚠️ Export folder does not exist. Please Browse for a valid folder.</t>
  </si>
  <si>
    <t>Module_Export.ValidateExportFolder</t>
  </si>
  <si>
    <t>ERR-005</t>
  </si>
  <si>
    <t>File already exists</t>
  </si>
  <si>
    <t>⚠️ [PO].xlsx already exists. Overwrite? (Yes / No)</t>
  </si>
  <si>
    <t>Prompt</t>
  </si>
  <si>
    <t>Module_Export.ExportExcel</t>
  </si>
  <si>
    <t>ERR-006</t>
  </si>
  <si>
    <t>Empty quantity table</t>
  </si>
  <si>
    <t>⚠️ Enter at least one Order Qty in the size table before generating.</t>
  </si>
  <si>
    <t>Module_Validation.ValidateQuantities</t>
  </si>
  <si>
    <t>ERR-007</t>
  </si>
  <si>
    <t>Missing required field (Style/Color/etc.)</t>
  </si>
  <si>
    <t>⚠️ Required PO field is blank. Please update PO MASTER.</t>
  </si>
  <si>
    <t>⑤  USERFORMS REGISTRY</t>
  </si>
  <si>
    <t>UserForm</t>
  </si>
  <si>
    <t>Purpose</t>
  </si>
  <si>
    <t>Launched By</t>
  </si>
  <si>
    <t>Related Module</t>
  </si>
  <si>
    <t>frmPOImport</t>
  </si>
  <si>
    <t>Bulk-import POs from external Excel/CSV file</t>
  </si>
  <si>
    <t>PO MASTER 'Import POs' button</t>
  </si>
  <si>
    <t>frmCreateCarton</t>
  </si>
  <si>
    <t>Create custom carton with size/qty/color splits (advanced mode)</t>
  </si>
  <si>
    <t>Optional advanced entry</t>
  </si>
  <si>
    <t>frmPackingSearch</t>
  </si>
  <si>
    <t>Search &amp; filter packed cartons / generated lists</t>
  </si>
  <si>
    <t>Summary 'Search' button</t>
  </si>
  <si>
    <t>⑥  DATA FLOW DIAGRAM</t>
  </si>
  <si>
    <t>DASHBOARD  ➜  PO MASTER  ➜  PACKING INPUT  ➜  [Generate]  ➜  PACKING LIST (template routed by Product Type)  ➜  EXPORT  ➜  [PO].xlsx  +  [PO].pdf  ➜  SUMMARY (auto-log)</t>
  </si>
  <si>
    <t>Named Ranges: PO_List (dropdown source)  •  PO_Data (VLOOKUP source, cols 1-15)  •  Template routing driven by PO MASTER column O 'Product Type'</t>
  </si>
  <si>
    <t>⑦  DEVELOPMENT NOTES</t>
  </si>
  <si>
    <t>✅ Reused existing workbook — no rebuild from scratch. All existing templates, formulas, and page setups preserved.</t>
  </si>
  <si>
    <t>✅ Modular VBA architecture — each Module has ONE responsibility. No duplicate code. All Subs commented.</t>
  </si>
  <si>
    <t>✅ Scalable — new Product Types can be added by extending PACKING ENTRY!L22:V22 (Product Type → Size Set map) + a new template layout.</t>
  </si>
  <si>
    <t>✅ Named ranges &amp; configurable mappings (avoids hard-coded cell references wherever possible).</t>
  </si>
  <si>
    <t>© Laguna Clothing Pvt Ltd  •  HUGO BOSS Packing Management System v2.0  •  VBA Architecture Blueprint</t>
  </si>
  <si>
    <t>📁  BROWSE FOLDER…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</si>
</sst>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###,000"/>
    <numFmt numFmtId="165" formatCode="_(* #,##0_);_(* \(#,##0\);_(* &quot;-&quot;_);_(@_)"/>
    <numFmt numFmtId="166" formatCode="[$-409]dd/mmm/yy;@"/>
    <numFmt numFmtId="167" formatCode="0.0%"/>
    <numFmt numFmtId="168" formatCode="0.00\ &quot;m³&quot;"/>
    <numFmt numFmtId="169" formatCode="0.000"/>
    <numFmt numFmtId="170" formatCode="000"/>
    <numFmt numFmtId="171" formatCode="0.0000"/>
    <numFmt numFmtId="172" formatCode="dd/mmm/yyyy"/>
    <numFmt numFmtId="173" formatCode="0.000&quot; m³&quot;"/>
    <numFmt numFmtId="174" formatCode="0.00&quot; kg&quot;"/>
  </numFmts>
  <fonts count="97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6"/>
      <color rgb="FFFFFFFF"/>
      <name val="Calibri"/>
      <charset val="134"/>
    </font>
    <font>
      <i/>
      <sz val="10"/>
      <color rgb="FF37474F"/>
      <name val="Calibri"/>
      <charset val="134"/>
    </font>
    <font>
      <b/>
      <sz val="12"/>
      <color rgb="FFFFFFFF"/>
      <name val="Calibri"/>
      <charset val="134"/>
    </font>
    <font>
      <b/>
      <sz val="11"/>
      <color rgb="FFFFFFFF"/>
      <name val="Calibri"/>
      <charset val="134"/>
      <scheme val="minor"/>
    </font>
    <font>
      <b/>
      <sz val="11"/>
      <color rgb="FFFFFFFF"/>
      <name val="Calibri"/>
      <charset val="134"/>
    </font>
    <font>
      <b/>
      <sz val="11"/>
      <color rgb="FF1F2A44"/>
      <name val="Calibri"/>
      <charset val="134"/>
    </font>
    <font>
      <sz val="10"/>
      <color rgb="FF37474F"/>
      <name val="Calibri"/>
      <charset val="134"/>
    </font>
    <font>
      <i/>
      <sz val="9.5"/>
      <color rgb="FF6A1B9A"/>
      <name val="Calibri"/>
      <charset val="134"/>
    </font>
    <font>
      <sz val="9.5"/>
      <color rgb="FF1565C0"/>
      <name val="Calibri"/>
      <charset val="134"/>
    </font>
    <font>
      <i/>
      <sz val="9"/>
      <color rgb="FF78909C"/>
      <name val="Calibri"/>
      <charset val="134"/>
    </font>
    <font>
      <b/>
      <sz val="10"/>
      <color rgb="FF1F2A44"/>
      <name val="Calibri"/>
      <charset val="134"/>
    </font>
    <font>
      <i/>
      <sz val="10"/>
      <color rgb="FFEF6C00"/>
      <name val="Calibri"/>
      <charset val="134"/>
    </font>
    <font>
      <sz val="9.5"/>
      <color rgb="FF2E7D32"/>
      <name val="Calibri"/>
      <charset val="134"/>
    </font>
    <font>
      <sz val="9.5"/>
      <color rgb="FFC62828"/>
      <name val="Calibri"/>
      <charset val="134"/>
    </font>
    <font>
      <sz val="10"/>
      <color rgb="FF1F2A44"/>
      <name val="Calibri"/>
      <charset val="134"/>
    </font>
    <font>
      <b/>
      <sz val="10"/>
      <color rgb="FFC62828"/>
      <name val="Calibri"/>
      <charset val="134"/>
    </font>
    <font>
      <i/>
      <sz val="10"/>
      <color rgb="FF1F2A44"/>
      <name val="Calibri"/>
      <charset val="134"/>
    </font>
    <font>
      <b/>
      <sz val="10"/>
      <color rgb="FFEF6C00"/>
      <name val="Calibri"/>
      <charset val="134"/>
    </font>
    <font>
      <i/>
      <sz val="9"/>
      <color rgb="FF6A1B9A"/>
      <name val="Calibri"/>
      <charset val="134"/>
    </font>
    <font>
      <b/>
      <sz val="11"/>
      <color rgb="FF6A1B9A"/>
      <name val="Calibri"/>
      <charset val="134"/>
    </font>
    <font>
      <i/>
      <sz val="9.5"/>
      <color rgb="FF78909C"/>
      <name val="Calibri"/>
      <charset val="134"/>
    </font>
    <font>
      <b/>
      <sz val="12"/>
      <color rgb="FF00838F"/>
      <name val="Calibri"/>
      <charset val="134"/>
    </font>
    <font>
      <sz val="10"/>
      <color rgb="FF2E7D32"/>
      <name val="Calibri"/>
      <charset val="134"/>
    </font>
    <font>
      <b/>
      <sz val="18"/>
      <color rgb="FFFFFFFF"/>
      <name val="Calibri"/>
      <charset val="134"/>
      <scheme val="minor"/>
    </font>
    <font>
      <b/>
      <sz val="22"/>
      <color rgb="FFFFFFFF"/>
      <name val="Calibri"/>
      <charset val="134"/>
    </font>
    <font>
      <b/>
      <sz val="15"/>
      <color theme="1"/>
      <name val="Calibri"/>
      <charset val="134"/>
      <scheme val="minor"/>
    </font>
    <font>
      <i/>
      <sz val="11"/>
      <color rgb="FF5A6478"/>
      <name val="Calibri"/>
      <charset val="134"/>
    </font>
    <font>
      <b/>
      <sz val="14"/>
      <color rgb="FFFFFFFF"/>
      <name val="Calibri"/>
      <charset val="134"/>
    </font>
    <font>
      <b/>
      <sz val="10"/>
      <color rgb="FF37474F"/>
      <name val="Calibri"/>
      <charset val="134"/>
    </font>
    <font>
      <b/>
      <sz val="14"/>
      <color rgb="FF1F2A44"/>
      <name val="Calibri"/>
      <charset val="134"/>
    </font>
    <font>
      <i/>
      <sz val="9"/>
      <color rgb="FF37474F"/>
      <name val="Calibri"/>
      <charset val="134"/>
    </font>
    <font>
      <b/>
      <sz val="10"/>
      <color rgb="FFFFFFFF"/>
      <name val="Calibri"/>
      <charset val="134"/>
    </font>
    <font>
      <b/>
      <sz val="10.5"/>
      <color rgb="FF1F2A44"/>
      <name val="Calibri"/>
      <charset val="134"/>
    </font>
    <font>
      <b/>
      <sz val="14"/>
      <color rgb="FF2E7D32"/>
      <name val="Calibri"/>
      <charset val="134"/>
    </font>
    <font>
      <sz val="9.5"/>
      <color rgb="FF1F2A44"/>
      <name val="Calibri"/>
      <charset val="134"/>
    </font>
    <font>
      <b/>
      <sz val="16"/>
      <color rgb="FFFFFFFF"/>
      <name val="Calibri"/>
      <charset val="134"/>
      <scheme val="minor"/>
    </font>
    <font>
      <b/>
      <sz val="12"/>
      <color rgb="FF6A1B9A"/>
      <name val="Calibri"/>
      <charset val="134"/>
    </font>
    <font>
      <b/>
      <sz val="11"/>
      <color rgb="FFEF6C00"/>
      <name val="Calibri"/>
      <charset val="134"/>
    </font>
    <font>
      <b/>
      <sz val="10.5"/>
      <color rgb="FF37474F"/>
      <name val="Calibri"/>
      <charset val="134"/>
    </font>
    <font>
      <sz val="11"/>
      <color rgb="FF1F2A44"/>
      <name val="Calibri"/>
      <charset val="134"/>
    </font>
    <font>
      <i/>
      <sz val="10"/>
      <color rgb="FF78909C"/>
      <name val="Calibri"/>
      <charset val="134"/>
    </font>
    <font>
      <sz val="11"/>
      <color rgb="FFC62828"/>
      <name val="Calibri"/>
      <charset val="134"/>
    </font>
    <font>
      <b/>
      <sz val="20"/>
      <color rgb="FFFFFFFF"/>
      <name val="Calibri"/>
      <charset val="134"/>
    </font>
    <font>
      <sz val="14"/>
      <color rgb="FF000000"/>
      <name val="Calibri"/>
      <charset val="134"/>
    </font>
    <font>
      <b/>
      <sz val="14"/>
      <color rgb="FF000000"/>
      <name val="Calibri"/>
      <charset val="134"/>
    </font>
    <font>
      <b/>
      <sz val="14"/>
      <color theme="1"/>
      <name val="Calibri"/>
      <charset val="134"/>
    </font>
    <font>
      <sz val="14"/>
      <color theme="1"/>
      <name val="Calibri"/>
      <charset val="134"/>
    </font>
    <font>
      <b/>
      <sz val="14"/>
      <name val="Calibri"/>
      <charset val="134"/>
    </font>
    <font>
      <sz val="14"/>
      <name val="Calibri"/>
      <charset val="134"/>
    </font>
    <font>
      <b/>
      <u/>
      <sz val="14"/>
      <name val="Calibri"/>
      <charset val="134"/>
    </font>
    <font>
      <sz val="14"/>
      <color rgb="FFFFFFFF"/>
      <name val="Calibri"/>
      <charset val="134"/>
    </font>
    <font>
      <b/>
      <sz val="16"/>
      <name val="Calibri"/>
      <charset val="134"/>
    </font>
    <font>
      <b/>
      <sz val="18"/>
      <color rgb="FFFFFFFF"/>
      <name val="Arial"/>
      <charset val="134"/>
    </font>
    <font>
      <i/>
      <sz val="11"/>
      <color rgb="FFFFFFFF"/>
      <name val="Arial"/>
      <charset val="134"/>
    </font>
    <font>
      <b/>
      <sz val="11"/>
      <color rgb="FFFFFFFF"/>
      <name val="Arial"/>
      <charset val="134"/>
    </font>
    <font>
      <b/>
      <sz val="11"/>
      <color rgb="FFC0392B"/>
      <name val="Arial"/>
      <charset val="134"/>
    </font>
    <font>
      <i/>
      <sz val="10"/>
      <color rgb="FF2C3E50"/>
      <name val="Arial"/>
      <charset val="134"/>
    </font>
    <font>
      <b/>
      <sz val="10"/>
      <color rgb="FF2C3E50"/>
      <name val="Arial"/>
      <charset val="134"/>
    </font>
    <font>
      <b/>
      <sz val="10"/>
      <color rgb="FFFFFFFF"/>
      <name val="Arial"/>
      <charset val="134"/>
    </font>
    <font>
      <b/>
      <sz val="11"/>
      <color rgb="FFC62828"/>
      <name val="Calibri"/>
      <charset val="134"/>
    </font>
    <font>
      <b/>
      <sz val="10"/>
      <color rgb="FFC0392B"/>
      <name val="Arial"/>
      <charset val="134"/>
    </font>
    <font>
      <b/>
      <sz val="12"/>
      <color rgb="FFFFFFFF"/>
      <name val="Arial"/>
      <charset val="134"/>
    </font>
    <font>
      <sz val="11"/>
      <color rgb="FF1565C0"/>
      <name val="underline Calibri"/>
      <charset val="134"/>
    </font>
    <font>
      <b/>
      <sz val="11"/>
      <color rgb="FF2C3E50"/>
      <name val="Arial"/>
      <charset val="134"/>
    </font>
    <font>
      <i/>
      <sz val="10"/>
      <color rgb="FFC0392B"/>
      <name val="Consolas"/>
      <charset val="134"/>
    </font>
    <font>
      <sz val="9"/>
      <color rgb="FF7F8C8D"/>
      <name val="Arial"/>
      <charset val="134"/>
    </font>
    <font>
      <i/>
      <sz val="9"/>
      <color rgb="FF2E7D32"/>
      <name val="Calibri"/>
      <charset val="134"/>
    </font>
    <font>
      <i/>
      <sz val="9"/>
      <color rgb="FFC62828"/>
      <name val="Calibri"/>
      <charset val="134"/>
    </font>
    <font>
      <b/>
      <sz val="10"/>
      <color rgb="FF2C3E50"/>
      <name val="Consolas"/>
      <charset val="134"/>
    </font>
    <font>
      <i/>
      <sz val="9"/>
      <color rgb="FF7F8C8D"/>
      <name val="Arial"/>
      <charset val="134"/>
    </font>
    <font>
      <b/>
      <sz val="11"/>
      <color rgb="FF16A085"/>
      <name val="Arial"/>
      <charset val="134"/>
    </font>
    <font>
      <b/>
      <sz val="9"/>
      <color rgb="FF16A085"/>
      <name val="Arial"/>
      <charset val="134"/>
    </font>
    <font>
      <sz val="10"/>
      <color rgb="FF2C3E50"/>
      <name val="Arial"/>
      <charset val="134"/>
    </font>
    <font>
      <b/>
      <sz val="10"/>
      <color rgb="FF16A085"/>
      <name val="Arial"/>
      <charset val="134"/>
    </font>
    <font>
      <b/>
      <sz val="16"/>
      <color rgb="FFFFFFFF"/>
      <name val="Arial"/>
      <charset val="134"/>
    </font>
    <font>
      <i/>
      <sz val="10"/>
      <color rgb="FFFFFFFF"/>
      <name val="Arial"/>
      <charset val="134"/>
    </font>
    <font>
      <b/>
      <sz val="10"/>
      <color rgb="FF000000"/>
      <name val="Arial"/>
      <charset val="134"/>
    </font>
    <font>
      <sz val="10"/>
      <color rgb="FF000000"/>
      <name val="Arial"/>
      <charset val="134"/>
    </font>
    <font>
      <sz val="10.5"/>
      <color rgb="FF1F2A44"/>
      <name val="Calibri"/>
      <charset val="134"/>
    </font>
    <font>
      <b/>
      <sz val="10.5"/>
      <color rgb="FF2E7D32"/>
      <name val="Calibri"/>
      <charset val="134"/>
    </font>
    <font>
      <sz val="11"/>
      <name val="Calibri"/>
      <charset val="134"/>
      <scheme val="minor"/>
    </font>
    <font>
      <b/>
      <sz val="11"/>
      <color rgb="FF1565C0"/>
      <name val="Calibri"/>
      <charset val="134"/>
    </font>
    <font>
      <b/>
      <sz val="10.5"/>
      <color rgb="FFEF6C00"/>
      <name val="Calibri"/>
      <charset val="134"/>
    </font>
    <font>
      <b/>
      <sz val="10.5"/>
      <color rgb="FF6A1B9A"/>
      <name val="Calibri"/>
      <charset val="134"/>
    </font>
    <font>
      <b/>
      <sz val="10.5"/>
      <color rgb="FFC62828"/>
      <name val="Calibri"/>
      <charset val="134"/>
    </font>
    <font>
      <b/>
      <sz val="10"/>
      <name val="Arial"/>
      <charset val="134"/>
    </font>
    <font>
      <sz val="11"/>
      <color rgb="FF1565C0"/>
      <name val="Calibri"/>
      <charset val="134"/>
    </font>
    <font>
      <b/>
      <sz val="11"/>
      <color rgb="FF2E7D32"/>
      <name val="Calibri"/>
      <charset val="134"/>
    </font>
    <font>
      <b/>
      <sz val="10"/>
      <color rgb="FFB71C1C"/>
      <name val="Consolas"/>
      <charset val="134"/>
    </font>
    <font>
      <sz val="11"/>
      <color rgb="FF000000"/>
      <name val="Calibri"/>
      <charset val="134"/>
    </font>
    <font>
      <sz val="11"/>
      <name val="Century Gothic"/>
      <charset val="134"/>
    </font>
    <font>
      <sz val="10"/>
      <name val="Arial"/>
      <charset val="134"/>
    </font>
    <font>
      <sz val="11"/>
      <name val="돋움"/>
      <charset val="134"/>
    </font>
    <font>
      <sz val="8"/>
      <color rgb="FF1F497D"/>
      <name val="Verdana"/>
      <charset val="134"/>
    </font>
    <font>
      <sz val="11"/>
      <color theme="1"/>
      <name val="Calibri"/>
      <charset val="134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CCCC"/>
        <bgColor indexed="64"/>
      </patternFill>
    </fill>
    <fill>
      <patternFill patternType="solid">
        <fgColor rgb="FF37474F"/>
        <bgColor indexed="64"/>
      </patternFill>
    </fill>
    <fill>
      <patternFill patternType="solid">
        <fgColor rgb="FFECEFF1"/>
        <bgColor indexed="64"/>
      </patternFill>
    </fill>
    <fill>
      <patternFill patternType="solid">
        <fgColor rgb="FF1565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455A64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5F5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6A1B9A"/>
        <bgColor indexed="64"/>
      </patternFill>
    </fill>
    <fill>
      <patternFill patternType="solid">
        <fgColor rgb="FFFFF3E0"/>
        <bgColor indexed="64"/>
      </patternFill>
    </fill>
    <fill>
      <patternFill patternType="solid">
        <fgColor rgb="FFE8F5E9"/>
        <bgColor indexed="64"/>
      </patternFill>
    </fill>
    <fill>
      <patternFill patternType="solid">
        <fgColor rgb="FFFFEBEE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C62828"/>
        <bgColor indexed="64"/>
      </patternFill>
    </fill>
    <fill>
      <patternFill patternType="solid">
        <fgColor rgb="FFEF6C00"/>
        <bgColor indexed="64"/>
      </patternFill>
    </fill>
    <fill>
      <patternFill patternType="solid">
        <fgColor rgb="FF00838F"/>
        <bgColor indexed="64"/>
      </patternFill>
    </fill>
    <fill>
      <patternFill patternType="solid">
        <fgColor rgb="FFE0F7FA"/>
        <bgColor indexed="64"/>
      </patternFill>
    </fill>
    <fill>
      <patternFill patternType="solid">
        <fgColor rgb="FFF4F6FA"/>
        <bgColor indexed="64"/>
      </patternFill>
    </fill>
    <fill>
      <patternFill patternType="solid">
        <fgColor rgb="FF1F2A44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5D4037"/>
        <bgColor indexed="64"/>
      </patternFill>
    </fill>
    <fill>
      <patternFill patternType="solid">
        <fgColor rgb="FF7B1FA2"/>
        <bgColor indexed="64"/>
      </patternFill>
    </fill>
    <fill>
      <patternFill patternType="solid">
        <fgColor rgb="FFF5F9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C0392B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34495E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78909C"/>
        <bgColor indexed="64"/>
      </patternFill>
    </fill>
    <fill>
      <patternFill patternType="solid">
        <fgColor rgb="FF16A085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D5F5E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BE9E7"/>
        <bgColor indexed="64"/>
      </patternFill>
    </fill>
    <fill>
      <patternFill patternType="solid">
        <fgColor rgb="FFFDF2E9"/>
        <bgColor indexed="64"/>
      </patternFill>
    </fill>
    <fill>
      <patternFill patternType="solid">
        <fgColor rgb="FFB71C1C"/>
        <bgColor indexed="64"/>
      </patternFill>
    </fill>
  </fills>
  <borders count="56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FD8DC"/>
      </left>
      <right style="thin">
        <color rgb="FFCFD8DC"/>
      </right>
      <top style="thin">
        <color rgb="FFCFD8DC"/>
      </top>
      <bottom style="thin">
        <color rgb="FFCFD8DC"/>
      </bottom>
      <diagonal/>
    </border>
    <border>
      <left style="thick">
        <color rgb="FF00838F"/>
      </left>
      <right style="thick">
        <color rgb="FF00838F"/>
      </right>
      <top style="thick">
        <color rgb="FF00838F"/>
      </top>
      <bottom style="thick">
        <color rgb="FF00838F"/>
      </bottom>
      <diagonal/>
    </border>
    <border>
      <left style="thin">
        <color rgb="FFA5D6A7"/>
      </left>
      <right style="thin">
        <color rgb="FFA5D6A7"/>
      </right>
      <top style="thin">
        <color rgb="FFA5D6A7"/>
      </top>
      <bottom style="thin">
        <color rgb="FFA5D6A7"/>
      </bottom>
      <diagonal/>
    </border>
    <border>
      <left/>
      <right/>
      <top style="thin">
        <color rgb="FFB0BEC5"/>
      </top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n">
        <color rgb="FFB0BEC5"/>
      </left>
      <right style="thin">
        <color rgb="FFB0BEC5"/>
      </right>
      <top style="thin">
        <color rgb="FFB0BEC5"/>
      </top>
      <bottom style="thin">
        <color rgb="FFB0BEC5"/>
      </bottom>
      <diagonal/>
    </border>
    <border>
      <left style="thick">
        <color rgb="FF2E7D32"/>
      </left>
      <right style="thick">
        <color rgb="FF2E7D32"/>
      </right>
      <top style="thick">
        <color rgb="FF2E7D32"/>
      </top>
      <bottom style="thick">
        <color rgb="FF2E7D3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6A1B9A"/>
      </left>
      <right style="thick">
        <color rgb="FF6A1B9A"/>
      </right>
      <top style="thick">
        <color rgb="FF6A1B9A"/>
      </top>
      <bottom style="thick">
        <color rgb="FF6A1B9A"/>
      </bottom>
      <diagonal/>
    </border>
    <border>
      <left style="thin">
        <color rgb="FF6A1B9A"/>
      </left>
      <right style="thin">
        <color rgb="FF6A1B9A"/>
      </right>
      <top style="thin">
        <color rgb="FF6A1B9A"/>
      </top>
      <bottom style="thin">
        <color rgb="FF6A1B9A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 style="thin">
        <color rgb="FF000000"/>
      </left>
      <right style="thin">
        <color rgb="FF000000"/>
      </right>
      <top style="thin">
        <color rgb="FFB0BEC5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</borders>
  <cellStyleXfs count="18">
    <xf numFmtId="0" fontId="0" fillId="0" borderId="0"/>
    <xf numFmtId="0" fontId="92" fillId="0" borderId="0"/>
    <xf numFmtId="0" fontId="92" fillId="0" borderId="0"/>
    <xf numFmtId="0" fontId="93" fillId="0" borderId="0"/>
    <xf numFmtId="0" fontId="92" fillId="0" borderId="0"/>
    <xf numFmtId="0" fontId="96" fillId="0" borderId="0"/>
    <xf numFmtId="0" fontId="94" fillId="0" borderId="0"/>
    <xf numFmtId="0" fontId="96" fillId="0" borderId="0"/>
    <xf numFmtId="0" fontId="92" fillId="0" borderId="0"/>
    <xf numFmtId="0" fontId="93" fillId="0" borderId="0"/>
    <xf numFmtId="9" fontId="91" fillId="0" borderId="0" applyFont="0" applyFill="0" applyBorder="0" applyAlignment="0" applyProtection="0"/>
    <xf numFmtId="164" fontId="95" fillId="0" borderId="55" applyNumberFormat="0" applyProtection="0">
      <alignment horizontal="right" vertical="center"/>
    </xf>
    <xf numFmtId="0" fontId="79" fillId="0" borderId="0">
      <alignment vertical="top"/>
    </xf>
    <xf numFmtId="165" fontId="93" fillId="0" borderId="0" applyFont="0" applyFill="0" applyBorder="0" applyAlignment="0" applyProtection="0"/>
    <xf numFmtId="0" fontId="93" fillId="0" borderId="0"/>
    <xf numFmtId="0" fontId="93" fillId="0" borderId="0"/>
    <xf numFmtId="166" fontId="96" fillId="0" borderId="0"/>
    <xf numFmtId="0" fontId="79" fillId="0" borderId="0">
      <alignment vertical="top"/>
    </xf>
  </cellStyleXfs>
  <cellXfs count="389">
    <xf numFmtId="0" fontId="0" fillId="0" borderId="0" xfId="0"/>
    <xf numFmtId="0" fontId="5" fillId="6" borderId="0" xfId="7" applyFont="1" applyFill="1" applyAlignment="1">
      <alignment horizontal="center" vertical="center"/>
    </xf>
    <xf numFmtId="0" fontId="6" fillId="7" borderId="1" xfId="7" applyFont="1" applyFill="1" applyBorder="1" applyAlignment="1">
      <alignment horizontal="center" vertical="center"/>
    </xf>
    <xf numFmtId="0" fontId="7" fillId="8" borderId="2" xfId="7" applyFont="1" applyFill="1" applyBorder="1" applyAlignment="1">
      <alignment horizontal="center" vertical="center"/>
    </xf>
    <xf numFmtId="0" fontId="8" fillId="9" borderId="2" xfId="7" applyFont="1" applyFill="1" applyBorder="1" applyAlignment="1">
      <alignment horizontal="left" vertical="center" indent="1"/>
    </xf>
    <xf numFmtId="0" fontId="9" fillId="10" borderId="2" xfId="7" applyFont="1" applyFill="1" applyBorder="1" applyAlignment="1">
      <alignment horizontal="left" vertical="center" indent="1"/>
    </xf>
    <xf numFmtId="0" fontId="10" fillId="11" borderId="2" xfId="7" applyFont="1" applyFill="1" applyBorder="1" applyAlignment="1">
      <alignment horizontal="center" vertical="center"/>
    </xf>
    <xf numFmtId="0" fontId="11" fillId="12" borderId="2" xfId="7" applyFont="1" applyFill="1" applyBorder="1" applyAlignment="1">
      <alignment horizontal="center" vertical="center"/>
    </xf>
    <xf numFmtId="0" fontId="12" fillId="9" borderId="2" xfId="7" applyFont="1" applyFill="1" applyBorder="1" applyAlignment="1">
      <alignment horizontal="left" vertical="center" indent="1"/>
    </xf>
    <xf numFmtId="0" fontId="13" fillId="14" borderId="2" xfId="7" applyFont="1" applyFill="1" applyBorder="1" applyAlignment="1">
      <alignment horizontal="center" vertical="center"/>
    </xf>
    <xf numFmtId="0" fontId="14" fillId="15" borderId="2" xfId="7" applyFont="1" applyFill="1" applyBorder="1" applyAlignment="1">
      <alignment horizontal="left" vertical="center" indent="1"/>
    </xf>
    <xf numFmtId="0" fontId="15" fillId="16" borderId="2" xfId="7" applyFont="1" applyFill="1" applyBorder="1" applyAlignment="1">
      <alignment horizontal="left" vertical="center" indent="1"/>
    </xf>
    <xf numFmtId="0" fontId="4" fillId="17" borderId="2" xfId="7" applyFont="1" applyFill="1" applyBorder="1" applyAlignment="1">
      <alignment horizontal="center" vertical="center"/>
    </xf>
    <xf numFmtId="0" fontId="16" fillId="9" borderId="2" xfId="7" applyFont="1" applyFill="1" applyBorder="1" applyAlignment="1">
      <alignment horizontal="left" vertical="center" indent="1"/>
    </xf>
    <xf numFmtId="0" fontId="17" fillId="16" borderId="2" xfId="7" applyFont="1" applyFill="1" applyBorder="1" applyAlignment="1">
      <alignment horizontal="center" vertical="center"/>
    </xf>
    <xf numFmtId="0" fontId="18" fillId="8" borderId="2" xfId="7" applyFont="1" applyFill="1" applyBorder="1" applyAlignment="1">
      <alignment horizontal="left" vertical="center" indent="1"/>
    </xf>
    <xf numFmtId="0" fontId="19" fillId="14" borderId="2" xfId="7" applyFont="1" applyFill="1" applyBorder="1" applyAlignment="1">
      <alignment horizontal="center" vertical="center"/>
    </xf>
    <xf numFmtId="0" fontId="20" fillId="10" borderId="2" xfId="7" applyFont="1" applyFill="1" applyBorder="1" applyAlignment="1">
      <alignment horizontal="center" vertical="center"/>
    </xf>
    <xf numFmtId="0" fontId="21" fillId="10" borderId="2" xfId="7" applyFont="1" applyFill="1" applyBorder="1" applyAlignment="1">
      <alignment horizontal="center" vertical="center"/>
    </xf>
    <xf numFmtId="0" fontId="22" fillId="12" borderId="2" xfId="7" applyFont="1" applyFill="1" applyBorder="1" applyAlignment="1">
      <alignment horizontal="center" vertical="center"/>
    </xf>
    <xf numFmtId="0" fontId="29" fillId="13" borderId="6" xfId="7" applyFont="1" applyFill="1" applyBorder="1" applyAlignment="1">
      <alignment horizontal="center" vertical="center"/>
    </xf>
    <xf numFmtId="0" fontId="30" fillId="4" borderId="7" xfId="7" applyFont="1" applyFill="1" applyBorder="1" applyAlignment="1">
      <alignment horizontal="center" vertical="center"/>
    </xf>
    <xf numFmtId="3" fontId="31" fillId="9" borderId="7" xfId="7" applyNumberFormat="1" applyFont="1" applyFill="1" applyBorder="1" applyAlignment="1">
      <alignment horizontal="center" vertical="center"/>
    </xf>
    <xf numFmtId="10" fontId="31" fillId="9" borderId="7" xfId="7" applyNumberFormat="1" applyFont="1" applyFill="1" applyBorder="1" applyAlignment="1">
      <alignment horizontal="center" vertical="center"/>
    </xf>
    <xf numFmtId="168" fontId="31" fillId="9" borderId="7" xfId="7" applyNumberFormat="1" applyFont="1" applyFill="1" applyBorder="1" applyAlignment="1">
      <alignment horizontal="center" vertical="center"/>
    </xf>
    <xf numFmtId="0" fontId="31" fillId="9" borderId="7" xfId="7" applyFont="1" applyFill="1" applyBorder="1" applyAlignment="1">
      <alignment horizontal="center" vertical="center"/>
    </xf>
    <xf numFmtId="0" fontId="1" fillId="0" borderId="0" xfId="7" applyFont="1"/>
    <xf numFmtId="0" fontId="33" fillId="7" borderId="1" xfId="7" applyFont="1" applyFill="1" applyBorder="1" applyAlignment="1">
      <alignment horizontal="center" vertical="center"/>
    </xf>
    <xf numFmtId="0" fontId="34" fillId="4" borderId="2" xfId="7" applyFont="1" applyFill="1" applyBorder="1" applyAlignment="1">
      <alignment horizontal="left" vertical="center" indent="1"/>
    </xf>
    <xf numFmtId="0" fontId="23" fillId="9" borderId="2" xfId="7" applyFont="1" applyFill="1" applyBorder="1" applyAlignment="1">
      <alignment horizontal="center" vertical="center"/>
    </xf>
    <xf numFmtId="3" fontId="23" fillId="9" borderId="2" xfId="7" applyNumberFormat="1" applyFont="1" applyFill="1" applyBorder="1" applyAlignment="1">
      <alignment horizontal="center" vertical="center"/>
    </xf>
    <xf numFmtId="167" fontId="23" fillId="9" borderId="2" xfId="7" applyNumberFormat="1" applyFont="1" applyFill="1" applyBorder="1" applyAlignment="1">
      <alignment horizontal="center" vertical="center"/>
    </xf>
    <xf numFmtId="0" fontId="30" fillId="4" borderId="2" xfId="7" applyFont="1" applyFill="1" applyBorder="1" applyAlignment="1">
      <alignment horizontal="right" vertical="center" indent="1"/>
    </xf>
    <xf numFmtId="0" fontId="36" fillId="9" borderId="2" xfId="7" applyFont="1" applyFill="1" applyBorder="1" applyAlignment="1">
      <alignment horizontal="center" vertical="center"/>
    </xf>
    <xf numFmtId="0" fontId="36" fillId="27" borderId="2" xfId="7" applyFont="1" applyFill="1" applyBorder="1" applyAlignment="1">
      <alignment horizontal="center" vertical="center"/>
    </xf>
    <xf numFmtId="3" fontId="36" fillId="9" borderId="2" xfId="7" applyNumberFormat="1" applyFont="1" applyFill="1" applyBorder="1" applyAlignment="1">
      <alignment horizontal="center" vertical="center"/>
    </xf>
    <xf numFmtId="3" fontId="36" fillId="27" borderId="2" xfId="7" applyNumberFormat="1" applyFont="1" applyFill="1" applyBorder="1" applyAlignment="1">
      <alignment horizontal="center" vertical="center"/>
    </xf>
    <xf numFmtId="0" fontId="37" fillId="6" borderId="0" xfId="7" applyFont="1" applyFill="1"/>
    <xf numFmtId="0" fontId="96" fillId="28" borderId="9" xfId="7" applyFill="1" applyBorder="1" applyProtection="1">
      <protection locked="0"/>
    </xf>
    <xf numFmtId="0" fontId="96" fillId="29" borderId="9" xfId="7" applyFill="1" applyBorder="1" applyProtection="1">
      <protection locked="0"/>
    </xf>
    <xf numFmtId="0" fontId="96" fillId="9" borderId="9" xfId="7" applyFill="1" applyBorder="1"/>
    <xf numFmtId="0" fontId="7" fillId="4" borderId="2" xfId="7" applyFont="1" applyFill="1" applyBorder="1" applyAlignment="1">
      <alignment horizontal="right" vertical="center" indent="1"/>
    </xf>
    <xf numFmtId="0" fontId="7" fillId="9" borderId="2" xfId="7" applyFont="1" applyFill="1" applyBorder="1" applyAlignment="1">
      <alignment horizontal="center" vertical="center"/>
    </xf>
    <xf numFmtId="0" fontId="39" fillId="14" borderId="2" xfId="7" applyFont="1" applyFill="1" applyBorder="1" applyAlignment="1">
      <alignment horizontal="center" vertical="center"/>
    </xf>
    <xf numFmtId="0" fontId="40" fillId="4" borderId="2" xfId="7" applyFont="1" applyFill="1" applyBorder="1" applyAlignment="1">
      <alignment horizontal="right" vertical="center" indent="1"/>
    </xf>
    <xf numFmtId="0" fontId="41" fillId="9" borderId="2" xfId="7" applyFont="1" applyFill="1" applyBorder="1" applyAlignment="1">
      <alignment horizontal="left" vertical="center" indent="1"/>
    </xf>
    <xf numFmtId="0" fontId="35" fillId="15" borderId="8" xfId="7" applyFont="1" applyFill="1" applyBorder="1" applyAlignment="1">
      <alignment horizontal="center" vertical="center"/>
    </xf>
    <xf numFmtId="0" fontId="42" fillId="9" borderId="2" xfId="7" applyFont="1" applyFill="1" applyBorder="1" applyAlignment="1">
      <alignment horizontal="center" vertical="center"/>
    </xf>
    <xf numFmtId="0" fontId="6" fillId="13" borderId="1" xfId="7" applyFont="1" applyFill="1" applyBorder="1" applyAlignment="1">
      <alignment horizontal="center" vertical="center"/>
    </xf>
    <xf numFmtId="49" fontId="96" fillId="29" borderId="9" xfId="7" applyNumberFormat="1" applyFill="1" applyBorder="1" applyProtection="1">
      <protection locked="0"/>
    </xf>
    <xf numFmtId="49" fontId="96" fillId="9" borderId="9" xfId="7" applyNumberFormat="1" applyFill="1" applyBorder="1"/>
    <xf numFmtId="49" fontId="96" fillId="28" borderId="9" xfId="7" applyNumberFormat="1" applyFill="1" applyBorder="1" applyProtection="1">
      <protection locked="0"/>
    </xf>
    <xf numFmtId="49" fontId="96" fillId="0" borderId="0" xfId="7" applyNumberFormat="1"/>
    <xf numFmtId="3" fontId="41" fillId="8" borderId="11" xfId="7" applyNumberFormat="1" applyFont="1" applyFill="1" applyBorder="1" applyAlignment="1">
      <alignment horizontal="center" vertical="center"/>
    </xf>
    <xf numFmtId="3" fontId="41" fillId="9" borderId="2" xfId="7" applyNumberFormat="1" applyFont="1" applyFill="1" applyBorder="1" applyAlignment="1">
      <alignment horizontal="center" vertical="center"/>
    </xf>
    <xf numFmtId="3" fontId="39" fillId="9" borderId="2" xfId="7" applyNumberFormat="1" applyFont="1" applyFill="1" applyBorder="1" applyAlignment="1">
      <alignment horizontal="center" vertical="center"/>
    </xf>
    <xf numFmtId="3" fontId="43" fillId="9" borderId="2" xfId="7" applyNumberFormat="1" applyFont="1" applyFill="1" applyBorder="1" applyAlignment="1">
      <alignment horizontal="center" vertical="center"/>
    </xf>
    <xf numFmtId="0" fontId="12" fillId="9" borderId="2" xfId="7" applyFont="1" applyFill="1" applyBorder="1" applyAlignment="1">
      <alignment horizontal="center" vertical="center"/>
    </xf>
    <xf numFmtId="0" fontId="16" fillId="8" borderId="2" xfId="7" applyFont="1" applyFill="1" applyBorder="1" applyAlignment="1">
      <alignment horizontal="left" vertical="center" indent="1"/>
    </xf>
    <xf numFmtId="0" fontId="12" fillId="8" borderId="2" xfId="7" applyFont="1" applyFill="1" applyBorder="1" applyAlignment="1">
      <alignment horizontal="center" vertical="center"/>
    </xf>
    <xf numFmtId="0" fontId="4" fillId="23" borderId="12" xfId="7" applyFont="1" applyFill="1" applyBorder="1" applyAlignment="1">
      <alignment horizontal="center" vertical="center"/>
    </xf>
    <xf numFmtId="3" fontId="4" fillId="23" borderId="12" xfId="7" applyNumberFormat="1" applyFont="1" applyFill="1" applyBorder="1" applyAlignment="1">
      <alignment horizontal="center" vertical="center"/>
    </xf>
    <xf numFmtId="0" fontId="34" fillId="9" borderId="2" xfId="7" applyFont="1" applyFill="1" applyBorder="1" applyAlignment="1">
      <alignment horizontal="left" vertical="center" indent="1"/>
    </xf>
    <xf numFmtId="0" fontId="6" fillId="7" borderId="6" xfId="7" applyFont="1" applyFill="1" applyBorder="1" applyAlignment="1">
      <alignment horizontal="center" vertical="center"/>
    </xf>
    <xf numFmtId="0" fontId="45" fillId="0" borderId="0" xfId="7" applyFont="1" applyAlignment="1">
      <alignment horizontal="center"/>
    </xf>
    <xf numFmtId="0" fontId="46" fillId="0" borderId="9" xfId="7" applyFont="1" applyBorder="1" applyAlignment="1">
      <alignment horizontal="center"/>
    </xf>
    <xf numFmtId="0" fontId="46" fillId="31" borderId="0" xfId="7" applyFont="1" applyFill="1" applyAlignment="1">
      <alignment horizontal="center"/>
    </xf>
    <xf numFmtId="0" fontId="46" fillId="0" borderId="0" xfId="7" applyFont="1" applyAlignment="1">
      <alignment horizontal="center"/>
    </xf>
    <xf numFmtId="0" fontId="47" fillId="0" borderId="0" xfId="7" applyFont="1" applyAlignment="1">
      <alignment horizontal="center"/>
    </xf>
    <xf numFmtId="0" fontId="48" fillId="0" borderId="0" xfId="7" applyFont="1" applyAlignment="1">
      <alignment horizontal="center"/>
    </xf>
    <xf numFmtId="0" fontId="4" fillId="13" borderId="1" xfId="7" applyFont="1" applyFill="1" applyBorder="1" applyAlignment="1">
      <alignment horizontal="center" vertical="center"/>
    </xf>
    <xf numFmtId="0" fontId="50" fillId="0" borderId="0" xfId="8" applyFont="1" applyAlignment="1">
      <alignment horizontal="center"/>
    </xf>
    <xf numFmtId="0" fontId="51" fillId="0" borderId="0" xfId="8" applyFont="1" applyAlignment="1">
      <alignment horizontal="center"/>
    </xf>
    <xf numFmtId="0" fontId="49" fillId="0" borderId="0" xfId="8" applyFont="1" applyAlignment="1">
      <alignment horizontal="center" vertical="center"/>
    </xf>
    <xf numFmtId="0" fontId="49" fillId="0" borderId="0" xfId="8" applyFont="1" applyAlignment="1">
      <alignment horizontal="center"/>
    </xf>
    <xf numFmtId="0" fontId="52" fillId="0" borderId="0" xfId="8" applyFont="1" applyAlignment="1">
      <alignment horizontal="center"/>
    </xf>
    <xf numFmtId="15" fontId="49" fillId="0" borderId="0" xfId="8" applyNumberFormat="1" applyFont="1" applyAlignment="1">
      <alignment horizontal="center"/>
    </xf>
    <xf numFmtId="49" fontId="47" fillId="0" borderId="0" xfId="8" applyNumberFormat="1" applyFont="1" applyAlignment="1">
      <alignment horizontal="center" vertical="center" wrapText="1"/>
    </xf>
    <xf numFmtId="49" fontId="47" fillId="0" borderId="0" xfId="8" applyNumberFormat="1" applyFont="1" applyAlignment="1">
      <alignment horizontal="center" vertical="center"/>
    </xf>
    <xf numFmtId="0" fontId="1" fillId="0" borderId="0" xfId="7" applyFont="1" applyAlignment="1">
      <alignment horizontal="center"/>
    </xf>
    <xf numFmtId="0" fontId="49" fillId="0" borderId="0" xfId="8" applyFont="1" applyAlignment="1">
      <alignment horizontal="left"/>
    </xf>
    <xf numFmtId="0" fontId="46" fillId="0" borderId="0" xfId="7" applyFont="1" applyAlignment="1">
      <alignment horizontal="left"/>
    </xf>
    <xf numFmtId="0" fontId="45" fillId="0" borderId="0" xfId="7" applyFont="1" applyAlignment="1">
      <alignment horizontal="left"/>
    </xf>
    <xf numFmtId="0" fontId="47" fillId="0" borderId="0" xfId="8" applyFont="1" applyAlignment="1">
      <alignment horizontal="center"/>
    </xf>
    <xf numFmtId="0" fontId="50" fillId="0" borderId="0" xfId="8" applyFont="1" applyAlignment="1">
      <alignment horizontal="left"/>
    </xf>
    <xf numFmtId="16" fontId="49" fillId="0" borderId="0" xfId="8" applyNumberFormat="1" applyFont="1" applyAlignment="1">
      <alignment horizontal="center"/>
    </xf>
    <xf numFmtId="14" fontId="50" fillId="0" borderId="0" xfId="8" applyNumberFormat="1" applyFont="1" applyAlignment="1">
      <alignment horizontal="center" vertical="center"/>
    </xf>
    <xf numFmtId="49" fontId="49" fillId="0" borderId="0" xfId="8" applyNumberFormat="1" applyFont="1" applyAlignment="1">
      <alignment horizontal="center"/>
    </xf>
    <xf numFmtId="0" fontId="49" fillId="32" borderId="0" xfId="7" applyFont="1" applyFill="1" applyAlignment="1">
      <alignment horizontal="center" vertical="center"/>
    </xf>
    <xf numFmtId="0" fontId="49" fillId="33" borderId="18" xfId="8" applyFont="1" applyFill="1" applyBorder="1" applyAlignment="1">
      <alignment horizontal="center" vertical="center" wrapText="1"/>
    </xf>
    <xf numFmtId="0" fontId="49" fillId="33" borderId="17" xfId="8" applyFont="1" applyFill="1" applyBorder="1" applyAlignment="1">
      <alignment horizontal="center" vertical="center"/>
    </xf>
    <xf numFmtId="0" fontId="49" fillId="0" borderId="19" xfId="8" applyFont="1" applyBorder="1" applyAlignment="1">
      <alignment horizontal="center" vertical="center"/>
    </xf>
    <xf numFmtId="0" fontId="49" fillId="0" borderId="17" xfId="8" applyFont="1" applyBorder="1" applyAlignment="1">
      <alignment horizontal="center" vertical="center"/>
    </xf>
    <xf numFmtId="0" fontId="49" fillId="0" borderId="20" xfId="8" applyFont="1" applyBorder="1" applyAlignment="1">
      <alignment horizontal="center" vertical="center"/>
    </xf>
    <xf numFmtId="0" fontId="49" fillId="33" borderId="22" xfId="8" applyFont="1" applyFill="1" applyBorder="1" applyAlignment="1">
      <alignment horizontal="center" vertical="center" wrapText="1"/>
    </xf>
    <xf numFmtId="0" fontId="49" fillId="33" borderId="23" xfId="8" applyFont="1" applyFill="1" applyBorder="1" applyAlignment="1">
      <alignment horizontal="center" vertical="center" wrapText="1"/>
    </xf>
    <xf numFmtId="0" fontId="46" fillId="34" borderId="21" xfId="7" applyFont="1" applyFill="1" applyBorder="1" applyAlignment="1">
      <alignment horizontal="center" vertical="center"/>
    </xf>
    <xf numFmtId="0" fontId="46" fillId="34" borderId="22" xfId="7" applyFont="1" applyFill="1" applyBorder="1" applyAlignment="1">
      <alignment horizontal="center" vertical="center"/>
    </xf>
    <xf numFmtId="0" fontId="49" fillId="33" borderId="24" xfId="8" applyFont="1" applyFill="1" applyBorder="1" applyAlignment="1">
      <alignment horizontal="center" vertical="center" wrapText="1"/>
    </xf>
    <xf numFmtId="0" fontId="49" fillId="33" borderId="25" xfId="8" applyFont="1" applyFill="1" applyBorder="1" applyAlignment="1">
      <alignment horizontal="center" vertical="center" wrapText="1"/>
    </xf>
    <xf numFmtId="0" fontId="50" fillId="0" borderId="26" xfId="8" applyFont="1" applyBorder="1" applyAlignment="1">
      <alignment horizontal="center"/>
    </xf>
    <xf numFmtId="0" fontId="50" fillId="0" borderId="9" xfId="8" applyFont="1" applyBorder="1" applyAlignment="1">
      <alignment horizontal="center"/>
    </xf>
    <xf numFmtId="0" fontId="49" fillId="32" borderId="27" xfId="8" applyFont="1" applyFill="1" applyBorder="1" applyAlignment="1">
      <alignment horizontal="center" vertical="center" wrapText="1"/>
    </xf>
    <xf numFmtId="0" fontId="45" fillId="0" borderId="26" xfId="7" applyFont="1" applyBorder="1" applyAlignment="1">
      <alignment horizontal="center"/>
    </xf>
    <xf numFmtId="0" fontId="45" fillId="0" borderId="9" xfId="7" applyFont="1" applyBorder="1" applyAlignment="1">
      <alignment horizontal="center"/>
    </xf>
    <xf numFmtId="2" fontId="50" fillId="32" borderId="9" xfId="7" applyNumberFormat="1" applyFont="1" applyFill="1" applyBorder="1" applyAlignment="1">
      <alignment horizontal="center" vertical="center"/>
    </xf>
    <xf numFmtId="2" fontId="50" fillId="32" borderId="28" xfId="7" applyNumberFormat="1" applyFont="1" applyFill="1" applyBorder="1" applyAlignment="1">
      <alignment horizontal="center" vertical="center"/>
    </xf>
    <xf numFmtId="0" fontId="45" fillId="32" borderId="29" xfId="7" applyFont="1" applyFill="1" applyBorder="1" applyAlignment="1">
      <alignment horizontal="center"/>
    </xf>
    <xf numFmtId="169" fontId="46" fillId="0" borderId="0" xfId="7" applyNumberFormat="1" applyFont="1" applyAlignment="1">
      <alignment horizontal="center"/>
    </xf>
    <xf numFmtId="0" fontId="50" fillId="31" borderId="31" xfId="8" applyFont="1" applyFill="1" applyBorder="1" applyAlignment="1">
      <alignment horizontal="center" vertical="center" wrapText="1"/>
    </xf>
    <xf numFmtId="49" fontId="50" fillId="31" borderId="31" xfId="8" applyNumberFormat="1" applyFont="1" applyFill="1" applyBorder="1" applyAlignment="1">
      <alignment horizontal="center" vertical="center"/>
    </xf>
    <xf numFmtId="0" fontId="50" fillId="31" borderId="31" xfId="8" applyFont="1" applyFill="1" applyBorder="1" applyAlignment="1">
      <alignment horizontal="center" vertical="center"/>
    </xf>
    <xf numFmtId="0" fontId="49" fillId="35" borderId="31" xfId="8" applyFont="1" applyFill="1" applyBorder="1" applyAlignment="1">
      <alignment horizontal="center" vertical="center"/>
    </xf>
    <xf numFmtId="0" fontId="49" fillId="31" borderId="32" xfId="8" applyFont="1" applyFill="1" applyBorder="1" applyAlignment="1">
      <alignment horizontal="center" vertical="center"/>
    </xf>
    <xf numFmtId="0" fontId="50" fillId="32" borderId="0" xfId="8" applyFont="1" applyFill="1" applyAlignment="1">
      <alignment horizontal="center" vertical="center" wrapText="1"/>
    </xf>
    <xf numFmtId="49" fontId="50" fillId="32" borderId="0" xfId="8" applyNumberFormat="1" applyFont="1" applyFill="1" applyAlignment="1">
      <alignment horizontal="center" vertical="center"/>
    </xf>
    <xf numFmtId="0" fontId="50" fillId="32" borderId="0" xfId="8" applyFont="1" applyFill="1" applyAlignment="1">
      <alignment horizontal="center" vertical="center"/>
    </xf>
    <xf numFmtId="0" fontId="49" fillId="32" borderId="0" xfId="8" applyFont="1" applyFill="1" applyAlignment="1">
      <alignment horizontal="center" vertical="center"/>
    </xf>
    <xf numFmtId="0" fontId="49" fillId="31" borderId="9" xfId="8" applyFont="1" applyFill="1" applyBorder="1" applyAlignment="1">
      <alignment horizontal="center" vertical="center"/>
    </xf>
    <xf numFmtId="0" fontId="53" fillId="0" borderId="34" xfId="8" applyFont="1" applyBorder="1" applyAlignment="1">
      <alignment horizontal="center" vertical="center"/>
    </xf>
    <xf numFmtId="0" fontId="53" fillId="0" borderId="34" xfId="8" applyFont="1" applyBorder="1" applyAlignment="1">
      <alignment horizontal="center"/>
    </xf>
    <xf numFmtId="0" fontId="53" fillId="0" borderId="35" xfId="8" applyFont="1" applyBorder="1" applyAlignment="1">
      <alignment horizontal="center"/>
    </xf>
    <xf numFmtId="0" fontId="53" fillId="0" borderId="0" xfId="8" applyFont="1" applyAlignment="1">
      <alignment horizontal="center" vertical="center"/>
    </xf>
    <xf numFmtId="0" fontId="53" fillId="0" borderId="0" xfId="8" applyFont="1" applyAlignment="1">
      <alignment horizontal="center"/>
    </xf>
    <xf numFmtId="1" fontId="53" fillId="0" borderId="0" xfId="8" applyNumberFormat="1" applyFont="1" applyAlignment="1">
      <alignment horizontal="center"/>
    </xf>
    <xf numFmtId="0" fontId="96" fillId="0" borderId="9" xfId="7" applyBorder="1" applyAlignment="1">
      <alignment horizontal="center"/>
    </xf>
    <xf numFmtId="0" fontId="48" fillId="0" borderId="9" xfId="7" applyFont="1" applyBorder="1" applyAlignment="1">
      <alignment horizontal="center"/>
    </xf>
    <xf numFmtId="0" fontId="48" fillId="0" borderId="9" xfId="7" applyFont="1" applyBorder="1" applyAlignment="1">
      <alignment horizontal="center" vertical="center"/>
    </xf>
    <xf numFmtId="0" fontId="47" fillId="0" borderId="33" xfId="7" applyFont="1" applyBorder="1" applyAlignment="1">
      <alignment horizontal="center"/>
    </xf>
    <xf numFmtId="0" fontId="47" fillId="0" borderId="35" xfId="7" applyFont="1" applyBorder="1" applyAlignment="1">
      <alignment horizontal="center"/>
    </xf>
    <xf numFmtId="0" fontId="47" fillId="36" borderId="39" xfId="7" applyFont="1" applyFill="1" applyBorder="1" applyAlignment="1">
      <alignment horizontal="center"/>
    </xf>
    <xf numFmtId="0" fontId="46" fillId="34" borderId="40" xfId="7" applyFont="1" applyFill="1" applyBorder="1" applyAlignment="1">
      <alignment horizontal="center" vertical="center"/>
    </xf>
    <xf numFmtId="0" fontId="47" fillId="36" borderId="40" xfId="7" applyFont="1" applyFill="1" applyBorder="1" applyAlignment="1">
      <alignment horizontal="center"/>
    </xf>
    <xf numFmtId="0" fontId="47" fillId="36" borderId="41" xfId="7" applyFont="1" applyFill="1" applyBorder="1" applyAlignment="1">
      <alignment horizontal="center"/>
    </xf>
    <xf numFmtId="0" fontId="47" fillId="0" borderId="16" xfId="7" applyFont="1" applyBorder="1" applyAlignment="1">
      <alignment horizontal="center"/>
    </xf>
    <xf numFmtId="0" fontId="47" fillId="0" borderId="17" xfId="7" applyFont="1" applyBorder="1" applyAlignment="1">
      <alignment horizontal="center"/>
    </xf>
    <xf numFmtId="0" fontId="47" fillId="0" borderId="42" xfId="7" applyFont="1" applyBorder="1" applyAlignment="1">
      <alignment horizontal="center"/>
    </xf>
    <xf numFmtId="0" fontId="47" fillId="0" borderId="43" xfId="7" applyFont="1" applyBorder="1" applyAlignment="1">
      <alignment horizontal="center"/>
    </xf>
    <xf numFmtId="0" fontId="47" fillId="0" borderId="44" xfId="7" applyFont="1" applyBorder="1" applyAlignment="1">
      <alignment horizontal="center"/>
    </xf>
    <xf numFmtId="0" fontId="47" fillId="0" borderId="45" xfId="7" applyFont="1" applyBorder="1" applyAlignment="1">
      <alignment horizontal="center"/>
    </xf>
    <xf numFmtId="0" fontId="47" fillId="0" borderId="46" xfId="7" applyFont="1" applyBorder="1" applyAlignment="1">
      <alignment horizontal="center"/>
    </xf>
    <xf numFmtId="0" fontId="47" fillId="0" borderId="47" xfId="7" applyFont="1" applyBorder="1" applyAlignment="1">
      <alignment horizontal="center"/>
    </xf>
    <xf numFmtId="0" fontId="47" fillId="0" borderId="31" xfId="7" applyFont="1" applyBorder="1" applyAlignment="1">
      <alignment horizontal="center"/>
    </xf>
    <xf numFmtId="0" fontId="47" fillId="0" borderId="48" xfId="7" applyFont="1" applyBorder="1" applyAlignment="1">
      <alignment horizontal="center"/>
    </xf>
    <xf numFmtId="0" fontId="47" fillId="32" borderId="0" xfId="7" applyFont="1" applyFill="1" applyAlignment="1">
      <alignment horizontal="center"/>
    </xf>
    <xf numFmtId="0" fontId="47" fillId="0" borderId="49" xfId="7" applyFont="1" applyBorder="1" applyAlignment="1">
      <alignment horizontal="center"/>
    </xf>
    <xf numFmtId="9" fontId="46" fillId="0" borderId="31" xfId="10" applyFont="1" applyBorder="1" applyAlignment="1">
      <alignment horizontal="center" vertical="center"/>
    </xf>
    <xf numFmtId="0" fontId="47" fillId="0" borderId="32" xfId="7" applyFont="1" applyBorder="1" applyAlignment="1">
      <alignment horizontal="center"/>
    </xf>
    <xf numFmtId="14" fontId="47" fillId="32" borderId="0" xfId="7" applyNumberFormat="1" applyFont="1" applyFill="1" applyAlignment="1">
      <alignment horizontal="center"/>
    </xf>
    <xf numFmtId="0" fontId="54" fillId="38" borderId="9" xfId="7" applyFont="1" applyFill="1" applyBorder="1" applyAlignment="1">
      <alignment horizontal="center" vertical="center"/>
    </xf>
    <xf numFmtId="0" fontId="55" fillId="39" borderId="9" xfId="7" applyFont="1" applyFill="1" applyBorder="1" applyAlignment="1">
      <alignment horizontal="center" vertical="center"/>
    </xf>
    <xf numFmtId="0" fontId="96" fillId="0" borderId="9" xfId="7" applyBorder="1"/>
    <xf numFmtId="0" fontId="56" fillId="40" borderId="9" xfId="7" applyFont="1" applyFill="1" applyBorder="1" applyAlignment="1">
      <alignment horizontal="center" vertical="center"/>
    </xf>
    <xf numFmtId="0" fontId="57" fillId="41" borderId="9" xfId="7" applyFont="1" applyFill="1" applyBorder="1" applyAlignment="1">
      <alignment horizontal="left" vertical="center"/>
    </xf>
    <xf numFmtId="0" fontId="58" fillId="41" borderId="9" xfId="7" applyFont="1" applyFill="1" applyBorder="1" applyAlignment="1">
      <alignment horizontal="center" vertical="center"/>
    </xf>
    <xf numFmtId="0" fontId="59" fillId="41" borderId="9" xfId="7" applyFont="1" applyFill="1" applyBorder="1" applyAlignment="1">
      <alignment horizontal="left" vertical="center"/>
    </xf>
    <xf numFmtId="0" fontId="60" fillId="42" borderId="9" xfId="7" applyFont="1" applyFill="1" applyBorder="1" applyAlignment="1">
      <alignment horizontal="right" vertical="center"/>
    </xf>
    <xf numFmtId="3" fontId="59" fillId="41" borderId="9" xfId="7" applyNumberFormat="1" applyFont="1" applyFill="1" applyBorder="1" applyAlignment="1">
      <alignment horizontal="center" vertical="center"/>
    </xf>
    <xf numFmtId="3" fontId="59" fillId="41" borderId="9" xfId="7" applyNumberFormat="1" applyFont="1" applyFill="1" applyBorder="1" applyAlignment="1">
      <alignment horizontal="left" vertical="center"/>
    </xf>
    <xf numFmtId="169" fontId="59" fillId="41" borderId="9" xfId="7" applyNumberFormat="1" applyFont="1" applyFill="1" applyBorder="1" applyAlignment="1">
      <alignment horizontal="center" vertical="center"/>
    </xf>
    <xf numFmtId="0" fontId="61" fillId="9" borderId="2" xfId="7" applyFont="1" applyFill="1" applyBorder="1" applyAlignment="1">
      <alignment horizontal="left" vertical="center" indent="1"/>
    </xf>
    <xf numFmtId="0" fontId="62" fillId="41" borderId="9" xfId="7" applyFont="1" applyFill="1" applyBorder="1" applyAlignment="1">
      <alignment horizontal="center" vertical="center"/>
    </xf>
    <xf numFmtId="0" fontId="63" fillId="39" borderId="9" xfId="7" applyFont="1" applyFill="1" applyBorder="1" applyAlignment="1">
      <alignment horizontal="center" vertical="center"/>
    </xf>
    <xf numFmtId="0" fontId="60" fillId="40" borderId="9" xfId="7" applyFont="1" applyFill="1" applyBorder="1" applyAlignment="1">
      <alignment horizontal="center" vertical="center"/>
    </xf>
    <xf numFmtId="0" fontId="66" fillId="43" borderId="9" xfId="7" applyFont="1" applyFill="1" applyBorder="1" applyAlignment="1">
      <alignment horizontal="left" vertical="center"/>
    </xf>
    <xf numFmtId="0" fontId="6" fillId="44" borderId="6" xfId="7" applyFont="1" applyFill="1" applyBorder="1" applyAlignment="1">
      <alignment horizontal="center" vertical="center"/>
    </xf>
    <xf numFmtId="0" fontId="60" fillId="39" borderId="9" xfId="7" applyFont="1" applyFill="1" applyBorder="1" applyAlignment="1">
      <alignment horizontal="center" vertical="center"/>
    </xf>
    <xf numFmtId="0" fontId="59" fillId="41" borderId="9" xfId="7" applyFont="1" applyFill="1" applyBorder="1" applyAlignment="1">
      <alignment horizontal="center" vertical="center"/>
    </xf>
    <xf numFmtId="0" fontId="65" fillId="9" borderId="9" xfId="7" applyFont="1" applyFill="1" applyBorder="1" applyAlignment="1">
      <alignment horizontal="left" vertical="center"/>
    </xf>
    <xf numFmtId="0" fontId="66" fillId="9" borderId="9" xfId="7" applyFont="1" applyFill="1" applyBorder="1" applyAlignment="1">
      <alignment horizontal="left" vertical="center"/>
    </xf>
    <xf numFmtId="0" fontId="67" fillId="9" borderId="9" xfId="7" applyFont="1" applyFill="1" applyBorder="1" applyAlignment="1">
      <alignment horizontal="left" vertical="center"/>
    </xf>
    <xf numFmtId="0" fontId="59" fillId="9" borderId="9" xfId="7" applyFont="1" applyFill="1" applyBorder="1" applyAlignment="1">
      <alignment horizontal="center" vertical="center"/>
    </xf>
    <xf numFmtId="0" fontId="60" fillId="45" borderId="9" xfId="7" applyFont="1" applyFill="1" applyBorder="1" applyAlignment="1">
      <alignment horizontal="center" vertical="center"/>
    </xf>
    <xf numFmtId="0" fontId="70" fillId="46" borderId="9" xfId="7" applyFont="1" applyFill="1" applyBorder="1" applyAlignment="1">
      <alignment horizontal="left" vertical="center"/>
    </xf>
    <xf numFmtId="0" fontId="71" fillId="0" borderId="9" xfId="7" applyFont="1" applyBorder="1" applyAlignment="1">
      <alignment horizontal="center" vertical="center"/>
    </xf>
    <xf numFmtId="0" fontId="72" fillId="41" borderId="9" xfId="7" applyFont="1" applyFill="1" applyBorder="1" applyAlignment="1">
      <alignment horizontal="center" vertical="center"/>
    </xf>
    <xf numFmtId="0" fontId="65" fillId="41" borderId="9" xfId="7" applyFont="1" applyFill="1" applyBorder="1" applyAlignment="1">
      <alignment horizontal="center" vertical="center"/>
    </xf>
    <xf numFmtId="0" fontId="6" fillId="3" borderId="1" xfId="7" applyFont="1" applyFill="1" applyBorder="1" applyAlignment="1">
      <alignment horizontal="center" vertical="center"/>
    </xf>
    <xf numFmtId="0" fontId="16" fillId="9" borderId="2" xfId="7" applyFont="1" applyFill="1" applyBorder="1" applyAlignment="1">
      <alignment horizontal="center" vertical="center"/>
    </xf>
    <xf numFmtId="0" fontId="16" fillId="27" borderId="2" xfId="7" applyFont="1" applyFill="1" applyBorder="1" applyAlignment="1">
      <alignment horizontal="center" vertical="center"/>
    </xf>
    <xf numFmtId="0" fontId="16" fillId="27" borderId="2" xfId="7" applyFont="1" applyFill="1" applyBorder="1" applyAlignment="1">
      <alignment horizontal="left" vertical="center" indent="1"/>
    </xf>
    <xf numFmtId="0" fontId="73" fillId="47" borderId="9" xfId="7" applyFont="1" applyFill="1" applyBorder="1" applyAlignment="1">
      <alignment horizontal="center" vertical="center"/>
    </xf>
    <xf numFmtId="0" fontId="59" fillId="43" borderId="9" xfId="7" applyFont="1" applyFill="1" applyBorder="1" applyAlignment="1">
      <alignment horizontal="left" vertical="center"/>
    </xf>
    <xf numFmtId="0" fontId="74" fillId="43" borderId="9" xfId="7" applyFont="1" applyFill="1" applyBorder="1" applyAlignment="1">
      <alignment horizontal="left" vertical="center"/>
    </xf>
    <xf numFmtId="0" fontId="75" fillId="47" borderId="9" xfId="7" applyFont="1" applyFill="1" applyBorder="1" applyAlignment="1">
      <alignment horizontal="center" vertical="center"/>
    </xf>
    <xf numFmtId="3" fontId="59" fillId="43" borderId="9" xfId="7" applyNumberFormat="1" applyFont="1" applyFill="1" applyBorder="1" applyAlignment="1">
      <alignment horizontal="right" vertical="center"/>
    </xf>
    <xf numFmtId="0" fontId="59" fillId="9" borderId="9" xfId="7" applyFont="1" applyFill="1" applyBorder="1" applyAlignment="1">
      <alignment horizontal="left" vertical="center"/>
    </xf>
    <xf numFmtId="0" fontId="74" fillId="9" borderId="9" xfId="7" applyFont="1" applyFill="1" applyBorder="1" applyAlignment="1">
      <alignment horizontal="left" vertical="center"/>
    </xf>
    <xf numFmtId="3" fontId="59" fillId="9" borderId="9" xfId="7" applyNumberFormat="1" applyFont="1" applyFill="1" applyBorder="1" applyAlignment="1">
      <alignment horizontal="right" vertical="center"/>
    </xf>
    <xf numFmtId="0" fontId="71" fillId="41" borderId="0" xfId="7" applyFont="1" applyFill="1" applyAlignment="1">
      <alignment horizontal="center" vertical="center"/>
    </xf>
    <xf numFmtId="0" fontId="56" fillId="39" borderId="0" xfId="7" applyFont="1" applyFill="1" applyAlignment="1">
      <alignment horizontal="center" vertical="center"/>
    </xf>
    <xf numFmtId="0" fontId="60" fillId="40" borderId="52" xfId="7" applyFont="1" applyFill="1" applyBorder="1" applyAlignment="1">
      <alignment horizontal="center" vertical="center"/>
    </xf>
    <xf numFmtId="170" fontId="78" fillId="9" borderId="52" xfId="7" applyNumberFormat="1" applyFont="1" applyFill="1" applyBorder="1" applyAlignment="1">
      <alignment horizontal="center" vertical="center"/>
    </xf>
    <xf numFmtId="0" fontId="79" fillId="9" borderId="52" xfId="7" applyFont="1" applyFill="1" applyBorder="1" applyAlignment="1">
      <alignment horizontal="left" vertical="center"/>
    </xf>
    <xf numFmtId="0" fontId="79" fillId="9" borderId="52" xfId="7" applyFont="1" applyFill="1" applyBorder="1" applyAlignment="1">
      <alignment horizontal="center" vertical="center"/>
    </xf>
    <xf numFmtId="170" fontId="78" fillId="43" borderId="52" xfId="7" applyNumberFormat="1" applyFont="1" applyFill="1" applyBorder="1" applyAlignment="1">
      <alignment horizontal="center" vertical="center"/>
    </xf>
    <xf numFmtId="0" fontId="79" fillId="43" borderId="52" xfId="7" applyFont="1" applyFill="1" applyBorder="1" applyAlignment="1">
      <alignment horizontal="left" vertical="center"/>
    </xf>
    <xf numFmtId="0" fontId="79" fillId="43" borderId="52" xfId="7" applyFont="1" applyFill="1" applyBorder="1" applyAlignment="1">
      <alignment horizontal="center" vertical="center"/>
    </xf>
    <xf numFmtId="3" fontId="79" fillId="43" borderId="52" xfId="7" applyNumberFormat="1" applyFont="1" applyFill="1" applyBorder="1" applyAlignment="1">
      <alignment horizontal="center" vertical="center"/>
    </xf>
    <xf numFmtId="3" fontId="79" fillId="9" borderId="52" xfId="7" applyNumberFormat="1" applyFont="1" applyFill="1" applyBorder="1" applyAlignment="1">
      <alignment horizontal="center" vertical="center"/>
    </xf>
    <xf numFmtId="171" fontId="79" fillId="9" borderId="52" xfId="7" applyNumberFormat="1" applyFont="1" applyFill="1" applyBorder="1" applyAlignment="1">
      <alignment horizontal="center" vertical="center"/>
    </xf>
    <xf numFmtId="171" fontId="79" fillId="43" borderId="52" xfId="7" applyNumberFormat="1" applyFont="1" applyFill="1" applyBorder="1" applyAlignment="1">
      <alignment horizontal="center" vertical="center"/>
    </xf>
    <xf numFmtId="0" fontId="6" fillId="23" borderId="1" xfId="7" applyFont="1" applyFill="1" applyBorder="1" applyAlignment="1">
      <alignment horizontal="center" vertical="center"/>
    </xf>
    <xf numFmtId="49" fontId="5" fillId="49" borderId="9" xfId="7" applyNumberFormat="1" applyFont="1" applyFill="1" applyBorder="1" applyAlignment="1">
      <alignment horizontal="center" vertical="top"/>
    </xf>
    <xf numFmtId="0" fontId="80" fillId="9" borderId="2" xfId="7" applyFont="1" applyFill="1" applyBorder="1" applyAlignment="1">
      <alignment horizontal="center" vertical="center"/>
    </xf>
    <xf numFmtId="0" fontId="80" fillId="9" borderId="2" xfId="7" applyFont="1" applyFill="1" applyBorder="1" applyAlignment="1">
      <alignment horizontal="left" vertical="center" indent="1"/>
    </xf>
    <xf numFmtId="172" fontId="80" fillId="9" borderId="2" xfId="7" applyNumberFormat="1" applyFont="1" applyFill="1" applyBorder="1" applyAlignment="1">
      <alignment horizontal="center" vertical="center"/>
    </xf>
    <xf numFmtId="0" fontId="81" fillId="15" borderId="2" xfId="7" applyFont="1" applyFill="1" applyBorder="1" applyAlignment="1">
      <alignment horizontal="center" vertical="center"/>
    </xf>
    <xf numFmtId="49" fontId="82" fillId="0" borderId="9" xfId="7" applyNumberFormat="1" applyFont="1" applyBorder="1" applyAlignment="1">
      <alignment vertical="top"/>
    </xf>
    <xf numFmtId="0" fontId="30" fillId="4" borderId="2" xfId="7" applyFont="1" applyFill="1" applyBorder="1" applyAlignment="1">
      <alignment horizontal="left" vertical="center" indent="1"/>
    </xf>
    <xf numFmtId="0" fontId="80" fillId="27" borderId="2" xfId="7" applyFont="1" applyFill="1" applyBorder="1" applyAlignment="1">
      <alignment horizontal="center" vertical="center"/>
    </xf>
    <xf numFmtId="0" fontId="80" fillId="27" borderId="2" xfId="7" applyFont="1" applyFill="1" applyBorder="1" applyAlignment="1">
      <alignment horizontal="left" vertical="center" indent="1"/>
    </xf>
    <xf numFmtId="172" fontId="80" fillId="27" borderId="2" xfId="7" applyNumberFormat="1" applyFont="1" applyFill="1" applyBorder="1" applyAlignment="1">
      <alignment horizontal="center" vertical="center"/>
    </xf>
    <xf numFmtId="49" fontId="82" fillId="43" borderId="9" xfId="7" applyNumberFormat="1" applyFont="1" applyFill="1" applyBorder="1" applyAlignment="1">
      <alignment vertical="top"/>
    </xf>
    <xf numFmtId="0" fontId="84" fillId="14" borderId="2" xfId="7" applyFont="1" applyFill="1" applyBorder="1" applyAlignment="1">
      <alignment horizontal="center" vertical="center"/>
    </xf>
    <xf numFmtId="0" fontId="85" fillId="10" borderId="2" xfId="7" applyFont="1" applyFill="1" applyBorder="1" applyAlignment="1">
      <alignment horizontal="center" vertical="center"/>
    </xf>
    <xf numFmtId="0" fontId="86" fillId="50" borderId="2" xfId="7" applyFont="1" applyFill="1" applyBorder="1" applyAlignment="1">
      <alignment horizontal="center" vertical="center"/>
    </xf>
    <xf numFmtId="170" fontId="87" fillId="0" borderId="9" xfId="7" applyNumberFormat="1" applyFont="1" applyBorder="1" applyAlignment="1">
      <alignment horizontal="center" vertical="top"/>
    </xf>
    <xf numFmtId="170" fontId="87" fillId="43" borderId="9" xfId="7" applyNumberFormat="1" applyFont="1" applyFill="1" applyBorder="1" applyAlignment="1">
      <alignment horizontal="center" vertical="top"/>
    </xf>
    <xf numFmtId="49" fontId="82" fillId="51" borderId="9" xfId="7" applyNumberFormat="1" applyFont="1" applyFill="1" applyBorder="1" applyAlignment="1">
      <alignment vertical="top"/>
    </xf>
    <xf numFmtId="170" fontId="87" fillId="51" borderId="9" xfId="7" applyNumberFormat="1" applyFont="1" applyFill="1" applyBorder="1" applyAlignment="1">
      <alignment horizontal="center" vertical="top"/>
    </xf>
    <xf numFmtId="3" fontId="56" fillId="40" borderId="9" xfId="7" applyNumberFormat="1" applyFont="1" applyFill="1" applyBorder="1" applyAlignment="1">
      <alignment horizontal="right" vertical="center"/>
    </xf>
    <xf numFmtId="0" fontId="96" fillId="0" borderId="54" xfId="7" applyBorder="1"/>
    <xf numFmtId="0" fontId="5" fillId="6" borderId="54" xfId="7" applyFont="1" applyFill="1" applyBorder="1" applyAlignment="1">
      <alignment horizontal="center" vertical="center"/>
    </xf>
    <xf numFmtId="0" fontId="40" fillId="4" borderId="54" xfId="7" applyFont="1" applyFill="1" applyBorder="1" applyAlignment="1">
      <alignment horizontal="right" vertical="center" indent="1"/>
    </xf>
    <xf numFmtId="0" fontId="41" fillId="9" borderId="54" xfId="7" applyFont="1" applyFill="1" applyBorder="1" applyAlignment="1">
      <alignment horizontal="left" vertical="center" indent="1"/>
    </xf>
    <xf numFmtId="0" fontId="35" fillId="15" borderId="54" xfId="7" applyFont="1" applyFill="1" applyBorder="1" applyAlignment="1">
      <alignment horizontal="center" vertical="center"/>
    </xf>
    <xf numFmtId="0" fontId="83" fillId="9" borderId="54" xfId="7" applyFont="1" applyFill="1" applyBorder="1" applyAlignment="1">
      <alignment horizontal="center" vertical="center"/>
    </xf>
    <xf numFmtId="173" fontId="39" fillId="9" borderId="54" xfId="7" applyNumberFormat="1" applyFont="1" applyFill="1" applyBorder="1" applyAlignment="1">
      <alignment horizontal="center" vertical="center"/>
    </xf>
    <xf numFmtId="174" fontId="21" fillId="9" borderId="54" xfId="7" applyNumberFormat="1" applyFont="1" applyFill="1" applyBorder="1" applyAlignment="1">
      <alignment horizontal="center" vertical="center"/>
    </xf>
    <xf numFmtId="0" fontId="6" fillId="7" borderId="54" xfId="7" applyFont="1" applyFill="1" applyBorder="1" applyAlignment="1">
      <alignment horizontal="center" vertical="center"/>
    </xf>
    <xf numFmtId="0" fontId="39" fillId="14" borderId="54" xfId="7" applyFont="1" applyFill="1" applyBorder="1" applyAlignment="1">
      <alignment horizontal="center" vertical="center"/>
    </xf>
    <xf numFmtId="0" fontId="42" fillId="12" borderId="54" xfId="7" applyFont="1" applyFill="1" applyBorder="1" applyAlignment="1">
      <alignment horizontal="left" vertical="center" indent="1"/>
    </xf>
    <xf numFmtId="0" fontId="89" fillId="15" borderId="54" xfId="7" applyFont="1" applyFill="1" applyBorder="1" applyAlignment="1">
      <alignment horizontal="center" vertical="center"/>
    </xf>
    <xf numFmtId="0" fontId="21" fillId="10" borderId="54" xfId="7" applyFont="1" applyFill="1" applyBorder="1" applyAlignment="1">
      <alignment horizontal="center" vertical="center"/>
    </xf>
    <xf numFmtId="0" fontId="61" fillId="50" borderId="54" xfId="7" applyFont="1" applyFill="1" applyBorder="1" applyAlignment="1">
      <alignment horizontal="center" vertical="center"/>
    </xf>
    <xf numFmtId="0" fontId="90" fillId="16" borderId="54" xfId="7" applyFont="1" applyFill="1" applyBorder="1" applyAlignment="1">
      <alignment horizontal="center" vertical="center"/>
    </xf>
    <xf numFmtId="0" fontId="50" fillId="0" borderId="9" xfId="8" quotePrefix="1" applyFont="1" applyBorder="1" applyAlignment="1">
      <alignment horizontal="center"/>
    </xf>
    <xf numFmtId="0" fontId="47" fillId="0" borderId="30" xfId="7" quotePrefix="1" applyFont="1" applyBorder="1" applyAlignment="1">
      <alignment horizontal="center"/>
    </xf>
    <xf numFmtId="0" fontId="0" fillId="0" borderId="54" xfId="0" applyBorder="1" applyAlignment="1">
      <alignment horizontal="center" vertical="center"/>
    </xf>
    <xf numFmtId="0" fontId="12" fillId="0" borderId="54" xfId="7" applyFont="1" applyBorder="1" applyAlignment="1">
      <alignment horizontal="center" vertical="center"/>
    </xf>
    <xf numFmtId="0" fontId="4" fillId="52" borderId="54" xfId="7" applyFont="1" applyFill="1" applyBorder="1" applyAlignment="1">
      <alignment horizontal="left" vertical="center" indent="1"/>
    </xf>
    <xf numFmtId="0" fontId="96" fillId="0" borderId="54" xfId="7" applyBorder="1"/>
    <xf numFmtId="0" fontId="11" fillId="22" borderId="54" xfId="7" applyFont="1" applyFill="1" applyBorder="1" applyAlignment="1">
      <alignment horizontal="center" vertical="center"/>
    </xf>
    <xf numFmtId="0" fontId="88" fillId="11" borderId="54" xfId="7" applyFont="1" applyFill="1" applyBorder="1" applyAlignment="1">
      <alignment horizontal="left" vertical="center" indent="1"/>
    </xf>
    <xf numFmtId="0" fontId="4" fillId="19" borderId="54" xfId="7" applyFont="1" applyFill="1" applyBorder="1" applyAlignment="1">
      <alignment horizontal="left" vertical="center" indent="1"/>
    </xf>
    <xf numFmtId="0" fontId="4" fillId="17" borderId="54" xfId="7" applyFont="1" applyFill="1" applyBorder="1" applyAlignment="1">
      <alignment horizontal="left" vertical="center" indent="1"/>
    </xf>
    <xf numFmtId="0" fontId="4" fillId="3" borderId="54" xfId="7" applyFont="1" applyFill="1" applyBorder="1" applyAlignment="1">
      <alignment horizontal="left" vertical="center" indent="1"/>
    </xf>
    <xf numFmtId="0" fontId="37" fillId="6" borderId="54" xfId="7" applyFont="1" applyFill="1" applyBorder="1"/>
    <xf numFmtId="0" fontId="2" fillId="7" borderId="54" xfId="7" applyFont="1" applyFill="1" applyBorder="1" applyAlignment="1">
      <alignment horizontal="center" vertical="center"/>
    </xf>
    <xf numFmtId="0" fontId="3" fillId="4" borderId="54" xfId="7" applyFont="1" applyFill="1" applyBorder="1" applyAlignment="1">
      <alignment horizontal="center" vertical="center"/>
    </xf>
    <xf numFmtId="0" fontId="4" fillId="5" borderId="54" xfId="7" applyFont="1" applyFill="1" applyBorder="1" applyAlignment="1">
      <alignment horizontal="left" vertical="center" indent="1"/>
    </xf>
    <xf numFmtId="0" fontId="4" fillId="13" borderId="54" xfId="7" applyFont="1" applyFill="1" applyBorder="1" applyAlignment="1">
      <alignment horizontal="left" vertical="center" indent="1"/>
    </xf>
    <xf numFmtId="0" fontId="4" fillId="18" borderId="54" xfId="7" applyFont="1" applyFill="1" applyBorder="1" applyAlignment="1">
      <alignment horizontal="left" vertical="center" indent="1"/>
    </xf>
    <xf numFmtId="0" fontId="56" fillId="40" borderId="9" xfId="7" applyFont="1" applyFill="1" applyBorder="1" applyAlignment="1">
      <alignment horizontal="right" vertical="center"/>
    </xf>
    <xf numFmtId="0" fontId="56" fillId="40" borderId="9" xfId="7" applyFont="1" applyFill="1" applyBorder="1" applyAlignment="1">
      <alignment horizontal="center" vertical="center"/>
    </xf>
    <xf numFmtId="0" fontId="83" fillId="9" borderId="2" xfId="7" applyFont="1" applyFill="1" applyBorder="1" applyAlignment="1">
      <alignment horizontal="center" vertical="center"/>
    </xf>
    <xf numFmtId="49" fontId="82" fillId="0" borderId="9" xfId="7" applyNumberFormat="1" applyFont="1" applyBorder="1" applyAlignment="1">
      <alignment vertical="top"/>
    </xf>
    <xf numFmtId="49" fontId="82" fillId="43" borderId="9" xfId="7" applyNumberFormat="1" applyFont="1" applyFill="1" applyBorder="1" applyAlignment="1">
      <alignment vertical="top"/>
    </xf>
    <xf numFmtId="0" fontId="11" fillId="22" borderId="53" xfId="7" applyFont="1" applyFill="1" applyBorder="1" applyAlignment="1">
      <alignment horizontal="left" vertical="center" indent="1"/>
    </xf>
    <xf numFmtId="170" fontId="87" fillId="43" borderId="9" xfId="7" applyNumberFormat="1" applyFont="1" applyFill="1" applyBorder="1" applyAlignment="1">
      <alignment horizontal="center" vertical="top"/>
    </xf>
    <xf numFmtId="0" fontId="2" fillId="5" borderId="9" xfId="7" applyFont="1" applyFill="1" applyBorder="1" applyAlignment="1">
      <alignment horizontal="center" vertical="center"/>
    </xf>
    <xf numFmtId="0" fontId="76" fillId="6" borderId="9" xfId="7" applyFont="1" applyFill="1" applyBorder="1" applyAlignment="1">
      <alignment horizontal="center" vertical="center"/>
    </xf>
    <xf numFmtId="0" fontId="3" fillId="11" borderId="9" xfId="7" applyFont="1" applyFill="1" applyBorder="1" applyAlignment="1">
      <alignment horizontal="center" vertical="center"/>
    </xf>
    <xf numFmtId="0" fontId="77" fillId="48" borderId="9" xfId="7" applyFont="1" applyFill="1" applyBorder="1" applyAlignment="1">
      <alignment horizontal="center" vertical="center"/>
    </xf>
    <xf numFmtId="0" fontId="4" fillId="3" borderId="9" xfId="7" applyFont="1" applyFill="1" applyBorder="1" applyAlignment="1">
      <alignment horizontal="center" vertical="center"/>
    </xf>
    <xf numFmtId="49" fontId="5" fillId="49" borderId="9" xfId="7" applyNumberFormat="1" applyFont="1" applyFill="1" applyBorder="1" applyAlignment="1">
      <alignment horizontal="center" vertical="top"/>
    </xf>
    <xf numFmtId="0" fontId="56" fillId="39" borderId="0" xfId="7" applyFont="1" applyFill="1" applyAlignment="1">
      <alignment horizontal="center" vertical="center"/>
    </xf>
    <xf numFmtId="0" fontId="76" fillId="38" borderId="0" xfId="7" applyFont="1" applyFill="1" applyAlignment="1">
      <alignment horizontal="center" vertical="center"/>
    </xf>
    <xf numFmtId="0" fontId="77" fillId="48" borderId="0" xfId="7" applyFont="1" applyFill="1" applyAlignment="1">
      <alignment horizontal="center" vertical="center"/>
    </xf>
    <xf numFmtId="0" fontId="4" fillId="19" borderId="0" xfId="7" applyFont="1" applyFill="1" applyAlignment="1">
      <alignment horizontal="center" vertical="center" indent="1"/>
    </xf>
    <xf numFmtId="0" fontId="63" fillId="39" borderId="9" xfId="7" applyFont="1" applyFill="1" applyBorder="1" applyAlignment="1">
      <alignment horizontal="center" vertical="center"/>
    </xf>
    <xf numFmtId="0" fontId="34" fillId="9" borderId="2" xfId="7" applyFont="1" applyFill="1" applyBorder="1" applyAlignment="1">
      <alignment horizontal="left" vertical="center" indent="1"/>
    </xf>
    <xf numFmtId="0" fontId="71" fillId="0" borderId="9" xfId="7" applyFont="1" applyBorder="1" applyAlignment="1">
      <alignment horizontal="center" vertical="center"/>
    </xf>
    <xf numFmtId="0" fontId="4" fillId="3" borderId="0" xfId="7" applyFont="1" applyFill="1" applyAlignment="1">
      <alignment horizontal="center" vertical="center" indent="1"/>
    </xf>
    <xf numFmtId="0" fontId="60" fillId="42" borderId="9" xfId="7" applyFont="1" applyFill="1" applyBorder="1" applyAlignment="1">
      <alignment horizontal="right" vertical="center"/>
    </xf>
    <xf numFmtId="0" fontId="59" fillId="41" borderId="9" xfId="7" applyFont="1" applyFill="1" applyBorder="1" applyAlignment="1">
      <alignment horizontal="left" vertical="center"/>
    </xf>
    <xf numFmtId="0" fontId="65" fillId="41" borderId="9" xfId="7" applyFont="1" applyFill="1" applyBorder="1" applyAlignment="1">
      <alignment horizontal="center" vertical="center"/>
    </xf>
    <xf numFmtId="0" fontId="6" fillId="7" borderId="6" xfId="7" applyFont="1" applyFill="1" applyBorder="1" applyAlignment="1">
      <alignment horizontal="center" vertical="center"/>
    </xf>
    <xf numFmtId="0" fontId="65" fillId="43" borderId="9" xfId="7" applyFont="1" applyFill="1" applyBorder="1" applyAlignment="1">
      <alignment horizontal="left" vertical="center"/>
    </xf>
    <xf numFmtId="0" fontId="66" fillId="43" borderId="9" xfId="7" applyFont="1" applyFill="1" applyBorder="1" applyAlignment="1">
      <alignment horizontal="left" vertical="center"/>
    </xf>
    <xf numFmtId="0" fontId="67" fillId="43" borderId="9" xfId="7" applyFont="1" applyFill="1" applyBorder="1" applyAlignment="1">
      <alignment horizontal="left" vertical="center"/>
    </xf>
    <xf numFmtId="0" fontId="59" fillId="43" borderId="9" xfId="7" applyFont="1" applyFill="1" applyBorder="1" applyAlignment="1">
      <alignment horizontal="center" vertical="center"/>
    </xf>
    <xf numFmtId="0" fontId="60" fillId="45" borderId="9" xfId="7" applyFont="1" applyFill="1" applyBorder="1" applyAlignment="1">
      <alignment horizontal="center" vertical="center"/>
    </xf>
    <xf numFmtId="0" fontId="2" fillId="17" borderId="6" xfId="7" applyFont="1" applyFill="1" applyBorder="1" applyAlignment="1">
      <alignment horizontal="center" vertical="center"/>
    </xf>
    <xf numFmtId="0" fontId="65" fillId="9" borderId="9" xfId="7" applyFont="1" applyFill="1" applyBorder="1" applyAlignment="1">
      <alignment horizontal="left" vertical="center"/>
    </xf>
    <xf numFmtId="0" fontId="2" fillId="18" borderId="6" xfId="7" applyFont="1" applyFill="1" applyBorder="1" applyAlignment="1">
      <alignment horizontal="center" vertical="center"/>
    </xf>
    <xf numFmtId="0" fontId="59" fillId="9" borderId="9" xfId="7" applyFont="1" applyFill="1" applyBorder="1" applyAlignment="1">
      <alignment horizontal="center" vertical="center"/>
    </xf>
    <xf numFmtId="0" fontId="68" fillId="15" borderId="2" xfId="7" applyFont="1" applyFill="1" applyBorder="1" applyAlignment="1">
      <alignment horizontal="center" vertical="center"/>
    </xf>
    <xf numFmtId="0" fontId="69" fillId="16" borderId="2" xfId="7" applyFont="1" applyFill="1" applyBorder="1" applyAlignment="1">
      <alignment horizontal="center" vertical="center"/>
    </xf>
    <xf numFmtId="0" fontId="41" fillId="9" borderId="2" xfId="7" applyFont="1" applyFill="1" applyBorder="1" applyAlignment="1">
      <alignment horizontal="left" vertical="center" indent="1"/>
    </xf>
    <xf numFmtId="0" fontId="61" fillId="9" borderId="2" xfId="7" applyFont="1" applyFill="1" applyBorder="1" applyAlignment="1">
      <alignment horizontal="left" vertical="center" indent="1"/>
    </xf>
    <xf numFmtId="0" fontId="62" fillId="41" borderId="9" xfId="7" applyFont="1" applyFill="1" applyBorder="1" applyAlignment="1">
      <alignment horizontal="center" vertical="center"/>
    </xf>
    <xf numFmtId="0" fontId="64" fillId="11" borderId="2" xfId="7" applyFont="1" applyFill="1" applyBorder="1" applyAlignment="1">
      <alignment horizontal="left" vertical="center" indent="1"/>
    </xf>
    <xf numFmtId="0" fontId="60" fillId="40" borderId="9" xfId="7" applyFont="1" applyFill="1" applyBorder="1" applyAlignment="1">
      <alignment horizontal="center" vertical="center"/>
    </xf>
    <xf numFmtId="0" fontId="4" fillId="5" borderId="6" xfId="7" applyFont="1" applyFill="1" applyBorder="1" applyAlignment="1">
      <alignment horizontal="center" vertical="center"/>
    </xf>
    <xf numFmtId="0" fontId="4" fillId="7" borderId="6" xfId="7" applyFont="1" applyFill="1" applyBorder="1" applyAlignment="1">
      <alignment horizontal="center" vertical="center"/>
    </xf>
    <xf numFmtId="0" fontId="2" fillId="18" borderId="0" xfId="7" applyFont="1" applyFill="1" applyAlignment="1">
      <alignment horizontal="center" vertical="center"/>
    </xf>
    <xf numFmtId="0" fontId="54" fillId="38" borderId="9" xfId="7" applyFont="1" applyFill="1" applyBorder="1" applyAlignment="1">
      <alignment horizontal="center" vertical="center"/>
    </xf>
    <xf numFmtId="0" fontId="3" fillId="16" borderId="0" xfId="7" applyFont="1" applyFill="1" applyAlignment="1">
      <alignment horizontal="center" vertical="center"/>
    </xf>
    <xf numFmtId="0" fontId="55" fillId="39" borderId="9" xfId="7" applyFont="1" applyFill="1" applyBorder="1" applyAlignment="1">
      <alignment horizontal="center" vertical="center"/>
    </xf>
    <xf numFmtId="0" fontId="58" fillId="41" borderId="9" xfId="7" applyFont="1" applyFill="1" applyBorder="1" applyAlignment="1">
      <alignment horizontal="center" vertical="center"/>
    </xf>
    <xf numFmtId="0" fontId="49" fillId="33" borderId="16" xfId="8" applyFont="1" applyFill="1" applyBorder="1" applyAlignment="1">
      <alignment horizontal="center" vertical="center" wrapText="1"/>
    </xf>
    <xf numFmtId="0" fontId="49" fillId="33" borderId="17" xfId="8" applyFont="1" applyFill="1" applyBorder="1" applyAlignment="1">
      <alignment horizontal="center" vertical="center" wrapText="1"/>
    </xf>
    <xf numFmtId="0" fontId="49" fillId="33" borderId="21" xfId="8" applyFont="1" applyFill="1" applyBorder="1" applyAlignment="1">
      <alignment horizontal="center" vertical="center" wrapText="1"/>
    </xf>
    <xf numFmtId="0" fontId="49" fillId="33" borderId="22" xfId="8" applyFont="1" applyFill="1" applyBorder="1" applyAlignment="1">
      <alignment horizontal="center" vertical="center" wrapText="1"/>
    </xf>
    <xf numFmtId="0" fontId="48" fillId="0" borderId="9" xfId="7" quotePrefix="1" applyFont="1" applyBorder="1" applyAlignment="1">
      <alignment horizontal="center" vertical="center"/>
    </xf>
    <xf numFmtId="0" fontId="48" fillId="0" borderId="9" xfId="7" applyFont="1" applyBorder="1" applyAlignment="1">
      <alignment horizontal="center" vertical="center"/>
    </xf>
    <xf numFmtId="0" fontId="49" fillId="32" borderId="27" xfId="8" applyFont="1" applyFill="1" applyBorder="1" applyAlignment="1">
      <alignment horizontal="center" vertical="center" wrapText="1"/>
    </xf>
    <xf numFmtId="0" fontId="47" fillId="0" borderId="36" xfId="7" applyFont="1" applyBorder="1" applyAlignment="1">
      <alignment horizontal="center"/>
    </xf>
    <xf numFmtId="0" fontId="47" fillId="0" borderId="37" xfId="7" applyFont="1" applyBorder="1" applyAlignment="1">
      <alignment horizontal="center"/>
    </xf>
    <xf numFmtId="0" fontId="47" fillId="0" borderId="38" xfId="7" applyFont="1" applyBorder="1" applyAlignment="1">
      <alignment horizontal="center"/>
    </xf>
    <xf numFmtId="0" fontId="96" fillId="0" borderId="13" xfId="7" applyBorder="1" applyAlignment="1">
      <alignment horizontal="center"/>
    </xf>
    <xf numFmtId="0" fontId="96" fillId="0" borderId="15" xfId="7" applyBorder="1" applyAlignment="1">
      <alignment horizontal="center"/>
    </xf>
    <xf numFmtId="14" fontId="47" fillId="37" borderId="50" xfId="7" applyNumberFormat="1" applyFont="1" applyFill="1" applyBorder="1" applyAlignment="1">
      <alignment horizontal="center"/>
    </xf>
    <xf numFmtId="14" fontId="47" fillId="37" borderId="37" xfId="7" applyNumberFormat="1" applyFont="1" applyFill="1" applyBorder="1" applyAlignment="1">
      <alignment horizontal="center"/>
    </xf>
    <xf numFmtId="14" fontId="47" fillId="37" borderId="51" xfId="7" applyNumberFormat="1" applyFont="1" applyFill="1" applyBorder="1" applyAlignment="1">
      <alignment horizontal="center"/>
    </xf>
    <xf numFmtId="0" fontId="50" fillId="31" borderId="30" xfId="8" applyFont="1" applyFill="1" applyBorder="1" applyAlignment="1">
      <alignment horizontal="center" vertical="center" wrapText="1"/>
    </xf>
    <xf numFmtId="0" fontId="50" fillId="31" borderId="31" xfId="8" applyFont="1" applyFill="1" applyBorder="1" applyAlignment="1">
      <alignment horizontal="center" vertical="center" wrapText="1"/>
    </xf>
    <xf numFmtId="0" fontId="49" fillId="33" borderId="16" xfId="8" applyFont="1" applyFill="1" applyBorder="1" applyAlignment="1">
      <alignment horizontal="center" vertical="center"/>
    </xf>
    <xf numFmtId="0" fontId="49" fillId="33" borderId="17" xfId="8" applyFont="1" applyFill="1" applyBorder="1" applyAlignment="1">
      <alignment horizontal="center" vertical="center"/>
    </xf>
    <xf numFmtId="0" fontId="53" fillId="0" borderId="33" xfId="8" applyFont="1" applyBorder="1" applyAlignment="1">
      <alignment horizontal="center" vertical="center"/>
    </xf>
    <xf numFmtId="0" fontId="53" fillId="0" borderId="34" xfId="8" applyFont="1" applyBorder="1" applyAlignment="1">
      <alignment horizontal="center" vertical="center"/>
    </xf>
    <xf numFmtId="0" fontId="6" fillId="3" borderId="0" xfId="7" applyFont="1" applyFill="1" applyAlignment="1">
      <alignment horizontal="center" vertical="center"/>
    </xf>
    <xf numFmtId="0" fontId="48" fillId="0" borderId="0" xfId="7" applyFont="1" applyAlignment="1">
      <alignment horizontal="center"/>
    </xf>
    <xf numFmtId="0" fontId="4" fillId="23" borderId="1" xfId="7" applyFont="1" applyFill="1" applyBorder="1" applyAlignment="1">
      <alignment horizontal="center" vertical="center"/>
    </xf>
    <xf numFmtId="0" fontId="49" fillId="0" borderId="13" xfId="8" applyFont="1" applyBorder="1" applyAlignment="1">
      <alignment horizontal="center" vertical="center"/>
    </xf>
    <xf numFmtId="0" fontId="49" fillId="0" borderId="14" xfId="8" applyFont="1" applyBorder="1" applyAlignment="1">
      <alignment horizontal="center" vertical="center"/>
    </xf>
    <xf numFmtId="0" fontId="49" fillId="0" borderId="15" xfId="8" applyFont="1" applyBorder="1" applyAlignment="1">
      <alignment horizontal="center" vertical="center"/>
    </xf>
    <xf numFmtId="0" fontId="2" fillId="19" borderId="0" xfId="7" applyFont="1" applyFill="1" applyAlignment="1">
      <alignment horizontal="center" vertical="center"/>
    </xf>
    <xf numFmtId="0" fontId="3" fillId="14" borderId="0" xfId="7" applyFont="1" applyFill="1" applyAlignment="1">
      <alignment horizontal="center" vertical="center"/>
    </xf>
    <xf numFmtId="0" fontId="7" fillId="8" borderId="2" xfId="7" applyFont="1" applyFill="1" applyBorder="1" applyAlignment="1">
      <alignment horizontal="center" vertical="center"/>
    </xf>
    <xf numFmtId="0" fontId="37" fillId="6" borderId="0" xfId="7" applyFont="1" applyFill="1"/>
    <xf numFmtId="0" fontId="0" fillId="0" borderId="0" xfId="0"/>
    <xf numFmtId="0" fontId="4" fillId="3" borderId="9" xfId="7" applyFont="1" applyFill="1" applyBorder="1" applyAlignment="1">
      <alignment horizontal="left" vertical="center" indent="1"/>
    </xf>
    <xf numFmtId="0" fontId="96" fillId="28" borderId="9" xfId="7" applyFill="1" applyBorder="1" applyProtection="1">
      <protection locked="0"/>
    </xf>
    <xf numFmtId="0" fontId="96" fillId="29" borderId="9" xfId="7" applyFill="1" applyBorder="1" applyProtection="1">
      <protection locked="0"/>
    </xf>
    <xf numFmtId="0" fontId="44" fillId="17" borderId="6" xfId="7" applyFont="1" applyFill="1" applyBorder="1" applyAlignment="1">
      <alignment horizontal="center" vertical="center"/>
    </xf>
    <xf numFmtId="0" fontId="6" fillId="19" borderId="9" xfId="7" applyFont="1" applyFill="1" applyBorder="1" applyAlignment="1">
      <alignment horizontal="left" vertical="center" indent="1"/>
    </xf>
    <xf numFmtId="0" fontId="6" fillId="5" borderId="6" xfId="7" applyFont="1" applyFill="1" applyBorder="1" applyAlignment="1">
      <alignment horizontal="center" vertical="center"/>
    </xf>
    <xf numFmtId="0" fontId="6" fillId="19" borderId="6" xfId="7" applyFont="1" applyFill="1" applyBorder="1" applyAlignment="1">
      <alignment horizontal="center" vertical="center"/>
    </xf>
    <xf numFmtId="0" fontId="2" fillId="13" borderId="0" xfId="7" applyFont="1" applyFill="1" applyAlignment="1">
      <alignment horizontal="center" vertical="center"/>
    </xf>
    <xf numFmtId="0" fontId="3" fillId="10" borderId="0" xfId="7" applyFont="1" applyFill="1" applyAlignment="1">
      <alignment horizontal="center" vertical="center"/>
    </xf>
    <xf numFmtId="0" fontId="38" fillId="30" borderId="10" xfId="7" applyFont="1" applyFill="1" applyBorder="1" applyAlignment="1">
      <alignment horizontal="center" vertical="center"/>
    </xf>
    <xf numFmtId="0" fontId="6" fillId="3" borderId="0" xfId="7" applyFont="1" applyFill="1" applyAlignment="1">
      <alignment horizontal="left" vertical="center" indent="1"/>
    </xf>
    <xf numFmtId="0" fontId="35" fillId="9" borderId="8" xfId="7" applyFont="1" applyFill="1" applyBorder="1" applyAlignment="1">
      <alignment horizontal="center" vertical="center"/>
    </xf>
    <xf numFmtId="0" fontId="11" fillId="12" borderId="0" xfId="7" applyFont="1" applyFill="1" applyAlignment="1">
      <alignment horizontal="center" vertical="center"/>
    </xf>
    <xf numFmtId="0" fontId="29" fillId="20" borderId="0" xfId="7" applyFont="1" applyFill="1" applyAlignment="1">
      <alignment horizontal="center" vertical="center"/>
    </xf>
    <xf numFmtId="0" fontId="4" fillId="20" borderId="0" xfId="7" applyFont="1" applyFill="1" applyAlignment="1">
      <alignment horizontal="center" vertical="center"/>
    </xf>
    <xf numFmtId="0" fontId="32" fillId="21" borderId="0" xfId="7" applyFont="1" applyFill="1" applyAlignment="1">
      <alignment horizontal="center" vertical="center"/>
    </xf>
    <xf numFmtId="0" fontId="8" fillId="0" borderId="54" xfId="7" applyFont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7" fillId="4" borderId="0" xfId="7" applyFont="1" applyFill="1" applyAlignment="1">
      <alignment horizontal="center" vertical="center"/>
    </xf>
    <xf numFmtId="0" fontId="29" fillId="7" borderId="6" xfId="7" applyFont="1" applyFill="1" applyBorder="1" applyAlignment="1">
      <alignment horizontal="center" vertical="center"/>
    </xf>
    <xf numFmtId="0" fontId="29" fillId="25" borderId="6" xfId="7" applyFont="1" applyFill="1" applyBorder="1" applyAlignment="1">
      <alignment horizontal="center" vertical="center"/>
    </xf>
    <xf numFmtId="0" fontId="29" fillId="26" borderId="6" xfId="7" applyFont="1" applyFill="1" applyBorder="1" applyAlignment="1">
      <alignment horizontal="center" vertical="center"/>
    </xf>
    <xf numFmtId="0" fontId="4" fillId="3" borderId="0" xfId="7" applyFont="1" applyFill="1" applyAlignment="1">
      <alignment horizontal="center" vertical="center"/>
    </xf>
    <xf numFmtId="0" fontId="11" fillId="22" borderId="5" xfId="7" applyFont="1" applyFill="1" applyBorder="1" applyAlignment="1">
      <alignment horizontal="center" vertical="center"/>
    </xf>
    <xf numFmtId="2" fontId="27" fillId="24" borderId="0" xfId="7" applyNumberFormat="1" applyFont="1" applyFill="1"/>
    <xf numFmtId="2" fontId="96" fillId="24" borderId="0" xfId="7" applyNumberFormat="1" applyFill="1"/>
    <xf numFmtId="0" fontId="29" fillId="17" borderId="6" xfId="7" applyFont="1" applyFill="1" applyBorder="1" applyAlignment="1">
      <alignment horizontal="center" vertical="center"/>
    </xf>
    <xf numFmtId="0" fontId="29" fillId="5" borderId="6" xfId="7" applyFont="1" applyFill="1" applyBorder="1" applyAlignment="1">
      <alignment horizontal="center" vertical="center"/>
    </xf>
    <xf numFmtId="0" fontId="29" fillId="13" borderId="6" xfId="7" applyFont="1" applyFill="1" applyBorder="1" applyAlignment="1">
      <alignment horizontal="center" vertical="center"/>
    </xf>
    <xf numFmtId="0" fontId="29" fillId="19" borderId="6" xfId="7" applyFont="1" applyFill="1" applyBorder="1" applyAlignment="1">
      <alignment horizontal="center" vertical="center"/>
    </xf>
    <xf numFmtId="0" fontId="5" fillId="6" borderId="0" xfId="7" applyFont="1" applyFill="1" applyAlignment="1">
      <alignment horizontal="center" vertical="center"/>
    </xf>
    <xf numFmtId="0" fontId="29" fillId="20" borderId="6" xfId="7" applyFont="1" applyFill="1" applyBorder="1" applyAlignment="1">
      <alignment horizontal="center" vertical="center"/>
    </xf>
    <xf numFmtId="0" fontId="29" fillId="18" borderId="6" xfId="7" applyFont="1" applyFill="1" applyBorder="1" applyAlignment="1">
      <alignment horizontal="center" vertical="center"/>
    </xf>
    <xf numFmtId="0" fontId="27" fillId="24" borderId="0" xfId="7" applyFont="1" applyFill="1"/>
    <xf numFmtId="0" fontId="28" fillId="22" borderId="0" xfId="7" applyFont="1" applyFill="1" applyAlignment="1">
      <alignment horizontal="center" vertical="center"/>
    </xf>
    <xf numFmtId="0" fontId="96" fillId="24" borderId="0" xfId="7" applyFill="1"/>
    <xf numFmtId="167" fontId="27" fillId="24" borderId="0" xfId="7" applyNumberFormat="1" applyFont="1" applyFill="1"/>
    <xf numFmtId="167" fontId="96" fillId="24" borderId="0" xfId="7" applyNumberFormat="1" applyFill="1"/>
    <xf numFmtId="0" fontId="25" fillId="6" borderId="0" xfId="7" applyFont="1" applyFill="1"/>
    <xf numFmtId="0" fontId="26" fillId="23" borderId="0" xfId="7" applyFont="1" applyFill="1" applyAlignment="1">
      <alignment horizontal="center" vertical="center"/>
    </xf>
    <xf numFmtId="0" fontId="1" fillId="24" borderId="0" xfId="7" applyFont="1" applyFill="1"/>
    <xf numFmtId="0" fontId="24" fillId="15" borderId="4" xfId="7" applyFont="1" applyFill="1" applyBorder="1" applyAlignment="1">
      <alignment horizontal="left" vertical="center" indent="1"/>
    </xf>
    <xf numFmtId="0" fontId="16" fillId="9" borderId="2" xfId="7" applyFont="1" applyFill="1" applyBorder="1" applyAlignment="1">
      <alignment horizontal="left" vertical="center" indent="1"/>
    </xf>
    <xf numFmtId="0" fontId="4" fillId="20" borderId="0" xfId="7" applyFont="1" applyFill="1" applyAlignment="1">
      <alignment horizontal="left" vertical="center" indent="1"/>
    </xf>
    <xf numFmtId="0" fontId="23" fillId="21" borderId="3" xfId="7" applyFont="1" applyFill="1" applyBorder="1" applyAlignment="1">
      <alignment horizontal="center" vertical="center"/>
    </xf>
    <xf numFmtId="0" fontId="3" fillId="4" borderId="0" xfId="7" applyFont="1" applyFill="1" applyAlignment="1">
      <alignment horizontal="center" vertical="center"/>
    </xf>
    <xf numFmtId="0" fontId="4" fillId="7" borderId="0" xfId="7" applyFont="1" applyFill="1" applyAlignment="1">
      <alignment horizontal="left" vertical="center" indent="1"/>
    </xf>
    <xf numFmtId="0" fontId="4" fillId="18" borderId="0" xfId="7" applyFont="1" applyFill="1" applyAlignment="1">
      <alignment horizontal="left" vertical="center" indent="1"/>
    </xf>
    <xf numFmtId="0" fontId="4" fillId="19" borderId="0" xfId="7" applyFont="1" applyFill="1" applyAlignment="1">
      <alignment horizontal="left" vertical="center" indent="1"/>
    </xf>
    <xf numFmtId="0" fontId="6" fillId="7" borderId="1" xfId="7" applyFont="1" applyFill="1" applyBorder="1" applyAlignment="1">
      <alignment horizontal="left" vertical="center" indent="1"/>
    </xf>
    <xf numFmtId="0" fontId="1" fillId="2" borderId="0" xfId="7" applyFont="1" applyFill="1"/>
    <xf numFmtId="0" fontId="2" fillId="3" borderId="0" xfId="7" applyFont="1" applyFill="1" applyAlignment="1">
      <alignment horizontal="center" vertical="center"/>
    </xf>
    <xf numFmtId="0" fontId="4" fillId="5" borderId="0" xfId="7" applyFont="1" applyFill="1" applyAlignment="1">
      <alignment horizontal="left" vertical="center" indent="1"/>
    </xf>
    <xf numFmtId="0" fontId="4" fillId="13" borderId="0" xfId="7" applyFont="1" applyFill="1" applyAlignment="1">
      <alignment horizontal="left" vertical="center" indent="1"/>
    </xf>
    <xf numFmtId="0" fontId="4" fillId="17" borderId="0" xfId="7" applyFont="1" applyFill="1" applyAlignment="1">
      <alignment horizontal="left" vertical="center" indent="1"/>
    </xf>
  </cellXfs>
  <cellStyles count="18">
    <cellStyle name="Normal" xfId="0" builtinId="0"/>
    <cellStyle name="Normal 2" xfId="1"/>
    <cellStyle name="Normal 2 2" xfId="2"/>
    <cellStyle name="Normal 2 3" xfId="3"/>
    <cellStyle name="Normal 3" xfId="4"/>
    <cellStyle name="Normal 3 2" xfId="5"/>
    <cellStyle name="Normal 3 3" xfId="6"/>
    <cellStyle name="Normal 4" xfId="7"/>
    <cellStyle name="Normal 5" xfId="8"/>
    <cellStyle name="Normal 6" xfId="9"/>
    <cellStyle name="Percent 2" xfId="10"/>
    <cellStyle name="SAPDataCell" xfId="11"/>
    <cellStyle name="Style 1" xfId="12"/>
    <cellStyle name="쉼표 [0] 2" xfId="13"/>
    <cellStyle name="표준 2" xfId="14"/>
    <cellStyle name="표준_Copy of Koren Manual" xfId="15"/>
    <cellStyle name="常规 208" xfId="16"/>
    <cellStyle name="样式 1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2</xdr:row>
      <xdr:rowOff>121920</xdr:rowOff>
    </xdr:from>
    <xdr:to>
      <xdr:col>2</xdr:col>
      <xdr:colOff>53340</xdr:colOff>
      <xdr:row>4</xdr:row>
      <xdr:rowOff>60960</xdr:rowOff>
    </xdr:to>
    <xdr:sp macro="" textlink="">
      <xdr:nvSpPr>
        <xdr:cNvPr id="2" name="Rounded Rectangle 1"/>
        <xdr:cNvSpPr/>
      </xdr:nvSpPr>
      <xdr:spPr>
        <a:xfrm>
          <a:off x="127000" y="561975"/>
          <a:ext cx="1621790" cy="270510"/>
        </a:xfrm>
        <a:prstGeom prst="roundRect">
          <a:avLst>
            <a:gd name="adj" fmla="val 16667"/>
          </a:avLst>
        </a:prstGeom>
        <a:solidFill>
          <a:srgbClr val="002060"/>
        </a:solidFill>
        <a:ln w="25432" cap="flat" cmpd="sng" algn="ctr">
          <a:solidFill>
            <a:srgbClr val="404040"/>
          </a:solidFill>
          <a:prstDash val="solid"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vert="horz" wrap="square" rtlCol="0" anchor="t"/>
        <a:lstStyle/>
        <a:p>
          <a:pPr algn="l">
            <a:defRPr sz="900" b="1">
              <a:solidFill>
                <a:srgbClr val="FFFFFF"/>
              </a:solidFill>
              <a:latin typeface="Calibri" panose="020F0502020204030204"/>
            </a:defRPr>
          </a:pPr>
          <a:r>
            <a:rPr sz="900" b="1">
              <a:solidFill>
                <a:srgbClr val="FFFFFF"/>
              </a:solidFill>
              <a:latin typeface="Calibri" panose="020F0502020204030204"/>
            </a:rPr>
            <a:t>Import PO</a:t>
          </a:r>
          <a:endParaRPr lang="zh-CN" altLang="en-US" sz="900" b="1">
            <a:solidFill>
              <a:srgbClr val="FFFFFF"/>
            </a:solidFill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endParaRPr>
        </a:p>
      </xdr:txBody>
    </xdr:sp>
    <xdr:clientData/>
  </xdr:twoCellAnchor>
  <xdr:twoCellAnchor>
    <xdr:from>
      <xdr:col>2</xdr:col>
      <xdr:colOff>142240</xdr:colOff>
      <xdr:row>2</xdr:row>
      <xdr:rowOff>121920</xdr:rowOff>
    </xdr:from>
    <xdr:to>
      <xdr:col>5</xdr:col>
      <xdr:colOff>142240</xdr:colOff>
      <xdr:row>4</xdr:row>
      <xdr:rowOff>60960</xdr:rowOff>
    </xdr:to>
    <xdr:sp macro="" textlink="">
      <xdr:nvSpPr>
        <xdr:cNvPr id="3" name="Rounded Rectangle 2"/>
        <xdr:cNvSpPr/>
      </xdr:nvSpPr>
      <xdr:spPr>
        <a:xfrm>
          <a:off x="1837690" y="561975"/>
          <a:ext cx="3248025" cy="270510"/>
        </a:xfrm>
        <a:prstGeom prst="roundRect">
          <a:avLst>
            <a:gd name="adj" fmla="val 16667"/>
          </a:avLst>
        </a:prstGeom>
        <a:solidFill>
          <a:srgbClr val="002060"/>
        </a:solidFill>
        <a:ln w="25432" cap="flat" cmpd="sng" algn="ctr">
          <a:solidFill>
            <a:srgbClr val="404040"/>
          </a:solidFill>
          <a:prstDash val="solid"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vert="horz" wrap="square" rtlCol="0" anchor="t"/>
        <a:lstStyle/>
        <a:p>
          <a:pPr algn="l">
            <a:defRPr sz="900" b="1">
              <a:solidFill>
                <a:srgbClr val="FFFFFF"/>
              </a:solidFill>
              <a:latin typeface="Calibri" panose="020F0502020204030204"/>
            </a:defRPr>
          </a:pPr>
          <a:r>
            <a:rPr sz="900" b="1">
              <a:solidFill>
                <a:srgbClr val="FFFFFF"/>
              </a:solidFill>
              <a:latin typeface="Calibri" panose="020F0502020204030204"/>
            </a:rPr>
            <a:t>Create Carton</a:t>
          </a:r>
          <a:endParaRPr lang="zh-CN" altLang="en-US" sz="900" b="1">
            <a:solidFill>
              <a:srgbClr val="FFFFFF"/>
            </a:solidFill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endParaRPr>
        </a:p>
      </xdr:txBody>
    </xdr:sp>
    <xdr:clientData/>
  </xdr:twoCellAnchor>
  <xdr:twoCellAnchor>
    <xdr:from>
      <xdr:col>5</xdr:col>
      <xdr:colOff>231140</xdr:colOff>
      <xdr:row>2</xdr:row>
      <xdr:rowOff>121920</xdr:rowOff>
    </xdr:from>
    <xdr:to>
      <xdr:col>8</xdr:col>
      <xdr:colOff>342900</xdr:colOff>
      <xdr:row>4</xdr:row>
      <xdr:rowOff>60960</xdr:rowOff>
    </xdr:to>
    <xdr:sp macro="" textlink="">
      <xdr:nvSpPr>
        <xdr:cNvPr id="4" name="Rounded Rectangle 3"/>
        <xdr:cNvSpPr/>
      </xdr:nvSpPr>
      <xdr:spPr>
        <a:xfrm>
          <a:off x="5174615" y="561975"/>
          <a:ext cx="4121785" cy="270510"/>
        </a:xfrm>
        <a:prstGeom prst="roundRect">
          <a:avLst>
            <a:gd name="adj" fmla="val 16667"/>
          </a:avLst>
        </a:prstGeom>
        <a:solidFill>
          <a:srgbClr val="002060"/>
        </a:solidFill>
        <a:ln w="25432" cap="flat" cmpd="sng" algn="ctr">
          <a:solidFill>
            <a:srgbClr val="404040"/>
          </a:solidFill>
          <a:prstDash val="solid"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vert="horz" wrap="square" rtlCol="0" anchor="t"/>
        <a:lstStyle/>
        <a:p>
          <a:pPr algn="l">
            <a:defRPr sz="900" b="1">
              <a:solidFill>
                <a:srgbClr val="FFFFFF"/>
              </a:solidFill>
              <a:latin typeface="Calibri" panose="020F0502020204030204"/>
            </a:defRPr>
          </a:pPr>
          <a:r>
            <a:rPr sz="900" b="1">
              <a:solidFill>
                <a:srgbClr val="FFFFFF"/>
              </a:solidFill>
              <a:latin typeface="Calibri" panose="020F0502020204030204"/>
            </a:rPr>
            <a:t>Validate Packing</a:t>
          </a:r>
          <a:endParaRPr lang="zh-CN" altLang="en-US" sz="900" b="1">
            <a:solidFill>
              <a:srgbClr val="FFFFFF"/>
            </a:solidFill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endParaRPr>
        </a:p>
      </xdr:txBody>
    </xdr:sp>
    <xdr:clientData/>
  </xdr:twoCellAnchor>
  <xdr:twoCellAnchor>
    <xdr:from>
      <xdr:col>8</xdr:col>
      <xdr:colOff>431800</xdr:colOff>
      <xdr:row>2</xdr:row>
      <xdr:rowOff>121920</xdr:rowOff>
    </xdr:from>
    <xdr:to>
      <xdr:col>12</xdr:col>
      <xdr:colOff>58420</xdr:colOff>
      <xdr:row>4</xdr:row>
      <xdr:rowOff>60960</xdr:rowOff>
    </xdr:to>
    <xdr:sp macro="" textlink="">
      <xdr:nvSpPr>
        <xdr:cNvPr id="5" name="Rounded Rectangle 4"/>
        <xdr:cNvSpPr/>
      </xdr:nvSpPr>
      <xdr:spPr>
        <a:xfrm>
          <a:off x="9385300" y="561975"/>
          <a:ext cx="2874645" cy="270510"/>
        </a:xfrm>
        <a:prstGeom prst="roundRect">
          <a:avLst>
            <a:gd name="adj" fmla="val 16667"/>
          </a:avLst>
        </a:prstGeom>
        <a:solidFill>
          <a:srgbClr val="002060"/>
        </a:solidFill>
        <a:ln w="25432" cap="flat" cmpd="sng" algn="ctr">
          <a:solidFill>
            <a:srgbClr val="404040"/>
          </a:solidFill>
          <a:prstDash val="solid"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vert="horz" wrap="square" rtlCol="0" anchor="t"/>
        <a:lstStyle/>
        <a:p>
          <a:pPr algn="l">
            <a:defRPr sz="900" b="1">
              <a:solidFill>
                <a:srgbClr val="FFFFFF"/>
              </a:solidFill>
              <a:latin typeface="Calibri" panose="020F0502020204030204"/>
            </a:defRPr>
          </a:pPr>
          <a:r>
            <a:rPr sz="900" b="1">
              <a:solidFill>
                <a:srgbClr val="FFFFFF"/>
              </a:solidFill>
              <a:latin typeface="Calibri" panose="020F0502020204030204"/>
            </a:rPr>
            <a:t>Generate List</a:t>
          </a:r>
          <a:endParaRPr lang="zh-CN" altLang="en-US" sz="900" b="1">
            <a:solidFill>
              <a:srgbClr val="FFFFFF"/>
            </a:solidFill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endParaRPr>
        </a:p>
      </xdr:txBody>
    </xdr:sp>
    <xdr:clientData/>
  </xdr:twoCellAnchor>
  <xdr:twoCellAnchor>
    <xdr:from>
      <xdr:col>12</xdr:col>
      <xdr:colOff>147320</xdr:colOff>
      <xdr:row>2</xdr:row>
      <xdr:rowOff>121920</xdr:rowOff>
    </xdr:from>
    <xdr:to>
      <xdr:col>13</xdr:col>
      <xdr:colOff>713740</xdr:colOff>
      <xdr:row>4</xdr:row>
      <xdr:rowOff>60960</xdr:rowOff>
    </xdr:to>
    <xdr:sp macro="" textlink="">
      <xdr:nvSpPr>
        <xdr:cNvPr id="6" name="Rounded Rectangle 5"/>
        <xdr:cNvSpPr/>
      </xdr:nvSpPr>
      <xdr:spPr>
        <a:xfrm>
          <a:off x="12348845" y="561975"/>
          <a:ext cx="1071880" cy="270510"/>
        </a:xfrm>
        <a:prstGeom prst="roundRect">
          <a:avLst>
            <a:gd name="adj" fmla="val 16667"/>
          </a:avLst>
        </a:prstGeom>
        <a:solidFill>
          <a:srgbClr val="002060"/>
        </a:solidFill>
        <a:ln w="25432" cap="flat" cmpd="sng" algn="ctr">
          <a:solidFill>
            <a:srgbClr val="404040"/>
          </a:solidFill>
          <a:prstDash val="solid"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vert="horz" wrap="square" rtlCol="0" anchor="t"/>
        <a:lstStyle/>
        <a:p>
          <a:pPr algn="l">
            <a:defRPr sz="900" b="1">
              <a:solidFill>
                <a:srgbClr val="FFFFFF"/>
              </a:solidFill>
              <a:latin typeface="Calibri" panose="020F0502020204030204"/>
            </a:defRPr>
          </a:pPr>
          <a:r>
            <a:rPr sz="900" b="1">
              <a:solidFill>
                <a:srgbClr val="FFFFFF"/>
              </a:solidFill>
              <a:latin typeface="Calibri" panose="020F0502020204030204"/>
            </a:rPr>
            <a:t>Search</a:t>
          </a:r>
          <a:endParaRPr lang="zh-CN" altLang="en-US" sz="900" b="1">
            <a:solidFill>
              <a:srgbClr val="FFFFFF"/>
            </a:solidFill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57151</xdr:colOff>
      <xdr:row>1</xdr:row>
      <xdr:rowOff>415925</xdr:rowOff>
    </xdr:from>
    <xdr:to>
      <xdr:col>3</xdr:col>
      <xdr:colOff>438151</xdr:colOff>
      <xdr:row>3</xdr:row>
      <xdr:rowOff>266700</xdr:rowOff>
    </xdr:to>
    <xdr:sp macro="" textlink="">
      <xdr:nvSpPr>
        <xdr:cNvPr id="4" name="Rounded Rectangle 3"/>
        <xdr:cNvSpPr/>
      </xdr:nvSpPr>
      <xdr:spPr>
        <a:xfrm>
          <a:off x="3028951" y="492125"/>
          <a:ext cx="1866900" cy="355600"/>
        </a:xfrm>
        <a:prstGeom prst="roundRect">
          <a:avLst>
            <a:gd name="adj" fmla="val 16667"/>
          </a:avLst>
        </a:prstGeom>
        <a:solidFill>
          <a:srgbClr val="002060"/>
        </a:solidFill>
        <a:ln w="25432" cap="flat" cmpd="sng" algn="ctr">
          <a:solidFill>
            <a:srgbClr val="404040"/>
          </a:solidFill>
          <a:prstDash val="solid"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vert="horz" wrap="square" rtlCol="0" anchor="ctr"/>
        <a:lstStyle/>
        <a:p>
          <a:pPr algn="ctr">
            <a:defRPr sz="900" b="1">
              <a:solidFill>
                <a:srgbClr val="FFFFFF"/>
              </a:solidFill>
              <a:latin typeface="Calibri" panose="020F0502020204030204"/>
            </a:defRPr>
          </a:pPr>
          <a:r>
            <a:rPr sz="1200" b="1">
              <a:solidFill>
                <a:srgbClr val="FFFFFF"/>
              </a:solidFill>
              <a:latin typeface="Calibri" panose="020F0502020204030204"/>
            </a:rPr>
            <a:t>Refresh</a:t>
          </a:r>
          <a:endParaRPr lang="zh-CN" altLang="en-US" sz="900" b="1">
            <a:solidFill>
              <a:srgbClr val="FFFFFF"/>
            </a:solidFill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endParaRPr>
        </a:p>
      </xdr:txBody>
    </xdr:sp>
    <xdr:clientData/>
  </xdr:twoCellAnchor>
  <xdr:twoCellAnchor>
    <xdr:from>
      <xdr:col>5</xdr:col>
      <xdr:colOff>403225</xdr:colOff>
      <xdr:row>1</xdr:row>
      <xdr:rowOff>406400</xdr:rowOff>
    </xdr:from>
    <xdr:to>
      <xdr:col>6</xdr:col>
      <xdr:colOff>676275</xdr:colOff>
      <xdr:row>3</xdr:row>
      <xdr:rowOff>247650</xdr:rowOff>
    </xdr:to>
    <xdr:sp macro="" textlink="">
      <xdr:nvSpPr>
        <xdr:cNvPr id="5" name="Rounded Rectangle 4"/>
        <xdr:cNvSpPr/>
      </xdr:nvSpPr>
      <xdr:spPr>
        <a:xfrm>
          <a:off x="7832725" y="482600"/>
          <a:ext cx="1758950" cy="346075"/>
        </a:xfrm>
        <a:prstGeom prst="roundRect">
          <a:avLst>
            <a:gd name="adj" fmla="val 16667"/>
          </a:avLst>
        </a:prstGeom>
        <a:solidFill>
          <a:srgbClr val="002060"/>
        </a:solidFill>
        <a:ln w="25432" cap="flat" cmpd="sng" algn="ctr">
          <a:solidFill>
            <a:srgbClr val="404040"/>
          </a:solidFill>
          <a:prstDash val="solid"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vert="horz" wrap="square" rtlCol="0" anchor="ctr"/>
        <a:lstStyle/>
        <a:p>
          <a:pPr algn="ctr">
            <a:defRPr sz="900" b="1">
              <a:solidFill>
                <a:srgbClr val="FFFFFF"/>
              </a:solidFill>
              <a:latin typeface="Calibri" panose="020F0502020204030204"/>
            </a:defRPr>
          </a:pPr>
          <a:r>
            <a:rPr sz="1100" b="1">
              <a:solidFill>
                <a:srgbClr val="FFFFFF"/>
              </a:solidFill>
              <a:latin typeface="Calibri" panose="020F0502020204030204"/>
            </a:rPr>
            <a:t>Print List</a:t>
          </a:r>
          <a:endParaRPr lang="zh-CN" altLang="en-US" sz="900" b="1">
            <a:solidFill>
              <a:srgbClr val="FFFFFF"/>
            </a:solidFill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endParaRPr>
        </a:p>
      </xdr:txBody>
    </xdr:sp>
    <xdr:clientData/>
  </xdr:twoCellAnchor>
  <xdr:twoCellAnchor>
    <xdr:from>
      <xdr:col>8</xdr:col>
      <xdr:colOff>755650</xdr:colOff>
      <xdr:row>1</xdr:row>
      <xdr:rowOff>387350</xdr:rowOff>
    </xdr:from>
    <xdr:to>
      <xdr:col>9</xdr:col>
      <xdr:colOff>838200</xdr:colOff>
      <xdr:row>4</xdr:row>
      <xdr:rowOff>9525</xdr:rowOff>
    </xdr:to>
    <xdr:sp macro="" textlink="">
      <xdr:nvSpPr>
        <xdr:cNvPr id="6" name="Rounded Rectangle 5"/>
        <xdr:cNvSpPr/>
      </xdr:nvSpPr>
      <xdr:spPr>
        <a:xfrm>
          <a:off x="12642850" y="463550"/>
          <a:ext cx="1568450" cy="412750"/>
        </a:xfrm>
        <a:prstGeom prst="roundRect">
          <a:avLst>
            <a:gd name="adj" fmla="val 16667"/>
          </a:avLst>
        </a:prstGeom>
        <a:solidFill>
          <a:srgbClr val="002060"/>
        </a:solidFill>
        <a:ln w="25432" cap="flat" cmpd="sng" algn="ctr">
          <a:solidFill>
            <a:srgbClr val="404040"/>
          </a:solidFill>
          <a:prstDash val="solid"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vert="horz" wrap="square" rtlCol="0" anchor="ctr"/>
        <a:lstStyle/>
        <a:p>
          <a:pPr algn="ctr">
            <a:defRPr sz="900" b="1">
              <a:solidFill>
                <a:srgbClr val="FFFFFF"/>
              </a:solidFill>
              <a:latin typeface="Calibri" panose="020F0502020204030204"/>
            </a:defRPr>
          </a:pPr>
          <a:r>
            <a:rPr sz="1100" b="1">
              <a:solidFill>
                <a:srgbClr val="FFFFFF"/>
              </a:solidFill>
              <a:latin typeface="Calibri" panose="020F0502020204030204"/>
            </a:rPr>
            <a:t>Export PDF</a:t>
          </a:r>
          <a:endParaRPr lang="zh-CN" altLang="en-US" sz="900" b="1">
            <a:solidFill>
              <a:srgbClr val="FFFFFF"/>
            </a:solidFill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6"/>
  <sheetViews>
    <sheetView topLeftCell="A7" workbookViewId="0">
      <selection activeCell="D16" sqref="D16"/>
    </sheetView>
  </sheetViews>
  <sheetFormatPr defaultColWidth="8.85546875" defaultRowHeight="15" customHeight="1"/>
  <cols>
    <col min="1" max="1" width="3.42578125" customWidth="1"/>
    <col min="2" max="2" width="30.42578125" customWidth="1"/>
    <col min="3" max="3" width="54" customWidth="1"/>
    <col min="4" max="4" width="27.28515625" customWidth="1"/>
    <col min="5" max="5" width="38.5703125" customWidth="1"/>
    <col min="6" max="6" width="3.42578125" customWidth="1"/>
  </cols>
  <sheetData>
    <row r="1" spans="1:5" ht="25.5" customHeight="1">
      <c r="A1" s="248"/>
      <c r="B1" s="249" t="s">
        <v>0</v>
      </c>
      <c r="C1" s="242"/>
      <c r="D1" s="242"/>
      <c r="E1" s="222"/>
    </row>
    <row r="2" spans="1:5" ht="16.5" customHeight="1">
      <c r="A2" s="222"/>
      <c r="B2" s="250" t="s">
        <v>1</v>
      </c>
      <c r="C2" s="242"/>
      <c r="D2" s="242"/>
      <c r="E2" s="242"/>
    </row>
    <row r="3" spans="1:5" ht="7.5" customHeight="1">
      <c r="A3" s="223"/>
      <c r="B3" s="223"/>
      <c r="C3" s="223"/>
      <c r="D3" s="223"/>
      <c r="E3" s="222"/>
    </row>
    <row r="4" spans="1:5" ht="18" customHeight="1">
      <c r="A4" s="222"/>
      <c r="B4" s="251" t="s">
        <v>2</v>
      </c>
      <c r="C4" s="242"/>
      <c r="D4" s="242"/>
      <c r="E4" s="242"/>
    </row>
    <row r="5" spans="1:5" ht="18" customHeight="1">
      <c r="A5" s="222"/>
      <c r="B5" s="224" t="s">
        <v>3</v>
      </c>
      <c r="C5" s="225" t="s">
        <v>4</v>
      </c>
      <c r="D5" s="224" t="s">
        <v>5</v>
      </c>
      <c r="E5" s="225" t="s">
        <v>6</v>
      </c>
    </row>
    <row r="6" spans="1:5" ht="18" customHeight="1">
      <c r="A6" s="222"/>
      <c r="B6" s="224" t="s">
        <v>7</v>
      </c>
      <c r="C6" s="225" t="s">
        <v>8</v>
      </c>
      <c r="D6" s="224" t="s">
        <v>9</v>
      </c>
      <c r="E6" s="225" t="s">
        <v>10</v>
      </c>
    </row>
    <row r="7" spans="1:5" ht="18" customHeight="1">
      <c r="A7" s="222"/>
      <c r="B7" s="224" t="s">
        <v>11</v>
      </c>
      <c r="C7" s="225" t="s">
        <v>12</v>
      </c>
      <c r="D7" s="224" t="s">
        <v>13</v>
      </c>
      <c r="E7" s="225" t="s">
        <v>14</v>
      </c>
    </row>
    <row r="8" spans="1:5" ht="18" customHeight="1">
      <c r="A8" s="222"/>
      <c r="B8" s="224" t="s">
        <v>15</v>
      </c>
      <c r="C8" s="225" t="s">
        <v>16</v>
      </c>
      <c r="D8" s="224" t="s">
        <v>17</v>
      </c>
      <c r="E8" s="225" t="s">
        <v>18</v>
      </c>
    </row>
    <row r="9" spans="1:5" ht="18" customHeight="1">
      <c r="A9" s="222"/>
      <c r="B9" s="224" t="s">
        <v>19</v>
      </c>
      <c r="C9" s="225" t="s">
        <v>20</v>
      </c>
      <c r="D9" s="224" t="s">
        <v>21</v>
      </c>
      <c r="E9" s="225" t="s">
        <v>22</v>
      </c>
    </row>
    <row r="10" spans="1:5" ht="18" customHeight="1">
      <c r="A10" s="222"/>
      <c r="B10" s="252" t="s">
        <v>23</v>
      </c>
      <c r="C10" s="242"/>
      <c r="D10" s="242"/>
      <c r="E10" s="242"/>
    </row>
    <row r="11" spans="1:5" ht="18" customHeight="1">
      <c r="A11" s="222"/>
      <c r="B11" s="224" t="s">
        <v>24</v>
      </c>
      <c r="C11" s="225" t="s">
        <v>25</v>
      </c>
      <c r="D11" s="224" t="s">
        <v>26</v>
      </c>
      <c r="E11" s="225" t="s">
        <v>27</v>
      </c>
    </row>
    <row r="12" spans="1:5" ht="18" customHeight="1">
      <c r="A12" s="222"/>
      <c r="B12" s="224" t="s">
        <v>28</v>
      </c>
      <c r="C12" s="225" t="s">
        <v>29</v>
      </c>
      <c r="D12" s="224" t="s">
        <v>30</v>
      </c>
      <c r="E12" s="225" t="s">
        <v>31</v>
      </c>
    </row>
    <row r="13" spans="1:5" ht="18" customHeight="1">
      <c r="A13" s="222"/>
      <c r="B13" s="224" t="s">
        <v>32</v>
      </c>
      <c r="C13" s="225" t="s">
        <v>33</v>
      </c>
      <c r="D13" s="224" t="s">
        <v>34</v>
      </c>
      <c r="E13" s="225" t="s">
        <v>35</v>
      </c>
    </row>
    <row r="14" spans="1:5" ht="18" customHeight="1">
      <c r="A14" s="222"/>
      <c r="B14" s="253" t="s">
        <v>36</v>
      </c>
      <c r="C14" s="242"/>
      <c r="D14" s="242"/>
      <c r="E14" s="242"/>
    </row>
    <row r="15" spans="1:5" ht="21" customHeight="1">
      <c r="A15" s="222"/>
      <c r="B15" s="224" t="s">
        <v>37</v>
      </c>
      <c r="C15" s="244" t="s">
        <v>38</v>
      </c>
      <c r="D15" s="242"/>
      <c r="E15" s="242"/>
    </row>
    <row r="16" spans="1:5" ht="18" customHeight="1">
      <c r="A16" s="222"/>
      <c r="B16" s="224" t="s">
        <v>39</v>
      </c>
      <c r="C16" s="225" t="s">
        <v>40</v>
      </c>
      <c r="D16" s="224" t="s">
        <v>41</v>
      </c>
      <c r="E16" s="225" t="s">
        <v>42</v>
      </c>
    </row>
    <row r="17" spans="1:5" ht="18" customHeight="1">
      <c r="A17" s="222"/>
      <c r="B17" s="224" t="s">
        <v>43</v>
      </c>
      <c r="C17" s="225" t="s">
        <v>44</v>
      </c>
      <c r="D17" s="224" t="s">
        <v>45</v>
      </c>
      <c r="E17" s="225" t="s">
        <v>46</v>
      </c>
    </row>
    <row r="18" spans="1:5" ht="18" customHeight="1">
      <c r="A18" s="222"/>
      <c r="B18" s="245" t="s">
        <v>47</v>
      </c>
      <c r="C18" s="242"/>
      <c r="D18" s="242"/>
      <c r="E18" s="242"/>
    </row>
    <row r="19" spans="1:5" ht="18" customHeight="1">
      <c r="A19" s="222"/>
      <c r="B19" s="224" t="s">
        <v>48</v>
      </c>
      <c r="C19" s="244" t="s">
        <v>49</v>
      </c>
      <c r="D19" s="242"/>
      <c r="E19" s="242"/>
    </row>
    <row r="20" spans="1:5" ht="18" customHeight="1">
      <c r="A20" s="222"/>
      <c r="B20" s="224" t="s">
        <v>50</v>
      </c>
      <c r="C20" s="225" t="s">
        <v>51</v>
      </c>
      <c r="D20" s="224" t="s">
        <v>52</v>
      </c>
      <c r="E20" s="225" t="s">
        <v>53</v>
      </c>
    </row>
    <row r="21" spans="1:5" ht="18" customHeight="1">
      <c r="A21" s="222"/>
      <c r="B21" s="246" t="s">
        <v>54</v>
      </c>
      <c r="C21" s="242"/>
      <c r="D21" s="242"/>
      <c r="E21" s="242"/>
    </row>
    <row r="22" spans="1:5" ht="18" customHeight="1">
      <c r="A22" s="222"/>
      <c r="B22" s="224" t="s">
        <v>55</v>
      </c>
      <c r="C22" s="226">
        <v>14</v>
      </c>
      <c r="D22" s="224" t="s">
        <v>56</v>
      </c>
      <c r="E22" s="225" t="s">
        <v>57</v>
      </c>
    </row>
    <row r="23" spans="1:5" ht="18" customHeight="1">
      <c r="A23" s="222"/>
      <c r="B23" s="224" t="s">
        <v>58</v>
      </c>
      <c r="C23" s="225">
        <v>3</v>
      </c>
      <c r="D23" s="224" t="s">
        <v>59</v>
      </c>
      <c r="E23" s="225">
        <v>1</v>
      </c>
    </row>
    <row r="24" spans="1:5" ht="18" customHeight="1">
      <c r="A24" s="222"/>
      <c r="B24" s="224" t="s">
        <v>60</v>
      </c>
      <c r="C24" s="227">
        <v>584</v>
      </c>
      <c r="D24" s="224" t="s">
        <v>61</v>
      </c>
      <c r="E24" s="227">
        <v>382</v>
      </c>
    </row>
    <row r="25" spans="1:5" ht="18" customHeight="1">
      <c r="A25" s="222"/>
      <c r="B25" s="224" t="s">
        <v>62</v>
      </c>
      <c r="C25" s="227">
        <v>312</v>
      </c>
      <c r="D25" s="224" t="s">
        <v>63</v>
      </c>
      <c r="E25" s="228">
        <f>(C24*E24*C25)/1000000000</f>
        <v>6.9603455999999994E-2</v>
      </c>
    </row>
    <row r="26" spans="1:5" ht="18" customHeight="1">
      <c r="A26" s="222"/>
      <c r="B26" s="224" t="s">
        <v>64</v>
      </c>
      <c r="C26" s="229">
        <v>0.35</v>
      </c>
      <c r="D26" s="224" t="s">
        <v>65</v>
      </c>
      <c r="E26" s="229">
        <v>0.42</v>
      </c>
    </row>
    <row r="27" spans="1:5" ht="18" customHeight="1">
      <c r="A27" s="222"/>
      <c r="B27" s="247" t="s">
        <v>66</v>
      </c>
      <c r="C27" s="242"/>
      <c r="D27" s="242"/>
      <c r="E27" s="242"/>
    </row>
    <row r="28" spans="1:5" ht="19.5" customHeight="1">
      <c r="A28" s="222"/>
      <c r="B28" s="230" t="s">
        <v>67</v>
      </c>
      <c r="C28" s="230" t="s">
        <v>68</v>
      </c>
      <c r="D28" s="230" t="s">
        <v>69</v>
      </c>
      <c r="E28" s="230" t="s">
        <v>70</v>
      </c>
    </row>
    <row r="29" spans="1:5" ht="18" customHeight="1">
      <c r="A29" s="222"/>
      <c r="B29" s="231" t="s">
        <v>71</v>
      </c>
      <c r="C29" s="225" t="s">
        <v>72</v>
      </c>
      <c r="D29" s="227">
        <f>COUNTA('PACKING ENTRY'!M19:V19)</f>
        <v>10</v>
      </c>
      <c r="E29" s="232" t="s">
        <v>73</v>
      </c>
    </row>
    <row r="30" spans="1:5" ht="18" customHeight="1">
      <c r="A30" s="222"/>
      <c r="B30" s="233" t="s">
        <v>74</v>
      </c>
      <c r="C30" s="225" t="s">
        <v>75</v>
      </c>
      <c r="D30" s="227">
        <f>COUNTA('PACKING ENTRY'!M20:V20)</f>
        <v>7</v>
      </c>
      <c r="E30" s="232" t="s">
        <v>76</v>
      </c>
    </row>
    <row r="31" spans="1:5" ht="18" customHeight="1">
      <c r="A31" s="222"/>
      <c r="B31" s="234" t="s">
        <v>77</v>
      </c>
      <c r="C31" s="225" t="s">
        <v>78</v>
      </c>
      <c r="D31" s="227">
        <f>COUNTA('PACKING ENTRY'!M21:V21)</f>
        <v>6</v>
      </c>
      <c r="E31" s="232" t="s">
        <v>79</v>
      </c>
    </row>
    <row r="32" spans="1:5" ht="18" customHeight="1">
      <c r="A32" s="222"/>
      <c r="B32" s="235" t="s">
        <v>80</v>
      </c>
      <c r="C32" s="225" t="s">
        <v>81</v>
      </c>
      <c r="D32" s="227">
        <f>COUNTA('PACKING ENTRY'!M22:V22)</f>
        <v>4</v>
      </c>
      <c r="E32" s="232" t="s">
        <v>82</v>
      </c>
    </row>
    <row r="33" spans="1:5" ht="18" customHeight="1">
      <c r="A33" s="222"/>
      <c r="B33" s="241" t="s">
        <v>83</v>
      </c>
      <c r="C33" s="242"/>
      <c r="D33" s="242"/>
      <c r="E33" s="242"/>
    </row>
    <row r="34" spans="1:5" ht="18" customHeight="1">
      <c r="A34" s="222"/>
      <c r="B34" s="224" t="s">
        <v>84</v>
      </c>
      <c r="C34" s="236" t="s">
        <v>85</v>
      </c>
      <c r="D34" s="224" t="s">
        <v>86</v>
      </c>
      <c r="E34" s="225" t="s">
        <v>87</v>
      </c>
    </row>
    <row r="35" spans="1:5" ht="7.5" customHeight="1">
      <c r="A35" s="222"/>
      <c r="B35" s="222"/>
      <c r="C35" s="222"/>
      <c r="D35" s="222"/>
      <c r="E35" s="222"/>
    </row>
    <row r="36" spans="1:5" ht="19.5" customHeight="1">
      <c r="A36" s="222"/>
      <c r="B36" s="243" t="s">
        <v>88</v>
      </c>
      <c r="C36" s="242"/>
      <c r="D36" s="242"/>
      <c r="E36" s="242"/>
    </row>
  </sheetData>
  <sheetProtection algorithmName="SHA-512" hashValue="wKbvpJ2IVsfIm9C1e6JJ4hlPKsMwbX0jfV4vQbCzb3e9tIrBvPV1IzalCfafGfIFud6FwGf5fFFIOW2p4CaEEA==" saltValue="6N/yi5xHzo05esAoW0W8JA==" spinCount="100000" sheet="1" objects="1" formatCells="0" formatColumns="0" formatRows="0" insertColumns="0" insertRows="0" insertHyperlinks="0" deleteColumns="0" deleteRows="0" sort="0" autoFilter="0" pivotTables="0"/>
  <mergeCells count="12">
    <mergeCell ref="A1:D1"/>
    <mergeCell ref="B2:E2"/>
    <mergeCell ref="B4:E4"/>
    <mergeCell ref="B10:E10"/>
    <mergeCell ref="B14:E14"/>
    <mergeCell ref="B33:E33"/>
    <mergeCell ref="B36:E36"/>
    <mergeCell ref="C15:E15"/>
    <mergeCell ref="B18:E18"/>
    <mergeCell ref="C19:E19"/>
    <mergeCell ref="B21:E21"/>
    <mergeCell ref="B27:E27"/>
  </mergeCell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75"/>
  <sheetViews>
    <sheetView workbookViewId="0">
      <pane xSplit="2" ySplit="4" topLeftCell="C8" activePane="bottomRight" state="frozen"/>
      <selection pane="topRight"/>
      <selection pane="bottomLeft"/>
      <selection pane="bottomRight" activeCell="G9" sqref="G9"/>
    </sheetView>
  </sheetViews>
  <sheetFormatPr defaultColWidth="8.85546875" defaultRowHeight="15" customHeight="1"/>
  <cols>
    <col min="1" max="1" width="12.140625" style="151" customWidth="1"/>
    <col min="2" max="2" width="7.85546875" style="151" customWidth="1"/>
    <col min="3" max="3" width="14" style="151" customWidth="1"/>
    <col min="4" max="4" width="11.7109375" style="151" customWidth="1"/>
    <col min="5" max="5" width="15.5703125" style="151" customWidth="1"/>
    <col min="6" max="6" width="24.7109375" style="151" customWidth="1"/>
    <col min="7" max="7" width="12" style="151" customWidth="1"/>
    <col min="8" max="8" width="6.42578125" style="151" customWidth="1"/>
    <col min="9" max="9" width="18.5703125" style="151" customWidth="1"/>
    <col min="10" max="10" width="19.5703125" style="151" customWidth="1"/>
    <col min="11" max="11" width="11.42578125" style="151" customWidth="1"/>
    <col min="12" max="12" width="17.7109375" style="151" customWidth="1"/>
    <col min="13" max="13" width="14" style="151" customWidth="1"/>
    <col min="14" max="14" width="12.140625" style="151" customWidth="1"/>
    <col min="15" max="15" width="13.5703125" style="151" customWidth="1"/>
    <col min="16" max="16" width="14.85546875" style="151" customWidth="1"/>
    <col min="17" max="17" width="16.85546875" style="151" customWidth="1"/>
    <col min="18" max="20" width="8" style="151" customWidth="1"/>
  </cols>
  <sheetData>
    <row r="1" spans="1:20" ht="24" customHeight="1">
      <c r="A1" s="261" t="s">
        <v>89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62"/>
      <c r="T1" s="262"/>
    </row>
    <row r="2" spans="1:20" ht="15" customHeight="1">
      <c r="A2" s="263" t="s">
        <v>90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  <c r="O2" s="264"/>
      <c r="P2" s="264"/>
      <c r="Q2" s="264"/>
      <c r="R2" s="264"/>
      <c r="S2" s="264"/>
      <c r="T2" s="264"/>
    </row>
    <row r="3" spans="1:20" ht="4.5" customHeight="1"/>
    <row r="4" spans="1:20" s="125" customFormat="1" ht="27" customHeight="1">
      <c r="A4" s="202" t="s">
        <v>91</v>
      </c>
      <c r="B4" s="202" t="s">
        <v>92</v>
      </c>
      <c r="C4" s="202" t="s">
        <v>5</v>
      </c>
      <c r="D4" s="202" t="s">
        <v>93</v>
      </c>
      <c r="E4" s="202" t="s">
        <v>94</v>
      </c>
      <c r="F4" s="202" t="s">
        <v>95</v>
      </c>
      <c r="G4" s="202" t="s">
        <v>96</v>
      </c>
      <c r="H4" s="202" t="s">
        <v>97</v>
      </c>
      <c r="I4" s="202" t="s">
        <v>98</v>
      </c>
      <c r="J4" s="202" t="s">
        <v>99</v>
      </c>
      <c r="K4" s="202" t="s">
        <v>100</v>
      </c>
      <c r="L4" s="202" t="s">
        <v>101</v>
      </c>
      <c r="M4" s="202" t="s">
        <v>102</v>
      </c>
      <c r="N4" s="202" t="s">
        <v>103</v>
      </c>
      <c r="O4" s="202" t="s">
        <v>67</v>
      </c>
      <c r="P4" s="203"/>
      <c r="Q4" s="265" t="s">
        <v>104</v>
      </c>
      <c r="R4" s="266"/>
      <c r="S4" s="266"/>
      <c r="T4" s="266"/>
    </row>
    <row r="5" spans="1:20" ht="18" customHeight="1">
      <c r="A5" s="204">
        <v>4901873568</v>
      </c>
      <c r="B5" s="204" t="s">
        <v>105</v>
      </c>
      <c r="C5" s="205" t="s">
        <v>6</v>
      </c>
      <c r="D5" s="205" t="s">
        <v>106</v>
      </c>
      <c r="E5" s="205" t="s">
        <v>107</v>
      </c>
      <c r="F5" s="205" t="s">
        <v>4</v>
      </c>
      <c r="G5" s="205">
        <v>50512345</v>
      </c>
      <c r="H5" s="205" t="s">
        <v>108</v>
      </c>
      <c r="I5" s="205" t="s">
        <v>109</v>
      </c>
      <c r="J5" s="205" t="s">
        <v>110</v>
      </c>
      <c r="K5" s="204">
        <v>1</v>
      </c>
      <c r="L5" s="205" t="s">
        <v>111</v>
      </c>
      <c r="M5" s="206">
        <v>46249</v>
      </c>
      <c r="N5" s="204" t="s">
        <v>112</v>
      </c>
      <c r="O5" s="207" t="s">
        <v>74</v>
      </c>
      <c r="P5" s="208"/>
      <c r="Q5" s="209" t="s">
        <v>113</v>
      </c>
      <c r="R5" s="256">
        <f>COUNTA(A5:A100)</f>
        <v>13</v>
      </c>
      <c r="S5" s="257"/>
      <c r="T5" s="257"/>
    </row>
    <row r="6" spans="1:20" ht="18" customHeight="1">
      <c r="A6" s="210">
        <v>4901893257</v>
      </c>
      <c r="B6" s="210" t="s">
        <v>105</v>
      </c>
      <c r="C6" s="211" t="s">
        <v>6</v>
      </c>
      <c r="D6" s="211" t="s">
        <v>106</v>
      </c>
      <c r="E6" s="211" t="s">
        <v>107</v>
      </c>
      <c r="F6" s="211" t="s">
        <v>4</v>
      </c>
      <c r="G6" s="211">
        <v>50512346</v>
      </c>
      <c r="H6" s="211" t="s">
        <v>108</v>
      </c>
      <c r="I6" s="211" t="s">
        <v>114</v>
      </c>
      <c r="J6" s="211" t="s">
        <v>110</v>
      </c>
      <c r="K6" s="210">
        <v>402</v>
      </c>
      <c r="L6" s="211" t="s">
        <v>115</v>
      </c>
      <c r="M6" s="212">
        <v>46256</v>
      </c>
      <c r="N6" s="210" t="s">
        <v>112</v>
      </c>
      <c r="O6" s="207" t="s">
        <v>74</v>
      </c>
      <c r="P6" s="213"/>
      <c r="Q6" s="209" t="s">
        <v>116</v>
      </c>
      <c r="R6" s="256">
        <f>COUNTIF(O5:O100,"Apparel")</f>
        <v>5</v>
      </c>
      <c r="S6" s="258"/>
      <c r="T6" s="258"/>
    </row>
    <row r="7" spans="1:20" ht="18" customHeight="1">
      <c r="A7" s="204">
        <v>4901893300</v>
      </c>
      <c r="B7" s="204" t="s">
        <v>117</v>
      </c>
      <c r="C7" s="205" t="s">
        <v>6</v>
      </c>
      <c r="D7" s="205" t="s">
        <v>118</v>
      </c>
      <c r="E7" s="205" t="s">
        <v>107</v>
      </c>
      <c r="F7" s="205" t="s">
        <v>4</v>
      </c>
      <c r="G7" s="205">
        <v>50512401</v>
      </c>
      <c r="H7" s="205" t="s">
        <v>119</v>
      </c>
      <c r="I7" s="205" t="s">
        <v>120</v>
      </c>
      <c r="J7" s="205" t="s">
        <v>121</v>
      </c>
      <c r="K7" s="204">
        <v>1</v>
      </c>
      <c r="L7" s="205" t="s">
        <v>111</v>
      </c>
      <c r="M7" s="206">
        <v>46275</v>
      </c>
      <c r="N7" s="204" t="s">
        <v>112</v>
      </c>
      <c r="O7" s="207" t="s">
        <v>74</v>
      </c>
      <c r="P7" s="208"/>
      <c r="Q7" s="209" t="s">
        <v>122</v>
      </c>
      <c r="R7" s="256">
        <f>COUNTIF(O5:O100,"Footwear")</f>
        <v>3</v>
      </c>
      <c r="S7" s="257"/>
      <c r="T7" s="257"/>
    </row>
    <row r="8" spans="1:20" ht="18" customHeight="1">
      <c r="A8" s="210">
        <v>4901893401</v>
      </c>
      <c r="B8" s="210" t="s">
        <v>117</v>
      </c>
      <c r="C8" s="211" t="s">
        <v>6</v>
      </c>
      <c r="D8" s="211" t="s">
        <v>106</v>
      </c>
      <c r="E8" s="211" t="s">
        <v>123</v>
      </c>
      <c r="F8" s="211" t="s">
        <v>4</v>
      </c>
      <c r="G8" s="211">
        <v>50512402</v>
      </c>
      <c r="H8" s="211" t="s">
        <v>124</v>
      </c>
      <c r="I8" s="211" t="s">
        <v>125</v>
      </c>
      <c r="J8" s="211" t="s">
        <v>126</v>
      </c>
      <c r="K8" s="210">
        <v>410</v>
      </c>
      <c r="L8" s="211" t="s">
        <v>127</v>
      </c>
      <c r="M8" s="212">
        <v>46290</v>
      </c>
      <c r="N8" s="210" t="s">
        <v>128</v>
      </c>
      <c r="O8" s="207" t="s">
        <v>74</v>
      </c>
      <c r="P8" s="213"/>
      <c r="Q8" s="209" t="s">
        <v>129</v>
      </c>
      <c r="R8" s="256">
        <f>COUNTIF(O5:O100,"Kids")</f>
        <v>2</v>
      </c>
      <c r="S8" s="258"/>
      <c r="T8" s="258"/>
    </row>
    <row r="9" spans="1:20" ht="18" customHeight="1">
      <c r="A9" s="204">
        <v>4901893510</v>
      </c>
      <c r="B9" s="204" t="s">
        <v>105</v>
      </c>
      <c r="C9" s="205" t="s">
        <v>6</v>
      </c>
      <c r="D9" s="205" t="s">
        <v>106</v>
      </c>
      <c r="E9" s="205" t="s">
        <v>71</v>
      </c>
      <c r="F9" s="205" t="s">
        <v>130</v>
      </c>
      <c r="G9" s="205">
        <v>60712201</v>
      </c>
      <c r="H9" s="205" t="s">
        <v>131</v>
      </c>
      <c r="I9" s="205" t="s">
        <v>132</v>
      </c>
      <c r="J9" s="205" t="s">
        <v>133</v>
      </c>
      <c r="K9" s="204">
        <v>1</v>
      </c>
      <c r="L9" s="205" t="s">
        <v>111</v>
      </c>
      <c r="M9" s="206">
        <v>46264</v>
      </c>
      <c r="N9" s="204" t="s">
        <v>134</v>
      </c>
      <c r="O9" s="214" t="s">
        <v>71</v>
      </c>
      <c r="P9" s="208"/>
      <c r="Q9" s="209" t="s">
        <v>135</v>
      </c>
      <c r="R9" s="256">
        <f>COUNTIF(O5:O100,"Accessories")</f>
        <v>2</v>
      </c>
      <c r="S9" s="257"/>
      <c r="T9" s="257"/>
    </row>
    <row r="10" spans="1:20" ht="18" customHeight="1">
      <c r="A10" s="210">
        <v>4901893520</v>
      </c>
      <c r="B10" s="210" t="s">
        <v>105</v>
      </c>
      <c r="C10" s="211" t="s">
        <v>6</v>
      </c>
      <c r="D10" s="211" t="s">
        <v>118</v>
      </c>
      <c r="E10" s="211" t="s">
        <v>71</v>
      </c>
      <c r="F10" s="211" t="s">
        <v>130</v>
      </c>
      <c r="G10" s="211">
        <v>60712202</v>
      </c>
      <c r="H10" s="211" t="s">
        <v>131</v>
      </c>
      <c r="I10" s="211" t="s">
        <v>136</v>
      </c>
      <c r="J10" s="211" t="s">
        <v>133</v>
      </c>
      <c r="K10" s="210">
        <v>100</v>
      </c>
      <c r="L10" s="211" t="s">
        <v>137</v>
      </c>
      <c r="M10" s="212">
        <v>46270</v>
      </c>
      <c r="N10" s="210" t="s">
        <v>138</v>
      </c>
      <c r="O10" s="214" t="s">
        <v>71</v>
      </c>
      <c r="P10" s="213"/>
      <c r="Q10" s="209" t="s">
        <v>139</v>
      </c>
      <c r="R10" s="256" t="str">
        <f>TEXT(MIN(M5:M100),"dd-mmm-yyyy")</f>
        <v>30-Jul-2026</v>
      </c>
      <c r="S10" s="258"/>
      <c r="T10" s="258"/>
    </row>
    <row r="11" spans="1:20" ht="16.5" customHeight="1">
      <c r="A11" s="204">
        <v>4901893611</v>
      </c>
      <c r="B11" s="204" t="s">
        <v>117</v>
      </c>
      <c r="C11" s="205" t="s">
        <v>6</v>
      </c>
      <c r="D11" s="205" t="s">
        <v>106</v>
      </c>
      <c r="E11" s="205" t="s">
        <v>71</v>
      </c>
      <c r="F11" s="205" t="s">
        <v>130</v>
      </c>
      <c r="G11" s="205">
        <v>60712345</v>
      </c>
      <c r="H11" s="205" t="s">
        <v>140</v>
      </c>
      <c r="I11" s="205" t="s">
        <v>141</v>
      </c>
      <c r="J11" s="205" t="s">
        <v>142</v>
      </c>
      <c r="K11" s="204">
        <v>203</v>
      </c>
      <c r="L11" s="205" t="s">
        <v>143</v>
      </c>
      <c r="M11" s="206">
        <v>46310</v>
      </c>
      <c r="N11" s="204" t="s">
        <v>144</v>
      </c>
      <c r="O11" s="214" t="s">
        <v>71</v>
      </c>
      <c r="P11" s="208"/>
      <c r="Q11" s="208"/>
      <c r="R11" s="208"/>
      <c r="S11" s="208"/>
      <c r="T11" s="208"/>
    </row>
    <row r="12" spans="1:20" ht="16.5" customHeight="1">
      <c r="A12" s="210">
        <v>4901893712</v>
      </c>
      <c r="B12" s="210" t="s">
        <v>105</v>
      </c>
      <c r="C12" s="211" t="s">
        <v>6</v>
      </c>
      <c r="D12" s="211" t="s">
        <v>145</v>
      </c>
      <c r="E12" s="211" t="s">
        <v>146</v>
      </c>
      <c r="F12" s="211" t="s">
        <v>147</v>
      </c>
      <c r="G12" s="211">
        <v>70812101</v>
      </c>
      <c r="H12" s="211" t="s">
        <v>148</v>
      </c>
      <c r="I12" s="211" t="s">
        <v>149</v>
      </c>
      <c r="J12" s="211" t="s">
        <v>110</v>
      </c>
      <c r="K12" s="210">
        <v>1</v>
      </c>
      <c r="L12" s="211" t="s">
        <v>111</v>
      </c>
      <c r="M12" s="212">
        <v>46254</v>
      </c>
      <c r="N12" s="210" t="s">
        <v>112</v>
      </c>
      <c r="O12" s="215" t="s">
        <v>77</v>
      </c>
      <c r="P12" s="213"/>
      <c r="Q12" s="213"/>
      <c r="R12" s="213"/>
      <c r="S12" s="213"/>
      <c r="T12" s="213"/>
    </row>
    <row r="13" spans="1:20" ht="16.5" customHeight="1">
      <c r="A13" s="204">
        <v>4901893713</v>
      </c>
      <c r="B13" s="204" t="s">
        <v>105</v>
      </c>
      <c r="C13" s="205" t="s">
        <v>6</v>
      </c>
      <c r="D13" s="205" t="s">
        <v>145</v>
      </c>
      <c r="E13" s="205" t="s">
        <v>146</v>
      </c>
      <c r="F13" s="205" t="s">
        <v>147</v>
      </c>
      <c r="G13" s="205">
        <v>70812102</v>
      </c>
      <c r="H13" s="205" t="s">
        <v>150</v>
      </c>
      <c r="I13" s="205" t="s">
        <v>151</v>
      </c>
      <c r="J13" s="205" t="s">
        <v>110</v>
      </c>
      <c r="K13" s="204">
        <v>402</v>
      </c>
      <c r="L13" s="205" t="s">
        <v>115</v>
      </c>
      <c r="M13" s="206">
        <v>46254</v>
      </c>
      <c r="N13" s="204" t="s">
        <v>112</v>
      </c>
      <c r="O13" s="215" t="s">
        <v>77</v>
      </c>
      <c r="P13" s="208"/>
      <c r="Q13" s="208"/>
      <c r="R13" s="208"/>
      <c r="S13" s="208"/>
      <c r="T13" s="208"/>
    </row>
    <row r="14" spans="1:20" ht="16.5" customHeight="1">
      <c r="A14" s="210">
        <v>4901893801</v>
      </c>
      <c r="B14" s="210" t="s">
        <v>117</v>
      </c>
      <c r="C14" s="211" t="s">
        <v>6</v>
      </c>
      <c r="D14" s="211" t="s">
        <v>106</v>
      </c>
      <c r="E14" s="211" t="s">
        <v>80</v>
      </c>
      <c r="F14" s="211" t="s">
        <v>152</v>
      </c>
      <c r="G14" s="211">
        <v>80912001</v>
      </c>
      <c r="H14" s="211" t="s">
        <v>153</v>
      </c>
      <c r="I14" s="211" t="s">
        <v>154</v>
      </c>
      <c r="J14" s="211" t="s">
        <v>142</v>
      </c>
      <c r="K14" s="210">
        <v>1</v>
      </c>
      <c r="L14" s="211" t="s">
        <v>111</v>
      </c>
      <c r="M14" s="212">
        <v>46280</v>
      </c>
      <c r="N14" s="210" t="s">
        <v>112</v>
      </c>
      <c r="O14" s="216" t="s">
        <v>80</v>
      </c>
      <c r="P14" s="213"/>
      <c r="Q14" s="213"/>
      <c r="R14" s="213"/>
      <c r="S14" s="213"/>
      <c r="T14" s="213"/>
    </row>
    <row r="15" spans="1:20" ht="16.5" customHeight="1">
      <c r="A15" s="204">
        <v>4901893802</v>
      </c>
      <c r="B15" s="204" t="s">
        <v>117</v>
      </c>
      <c r="C15" s="205" t="s">
        <v>6</v>
      </c>
      <c r="D15" s="205" t="s">
        <v>106</v>
      </c>
      <c r="E15" s="205" t="s">
        <v>80</v>
      </c>
      <c r="F15" s="205" t="s">
        <v>152</v>
      </c>
      <c r="G15" s="205">
        <v>80912002</v>
      </c>
      <c r="H15" s="205" t="s">
        <v>155</v>
      </c>
      <c r="I15" s="205" t="s">
        <v>156</v>
      </c>
      <c r="J15" s="205" t="s">
        <v>142</v>
      </c>
      <c r="K15" s="204">
        <v>203</v>
      </c>
      <c r="L15" s="205" t="s">
        <v>143</v>
      </c>
      <c r="M15" s="206">
        <v>46280</v>
      </c>
      <c r="N15" s="204" t="s">
        <v>138</v>
      </c>
      <c r="O15" s="216" t="s">
        <v>80</v>
      </c>
      <c r="P15" s="208"/>
      <c r="Q15" s="208"/>
      <c r="R15" s="208"/>
      <c r="S15" s="208"/>
      <c r="T15" s="208"/>
    </row>
    <row r="16" spans="1:20" ht="16.5" customHeight="1">
      <c r="A16" s="210">
        <v>4901893950</v>
      </c>
      <c r="B16" s="210" t="s">
        <v>105</v>
      </c>
      <c r="C16" s="211" t="s">
        <v>6</v>
      </c>
      <c r="D16" s="211" t="s">
        <v>118</v>
      </c>
      <c r="E16" s="211" t="s">
        <v>123</v>
      </c>
      <c r="F16" s="211" t="s">
        <v>4</v>
      </c>
      <c r="G16" s="211">
        <v>50512505</v>
      </c>
      <c r="H16" s="211" t="s">
        <v>157</v>
      </c>
      <c r="I16" s="211" t="s">
        <v>158</v>
      </c>
      <c r="J16" s="211" t="s">
        <v>159</v>
      </c>
      <c r="K16" s="210">
        <v>425</v>
      </c>
      <c r="L16" s="211" t="s">
        <v>160</v>
      </c>
      <c r="M16" s="212">
        <v>46233</v>
      </c>
      <c r="N16" s="210" t="s">
        <v>161</v>
      </c>
      <c r="O16" s="207" t="s">
        <v>74</v>
      </c>
      <c r="P16" s="213"/>
      <c r="Q16" s="213"/>
      <c r="R16" s="213"/>
      <c r="S16" s="213"/>
      <c r="T16" s="213"/>
    </row>
    <row r="17" spans="1:20" ht="15" customHeight="1">
      <c r="A17" s="208"/>
      <c r="B17" s="208"/>
      <c r="C17" s="208"/>
      <c r="D17" s="208"/>
      <c r="E17" s="208"/>
      <c r="F17" s="208"/>
      <c r="G17" s="208"/>
      <c r="H17" s="208"/>
      <c r="I17" s="208"/>
      <c r="J17" s="208"/>
      <c r="K17" s="208"/>
      <c r="L17" s="217"/>
      <c r="M17" s="208"/>
      <c r="N17" s="208"/>
      <c r="O17" s="208"/>
      <c r="P17" s="208"/>
      <c r="Q17" s="208"/>
      <c r="R17" s="208"/>
      <c r="S17" s="208"/>
      <c r="T17" s="208"/>
    </row>
    <row r="18" spans="1:20" ht="16.5" customHeight="1">
      <c r="A18" s="259" t="s">
        <v>162</v>
      </c>
      <c r="B18" s="257"/>
      <c r="C18" s="258"/>
      <c r="D18" s="258"/>
      <c r="E18" s="258"/>
      <c r="F18" s="258"/>
      <c r="G18" s="258"/>
      <c r="H18" s="258"/>
      <c r="I18" s="258"/>
      <c r="J18" s="258"/>
      <c r="K18" s="258"/>
      <c r="L18" s="260"/>
      <c r="M18" s="258"/>
      <c r="N18" s="258"/>
      <c r="O18" s="258"/>
      <c r="P18" s="213"/>
      <c r="Q18" s="213"/>
      <c r="R18" s="213"/>
      <c r="S18" s="213"/>
      <c r="T18" s="213"/>
    </row>
    <row r="19" spans="1:20" ht="15" customHeight="1">
      <c r="A19" s="208"/>
      <c r="B19" s="208"/>
      <c r="C19" s="208"/>
      <c r="D19" s="208"/>
      <c r="E19" s="208"/>
      <c r="F19" s="208"/>
      <c r="G19" s="208"/>
      <c r="H19" s="208"/>
      <c r="I19" s="208"/>
      <c r="J19" s="208"/>
      <c r="K19" s="208"/>
      <c r="L19" s="217"/>
      <c r="M19" s="208"/>
      <c r="N19" s="208"/>
      <c r="O19" s="208"/>
      <c r="P19" s="208"/>
      <c r="Q19" s="208"/>
      <c r="R19" s="208"/>
      <c r="S19" s="208"/>
      <c r="T19" s="208"/>
    </row>
    <row r="20" spans="1:20" ht="15" customHeight="1">
      <c r="A20" s="208"/>
      <c r="B20" s="208"/>
      <c r="C20" s="213"/>
      <c r="D20" s="213"/>
      <c r="E20" s="213"/>
      <c r="F20" s="213"/>
      <c r="G20" s="213"/>
      <c r="H20" s="213"/>
      <c r="I20" s="213"/>
      <c r="J20" s="213"/>
      <c r="K20" s="213"/>
      <c r="L20" s="218"/>
      <c r="M20" s="213"/>
      <c r="N20" s="213"/>
      <c r="O20" s="213"/>
      <c r="P20" s="213"/>
      <c r="Q20" s="213"/>
      <c r="R20" s="213"/>
      <c r="S20" s="213"/>
      <c r="T20" s="213"/>
    </row>
    <row r="21" spans="1:20" ht="15" customHeight="1">
      <c r="A21" s="208"/>
      <c r="B21" s="208"/>
      <c r="C21" s="208"/>
      <c r="D21" s="208"/>
      <c r="E21" s="208"/>
      <c r="F21" s="208"/>
      <c r="G21" s="208"/>
      <c r="H21" s="208"/>
      <c r="I21" s="208"/>
      <c r="J21" s="208"/>
      <c r="K21" s="208"/>
      <c r="L21" s="217"/>
      <c r="M21" s="208"/>
      <c r="N21" s="208"/>
      <c r="O21" s="208"/>
      <c r="P21" s="208"/>
      <c r="Q21" s="208"/>
      <c r="R21" s="208"/>
      <c r="S21" s="208"/>
      <c r="T21" s="208"/>
    </row>
    <row r="22" spans="1:20" ht="15" customHeight="1">
      <c r="A22" s="208"/>
      <c r="B22" s="208"/>
      <c r="C22" s="213"/>
      <c r="D22" s="213"/>
      <c r="E22" s="213"/>
      <c r="F22" s="213"/>
      <c r="G22" s="213"/>
      <c r="H22" s="213"/>
      <c r="I22" s="213"/>
      <c r="J22" s="213"/>
      <c r="K22" s="213"/>
      <c r="L22" s="218"/>
      <c r="M22" s="213"/>
      <c r="N22" s="213"/>
      <c r="O22" s="213"/>
      <c r="P22" s="213"/>
      <c r="Q22" s="213"/>
      <c r="R22" s="213"/>
      <c r="S22" s="213"/>
      <c r="T22" s="213"/>
    </row>
    <row r="23" spans="1:20" ht="15" customHeight="1">
      <c r="A23" s="208"/>
      <c r="B23" s="208"/>
      <c r="C23" s="208"/>
      <c r="D23" s="208"/>
      <c r="E23" s="208"/>
      <c r="F23" s="208"/>
      <c r="G23" s="208"/>
      <c r="H23" s="208"/>
      <c r="I23" s="208"/>
      <c r="J23" s="208"/>
      <c r="K23" s="208"/>
      <c r="L23" s="217"/>
      <c r="M23" s="208"/>
      <c r="N23" s="208"/>
      <c r="O23" s="208"/>
      <c r="P23" s="208"/>
      <c r="Q23" s="208"/>
      <c r="R23" s="208"/>
      <c r="S23" s="208"/>
      <c r="T23" s="208"/>
    </row>
    <row r="24" spans="1:20" ht="15" customHeight="1">
      <c r="A24" s="208"/>
      <c r="B24" s="208"/>
      <c r="C24" s="213"/>
      <c r="D24" s="213"/>
      <c r="E24" s="213"/>
      <c r="F24" s="213"/>
      <c r="G24" s="213"/>
      <c r="H24" s="213"/>
      <c r="I24" s="213"/>
      <c r="J24" s="213"/>
      <c r="K24" s="213"/>
      <c r="L24" s="218"/>
      <c r="M24" s="213"/>
      <c r="N24" s="213"/>
      <c r="O24" s="213"/>
      <c r="P24" s="213"/>
      <c r="Q24" s="213"/>
      <c r="R24" s="213"/>
      <c r="S24" s="213"/>
      <c r="T24" s="213"/>
    </row>
    <row r="25" spans="1:20" ht="15" customHeight="1">
      <c r="A25" s="208"/>
      <c r="B25" s="208"/>
      <c r="C25" s="208"/>
      <c r="D25" s="208"/>
      <c r="E25" s="208"/>
      <c r="F25" s="208"/>
      <c r="G25" s="208"/>
      <c r="H25" s="208"/>
      <c r="I25" s="208"/>
      <c r="J25" s="208"/>
      <c r="K25" s="208"/>
      <c r="L25" s="217"/>
      <c r="M25" s="208"/>
      <c r="N25" s="208"/>
      <c r="O25" s="208"/>
      <c r="P25" s="208"/>
      <c r="Q25" s="208"/>
      <c r="R25" s="208"/>
      <c r="S25" s="208"/>
      <c r="T25" s="208"/>
    </row>
    <row r="26" spans="1:20" ht="15" customHeight="1">
      <c r="A26" s="208"/>
      <c r="B26" s="208"/>
      <c r="C26" s="213"/>
      <c r="D26" s="213"/>
      <c r="E26" s="213"/>
      <c r="F26" s="213"/>
      <c r="G26" s="213"/>
      <c r="H26" s="213"/>
      <c r="I26" s="213"/>
      <c r="J26" s="213"/>
      <c r="K26" s="213"/>
      <c r="L26" s="218"/>
      <c r="M26" s="213"/>
      <c r="N26" s="213"/>
      <c r="O26" s="213"/>
      <c r="P26" s="213"/>
      <c r="Q26" s="213"/>
      <c r="R26" s="213"/>
      <c r="S26" s="213"/>
      <c r="T26" s="213"/>
    </row>
    <row r="27" spans="1:20" ht="15" customHeight="1">
      <c r="A27" s="208"/>
      <c r="B27" s="208"/>
      <c r="C27" s="208"/>
      <c r="D27" s="208"/>
      <c r="E27" s="208"/>
      <c r="F27" s="208"/>
      <c r="G27" s="208"/>
      <c r="H27" s="208"/>
      <c r="I27" s="208"/>
      <c r="J27" s="208"/>
      <c r="K27" s="208"/>
      <c r="L27" s="217"/>
      <c r="M27" s="208"/>
      <c r="N27" s="208"/>
      <c r="O27" s="208"/>
      <c r="P27" s="208"/>
      <c r="Q27" s="208"/>
      <c r="R27" s="208"/>
      <c r="S27" s="208"/>
      <c r="T27" s="208"/>
    </row>
    <row r="28" spans="1:20" ht="15" customHeight="1">
      <c r="A28" s="208"/>
      <c r="B28" s="208"/>
      <c r="C28" s="213"/>
      <c r="D28" s="213"/>
      <c r="E28" s="213"/>
      <c r="F28" s="213"/>
      <c r="G28" s="213"/>
      <c r="H28" s="213"/>
      <c r="I28" s="213"/>
      <c r="J28" s="213"/>
      <c r="K28" s="213"/>
      <c r="L28" s="218"/>
      <c r="M28" s="213"/>
      <c r="N28" s="213"/>
      <c r="O28" s="213"/>
      <c r="P28" s="213"/>
      <c r="Q28" s="213"/>
      <c r="R28" s="213"/>
      <c r="S28" s="213"/>
      <c r="T28" s="213"/>
    </row>
    <row r="29" spans="1:20" ht="15" customHeight="1">
      <c r="A29" s="208"/>
      <c r="B29" s="208"/>
      <c r="C29" s="208"/>
      <c r="D29" s="208"/>
      <c r="E29" s="208"/>
      <c r="F29" s="208"/>
      <c r="G29" s="208"/>
      <c r="H29" s="208"/>
      <c r="I29" s="208"/>
      <c r="J29" s="208"/>
      <c r="K29" s="208"/>
      <c r="L29" s="217"/>
      <c r="M29" s="208"/>
      <c r="N29" s="208"/>
      <c r="O29" s="208"/>
      <c r="P29" s="208"/>
      <c r="Q29" s="208"/>
      <c r="R29" s="208"/>
      <c r="S29" s="208"/>
      <c r="T29" s="208"/>
    </row>
    <row r="30" spans="1:20" ht="15" customHeight="1">
      <c r="A30" s="208"/>
      <c r="B30" s="208"/>
      <c r="C30" s="213"/>
      <c r="D30" s="213"/>
      <c r="E30" s="213"/>
      <c r="F30" s="213"/>
      <c r="G30" s="213"/>
      <c r="H30" s="213"/>
      <c r="I30" s="213"/>
      <c r="J30" s="213"/>
      <c r="K30" s="213"/>
      <c r="L30" s="218"/>
      <c r="M30" s="213"/>
      <c r="N30" s="213"/>
      <c r="O30" s="213"/>
      <c r="P30" s="213"/>
      <c r="Q30" s="213"/>
      <c r="R30" s="213"/>
      <c r="S30" s="213"/>
      <c r="T30" s="213"/>
    </row>
    <row r="31" spans="1:20" ht="15" customHeight="1">
      <c r="A31" s="208"/>
      <c r="B31" s="208"/>
      <c r="C31" s="208"/>
      <c r="D31" s="208"/>
      <c r="E31" s="208"/>
      <c r="F31" s="208"/>
      <c r="G31" s="208"/>
      <c r="H31" s="208"/>
      <c r="I31" s="208"/>
      <c r="J31" s="208"/>
      <c r="K31" s="208"/>
      <c r="L31" s="217"/>
      <c r="M31" s="208"/>
      <c r="N31" s="208"/>
      <c r="O31" s="208"/>
      <c r="P31" s="208"/>
      <c r="Q31" s="208"/>
      <c r="R31" s="208"/>
      <c r="S31" s="208"/>
      <c r="T31" s="208"/>
    </row>
    <row r="32" spans="1:20" ht="15" customHeight="1">
      <c r="A32" s="208"/>
      <c r="B32" s="208"/>
      <c r="C32" s="213"/>
      <c r="D32" s="213"/>
      <c r="E32" s="213"/>
      <c r="F32" s="213"/>
      <c r="G32" s="213"/>
      <c r="H32" s="213"/>
      <c r="I32" s="213"/>
      <c r="J32" s="213"/>
      <c r="K32" s="213"/>
      <c r="L32" s="218"/>
      <c r="M32" s="213"/>
      <c r="N32" s="213"/>
      <c r="O32" s="213"/>
      <c r="P32" s="213"/>
      <c r="Q32" s="213"/>
      <c r="R32" s="213"/>
      <c r="S32" s="213"/>
      <c r="T32" s="213"/>
    </row>
    <row r="33" spans="1:20" ht="15" customHeight="1">
      <c r="A33" s="208"/>
      <c r="B33" s="208"/>
      <c r="C33" s="208"/>
      <c r="D33" s="208"/>
      <c r="E33" s="208"/>
      <c r="F33" s="208"/>
      <c r="G33" s="208"/>
      <c r="H33" s="208"/>
      <c r="I33" s="208"/>
      <c r="J33" s="208"/>
      <c r="K33" s="208"/>
      <c r="L33" s="217"/>
      <c r="M33" s="208"/>
      <c r="N33" s="208"/>
      <c r="O33" s="208"/>
      <c r="P33" s="208"/>
      <c r="Q33" s="208"/>
      <c r="R33" s="208"/>
      <c r="S33" s="208"/>
      <c r="T33" s="208"/>
    </row>
    <row r="34" spans="1:20" ht="15" customHeight="1">
      <c r="A34" s="208"/>
      <c r="B34" s="208"/>
      <c r="C34" s="213"/>
      <c r="D34" s="213"/>
      <c r="E34" s="213"/>
      <c r="F34" s="213"/>
      <c r="G34" s="213"/>
      <c r="H34" s="213"/>
      <c r="I34" s="213"/>
      <c r="J34" s="213"/>
      <c r="K34" s="213"/>
      <c r="L34" s="218"/>
      <c r="M34" s="213"/>
      <c r="N34" s="213"/>
      <c r="O34" s="213"/>
      <c r="P34" s="213"/>
      <c r="Q34" s="213"/>
      <c r="R34" s="213"/>
      <c r="S34" s="213"/>
      <c r="T34" s="213"/>
    </row>
    <row r="35" spans="1:20" ht="15" customHeight="1">
      <c r="A35" s="208"/>
      <c r="B35" s="208"/>
      <c r="C35" s="208"/>
      <c r="D35" s="208"/>
      <c r="E35" s="208"/>
      <c r="F35" s="208"/>
      <c r="G35" s="208"/>
      <c r="H35" s="208"/>
      <c r="I35" s="208"/>
      <c r="J35" s="208"/>
      <c r="K35" s="208"/>
      <c r="L35" s="217"/>
      <c r="M35" s="208"/>
      <c r="N35" s="208"/>
      <c r="O35" s="208"/>
      <c r="P35" s="208"/>
      <c r="Q35" s="208"/>
      <c r="R35" s="208"/>
      <c r="S35" s="208"/>
      <c r="T35" s="208"/>
    </row>
    <row r="36" spans="1:20" ht="15" customHeight="1">
      <c r="A36" s="208"/>
      <c r="B36" s="208"/>
      <c r="C36" s="213"/>
      <c r="D36" s="213"/>
      <c r="E36" s="213"/>
      <c r="F36" s="213"/>
      <c r="G36" s="213"/>
      <c r="H36" s="213"/>
      <c r="I36" s="213"/>
      <c r="J36" s="213"/>
      <c r="K36" s="213"/>
      <c r="L36" s="218"/>
      <c r="M36" s="213"/>
      <c r="N36" s="213"/>
      <c r="O36" s="213"/>
      <c r="P36" s="213"/>
      <c r="Q36" s="213"/>
      <c r="R36" s="213"/>
      <c r="S36" s="213"/>
      <c r="T36" s="213"/>
    </row>
    <row r="37" spans="1:20" ht="15" customHeight="1">
      <c r="A37" s="208"/>
      <c r="B37" s="208"/>
      <c r="C37" s="208"/>
      <c r="D37" s="208"/>
      <c r="E37" s="208"/>
      <c r="F37" s="208"/>
      <c r="G37" s="208"/>
      <c r="H37" s="208"/>
      <c r="I37" s="208"/>
      <c r="J37" s="208"/>
      <c r="K37" s="208"/>
      <c r="L37" s="217"/>
      <c r="M37" s="208"/>
      <c r="N37" s="208"/>
      <c r="O37" s="208"/>
      <c r="P37" s="208"/>
      <c r="Q37" s="208"/>
      <c r="R37" s="208"/>
      <c r="S37" s="208"/>
      <c r="T37" s="208"/>
    </row>
    <row r="38" spans="1:20" ht="15" customHeight="1">
      <c r="A38" s="208"/>
      <c r="B38" s="208"/>
      <c r="C38" s="213"/>
      <c r="D38" s="213"/>
      <c r="E38" s="213"/>
      <c r="F38" s="213"/>
      <c r="G38" s="213"/>
      <c r="H38" s="213"/>
      <c r="I38" s="213"/>
      <c r="J38" s="213"/>
      <c r="K38" s="213"/>
      <c r="L38" s="218"/>
      <c r="M38" s="213"/>
      <c r="N38" s="213"/>
      <c r="O38" s="213"/>
      <c r="P38" s="213"/>
      <c r="Q38" s="213"/>
      <c r="R38" s="213"/>
      <c r="S38" s="213"/>
      <c r="T38" s="213"/>
    </row>
    <row r="39" spans="1:20" ht="15" customHeight="1">
      <c r="A39" s="208"/>
      <c r="B39" s="208"/>
      <c r="C39" s="208"/>
      <c r="D39" s="208"/>
      <c r="E39" s="208"/>
      <c r="F39" s="208"/>
      <c r="G39" s="208"/>
      <c r="H39" s="208"/>
      <c r="I39" s="208"/>
      <c r="J39" s="208"/>
      <c r="K39" s="208"/>
      <c r="L39" s="217"/>
      <c r="M39" s="208"/>
      <c r="N39" s="208"/>
      <c r="O39" s="208"/>
      <c r="P39" s="208"/>
      <c r="Q39" s="208"/>
      <c r="R39" s="208"/>
      <c r="S39" s="208"/>
      <c r="T39" s="208"/>
    </row>
    <row r="40" spans="1:20" ht="15" customHeight="1">
      <c r="A40" s="208"/>
      <c r="B40" s="208"/>
      <c r="C40" s="213"/>
      <c r="D40" s="213"/>
      <c r="E40" s="213"/>
      <c r="F40" s="213"/>
      <c r="G40" s="213"/>
      <c r="H40" s="213"/>
      <c r="I40" s="213"/>
      <c r="J40" s="213"/>
      <c r="K40" s="213"/>
      <c r="L40" s="218"/>
      <c r="M40" s="213"/>
      <c r="N40" s="213"/>
      <c r="O40" s="213"/>
      <c r="P40" s="213"/>
      <c r="Q40" s="213"/>
      <c r="R40" s="213"/>
      <c r="S40" s="213"/>
      <c r="T40" s="213"/>
    </row>
    <row r="41" spans="1:20" ht="15" customHeight="1">
      <c r="A41" s="208"/>
      <c r="B41" s="208"/>
      <c r="C41" s="208"/>
      <c r="D41" s="208"/>
      <c r="E41" s="208"/>
      <c r="F41" s="208"/>
      <c r="G41" s="208"/>
      <c r="H41" s="208"/>
      <c r="I41" s="208"/>
      <c r="J41" s="208"/>
      <c r="K41" s="208"/>
      <c r="L41" s="217"/>
      <c r="M41" s="208"/>
      <c r="N41" s="208"/>
      <c r="O41" s="208"/>
      <c r="P41" s="208"/>
      <c r="Q41" s="208"/>
      <c r="R41" s="208"/>
      <c r="S41" s="208"/>
      <c r="T41" s="208"/>
    </row>
    <row r="42" spans="1:20" ht="15" customHeight="1">
      <c r="A42" s="208"/>
      <c r="B42" s="208"/>
      <c r="C42" s="213"/>
      <c r="D42" s="213"/>
      <c r="E42" s="213"/>
      <c r="F42" s="213"/>
      <c r="G42" s="213"/>
      <c r="H42" s="213"/>
      <c r="I42" s="213"/>
      <c r="J42" s="213"/>
      <c r="K42" s="213"/>
      <c r="L42" s="218"/>
      <c r="M42" s="213"/>
      <c r="N42" s="213"/>
      <c r="O42" s="213"/>
      <c r="P42" s="213"/>
      <c r="Q42" s="213"/>
      <c r="R42" s="213"/>
      <c r="S42" s="213"/>
      <c r="T42" s="213"/>
    </row>
    <row r="43" spans="1:20" ht="15" customHeight="1">
      <c r="A43" s="208"/>
      <c r="B43" s="208"/>
      <c r="C43" s="208"/>
      <c r="D43" s="208"/>
      <c r="E43" s="208"/>
      <c r="F43" s="208"/>
      <c r="G43" s="208"/>
      <c r="H43" s="208"/>
      <c r="I43" s="208"/>
      <c r="J43" s="208"/>
      <c r="K43" s="208"/>
      <c r="L43" s="217"/>
      <c r="M43" s="208"/>
      <c r="N43" s="208"/>
      <c r="O43" s="208"/>
      <c r="P43" s="208"/>
      <c r="Q43" s="208"/>
      <c r="R43" s="208"/>
      <c r="S43" s="208"/>
      <c r="T43" s="208"/>
    </row>
    <row r="44" spans="1:20" ht="15" customHeight="1">
      <c r="A44" s="208"/>
      <c r="B44" s="208"/>
      <c r="C44" s="213"/>
      <c r="D44" s="213"/>
      <c r="E44" s="213"/>
      <c r="F44" s="213"/>
      <c r="G44" s="213"/>
      <c r="H44" s="213"/>
      <c r="I44" s="213"/>
      <c r="J44" s="213"/>
      <c r="K44" s="213"/>
      <c r="L44" s="218"/>
      <c r="M44" s="213"/>
      <c r="N44" s="213"/>
      <c r="O44" s="213"/>
      <c r="P44" s="213"/>
      <c r="Q44" s="213"/>
      <c r="R44" s="213"/>
      <c r="S44" s="213"/>
      <c r="T44" s="213"/>
    </row>
    <row r="45" spans="1:20" ht="15" customHeight="1">
      <c r="A45" s="208"/>
      <c r="B45" s="208"/>
      <c r="C45" s="208"/>
      <c r="D45" s="208"/>
      <c r="E45" s="208"/>
      <c r="F45" s="208"/>
      <c r="G45" s="208"/>
      <c r="H45" s="208"/>
      <c r="I45" s="208"/>
      <c r="J45" s="208"/>
      <c r="K45" s="208"/>
      <c r="L45" s="217"/>
      <c r="M45" s="208"/>
      <c r="N45" s="208"/>
      <c r="O45" s="208"/>
      <c r="P45" s="208"/>
      <c r="Q45" s="208"/>
      <c r="R45" s="208"/>
      <c r="S45" s="208"/>
      <c r="T45" s="208"/>
    </row>
    <row r="46" spans="1:20" ht="15" customHeight="1">
      <c r="A46" s="208"/>
      <c r="B46" s="208"/>
      <c r="C46" s="213"/>
      <c r="D46" s="213"/>
      <c r="E46" s="213"/>
      <c r="F46" s="213"/>
      <c r="G46" s="213"/>
      <c r="H46" s="213"/>
      <c r="I46" s="213"/>
      <c r="J46" s="213"/>
      <c r="K46" s="213"/>
      <c r="L46" s="218"/>
      <c r="M46" s="213"/>
      <c r="N46" s="213"/>
      <c r="O46" s="213"/>
      <c r="P46" s="213"/>
      <c r="Q46" s="213"/>
      <c r="R46" s="213"/>
      <c r="S46" s="213"/>
      <c r="T46" s="213"/>
    </row>
    <row r="47" spans="1:20" ht="15" customHeight="1">
      <c r="A47" s="208"/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17"/>
      <c r="M47" s="208"/>
      <c r="N47" s="208"/>
      <c r="O47" s="208"/>
      <c r="P47" s="208"/>
      <c r="Q47" s="208"/>
      <c r="R47" s="208"/>
      <c r="S47" s="208"/>
      <c r="T47" s="208"/>
    </row>
    <row r="48" spans="1:20" ht="15" customHeight="1">
      <c r="A48" s="208"/>
      <c r="B48" s="208"/>
      <c r="C48" s="213"/>
      <c r="D48" s="213"/>
      <c r="E48" s="213"/>
      <c r="F48" s="213"/>
      <c r="G48" s="213"/>
      <c r="H48" s="213"/>
      <c r="I48" s="213"/>
      <c r="J48" s="213"/>
      <c r="K48" s="213"/>
      <c r="L48" s="218"/>
      <c r="M48" s="213"/>
      <c r="N48" s="213"/>
      <c r="O48" s="213"/>
      <c r="P48" s="213"/>
      <c r="Q48" s="213"/>
      <c r="R48" s="213"/>
      <c r="S48" s="213"/>
      <c r="T48" s="213"/>
    </row>
    <row r="49" spans="1:20" ht="15" customHeight="1">
      <c r="A49" s="208"/>
      <c r="B49" s="208"/>
      <c r="C49" s="208"/>
      <c r="D49" s="208"/>
      <c r="E49" s="208"/>
      <c r="F49" s="208"/>
      <c r="G49" s="208"/>
      <c r="H49" s="208"/>
      <c r="I49" s="208"/>
      <c r="J49" s="208"/>
      <c r="K49" s="208"/>
      <c r="L49" s="217"/>
      <c r="M49" s="208"/>
      <c r="N49" s="208"/>
      <c r="O49" s="208"/>
      <c r="P49" s="208"/>
      <c r="Q49" s="208"/>
      <c r="R49" s="208"/>
      <c r="S49" s="208"/>
      <c r="T49" s="208"/>
    </row>
    <row r="50" spans="1:20" ht="15" customHeight="1">
      <c r="A50" s="208"/>
      <c r="B50" s="208"/>
      <c r="C50" s="213"/>
      <c r="D50" s="213"/>
      <c r="E50" s="213"/>
      <c r="F50" s="213"/>
      <c r="G50" s="213"/>
      <c r="H50" s="213"/>
      <c r="I50" s="213"/>
      <c r="J50" s="213"/>
      <c r="K50" s="213"/>
      <c r="L50" s="218"/>
      <c r="M50" s="213"/>
      <c r="N50" s="213"/>
      <c r="O50" s="213"/>
      <c r="P50" s="213"/>
      <c r="Q50" s="213"/>
      <c r="R50" s="213"/>
      <c r="S50" s="213"/>
      <c r="T50" s="213"/>
    </row>
    <row r="51" spans="1:20" ht="15" customHeight="1">
      <c r="A51" s="208"/>
      <c r="B51" s="208"/>
      <c r="C51" s="208"/>
      <c r="D51" s="208"/>
      <c r="E51" s="208"/>
      <c r="F51" s="208"/>
      <c r="G51" s="208"/>
      <c r="H51" s="208"/>
      <c r="I51" s="208"/>
      <c r="J51" s="208"/>
      <c r="K51" s="208"/>
      <c r="L51" s="217"/>
      <c r="M51" s="208"/>
      <c r="N51" s="208"/>
      <c r="O51" s="208"/>
      <c r="P51" s="208"/>
      <c r="Q51" s="208"/>
      <c r="R51" s="208"/>
      <c r="S51" s="208"/>
      <c r="T51" s="208"/>
    </row>
    <row r="52" spans="1:20" ht="15" customHeight="1">
      <c r="A52" s="208"/>
      <c r="B52" s="208"/>
      <c r="C52" s="213"/>
      <c r="D52" s="213"/>
      <c r="E52" s="213"/>
      <c r="F52" s="213"/>
      <c r="G52" s="213"/>
      <c r="H52" s="213"/>
      <c r="I52" s="213"/>
      <c r="J52" s="213"/>
      <c r="K52" s="213"/>
      <c r="L52" s="218"/>
      <c r="M52" s="213"/>
      <c r="N52" s="213"/>
      <c r="O52" s="213"/>
      <c r="P52" s="213"/>
      <c r="Q52" s="213"/>
      <c r="R52" s="213"/>
      <c r="S52" s="213"/>
      <c r="T52" s="213"/>
    </row>
    <row r="53" spans="1:20" ht="15" customHeight="1">
      <c r="A53" s="208"/>
      <c r="B53" s="208"/>
      <c r="C53" s="208"/>
      <c r="D53" s="208"/>
      <c r="E53" s="208"/>
      <c r="F53" s="208"/>
      <c r="G53" s="208"/>
      <c r="H53" s="208"/>
      <c r="I53" s="208"/>
      <c r="J53" s="208"/>
      <c r="K53" s="208"/>
      <c r="L53" s="217"/>
      <c r="M53" s="208"/>
      <c r="N53" s="208"/>
      <c r="O53" s="208"/>
      <c r="P53" s="208"/>
      <c r="Q53" s="208"/>
      <c r="R53" s="208"/>
      <c r="S53" s="208"/>
      <c r="T53" s="208"/>
    </row>
    <row r="54" spans="1:20" ht="15" customHeight="1">
      <c r="A54" s="208"/>
      <c r="B54" s="208"/>
      <c r="C54" s="213"/>
      <c r="D54" s="213"/>
      <c r="E54" s="213"/>
      <c r="F54" s="213"/>
      <c r="G54" s="213"/>
      <c r="H54" s="213"/>
      <c r="I54" s="213"/>
      <c r="J54" s="213"/>
      <c r="K54" s="213"/>
      <c r="L54" s="218"/>
      <c r="M54" s="213"/>
      <c r="N54" s="213"/>
      <c r="O54" s="213"/>
      <c r="P54" s="213"/>
      <c r="Q54" s="213"/>
      <c r="R54" s="213"/>
      <c r="S54" s="213"/>
      <c r="T54" s="213"/>
    </row>
    <row r="55" spans="1:20" ht="15" customHeight="1">
      <c r="A55" s="208"/>
      <c r="B55" s="208"/>
      <c r="C55" s="208"/>
      <c r="D55" s="208"/>
      <c r="E55" s="208"/>
      <c r="F55" s="208"/>
      <c r="G55" s="208"/>
      <c r="H55" s="208"/>
      <c r="I55" s="208"/>
      <c r="J55" s="208"/>
      <c r="K55" s="208"/>
      <c r="L55" s="217"/>
      <c r="M55" s="208"/>
      <c r="N55" s="208"/>
      <c r="O55" s="208"/>
      <c r="P55" s="208"/>
      <c r="Q55" s="208"/>
      <c r="R55" s="208"/>
      <c r="S55" s="208"/>
      <c r="T55" s="208"/>
    </row>
    <row r="56" spans="1:20" ht="15" customHeight="1">
      <c r="A56" s="208"/>
      <c r="B56" s="208"/>
      <c r="C56" s="213"/>
      <c r="D56" s="213"/>
      <c r="E56" s="213"/>
      <c r="F56" s="213"/>
      <c r="G56" s="213"/>
      <c r="H56" s="213"/>
      <c r="I56" s="213"/>
      <c r="J56" s="213"/>
      <c r="K56" s="213"/>
      <c r="L56" s="218"/>
      <c r="M56" s="213"/>
      <c r="N56" s="213"/>
      <c r="O56" s="213"/>
      <c r="P56" s="213"/>
      <c r="Q56" s="213"/>
      <c r="R56" s="213"/>
      <c r="S56" s="213"/>
      <c r="T56" s="213"/>
    </row>
    <row r="57" spans="1:20" ht="15" customHeight="1">
      <c r="A57" s="208"/>
      <c r="B57" s="219"/>
      <c r="C57" s="219"/>
      <c r="D57" s="219"/>
      <c r="E57" s="219"/>
      <c r="F57" s="219"/>
      <c r="G57" s="219"/>
      <c r="H57" s="219"/>
      <c r="I57" s="219"/>
      <c r="J57" s="219"/>
      <c r="K57" s="219"/>
      <c r="L57" s="220"/>
      <c r="M57" s="219"/>
      <c r="N57" s="219"/>
      <c r="O57" s="219"/>
      <c r="P57" s="219"/>
      <c r="Q57" s="219"/>
      <c r="R57" s="219"/>
      <c r="S57" s="219"/>
      <c r="T57" s="219"/>
    </row>
    <row r="58" spans="1:20" ht="15" customHeight="1">
      <c r="A58" s="208"/>
      <c r="B58" s="219"/>
      <c r="C58" s="219"/>
      <c r="D58" s="219"/>
      <c r="E58" s="219"/>
      <c r="F58" s="219"/>
      <c r="G58" s="219"/>
      <c r="H58" s="219"/>
      <c r="I58" s="219"/>
      <c r="J58" s="219"/>
      <c r="K58" s="219"/>
      <c r="L58" s="220"/>
      <c r="M58" s="219"/>
      <c r="N58" s="219"/>
      <c r="O58" s="219"/>
      <c r="P58" s="219"/>
      <c r="Q58" s="219"/>
      <c r="R58" s="219"/>
      <c r="S58" s="219"/>
      <c r="T58" s="219"/>
    </row>
    <row r="59" spans="1:20" ht="15" customHeight="1">
      <c r="A59" s="208"/>
      <c r="B59" s="219"/>
      <c r="C59" s="219"/>
      <c r="D59" s="219"/>
      <c r="E59" s="219"/>
      <c r="F59" s="219"/>
      <c r="G59" s="219"/>
      <c r="H59" s="219"/>
      <c r="I59" s="219"/>
      <c r="J59" s="219"/>
      <c r="K59" s="219"/>
      <c r="L59" s="220"/>
      <c r="M59" s="219"/>
      <c r="N59" s="219"/>
      <c r="O59" s="219"/>
      <c r="P59" s="219"/>
      <c r="Q59" s="219"/>
      <c r="R59" s="219"/>
      <c r="S59" s="219"/>
      <c r="T59" s="219"/>
    </row>
    <row r="60" spans="1:20" ht="15" customHeight="1">
      <c r="A60" s="208"/>
      <c r="B60" s="219"/>
      <c r="C60" s="219"/>
      <c r="D60" s="219"/>
      <c r="E60" s="219"/>
      <c r="F60" s="219"/>
      <c r="G60" s="219"/>
      <c r="H60" s="219"/>
      <c r="I60" s="219"/>
      <c r="J60" s="219"/>
      <c r="K60" s="219"/>
      <c r="L60" s="220"/>
      <c r="M60" s="219"/>
      <c r="N60" s="219"/>
      <c r="O60" s="219"/>
      <c r="P60" s="219"/>
      <c r="Q60" s="219"/>
      <c r="R60" s="219"/>
      <c r="S60" s="219"/>
      <c r="T60" s="219"/>
    </row>
    <row r="61" spans="1:20" ht="15" customHeight="1">
      <c r="A61" s="208"/>
      <c r="B61" s="219"/>
      <c r="C61" s="219"/>
      <c r="D61" s="219"/>
      <c r="E61" s="219"/>
      <c r="F61" s="219"/>
      <c r="G61" s="219"/>
      <c r="H61" s="219"/>
      <c r="I61" s="219"/>
      <c r="J61" s="219"/>
      <c r="K61" s="219"/>
      <c r="L61" s="220"/>
      <c r="M61" s="219"/>
      <c r="N61" s="219"/>
      <c r="O61" s="219"/>
      <c r="P61" s="219"/>
      <c r="Q61" s="219"/>
      <c r="R61" s="219"/>
      <c r="S61" s="219"/>
      <c r="T61" s="219"/>
    </row>
    <row r="62" spans="1:20" ht="15" customHeight="1">
      <c r="A62" s="208"/>
      <c r="B62" s="219"/>
      <c r="C62" s="219"/>
      <c r="D62" s="219"/>
      <c r="E62" s="219"/>
      <c r="F62" s="219"/>
      <c r="G62" s="219"/>
      <c r="H62" s="219"/>
      <c r="I62" s="219"/>
      <c r="J62" s="219"/>
      <c r="K62" s="219"/>
      <c r="L62" s="220"/>
      <c r="M62" s="219"/>
      <c r="N62" s="219"/>
      <c r="O62" s="219"/>
      <c r="P62" s="219"/>
      <c r="Q62" s="219"/>
      <c r="R62" s="219"/>
      <c r="S62" s="219"/>
      <c r="T62" s="219"/>
    </row>
    <row r="63" spans="1:20" ht="15" customHeight="1">
      <c r="A63" s="208"/>
      <c r="B63" s="219"/>
      <c r="C63" s="219"/>
      <c r="D63" s="219"/>
      <c r="E63" s="219"/>
      <c r="F63" s="219"/>
      <c r="G63" s="219"/>
      <c r="H63" s="219"/>
      <c r="I63" s="219"/>
      <c r="J63" s="219"/>
      <c r="K63" s="219"/>
      <c r="L63" s="220"/>
      <c r="M63" s="219"/>
      <c r="N63" s="219"/>
      <c r="O63" s="219"/>
      <c r="P63" s="219"/>
      <c r="Q63" s="219"/>
      <c r="R63" s="219"/>
      <c r="S63" s="219"/>
      <c r="T63" s="219"/>
    </row>
    <row r="64" spans="1:20" ht="15" customHeight="1">
      <c r="A64" s="208"/>
      <c r="B64" s="219"/>
      <c r="C64" s="219"/>
      <c r="D64" s="219"/>
      <c r="E64" s="219"/>
      <c r="F64" s="219"/>
      <c r="G64" s="219"/>
      <c r="H64" s="219"/>
      <c r="I64" s="219"/>
      <c r="J64" s="219"/>
      <c r="K64" s="219"/>
      <c r="L64" s="220"/>
      <c r="M64" s="219"/>
      <c r="N64" s="219"/>
      <c r="O64" s="219"/>
      <c r="P64" s="219"/>
      <c r="Q64" s="219"/>
      <c r="R64" s="219"/>
      <c r="S64" s="219"/>
      <c r="T64" s="219"/>
    </row>
    <row r="65" spans="1:20" ht="15" customHeight="1">
      <c r="A65" s="208"/>
      <c r="B65" s="219"/>
      <c r="C65" s="219"/>
      <c r="D65" s="219"/>
      <c r="E65" s="219"/>
      <c r="F65" s="219"/>
      <c r="G65" s="219"/>
      <c r="H65" s="219"/>
      <c r="I65" s="219"/>
      <c r="J65" s="219"/>
      <c r="K65" s="219"/>
      <c r="L65" s="220"/>
      <c r="M65" s="219"/>
      <c r="N65" s="219"/>
      <c r="O65" s="219"/>
      <c r="P65" s="219"/>
      <c r="Q65" s="219"/>
      <c r="R65" s="219"/>
      <c r="S65" s="219"/>
      <c r="T65" s="219"/>
    </row>
    <row r="66" spans="1:20" ht="15" customHeight="1">
      <c r="A66" s="208"/>
      <c r="B66" s="219"/>
      <c r="C66" s="219"/>
      <c r="D66" s="219"/>
      <c r="E66" s="219"/>
      <c r="F66" s="219"/>
      <c r="G66" s="219"/>
      <c r="H66" s="219"/>
      <c r="I66" s="219"/>
      <c r="J66" s="219"/>
      <c r="K66" s="219"/>
      <c r="L66" s="220"/>
      <c r="M66" s="219"/>
      <c r="N66" s="219"/>
      <c r="O66" s="219"/>
      <c r="P66" s="219"/>
      <c r="Q66" s="219"/>
      <c r="R66" s="219"/>
      <c r="S66" s="219"/>
      <c r="T66" s="219"/>
    </row>
    <row r="67" spans="1:20" ht="15" customHeight="1">
      <c r="A67" s="208"/>
      <c r="B67" s="219"/>
      <c r="C67" s="219"/>
      <c r="D67" s="219"/>
      <c r="E67" s="219"/>
      <c r="F67" s="219"/>
      <c r="G67" s="219"/>
      <c r="H67" s="219"/>
      <c r="I67" s="219"/>
      <c r="J67" s="219"/>
      <c r="K67" s="219"/>
      <c r="L67" s="220"/>
      <c r="M67" s="219"/>
      <c r="N67" s="219"/>
      <c r="O67" s="219"/>
      <c r="P67" s="219"/>
      <c r="Q67" s="219"/>
      <c r="R67" s="219"/>
      <c r="S67" s="219"/>
      <c r="T67" s="219"/>
    </row>
    <row r="68" spans="1:20" ht="15" customHeight="1">
      <c r="A68" s="208"/>
      <c r="B68" s="219"/>
      <c r="C68" s="219"/>
      <c r="D68" s="219"/>
      <c r="E68" s="219"/>
      <c r="F68" s="219"/>
      <c r="G68" s="219"/>
      <c r="H68" s="219"/>
      <c r="I68" s="219"/>
      <c r="J68" s="219"/>
      <c r="K68" s="219"/>
      <c r="L68" s="220"/>
      <c r="M68" s="219"/>
      <c r="N68" s="219"/>
      <c r="O68" s="219"/>
      <c r="P68" s="219"/>
      <c r="Q68" s="219"/>
      <c r="R68" s="219"/>
      <c r="S68" s="219"/>
      <c r="T68" s="219"/>
    </row>
    <row r="69" spans="1:20" ht="15" customHeight="1">
      <c r="A69" s="208"/>
      <c r="B69" s="219"/>
      <c r="C69" s="219"/>
      <c r="D69" s="219"/>
      <c r="E69" s="219"/>
      <c r="F69" s="219"/>
      <c r="G69" s="219"/>
      <c r="H69" s="219"/>
      <c r="I69" s="219"/>
      <c r="J69" s="219"/>
      <c r="K69" s="219"/>
      <c r="L69" s="220"/>
      <c r="M69" s="219"/>
      <c r="N69" s="219"/>
      <c r="O69" s="219"/>
      <c r="P69" s="219"/>
      <c r="Q69" s="219"/>
      <c r="R69" s="219"/>
      <c r="S69" s="219"/>
      <c r="T69" s="219"/>
    </row>
    <row r="70" spans="1:20" ht="15" customHeight="1">
      <c r="A70" s="208"/>
      <c r="B70" s="219"/>
      <c r="C70" s="219"/>
      <c r="D70" s="219"/>
      <c r="E70" s="219"/>
      <c r="F70" s="219"/>
      <c r="G70" s="219"/>
      <c r="H70" s="219"/>
      <c r="I70" s="219"/>
      <c r="J70" s="219"/>
      <c r="K70" s="219"/>
      <c r="L70" s="220"/>
      <c r="M70" s="219"/>
      <c r="N70" s="219"/>
      <c r="O70" s="219"/>
      <c r="P70" s="219"/>
      <c r="Q70" s="219"/>
      <c r="R70" s="219"/>
      <c r="S70" s="219"/>
      <c r="T70" s="219"/>
    </row>
    <row r="71" spans="1:20" ht="15" customHeight="1">
      <c r="A71" s="208"/>
      <c r="B71" s="219"/>
      <c r="C71" s="219"/>
      <c r="D71" s="219"/>
      <c r="E71" s="219"/>
      <c r="F71" s="219"/>
      <c r="G71" s="219"/>
      <c r="H71" s="219"/>
      <c r="I71" s="219"/>
      <c r="J71" s="219"/>
      <c r="K71" s="219"/>
      <c r="L71" s="220"/>
      <c r="M71" s="219"/>
      <c r="N71" s="219"/>
      <c r="O71" s="219"/>
      <c r="P71" s="219"/>
      <c r="Q71" s="219"/>
      <c r="R71" s="219"/>
      <c r="S71" s="219"/>
      <c r="T71" s="219"/>
    </row>
    <row r="72" spans="1:20" ht="15" customHeight="1">
      <c r="A72" s="208"/>
      <c r="B72" s="219"/>
      <c r="C72" s="219"/>
      <c r="D72" s="219"/>
      <c r="E72" s="219"/>
      <c r="F72" s="219"/>
      <c r="G72" s="219"/>
      <c r="H72" s="219"/>
      <c r="I72" s="219"/>
      <c r="J72" s="219"/>
      <c r="K72" s="219"/>
      <c r="L72" s="220"/>
      <c r="M72" s="219"/>
      <c r="N72" s="219"/>
      <c r="O72" s="219"/>
      <c r="P72" s="219"/>
      <c r="Q72" s="219"/>
      <c r="R72" s="219"/>
      <c r="S72" s="219"/>
      <c r="T72" s="219"/>
    </row>
    <row r="73" spans="1:20" ht="15" customHeight="1">
      <c r="A73" s="208"/>
      <c r="B73" s="219"/>
      <c r="C73" s="219"/>
      <c r="D73" s="219"/>
      <c r="E73" s="219"/>
      <c r="F73" s="219"/>
      <c r="G73" s="219"/>
      <c r="H73" s="219"/>
      <c r="I73" s="219"/>
      <c r="J73" s="219"/>
      <c r="K73" s="219"/>
      <c r="L73" s="220"/>
      <c r="M73" s="219"/>
      <c r="N73" s="219"/>
      <c r="O73" s="219"/>
      <c r="P73" s="219"/>
      <c r="Q73" s="219"/>
      <c r="R73" s="219"/>
      <c r="S73" s="219"/>
      <c r="T73" s="219"/>
    </row>
    <row r="74" spans="1:20" ht="15" customHeight="1">
      <c r="A74" s="208"/>
      <c r="B74" s="219"/>
      <c r="C74" s="219"/>
      <c r="D74" s="219"/>
      <c r="E74" s="219"/>
      <c r="F74" s="219"/>
      <c r="G74" s="219"/>
      <c r="H74" s="219"/>
      <c r="I74" s="219"/>
      <c r="J74" s="219"/>
      <c r="K74" s="219"/>
      <c r="L74" s="220"/>
      <c r="M74" s="219"/>
      <c r="N74" s="219"/>
      <c r="O74" s="219"/>
      <c r="P74" s="219"/>
      <c r="Q74" s="219"/>
      <c r="R74" s="219"/>
      <c r="S74" s="219"/>
      <c r="T74" s="219"/>
    </row>
    <row r="75" spans="1:20" ht="21" customHeight="1">
      <c r="B75" s="254"/>
      <c r="C75" s="254"/>
      <c r="D75" s="254"/>
      <c r="E75" s="254"/>
      <c r="F75" s="254"/>
      <c r="G75" s="254"/>
      <c r="H75" s="254"/>
      <c r="I75" s="254"/>
      <c r="J75" s="254"/>
      <c r="K75" s="254"/>
      <c r="L75" s="254"/>
      <c r="M75" s="254"/>
      <c r="N75" s="254"/>
      <c r="O75" s="221"/>
      <c r="P75" s="255"/>
      <c r="Q75" s="255"/>
      <c r="R75" s="255"/>
      <c r="S75" s="255"/>
      <c r="T75" s="255"/>
    </row>
  </sheetData>
  <sheetProtection formatCells="0" formatColumns="0" formatRows="0" insertColumns="0" insertRows="0" insertHyperlinks="0" deleteColumns="0" deleteRows="0" sort="0" autoFilter="0" pivotTables="0"/>
  <mergeCells count="12">
    <mergeCell ref="A1:T1"/>
    <mergeCell ref="A2:T2"/>
    <mergeCell ref="Q4:T4"/>
    <mergeCell ref="R5:T5"/>
    <mergeCell ref="R6:T6"/>
    <mergeCell ref="B75:N75"/>
    <mergeCell ref="P75:T75"/>
    <mergeCell ref="R7:T7"/>
    <mergeCell ref="R8:T8"/>
    <mergeCell ref="R9:T9"/>
    <mergeCell ref="R10:T10"/>
    <mergeCell ref="A18:O18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04"/>
  <sheetViews>
    <sheetView workbookViewId="0">
      <selection activeCell="D22" sqref="D22"/>
    </sheetView>
  </sheetViews>
  <sheetFormatPr defaultColWidth="8.85546875" defaultRowHeight="15" customHeight="1"/>
  <cols>
    <col min="1" max="1" width="3.42578125" customWidth="1"/>
    <col min="2" max="2" width="20.42578125" customWidth="1"/>
    <col min="3" max="3" width="25.140625" customWidth="1"/>
    <col min="4" max="4" width="18.28515625" customWidth="1"/>
    <col min="5" max="12" width="16" customWidth="1"/>
  </cols>
  <sheetData>
    <row r="1" spans="1:6" ht="25.5" customHeight="1">
      <c r="A1" s="268" t="s">
        <v>163</v>
      </c>
      <c r="B1" s="268"/>
      <c r="C1" s="268"/>
      <c r="D1" s="268"/>
      <c r="E1" s="268"/>
      <c r="F1" s="268"/>
    </row>
    <row r="2" spans="1:6" ht="15" customHeight="1">
      <c r="A2" s="269"/>
      <c r="B2" s="269"/>
      <c r="C2" s="269"/>
      <c r="D2" s="269"/>
      <c r="E2" s="269"/>
      <c r="F2" s="269"/>
    </row>
    <row r="3" spans="1:6" ht="14.25" customHeight="1"/>
    <row r="4" spans="1:6" ht="18" customHeight="1">
      <c r="B4" s="267" t="s">
        <v>164</v>
      </c>
      <c r="C4" s="267"/>
    </row>
    <row r="5" spans="1:6" ht="15" customHeight="1">
      <c r="B5" s="191" t="s">
        <v>165</v>
      </c>
      <c r="C5" s="191" t="s">
        <v>166</v>
      </c>
      <c r="D5" s="191" t="s">
        <v>167</v>
      </c>
    </row>
    <row r="6" spans="1:6" ht="15" customHeight="1">
      <c r="B6" s="192">
        <v>1</v>
      </c>
      <c r="C6" s="193" t="s">
        <v>111</v>
      </c>
      <c r="D6" s="194" t="s">
        <v>168</v>
      </c>
    </row>
    <row r="7" spans="1:6" ht="15" customHeight="1">
      <c r="B7" s="195">
        <v>100</v>
      </c>
      <c r="C7" s="196" t="s">
        <v>137</v>
      </c>
      <c r="D7" s="197" t="s">
        <v>169</v>
      </c>
    </row>
    <row r="8" spans="1:6" ht="15" customHeight="1">
      <c r="B8" s="192">
        <v>118</v>
      </c>
      <c r="C8" s="193" t="s">
        <v>170</v>
      </c>
      <c r="D8" s="194" t="s">
        <v>169</v>
      </c>
    </row>
    <row r="9" spans="1:6" ht="15" customHeight="1">
      <c r="B9" s="195">
        <v>404</v>
      </c>
      <c r="C9" s="196" t="s">
        <v>127</v>
      </c>
      <c r="D9" s="197" t="s">
        <v>168</v>
      </c>
    </row>
    <row r="10" spans="1:6" ht="15" customHeight="1">
      <c r="B10" s="192">
        <v>452</v>
      </c>
      <c r="C10" s="193" t="s">
        <v>171</v>
      </c>
      <c r="D10" s="194" t="s">
        <v>169</v>
      </c>
    </row>
    <row r="11" spans="1:6" ht="15" customHeight="1">
      <c r="B11" s="195">
        <v>923</v>
      </c>
      <c r="C11" s="196" t="s">
        <v>172</v>
      </c>
      <c r="D11" s="197" t="s">
        <v>173</v>
      </c>
    </row>
    <row r="12" spans="1:6" ht="15" customHeight="1">
      <c r="B12" s="192">
        <v>200</v>
      </c>
      <c r="C12" s="193" t="s">
        <v>174</v>
      </c>
      <c r="D12" s="194" t="s">
        <v>173</v>
      </c>
    </row>
    <row r="13" spans="1:6" ht="15" customHeight="1">
      <c r="B13" s="195">
        <v>610</v>
      </c>
      <c r="C13" s="196" t="s">
        <v>115</v>
      </c>
      <c r="D13" s="197" t="s">
        <v>168</v>
      </c>
    </row>
    <row r="15" spans="1:6" ht="18" customHeight="1">
      <c r="B15" s="267" t="s">
        <v>175</v>
      </c>
      <c r="C15" s="267"/>
    </row>
    <row r="16" spans="1:6" ht="15" customHeight="1">
      <c r="B16" s="191" t="s">
        <v>176</v>
      </c>
      <c r="C16" s="191" t="s">
        <v>177</v>
      </c>
      <c r="D16" s="191" t="s">
        <v>178</v>
      </c>
    </row>
    <row r="17" spans="2:4" ht="15" customHeight="1">
      <c r="B17" s="194">
        <v>37</v>
      </c>
      <c r="C17" s="194" t="s">
        <v>179</v>
      </c>
      <c r="D17" s="194">
        <v>1</v>
      </c>
    </row>
    <row r="18" spans="2:4" ht="15" customHeight="1">
      <c r="B18" s="197">
        <v>38</v>
      </c>
      <c r="C18" s="198" t="s">
        <v>179</v>
      </c>
      <c r="D18" s="198">
        <v>2</v>
      </c>
    </row>
    <row r="19" spans="2:4" ht="15" customHeight="1">
      <c r="B19" s="194">
        <v>39</v>
      </c>
      <c r="C19" s="199" t="s">
        <v>179</v>
      </c>
      <c r="D19" s="199">
        <v>3</v>
      </c>
    </row>
    <row r="20" spans="2:4" ht="15" customHeight="1">
      <c r="B20" s="197">
        <v>40</v>
      </c>
      <c r="C20" s="198" t="s">
        <v>179</v>
      </c>
      <c r="D20" s="198">
        <v>4</v>
      </c>
    </row>
    <row r="21" spans="2:4" ht="15" customHeight="1">
      <c r="B21" s="194">
        <v>41</v>
      </c>
      <c r="C21" s="199" t="s">
        <v>179</v>
      </c>
      <c r="D21" s="199">
        <v>5</v>
      </c>
    </row>
    <row r="22" spans="2:4" ht="15" customHeight="1">
      <c r="B22" s="197">
        <v>42</v>
      </c>
      <c r="C22" s="198" t="s">
        <v>179</v>
      </c>
      <c r="D22" s="198">
        <v>6</v>
      </c>
    </row>
    <row r="23" spans="2:4" ht="15" customHeight="1">
      <c r="B23" s="194">
        <v>43</v>
      </c>
      <c r="C23" s="199" t="s">
        <v>179</v>
      </c>
      <c r="D23" s="199">
        <v>7</v>
      </c>
    </row>
    <row r="24" spans="2:4" ht="15" customHeight="1">
      <c r="B24" s="197">
        <v>44</v>
      </c>
      <c r="C24" s="197" t="s">
        <v>179</v>
      </c>
      <c r="D24" s="197">
        <v>8</v>
      </c>
    </row>
    <row r="25" spans="2:4" ht="15" customHeight="1">
      <c r="B25" s="194">
        <v>45</v>
      </c>
      <c r="C25" s="194" t="s">
        <v>179</v>
      </c>
      <c r="D25" s="194">
        <v>9</v>
      </c>
    </row>
    <row r="26" spans="2:4" ht="15" customHeight="1">
      <c r="B26" s="197">
        <v>46</v>
      </c>
      <c r="C26" s="197" t="s">
        <v>179</v>
      </c>
      <c r="D26" s="197">
        <v>10</v>
      </c>
    </row>
    <row r="27" spans="2:4" ht="15" customHeight="1">
      <c r="B27" s="194">
        <v>47</v>
      </c>
      <c r="C27" s="194" t="s">
        <v>179</v>
      </c>
      <c r="D27" s="194">
        <v>11</v>
      </c>
    </row>
    <row r="28" spans="2:4" ht="15" customHeight="1">
      <c r="B28" s="197">
        <v>48</v>
      </c>
      <c r="C28" s="197" t="s">
        <v>179</v>
      </c>
      <c r="D28" s="197">
        <v>12</v>
      </c>
    </row>
    <row r="29" spans="2:4" ht="15" customHeight="1">
      <c r="B29" s="194">
        <v>49</v>
      </c>
      <c r="C29" s="194" t="s">
        <v>179</v>
      </c>
      <c r="D29" s="194">
        <v>13</v>
      </c>
    </row>
    <row r="30" spans="2:4" ht="15" customHeight="1">
      <c r="B30" s="197">
        <v>50</v>
      </c>
      <c r="C30" s="197" t="s">
        <v>179</v>
      </c>
      <c r="D30" s="197">
        <v>14</v>
      </c>
    </row>
    <row r="31" spans="2:4" ht="15" customHeight="1">
      <c r="B31" s="194" t="s">
        <v>180</v>
      </c>
      <c r="C31" s="194" t="s">
        <v>181</v>
      </c>
      <c r="D31" s="194">
        <v>15</v>
      </c>
    </row>
    <row r="32" spans="2:4" ht="15" customHeight="1">
      <c r="B32" s="197" t="s">
        <v>182</v>
      </c>
      <c r="C32" s="197" t="s">
        <v>181</v>
      </c>
      <c r="D32" s="197">
        <v>16</v>
      </c>
    </row>
    <row r="33" spans="2:4" ht="15" customHeight="1">
      <c r="B33" s="194" t="s">
        <v>183</v>
      </c>
      <c r="C33" s="194" t="s">
        <v>181</v>
      </c>
      <c r="D33" s="194">
        <v>17</v>
      </c>
    </row>
    <row r="34" spans="2:4" ht="15" customHeight="1">
      <c r="B34" s="197" t="s">
        <v>184</v>
      </c>
      <c r="C34" s="197" t="s">
        <v>181</v>
      </c>
      <c r="D34" s="197">
        <v>18</v>
      </c>
    </row>
    <row r="35" spans="2:4" ht="15" customHeight="1">
      <c r="B35" s="194" t="s">
        <v>185</v>
      </c>
      <c r="C35" s="194" t="s">
        <v>186</v>
      </c>
      <c r="D35" s="194">
        <v>1</v>
      </c>
    </row>
    <row r="36" spans="2:4" ht="15" customHeight="1">
      <c r="B36" s="197" t="s">
        <v>187</v>
      </c>
      <c r="C36" s="197" t="s">
        <v>186</v>
      </c>
      <c r="D36" s="197">
        <v>2</v>
      </c>
    </row>
    <row r="37" spans="2:4" ht="15" customHeight="1">
      <c r="B37" s="194" t="s">
        <v>188</v>
      </c>
      <c r="C37" s="194" t="s">
        <v>186</v>
      </c>
      <c r="D37" s="194">
        <v>3</v>
      </c>
    </row>
    <row r="38" spans="2:4" ht="15" customHeight="1">
      <c r="B38" s="197" t="s">
        <v>189</v>
      </c>
      <c r="C38" s="197" t="s">
        <v>186</v>
      </c>
      <c r="D38" s="197">
        <v>4</v>
      </c>
    </row>
    <row r="39" spans="2:4" ht="15" customHeight="1">
      <c r="B39" s="194" t="s">
        <v>190</v>
      </c>
      <c r="C39" s="194" t="s">
        <v>186</v>
      </c>
      <c r="D39" s="194">
        <v>5</v>
      </c>
    </row>
    <row r="40" spans="2:4" ht="15" customHeight="1">
      <c r="B40" s="197" t="s">
        <v>191</v>
      </c>
      <c r="C40" s="197" t="s">
        <v>186</v>
      </c>
      <c r="D40" s="197">
        <v>6</v>
      </c>
    </row>
    <row r="41" spans="2:4" ht="15" customHeight="1">
      <c r="B41" s="194" t="s">
        <v>192</v>
      </c>
      <c r="C41" s="194" t="s">
        <v>186</v>
      </c>
      <c r="D41" s="194">
        <v>7</v>
      </c>
    </row>
    <row r="42" spans="2:4" ht="15" customHeight="1">
      <c r="B42" s="197" t="s">
        <v>193</v>
      </c>
      <c r="C42" s="197" t="s">
        <v>186</v>
      </c>
      <c r="D42" s="197">
        <v>8</v>
      </c>
    </row>
    <row r="43" spans="2:4" ht="15" customHeight="1">
      <c r="B43" s="194" t="s">
        <v>194</v>
      </c>
      <c r="C43" s="194" t="s">
        <v>186</v>
      </c>
      <c r="D43" s="194">
        <v>9</v>
      </c>
    </row>
    <row r="45" spans="2:4" ht="18" customHeight="1">
      <c r="B45" s="267" t="s">
        <v>195</v>
      </c>
      <c r="C45" s="267"/>
    </row>
    <row r="46" spans="2:4" ht="15" customHeight="1">
      <c r="B46" s="191" t="s">
        <v>96</v>
      </c>
      <c r="C46" s="191" t="s">
        <v>98</v>
      </c>
      <c r="D46" s="191" t="s">
        <v>196</v>
      </c>
    </row>
    <row r="47" spans="2:4" ht="15" customHeight="1">
      <c r="B47" s="194">
        <v>50473265</v>
      </c>
      <c r="C47" s="193" t="s">
        <v>197</v>
      </c>
      <c r="D47" s="194" t="s">
        <v>198</v>
      </c>
    </row>
    <row r="48" spans="2:4" ht="15" customHeight="1">
      <c r="B48" s="197">
        <v>50576239</v>
      </c>
      <c r="C48" s="196" t="s">
        <v>199</v>
      </c>
      <c r="D48" s="197" t="s">
        <v>198</v>
      </c>
    </row>
    <row r="49" spans="2:6" ht="15" customHeight="1">
      <c r="B49" s="194">
        <v>50480000</v>
      </c>
      <c r="C49" s="193" t="s">
        <v>200</v>
      </c>
      <c r="D49" s="194" t="s">
        <v>198</v>
      </c>
    </row>
    <row r="50" spans="2:6" ht="15" customHeight="1">
      <c r="B50" s="197">
        <v>50600000</v>
      </c>
      <c r="C50" s="196" t="s">
        <v>201</v>
      </c>
      <c r="D50" s="197" t="s">
        <v>198</v>
      </c>
    </row>
    <row r="51" spans="2:6" ht="15" customHeight="1">
      <c r="B51" s="194">
        <v>50700000</v>
      </c>
      <c r="C51" s="193" t="s">
        <v>202</v>
      </c>
      <c r="D51" s="194" t="s">
        <v>203</v>
      </c>
    </row>
    <row r="53" spans="2:6" ht="18" customHeight="1">
      <c r="B53" s="267" t="s">
        <v>204</v>
      </c>
      <c r="C53" s="267"/>
      <c r="D53" s="267"/>
    </row>
    <row r="54" spans="2:6" ht="15" customHeight="1">
      <c r="B54" s="191" t="s">
        <v>96</v>
      </c>
      <c r="C54" s="191" t="s">
        <v>205</v>
      </c>
      <c r="D54" s="191" t="s">
        <v>206</v>
      </c>
      <c r="E54" s="191" t="s">
        <v>207</v>
      </c>
    </row>
    <row r="55" spans="2:6" ht="15" customHeight="1">
      <c r="B55" s="194">
        <v>50473265</v>
      </c>
      <c r="C55" s="199">
        <v>280</v>
      </c>
      <c r="D55" s="199">
        <v>1200</v>
      </c>
      <c r="E55" s="194">
        <v>14</v>
      </c>
    </row>
    <row r="56" spans="2:6" ht="15" customHeight="1">
      <c r="B56" s="197">
        <v>50576239</v>
      </c>
      <c r="C56" s="198">
        <v>320</v>
      </c>
      <c r="D56" s="198">
        <v>1300</v>
      </c>
      <c r="E56" s="197">
        <v>14</v>
      </c>
    </row>
    <row r="57" spans="2:6" ht="15" customHeight="1">
      <c r="B57" s="194">
        <v>50480000</v>
      </c>
      <c r="C57" s="199">
        <v>260</v>
      </c>
      <c r="D57" s="199">
        <v>1100</v>
      </c>
      <c r="E57" s="194">
        <v>15</v>
      </c>
    </row>
    <row r="58" spans="2:6" ht="15" customHeight="1">
      <c r="B58" s="197">
        <v>50600000</v>
      </c>
      <c r="C58" s="198">
        <v>300</v>
      </c>
      <c r="D58" s="198">
        <v>1200</v>
      </c>
      <c r="E58" s="197">
        <v>14</v>
      </c>
    </row>
    <row r="59" spans="2:6" ht="15" customHeight="1">
      <c r="B59" s="194">
        <v>50700000</v>
      </c>
      <c r="C59" s="199">
        <v>550</v>
      </c>
      <c r="D59" s="199">
        <v>1500</v>
      </c>
      <c r="E59" s="194">
        <v>10</v>
      </c>
    </row>
    <row r="60" spans="2:6" ht="15" customHeight="1">
      <c r="B60" s="197" t="s">
        <v>208</v>
      </c>
      <c r="C60" s="198">
        <v>300</v>
      </c>
      <c r="D60" s="198">
        <v>1200</v>
      </c>
      <c r="E60" s="197">
        <v>14</v>
      </c>
    </row>
    <row r="62" spans="2:6" ht="18" customHeight="1">
      <c r="B62" s="267" t="s">
        <v>209</v>
      </c>
      <c r="C62" s="267"/>
      <c r="D62" s="267"/>
      <c r="E62" s="267"/>
      <c r="F62" s="267"/>
    </row>
    <row r="63" spans="2:6" ht="15" customHeight="1">
      <c r="B63" s="191" t="s">
        <v>177</v>
      </c>
      <c r="C63" s="191" t="s">
        <v>210</v>
      </c>
      <c r="D63" s="191" t="s">
        <v>211</v>
      </c>
      <c r="E63" s="191" t="s">
        <v>212</v>
      </c>
      <c r="F63" s="191" t="s">
        <v>213</v>
      </c>
    </row>
    <row r="64" spans="2:6" ht="15" customHeight="1">
      <c r="B64" s="194" t="s">
        <v>214</v>
      </c>
      <c r="C64" s="194">
        <v>40</v>
      </c>
      <c r="D64" s="194">
        <v>30</v>
      </c>
      <c r="E64" s="194">
        <v>20</v>
      </c>
      <c r="F64" s="200">
        <f t="shared" ref="F64:F68" si="0">C64*D64*E64/1000000</f>
        <v>2.4E-2</v>
      </c>
    </row>
    <row r="65" spans="2:6" ht="15" customHeight="1">
      <c r="B65" s="197" t="s">
        <v>215</v>
      </c>
      <c r="C65" s="197">
        <v>50</v>
      </c>
      <c r="D65" s="197">
        <v>40</v>
      </c>
      <c r="E65" s="197">
        <v>30</v>
      </c>
      <c r="F65" s="201">
        <f t="shared" si="0"/>
        <v>0.06</v>
      </c>
    </row>
    <row r="66" spans="2:6" ht="15" customHeight="1">
      <c r="B66" s="194" t="s">
        <v>216</v>
      </c>
      <c r="C66" s="194">
        <v>60</v>
      </c>
      <c r="D66" s="194">
        <v>40</v>
      </c>
      <c r="E66" s="194">
        <v>35</v>
      </c>
      <c r="F66" s="200">
        <f t="shared" si="0"/>
        <v>8.4000000000000005E-2</v>
      </c>
    </row>
    <row r="67" spans="2:6" ht="15" customHeight="1">
      <c r="B67" s="197" t="s">
        <v>190</v>
      </c>
      <c r="C67" s="197">
        <v>70</v>
      </c>
      <c r="D67" s="197">
        <v>50</v>
      </c>
      <c r="E67" s="197">
        <v>40</v>
      </c>
      <c r="F67" s="201">
        <f t="shared" si="0"/>
        <v>0.14000000000000001</v>
      </c>
    </row>
    <row r="68" spans="2:6" ht="15" customHeight="1">
      <c r="B68" s="194" t="s">
        <v>217</v>
      </c>
      <c r="C68" s="194">
        <v>55</v>
      </c>
      <c r="D68" s="194">
        <v>40</v>
      </c>
      <c r="E68" s="194">
        <v>30</v>
      </c>
      <c r="F68" s="200">
        <f t="shared" si="0"/>
        <v>6.6000000000000003E-2</v>
      </c>
    </row>
    <row r="70" spans="2:6" ht="18" customHeight="1">
      <c r="B70" s="267" t="s">
        <v>218</v>
      </c>
      <c r="C70" s="267"/>
      <c r="D70" s="267"/>
    </row>
    <row r="71" spans="2:6" ht="15" customHeight="1">
      <c r="B71" s="191" t="s">
        <v>165</v>
      </c>
      <c r="C71" s="191" t="s">
        <v>166</v>
      </c>
      <c r="D71" s="191" t="s">
        <v>17</v>
      </c>
      <c r="E71" s="191" t="s">
        <v>219</v>
      </c>
    </row>
    <row r="72" spans="2:6" ht="15" customHeight="1">
      <c r="B72" s="194" t="s">
        <v>220</v>
      </c>
      <c r="C72" s="193" t="s">
        <v>221</v>
      </c>
      <c r="D72" s="194" t="s">
        <v>222</v>
      </c>
      <c r="E72" s="194" t="s">
        <v>223</v>
      </c>
    </row>
    <row r="73" spans="2:6" ht="15" customHeight="1">
      <c r="B73" s="197" t="s">
        <v>224</v>
      </c>
      <c r="C73" s="196" t="s">
        <v>225</v>
      </c>
      <c r="D73" s="197" t="s">
        <v>226</v>
      </c>
      <c r="E73" s="197" t="s">
        <v>227</v>
      </c>
    </row>
    <row r="74" spans="2:6" ht="15" customHeight="1">
      <c r="B74" s="194" t="s">
        <v>228</v>
      </c>
      <c r="C74" s="193" t="s">
        <v>229</v>
      </c>
      <c r="D74" s="194" t="s">
        <v>230</v>
      </c>
      <c r="E74" s="194" t="s">
        <v>231</v>
      </c>
    </row>
    <row r="75" spans="2:6" ht="15" customHeight="1">
      <c r="B75" s="197" t="s">
        <v>232</v>
      </c>
      <c r="C75" s="196" t="s">
        <v>233</v>
      </c>
      <c r="D75" s="197" t="s">
        <v>222</v>
      </c>
      <c r="E75" s="197" t="s">
        <v>223</v>
      </c>
    </row>
    <row r="76" spans="2:6" ht="15" customHeight="1">
      <c r="B76" s="194" t="s">
        <v>234</v>
      </c>
      <c r="C76" s="193" t="s">
        <v>235</v>
      </c>
      <c r="D76" s="194" t="s">
        <v>236</v>
      </c>
      <c r="E76" s="194" t="s">
        <v>237</v>
      </c>
    </row>
    <row r="78" spans="2:6" ht="18" customHeight="1">
      <c r="B78" s="267" t="s">
        <v>238</v>
      </c>
      <c r="C78" s="267"/>
      <c r="D78" s="267"/>
    </row>
    <row r="79" spans="2:6" ht="15" customHeight="1">
      <c r="B79" s="191" t="s">
        <v>239</v>
      </c>
      <c r="C79" s="191" t="s">
        <v>240</v>
      </c>
      <c r="D79" s="191" t="s">
        <v>241</v>
      </c>
      <c r="E79" s="191" t="s">
        <v>17</v>
      </c>
    </row>
    <row r="80" spans="2:6" ht="15" customHeight="1">
      <c r="B80" s="194">
        <v>6094373</v>
      </c>
      <c r="C80" s="193" t="s">
        <v>242</v>
      </c>
      <c r="D80" s="194" t="s">
        <v>243</v>
      </c>
      <c r="E80" s="194" t="s">
        <v>244</v>
      </c>
    </row>
    <row r="81" spans="2:5" ht="15" customHeight="1">
      <c r="B81" s="197">
        <v>6094500</v>
      </c>
      <c r="C81" s="196" t="s">
        <v>245</v>
      </c>
      <c r="D81" s="197" t="s">
        <v>246</v>
      </c>
      <c r="E81" s="197" t="s">
        <v>244</v>
      </c>
    </row>
    <row r="82" spans="2:5" ht="15" customHeight="1">
      <c r="B82" s="194">
        <v>6094620</v>
      </c>
      <c r="C82" s="193" t="s">
        <v>247</v>
      </c>
      <c r="D82" s="194" t="s">
        <v>248</v>
      </c>
      <c r="E82" s="194" t="s">
        <v>244</v>
      </c>
    </row>
    <row r="83" spans="2:5" ht="15" customHeight="1">
      <c r="B83" s="197">
        <v>6094700</v>
      </c>
      <c r="C83" s="196" t="s">
        <v>249</v>
      </c>
      <c r="D83" s="197" t="s">
        <v>250</v>
      </c>
      <c r="E83" s="197" t="s">
        <v>244</v>
      </c>
    </row>
    <row r="85" spans="2:5" ht="18" customHeight="1">
      <c r="B85" s="190" t="s">
        <v>251</v>
      </c>
    </row>
    <row r="86" spans="2:5" ht="15" customHeight="1">
      <c r="B86" s="191" t="s">
        <v>165</v>
      </c>
      <c r="C86" s="191" t="s">
        <v>166</v>
      </c>
    </row>
    <row r="87" spans="2:5" ht="15" customHeight="1">
      <c r="B87" s="194" t="s">
        <v>252</v>
      </c>
      <c r="C87" s="193" t="s">
        <v>253</v>
      </c>
    </row>
    <row r="88" spans="2:5" ht="15" customHeight="1">
      <c r="B88" s="197" t="s">
        <v>254</v>
      </c>
      <c r="C88" s="196" t="s">
        <v>255</v>
      </c>
    </row>
    <row r="89" spans="2:5" ht="15" customHeight="1">
      <c r="B89" s="194" t="s">
        <v>256</v>
      </c>
      <c r="C89" s="193" t="s">
        <v>257</v>
      </c>
    </row>
    <row r="90" spans="2:5" ht="15" customHeight="1">
      <c r="B90" s="197" t="s">
        <v>258</v>
      </c>
      <c r="C90" s="196" t="s">
        <v>259</v>
      </c>
    </row>
    <row r="92" spans="2:5" ht="18" customHeight="1">
      <c r="B92" s="190" t="s">
        <v>260</v>
      </c>
    </row>
    <row r="93" spans="2:5" ht="15" customHeight="1">
      <c r="B93" s="191" t="s">
        <v>165</v>
      </c>
      <c r="C93" s="191" t="s">
        <v>166</v>
      </c>
    </row>
    <row r="94" spans="2:5" ht="15" customHeight="1">
      <c r="B94" s="194" t="s">
        <v>261</v>
      </c>
      <c r="C94" s="193" t="s">
        <v>262</v>
      </c>
    </row>
    <row r="95" spans="2:5" ht="15" customHeight="1">
      <c r="B95" s="197" t="s">
        <v>263</v>
      </c>
      <c r="C95" s="196" t="s">
        <v>264</v>
      </c>
    </row>
    <row r="96" spans="2:5" ht="15" customHeight="1">
      <c r="B96" s="194" t="s">
        <v>265</v>
      </c>
      <c r="C96" s="193" t="s">
        <v>266</v>
      </c>
    </row>
    <row r="98" spans="2:3" ht="18" customHeight="1">
      <c r="B98" s="190" t="s">
        <v>267</v>
      </c>
    </row>
    <row r="99" spans="2:3" ht="15" customHeight="1">
      <c r="B99" s="191" t="s">
        <v>165</v>
      </c>
      <c r="C99" s="191" t="s">
        <v>240</v>
      </c>
    </row>
    <row r="100" spans="2:3" ht="15" customHeight="1">
      <c r="B100" s="194" t="s">
        <v>268</v>
      </c>
      <c r="C100" s="193" t="s">
        <v>244</v>
      </c>
    </row>
    <row r="101" spans="2:3" ht="15" customHeight="1">
      <c r="B101" s="197" t="s">
        <v>269</v>
      </c>
      <c r="C101" s="196" t="s">
        <v>222</v>
      </c>
    </row>
    <row r="102" spans="2:3" ht="15" customHeight="1">
      <c r="B102" s="194" t="s">
        <v>270</v>
      </c>
      <c r="C102" s="193" t="s">
        <v>271</v>
      </c>
    </row>
    <row r="103" spans="2:3" ht="15" customHeight="1">
      <c r="B103" s="197" t="s">
        <v>272</v>
      </c>
      <c r="C103" s="196" t="s">
        <v>230</v>
      </c>
    </row>
    <row r="104" spans="2:3" ht="15" customHeight="1">
      <c r="B104" s="194" t="s">
        <v>273</v>
      </c>
      <c r="C104" s="193" t="s">
        <v>236</v>
      </c>
    </row>
  </sheetData>
  <sheetProtection algorithmName="SHA-512" hashValue="tgXuU73SL9A9UDyCs2RcEtrcWqTUAZeLQ5oVPIsTT5uJ23GNYQGi2Otj3BVQmkarPZlN4zUYnJedLL3UN8wxcA==" saltValue="G4sBQI7kMkGmdXzMkSUoQA==" spinCount="100000" sheet="1" objects="1" formatCells="0" formatColumns="0" formatRows="0" insertColumns="0" insertRows="0" insertHyperlinks="0" deleteColumns="0" deleteRows="0" sort="0" autoFilter="0" pivotTables="0"/>
  <mergeCells count="9">
    <mergeCell ref="B53:D53"/>
    <mergeCell ref="B62:F62"/>
    <mergeCell ref="B70:D70"/>
    <mergeCell ref="B78:D78"/>
    <mergeCell ref="A1:F1"/>
    <mergeCell ref="A2:F2"/>
    <mergeCell ref="B4:C4"/>
    <mergeCell ref="B15:C15"/>
    <mergeCell ref="B45:C45"/>
  </mergeCells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36"/>
  <sheetViews>
    <sheetView workbookViewId="0">
      <pane ySplit="3" topLeftCell="A8" activePane="bottomLeft" state="frozen"/>
      <selection pane="bottomLeft" activeCell="B1" sqref="B1:G1"/>
    </sheetView>
  </sheetViews>
  <sheetFormatPr defaultColWidth="8.85546875" defaultRowHeight="15" customHeight="1"/>
  <cols>
    <col min="1" max="1" width="2.28515625" customWidth="1"/>
    <col min="2" max="7" width="28.42578125" customWidth="1"/>
    <col min="8" max="8" width="5.7109375" customWidth="1"/>
  </cols>
  <sheetData>
    <row r="1" spans="2:8" ht="25.5" customHeight="1">
      <c r="B1" s="297" t="s">
        <v>274</v>
      </c>
      <c r="C1" s="298"/>
      <c r="D1" s="298"/>
      <c r="E1" s="298"/>
      <c r="F1" s="298"/>
      <c r="G1" s="298"/>
      <c r="H1" s="149"/>
    </row>
    <row r="2" spans="2:8" ht="16.5" customHeight="1">
      <c r="B2" s="299" t="s">
        <v>275</v>
      </c>
      <c r="C2" s="300"/>
      <c r="D2" s="300"/>
      <c r="E2" s="300"/>
      <c r="F2" s="300"/>
      <c r="G2" s="300"/>
      <c r="H2" s="150"/>
    </row>
    <row r="3" spans="2:8" ht="7.5" customHeight="1">
      <c r="B3" s="151"/>
      <c r="C3" s="151"/>
      <c r="D3" s="151"/>
      <c r="E3" s="151"/>
      <c r="F3" s="151"/>
      <c r="G3" s="151"/>
      <c r="H3" s="151"/>
    </row>
    <row r="4" spans="2:8" ht="18" customHeight="1">
      <c r="B4" s="274" t="s">
        <v>276</v>
      </c>
      <c r="C4" s="255"/>
      <c r="D4" s="255"/>
      <c r="E4" s="255"/>
      <c r="F4" s="255"/>
      <c r="G4" s="255"/>
      <c r="H4" s="152"/>
    </row>
    <row r="5" spans="2:8" ht="19.5" customHeight="1">
      <c r="B5" s="44" t="s">
        <v>91</v>
      </c>
      <c r="C5" s="45">
        <f>IF('PACKING ENTRY'!C5="","(no PO)",'PACKING ENTRY'!C5)</f>
        <v>4901873568</v>
      </c>
      <c r="D5" s="153"/>
      <c r="E5" s="44" t="s">
        <v>67</v>
      </c>
      <c r="F5" s="290" t="str">
        <f>IF('PACKING ENTRY'!F5="","",'PACKING ENTRY'!F5)</f>
        <v/>
      </c>
      <c r="G5" s="301"/>
      <c r="H5" s="154"/>
    </row>
    <row r="6" spans="2:8" ht="19.5" customHeight="1">
      <c r="B6" s="44" t="s">
        <v>5</v>
      </c>
      <c r="C6" s="45" t="str">
        <f>IFERROR(VLOOKUP('PACKING ENTRY'!C5,PO_Data,3,FALSE),"")</f>
        <v/>
      </c>
      <c r="D6" s="155"/>
      <c r="E6" s="44" t="s">
        <v>103</v>
      </c>
      <c r="F6" s="290" t="str">
        <f>IFERROR(VLOOKUP('PACKING ENTRY'!C5,PO_Data,14,FALSE),"")</f>
        <v/>
      </c>
      <c r="G6" s="275"/>
      <c r="H6" s="157"/>
    </row>
    <row r="7" spans="2:8" ht="19.5" customHeight="1">
      <c r="B7" s="44" t="s">
        <v>277</v>
      </c>
      <c r="C7" s="45" t="str">
        <f>IF('PACKING ENTRY'!C29=0,"",'PACKING ENTRY'!C29)</f>
        <v/>
      </c>
      <c r="D7" s="158"/>
      <c r="E7" s="44" t="s">
        <v>278</v>
      </c>
      <c r="F7" s="290" t="str">
        <f>IF('PACKING ENTRY'!E29=0,"",'PACKING ENTRY'!E29)</f>
        <v/>
      </c>
      <c r="G7" s="275"/>
      <c r="H7" s="159"/>
    </row>
    <row r="8" spans="2:8" ht="19.5" customHeight="1">
      <c r="B8" s="44" t="s">
        <v>279</v>
      </c>
      <c r="C8" s="160" t="str">
        <f>IF('PACKING ENTRY'!C5="","",'PACKING ENTRY'!C5&amp;".xlsx")</f>
        <v>4901873568.xlsx</v>
      </c>
      <c r="D8" s="155"/>
      <c r="E8" s="44" t="s">
        <v>280</v>
      </c>
      <c r="F8" s="291" t="str">
        <f>IF('PACKING ENTRY'!C5="","",'PACKING ENTRY'!C5&amp;".pdf")</f>
        <v>4901873568.pdf</v>
      </c>
      <c r="G8" s="292"/>
      <c r="H8" s="161"/>
    </row>
    <row r="9" spans="2:8" ht="7.5" customHeight="1">
      <c r="B9" s="151"/>
      <c r="C9" s="151"/>
      <c r="D9" s="151"/>
      <c r="E9" s="151"/>
      <c r="F9" s="151"/>
      <c r="G9" s="151"/>
      <c r="H9" s="151"/>
    </row>
    <row r="10" spans="2:8" ht="18" customHeight="1">
      <c r="B10" s="274" t="s">
        <v>281</v>
      </c>
      <c r="C10" s="271"/>
      <c r="D10" s="271"/>
      <c r="E10" s="271"/>
      <c r="F10" s="271"/>
      <c r="G10" s="271"/>
      <c r="H10" s="162"/>
    </row>
    <row r="11" spans="2:8" ht="22.5" customHeight="1">
      <c r="B11" s="44" t="s">
        <v>282</v>
      </c>
      <c r="C11" s="293" t="str">
        <f>IFERROR(SETTINGS!B12,"C:\HUGO_BOSS\Exports\")</f>
        <v>Factory Address</v>
      </c>
      <c r="D11" s="294"/>
      <c r="E11" s="294"/>
      <c r="F11" s="294"/>
      <c r="G11" s="294"/>
      <c r="H11" s="163"/>
    </row>
    <row r="12" spans="2:8" ht="31.5" customHeight="1">
      <c r="B12" s="295" t="s">
        <v>654</v>
      </c>
      <c r="C12" s="279"/>
      <c r="D12" s="164"/>
      <c r="E12" s="296" t="s">
        <v>283</v>
      </c>
      <c r="F12" s="282"/>
      <c r="G12" s="165" t="s">
        <v>284</v>
      </c>
      <c r="H12" s="166"/>
    </row>
    <row r="13" spans="2:8" ht="7.5" customHeight="1">
      <c r="B13" s="167"/>
      <c r="C13" s="168"/>
      <c r="D13" s="169"/>
      <c r="E13" s="170"/>
      <c r="F13" s="171"/>
      <c r="G13" s="172"/>
      <c r="H13" s="166"/>
    </row>
    <row r="14" spans="2:8" ht="18" customHeight="1">
      <c r="B14" s="274" t="s">
        <v>285</v>
      </c>
      <c r="C14" s="279"/>
      <c r="D14" s="280"/>
      <c r="E14" s="281"/>
      <c r="F14" s="282"/>
      <c r="G14" s="283"/>
      <c r="H14" s="166"/>
    </row>
    <row r="15" spans="2:8" ht="52.5" customHeight="1">
      <c r="B15" s="284" t="s">
        <v>286</v>
      </c>
      <c r="C15" s="285"/>
      <c r="D15" s="169"/>
      <c r="E15" s="286" t="s">
        <v>287</v>
      </c>
      <c r="F15" s="287"/>
      <c r="G15" s="20" t="s">
        <v>288</v>
      </c>
      <c r="H15" s="166"/>
    </row>
    <row r="16" spans="2:8" ht="16.5" customHeight="1">
      <c r="B16" s="288" t="s">
        <v>289</v>
      </c>
      <c r="C16" s="285"/>
      <c r="D16" s="169"/>
      <c r="E16" s="289" t="s">
        <v>290</v>
      </c>
      <c r="F16" s="287"/>
      <c r="G16" s="17" t="s">
        <v>291</v>
      </c>
      <c r="H16" s="166"/>
    </row>
    <row r="17" spans="2:8" ht="7.5" customHeight="1">
      <c r="B17" s="151"/>
      <c r="C17" s="151"/>
      <c r="D17" s="151"/>
      <c r="E17" s="151"/>
      <c r="F17" s="151"/>
      <c r="G17" s="151"/>
      <c r="H17" s="151"/>
    </row>
    <row r="18" spans="2:8" ht="18" customHeight="1">
      <c r="B18" s="270" t="s">
        <v>292</v>
      </c>
      <c r="C18" s="271"/>
      <c r="D18" s="271"/>
      <c r="E18" s="271"/>
      <c r="F18" s="271"/>
      <c r="G18" s="271"/>
      <c r="H18" s="162"/>
    </row>
    <row r="19" spans="2:8" ht="18" customHeight="1">
      <c r="B19" s="32" t="s">
        <v>293</v>
      </c>
      <c r="C19" s="62" t="str">
        <f>IF('PACKING ENTRY'!C5="","❌ Missing PO","✅ "&amp;'PACKING ENTRY'!C5)</f>
        <v>✅ 4901873568</v>
      </c>
      <c r="D19" s="173"/>
      <c r="E19" s="32" t="s">
        <v>294</v>
      </c>
      <c r="F19" s="272" t="str">
        <f>IF(LEN(SETTINGS!B12)&gt;0,"✅ "&amp;SETTINGS!B12,"❌ Browse folder first")</f>
        <v>✅ Factory Address</v>
      </c>
      <c r="G19" s="273"/>
      <c r="H19" s="174"/>
    </row>
    <row r="20" spans="2:8" ht="18" customHeight="1">
      <c r="B20" s="32" t="s">
        <v>295</v>
      </c>
      <c r="C20" s="62" t="str">
        <f>IF('PACKING ENTRY'!F5="","❌ No product type","✅ "&amp;'PACKING ENTRY'!F5&amp;" Template")</f>
        <v>❌ No product type</v>
      </c>
      <c r="D20" s="173"/>
      <c r="E20" s="32" t="s">
        <v>296</v>
      </c>
      <c r="F20" s="272" t="str">
        <f>IF(AND('PACKING ENTRY'!C5&lt;&gt;"",'PACKING ENTRY'!F5&lt;&gt;"",LEN(SETTINGS!B12)&gt;0),"✅ READY","❌ Fix items above")</f>
        <v>❌ Fix items above</v>
      </c>
      <c r="G20" s="273"/>
      <c r="H20" s="174"/>
    </row>
    <row r="21" spans="2:8" ht="7.5" customHeight="1">
      <c r="B21" s="156"/>
      <c r="C21" s="156"/>
      <c r="D21" s="173"/>
      <c r="E21" s="156"/>
      <c r="F21" s="156"/>
      <c r="G21" s="175"/>
      <c r="H21" s="175"/>
    </row>
    <row r="22" spans="2:8" ht="18" customHeight="1">
      <c r="B22" s="274" t="s">
        <v>297</v>
      </c>
      <c r="C22" s="275"/>
      <c r="D22" s="276"/>
      <c r="E22" s="275"/>
      <c r="F22" s="275"/>
      <c r="G22" s="277"/>
      <c r="H22" s="176"/>
    </row>
    <row r="23" spans="2:8" ht="21" customHeight="1">
      <c r="B23" s="177" t="s">
        <v>298</v>
      </c>
      <c r="C23" s="177" t="s">
        <v>91</v>
      </c>
      <c r="D23" s="177" t="s">
        <v>299</v>
      </c>
      <c r="E23" s="177" t="s">
        <v>300</v>
      </c>
      <c r="F23" s="177" t="s">
        <v>301</v>
      </c>
      <c r="G23" s="177" t="s">
        <v>302</v>
      </c>
      <c r="H23" s="151"/>
    </row>
    <row r="24" spans="2:8" ht="16.5" customHeight="1">
      <c r="B24" s="178" t="str">
        <f ca="1">TEXT(NOW()-2,"dd-mmm-yy hh:mm")</f>
        <v>02-Jul-26 00:49</v>
      </c>
      <c r="C24" s="178">
        <v>4901873568</v>
      </c>
      <c r="D24" s="178" t="s">
        <v>303</v>
      </c>
      <c r="E24" s="13" t="s">
        <v>304</v>
      </c>
      <c r="F24" s="178" t="s">
        <v>305</v>
      </c>
      <c r="G24" s="178" t="s">
        <v>306</v>
      </c>
      <c r="H24" s="162"/>
    </row>
    <row r="25" spans="2:8" ht="16.5" customHeight="1">
      <c r="B25" s="179" t="str">
        <f ca="1">TEXT(NOW()-1,"dd-mmm-yy hh:mm")</f>
        <v>03-Jul-26 00:49</v>
      </c>
      <c r="C25" s="179">
        <v>4901893257</v>
      </c>
      <c r="D25" s="179" t="s">
        <v>307</v>
      </c>
      <c r="E25" s="180" t="s">
        <v>308</v>
      </c>
      <c r="F25" s="179" t="s">
        <v>305</v>
      </c>
      <c r="G25" s="179" t="s">
        <v>306</v>
      </c>
      <c r="H25" s="163"/>
    </row>
    <row r="26" spans="2:8" ht="16.5" customHeight="1">
      <c r="B26" s="178" t="str">
        <f ca="1">TEXT(NOW(),"dd-mmm-yy hh:mm")</f>
        <v>04-Jul-26 00:49</v>
      </c>
      <c r="C26" s="178">
        <v>4901893300</v>
      </c>
      <c r="D26" s="178" t="s">
        <v>309</v>
      </c>
      <c r="E26" s="13" t="s">
        <v>310</v>
      </c>
      <c r="F26" s="178" t="s">
        <v>305</v>
      </c>
      <c r="G26" s="178" t="s">
        <v>306</v>
      </c>
      <c r="H26" s="181"/>
    </row>
    <row r="27" spans="2:8" ht="16.5" customHeight="1">
      <c r="B27" s="179"/>
      <c r="C27" s="179"/>
      <c r="D27" s="179"/>
      <c r="E27" s="180"/>
      <c r="F27" s="179"/>
      <c r="G27" s="179"/>
      <c r="H27" s="181"/>
    </row>
    <row r="28" spans="2:8" ht="16.5" customHeight="1">
      <c r="B28" s="178"/>
      <c r="C28" s="178"/>
      <c r="D28" s="178"/>
      <c r="E28" s="13"/>
      <c r="F28" s="178"/>
      <c r="G28" s="178"/>
      <c r="H28" s="181"/>
    </row>
    <row r="29" spans="2:8" ht="7.5" customHeight="1">
      <c r="B29" s="151"/>
      <c r="C29" s="151"/>
      <c r="D29" s="151"/>
      <c r="E29" s="151"/>
      <c r="F29" s="151"/>
      <c r="G29" s="151"/>
      <c r="H29" s="151"/>
    </row>
    <row r="30" spans="2:8" ht="22.5" customHeight="1">
      <c r="B30" s="278" t="s">
        <v>311</v>
      </c>
      <c r="C30" s="271"/>
      <c r="D30" s="162"/>
      <c r="E30" s="278" t="s">
        <v>312</v>
      </c>
      <c r="F30" s="271"/>
      <c r="G30" s="63" t="s">
        <v>313</v>
      </c>
      <c r="H30" s="162"/>
    </row>
    <row r="31" spans="2:8" ht="16.5" customHeight="1">
      <c r="B31" s="163"/>
      <c r="C31" s="163"/>
      <c r="D31" s="163"/>
      <c r="E31" s="163"/>
      <c r="F31" s="163"/>
      <c r="G31" s="163"/>
      <c r="H31" s="163"/>
    </row>
    <row r="32" spans="2:8" ht="18" customHeight="1">
      <c r="B32" s="182"/>
      <c r="C32" s="182"/>
      <c r="D32" s="183"/>
      <c r="E32" s="183"/>
      <c r="F32" s="184"/>
      <c r="G32" s="184"/>
      <c r="H32" s="185"/>
    </row>
    <row r="33" spans="2:8" ht="18" customHeight="1">
      <c r="B33" s="186"/>
      <c r="C33" s="186"/>
      <c r="D33" s="187"/>
      <c r="E33" s="187"/>
      <c r="F33" s="184"/>
      <c r="G33" s="184"/>
      <c r="H33" s="188"/>
    </row>
    <row r="34" spans="2:8" ht="18" customHeight="1">
      <c r="B34" s="182"/>
      <c r="C34" s="182"/>
      <c r="D34" s="183"/>
      <c r="E34" s="183"/>
      <c r="F34" s="184"/>
      <c r="G34" s="184"/>
      <c r="H34" s="185"/>
    </row>
    <row r="35" spans="2:8" ht="6" customHeight="1"/>
    <row r="36" spans="2:8" ht="18" customHeight="1">
      <c r="B36" s="189"/>
      <c r="C36" s="189"/>
      <c r="D36" s="189"/>
      <c r="E36" s="189"/>
      <c r="F36" s="189"/>
      <c r="G36" s="189"/>
      <c r="H36" s="189"/>
    </row>
  </sheetData>
  <mergeCells count="22">
    <mergeCell ref="B1:G1"/>
    <mergeCell ref="B2:G2"/>
    <mergeCell ref="B4:G4"/>
    <mergeCell ref="F5:G5"/>
    <mergeCell ref="F6:G6"/>
    <mergeCell ref="F7:G7"/>
    <mergeCell ref="F8:G8"/>
    <mergeCell ref="B10:G10"/>
    <mergeCell ref="C11:G11"/>
    <mergeCell ref="B12:C12"/>
    <mergeCell ref="E12:F12"/>
    <mergeCell ref="B14:G14"/>
    <mergeCell ref="B15:C15"/>
    <mergeCell ref="E15:F15"/>
    <mergeCell ref="B16:C16"/>
    <mergeCell ref="E16:F16"/>
    <mergeCell ref="B18:G18"/>
    <mergeCell ref="F19:G19"/>
    <mergeCell ref="F20:G20"/>
    <mergeCell ref="B22:G22"/>
    <mergeCell ref="B30:C30"/>
    <mergeCell ref="E30:F30"/>
  </mergeCells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M169"/>
  <sheetViews>
    <sheetView showGridLines="0" workbookViewId="0">
      <selection activeCell="J16" sqref="J16"/>
    </sheetView>
  </sheetViews>
  <sheetFormatPr defaultColWidth="9.140625" defaultRowHeight="18" customHeight="1"/>
  <cols>
    <col min="1" max="1" width="7.7109375" style="69" customWidth="1"/>
    <col min="2" max="2" width="1.7109375" style="69" customWidth="1"/>
    <col min="3" max="3" width="8.140625" style="69" customWidth="1"/>
    <col min="4" max="4" width="17.5703125" style="69" customWidth="1"/>
    <col min="5" max="5" width="17" style="69" customWidth="1"/>
    <col min="6" max="6" width="12.7109375" style="69" customWidth="1"/>
    <col min="7" max="7" width="25.28515625" style="69" customWidth="1"/>
    <col min="8" max="8" width="15.140625" style="69" customWidth="1"/>
    <col min="9" max="9" width="7.140625" style="69" customWidth="1"/>
    <col min="10" max="10" width="23.42578125" style="69" customWidth="1"/>
    <col min="11" max="11" width="18.28515625" style="69" customWidth="1"/>
    <col min="12" max="12" width="17.28515625" style="69" customWidth="1"/>
    <col min="13" max="15" width="10.140625" style="69" customWidth="1"/>
    <col min="16" max="35" width="9.5703125" style="69" customWidth="1"/>
    <col min="36" max="36" width="11" style="69" customWidth="1"/>
    <col min="37" max="37" width="8.140625" style="69" customWidth="1"/>
    <col min="38" max="38" width="11.28515625" style="69" customWidth="1"/>
    <col min="39" max="39" width="12.140625" style="69" customWidth="1"/>
    <col min="40" max="42" width="9.7109375" style="69" customWidth="1"/>
    <col min="43" max="43" width="22.5703125" style="69" customWidth="1"/>
    <col min="44" max="65" width="9.140625" style="69" customWidth="1"/>
  </cols>
  <sheetData>
    <row r="1" spans="1:43" ht="24" customHeight="1">
      <c r="A1" s="329" t="s">
        <v>314</v>
      </c>
      <c r="B1" s="324"/>
      <c r="C1" s="324"/>
      <c r="D1" s="324"/>
      <c r="E1" s="324"/>
      <c r="F1" s="324"/>
      <c r="G1" s="324"/>
      <c r="H1" s="324"/>
      <c r="I1" s="324"/>
      <c r="J1" s="324"/>
      <c r="K1" s="324"/>
      <c r="L1" s="324"/>
      <c r="M1" s="324"/>
      <c r="N1" s="324"/>
      <c r="O1" s="324"/>
      <c r="P1" s="324"/>
    </row>
    <row r="2" spans="1:43" ht="16.5" customHeight="1">
      <c r="A2" s="330" t="s">
        <v>315</v>
      </c>
      <c r="B2" s="324"/>
      <c r="C2" s="324"/>
      <c r="D2" s="324"/>
      <c r="E2" s="324"/>
      <c r="F2" s="324"/>
      <c r="G2" s="324"/>
      <c r="H2" s="324"/>
      <c r="I2" s="324"/>
      <c r="J2" s="324"/>
      <c r="K2" s="324"/>
      <c r="L2" s="324"/>
      <c r="M2" s="324"/>
      <c r="N2" s="324"/>
      <c r="O2" s="324"/>
      <c r="P2" s="324"/>
    </row>
    <row r="3" spans="1:43" ht="7.5" customHeight="1"/>
    <row r="4" spans="1:43" ht="21" customHeight="1">
      <c r="A4" s="32" t="s">
        <v>316</v>
      </c>
      <c r="B4" s="331">
        <f>IF('PACKING ENTRY'!C5="","(no PO selected)",'PACKING ENTRY'!C5)</f>
        <v>4901873568</v>
      </c>
      <c r="C4" s="324"/>
      <c r="D4" s="32" t="s">
        <v>67</v>
      </c>
      <c r="E4" s="331" t="str">
        <f>IF('PACKING ENTRY'!F5="","",'PACKING ENTRY'!F5)</f>
        <v/>
      </c>
      <c r="F4" s="324"/>
      <c r="G4" s="32" t="s">
        <v>317</v>
      </c>
      <c r="H4" s="331" t="str">
        <f>IF(E4="","(none)",CHOOSE(MATCH(E4,{"Footwear","Apparel","Kids","Accessories"},0),"🥾 FOOTWEAR TEMPLATE","👕 APPAREL TEMPLATE","🧒 KIDS TEMPLATE","👜 ACCESSORIES TEMPLATE"))</f>
        <v>(none)</v>
      </c>
      <c r="I4" s="324"/>
      <c r="J4" s="324"/>
      <c r="K4" s="32" t="s">
        <v>278</v>
      </c>
      <c r="L4" s="331" t="str">
        <f>IF('PACKING ENTRY'!E29=0,"",'PACKING ENTRY'!E29)</f>
        <v/>
      </c>
      <c r="M4" s="324"/>
      <c r="N4" s="32" t="s">
        <v>277</v>
      </c>
      <c r="O4" s="331" t="str">
        <f>IF('PACKING ENTRY'!C29=0,"",'PACKING ENTRY'!C29)</f>
        <v/>
      </c>
      <c r="P4" s="324"/>
    </row>
    <row r="5" spans="1:43" ht="19.5" customHeight="1">
      <c r="A5" s="323" t="s">
        <v>318</v>
      </c>
      <c r="B5" s="324"/>
      <c r="C5" s="324"/>
      <c r="D5" s="324"/>
      <c r="E5" s="324"/>
      <c r="F5" s="324"/>
      <c r="G5" s="324"/>
      <c r="H5" s="324"/>
      <c r="I5" s="324"/>
      <c r="J5" s="324"/>
      <c r="K5" s="324"/>
      <c r="L5" s="324"/>
      <c r="M5" s="324"/>
      <c r="N5" s="324"/>
      <c r="O5" s="324"/>
      <c r="P5" s="324"/>
    </row>
    <row r="6" spans="1:43" ht="21" customHeight="1">
      <c r="A6" s="32" t="s">
        <v>319</v>
      </c>
      <c r="B6" s="70" t="str">
        <f>IFERROR(INDEX('PACKING ENTRY'!$M$19:$V$22,MATCH($E$4,'PACKING ENTRY'!$L$19:$L$22,0),1),"")</f>
        <v/>
      </c>
      <c r="C6" s="70" t="str">
        <f>IFERROR(INDEX('PACKING ENTRY'!$M$19:$V$22,MATCH($E$4,'PACKING ENTRY'!$L$19:$L$22,0),2),"")</f>
        <v/>
      </c>
      <c r="D6" s="70" t="str">
        <f>IFERROR(INDEX('PACKING ENTRY'!$M$19:$V$22,MATCH($E$4,'PACKING ENTRY'!$L$19:$L$22,0),3),"")</f>
        <v/>
      </c>
      <c r="E6" s="70" t="str">
        <f>IFERROR(INDEX('PACKING ENTRY'!$M$19:$V$22,MATCH($E$4,'PACKING ENTRY'!$L$19:$L$22,0),4),"")</f>
        <v/>
      </c>
      <c r="F6" s="70" t="str">
        <f>IFERROR(INDEX('PACKING ENTRY'!$M$19:$V$22,MATCH($E$4,'PACKING ENTRY'!$L$19:$L$22,0),5),"")</f>
        <v/>
      </c>
      <c r="G6" s="70" t="str">
        <f>IFERROR(INDEX('PACKING ENTRY'!$M$19:$V$22,MATCH($E$4,'PACKING ENTRY'!$L$19:$L$22,0),6),"")</f>
        <v/>
      </c>
      <c r="H6" s="70" t="str">
        <f>IFERROR(INDEX('PACKING ENTRY'!$M$19:$V$22,MATCH($E$4,'PACKING ENTRY'!$L$19:$L$22,0),7),"")</f>
        <v/>
      </c>
      <c r="I6" s="70" t="str">
        <f>IFERROR(INDEX('PACKING ENTRY'!$M$19:$V$22,MATCH($E$4,'PACKING ENTRY'!$L$19:$L$22,0),8),"")</f>
        <v/>
      </c>
      <c r="J6" s="70" t="str">
        <f>IFERROR(INDEX('PACKING ENTRY'!$M$19:$V$22,MATCH($E$4,'PACKING ENTRY'!$L$19:$L$22,0),9),"")</f>
        <v/>
      </c>
      <c r="K6" s="70" t="str">
        <f>IFERROR(INDEX('PACKING ENTRY'!$M$19:$V$22,MATCH($E$4,'PACKING ENTRY'!$L$19:$L$22,0),10),"")</f>
        <v/>
      </c>
      <c r="L6" s="325" t="s">
        <v>320</v>
      </c>
      <c r="M6" s="324"/>
      <c r="N6" s="324"/>
      <c r="O6" s="324"/>
      <c r="P6" s="324"/>
    </row>
    <row r="7" spans="1:43" s="64" customFormat="1" ht="7.5" customHeight="1">
      <c r="A7" s="326" t="s">
        <v>51</v>
      </c>
      <c r="B7" s="327"/>
      <c r="C7" s="327"/>
      <c r="D7" s="327"/>
      <c r="E7" s="327"/>
      <c r="F7" s="327"/>
      <c r="G7" s="327"/>
      <c r="H7" s="327"/>
      <c r="I7" s="327"/>
      <c r="J7" s="327"/>
      <c r="K7" s="327"/>
      <c r="L7" s="327"/>
      <c r="M7" s="327"/>
      <c r="N7" s="327"/>
      <c r="O7" s="327"/>
      <c r="P7" s="327"/>
      <c r="Q7" s="327"/>
      <c r="R7" s="327"/>
      <c r="S7" s="327"/>
      <c r="T7" s="327"/>
      <c r="U7" s="327"/>
      <c r="V7" s="327"/>
      <c r="W7" s="327"/>
      <c r="X7" s="327"/>
      <c r="Y7" s="327"/>
      <c r="Z7" s="327"/>
      <c r="AA7" s="327"/>
      <c r="AB7" s="327"/>
      <c r="AC7" s="327"/>
      <c r="AD7" s="327"/>
      <c r="AE7" s="327"/>
      <c r="AF7" s="327"/>
      <c r="AG7" s="327"/>
      <c r="AH7" s="327"/>
      <c r="AI7" s="327"/>
      <c r="AJ7" s="327"/>
      <c r="AK7" s="327"/>
      <c r="AL7" s="327"/>
      <c r="AM7" s="327"/>
      <c r="AN7" s="327"/>
      <c r="AO7" s="327"/>
      <c r="AP7" s="327"/>
      <c r="AQ7" s="328"/>
    </row>
    <row r="8" spans="1:43" s="64" customFormat="1" ht="18" customHeight="1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</row>
    <row r="9" spans="1:43" s="64" customFormat="1" ht="18" customHeight="1">
      <c r="A9" s="72"/>
      <c r="B9" s="71"/>
      <c r="C9" s="71"/>
      <c r="D9" s="71"/>
      <c r="E9" s="71"/>
      <c r="F9" s="71"/>
      <c r="G9" s="71"/>
      <c r="H9" s="71"/>
      <c r="I9" s="71"/>
      <c r="J9" s="71"/>
      <c r="K9" s="73"/>
      <c r="L9" s="74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</row>
    <row r="10" spans="1:43" s="64" customFormat="1" ht="18" customHeight="1">
      <c r="A10" s="74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71"/>
      <c r="AK10" s="71"/>
      <c r="AL10" s="71"/>
      <c r="AM10" s="71"/>
      <c r="AN10" s="71"/>
      <c r="AO10" s="71"/>
      <c r="AP10" s="71"/>
      <c r="AQ10" s="71"/>
    </row>
    <row r="11" spans="1:43" s="64" customFormat="1" ht="18.75" customHeight="1">
      <c r="A11" s="72" t="s">
        <v>321</v>
      </c>
      <c r="B11" s="74"/>
      <c r="C11" s="76"/>
      <c r="D11" s="76"/>
      <c r="E11" s="76"/>
      <c r="F11" s="76"/>
      <c r="G11" s="76"/>
      <c r="H11" s="76"/>
      <c r="I11" s="76"/>
      <c r="J11" s="76"/>
      <c r="K11" s="74"/>
      <c r="L11" s="74"/>
      <c r="M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2" t="s">
        <v>322</v>
      </c>
      <c r="AK11" s="74"/>
      <c r="AL11" s="77"/>
      <c r="AM11" s="78"/>
      <c r="AN11" s="78"/>
      <c r="AO11" s="78"/>
      <c r="AP11" s="78"/>
      <c r="AQ11" s="78"/>
    </row>
    <row r="12" spans="1:43" s="64" customFormat="1" ht="18.75" customHeight="1">
      <c r="A12" s="79"/>
      <c r="B12" s="74"/>
      <c r="C12" s="80" t="s">
        <v>323</v>
      </c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1" t="s">
        <v>324</v>
      </c>
      <c r="AK12" s="74"/>
      <c r="AL12" s="77"/>
      <c r="AM12" s="78"/>
      <c r="AN12" s="78"/>
      <c r="AO12" s="78"/>
      <c r="AP12" s="78"/>
      <c r="AQ12" s="78"/>
    </row>
    <row r="13" spans="1:43" s="64" customFormat="1" ht="18" customHeight="1">
      <c r="A13" s="79"/>
      <c r="B13" s="81"/>
      <c r="C13" s="82" t="s">
        <v>221</v>
      </c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 t="s">
        <v>325</v>
      </c>
      <c r="AK13" s="74"/>
      <c r="AL13" s="83"/>
      <c r="AM13" s="83"/>
      <c r="AN13" s="83"/>
      <c r="AO13" s="83"/>
      <c r="AP13" s="83"/>
      <c r="AQ13" s="83"/>
    </row>
    <row r="14" spans="1:43" s="64" customFormat="1" ht="18" customHeight="1">
      <c r="A14" s="79"/>
      <c r="B14" s="81"/>
      <c r="C14" s="82" t="s">
        <v>326</v>
      </c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 t="s">
        <v>327</v>
      </c>
      <c r="AK14" s="74"/>
      <c r="AL14" s="83"/>
      <c r="AM14" s="83"/>
      <c r="AN14" s="83"/>
      <c r="AO14" s="83"/>
      <c r="AP14" s="83"/>
      <c r="AQ14" s="83"/>
    </row>
    <row r="15" spans="1:43" s="64" customFormat="1" ht="18" customHeight="1">
      <c r="A15" s="79"/>
      <c r="B15" s="81"/>
      <c r="C15" s="82" t="s">
        <v>328</v>
      </c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 t="s">
        <v>329</v>
      </c>
      <c r="AK15" s="74"/>
      <c r="AL15" s="83"/>
      <c r="AM15" s="83"/>
      <c r="AN15" s="83"/>
      <c r="AO15" s="83"/>
      <c r="AP15" s="83"/>
      <c r="AQ15" s="83"/>
    </row>
    <row r="16" spans="1:43" s="64" customFormat="1" ht="18" customHeight="1">
      <c r="A16" s="79"/>
      <c r="B16" s="81"/>
      <c r="C16" s="82" t="s">
        <v>330</v>
      </c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 t="s">
        <v>244</v>
      </c>
      <c r="AK16" s="74"/>
      <c r="AL16" s="83"/>
      <c r="AM16" s="83"/>
      <c r="AN16" s="83"/>
      <c r="AO16" s="83"/>
      <c r="AP16" s="83"/>
      <c r="AQ16" s="83"/>
    </row>
    <row r="17" spans="1:65" s="64" customFormat="1" ht="18" customHeight="1">
      <c r="A17" s="79"/>
      <c r="B17" s="82"/>
      <c r="C17" s="82" t="s">
        <v>222</v>
      </c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83"/>
      <c r="AM17" s="83"/>
      <c r="AN17" s="83"/>
      <c r="AO17" s="83"/>
      <c r="AP17" s="83"/>
      <c r="AQ17" s="83"/>
    </row>
    <row r="18" spans="1:65" s="64" customFormat="1" ht="18" customHeight="1">
      <c r="A18" s="79"/>
      <c r="B18" s="80"/>
      <c r="C18" s="84"/>
      <c r="D18" s="71"/>
      <c r="E18" s="71"/>
      <c r="F18" s="71"/>
      <c r="G18" s="71"/>
      <c r="H18" s="71"/>
      <c r="I18" s="85"/>
      <c r="J18" s="85"/>
      <c r="K18" s="86"/>
      <c r="L18" s="71"/>
      <c r="M18" s="79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  <c r="AK18" s="71"/>
      <c r="AL18" s="71"/>
      <c r="AM18" s="71"/>
      <c r="AN18" s="71"/>
      <c r="AO18" s="71"/>
      <c r="AP18" s="71"/>
      <c r="AQ18" s="71"/>
    </row>
    <row r="19" spans="1:65" s="64" customFormat="1" ht="18" customHeight="1">
      <c r="A19" s="79"/>
      <c r="B19" s="80"/>
      <c r="C19" s="84"/>
      <c r="D19" s="71"/>
      <c r="E19" s="71"/>
      <c r="F19" s="71"/>
      <c r="G19" s="71"/>
      <c r="H19" s="71"/>
      <c r="I19" s="87"/>
      <c r="J19" s="87"/>
      <c r="K19" s="71"/>
      <c r="L19" s="71"/>
      <c r="M19" s="71"/>
      <c r="N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1"/>
      <c r="AL19" s="74" t="s">
        <v>331</v>
      </c>
      <c r="AM19" s="73"/>
      <c r="AN19" s="88"/>
      <c r="AO19" s="88"/>
      <c r="AP19" s="88"/>
      <c r="AQ19" s="71"/>
    </row>
    <row r="20" spans="1:65" s="64" customFormat="1" ht="18.75" customHeight="1">
      <c r="A20" s="74"/>
      <c r="B20" s="74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  <c r="AK20" s="71"/>
      <c r="AL20" s="71"/>
      <c r="AM20" s="71"/>
      <c r="AN20" s="71"/>
      <c r="AO20" s="71"/>
      <c r="AP20" s="71"/>
      <c r="AQ20" s="71"/>
    </row>
    <row r="21" spans="1:65" s="64" customFormat="1" ht="18" customHeight="1">
      <c r="A21" s="302" t="s">
        <v>332</v>
      </c>
      <c r="B21" s="303"/>
      <c r="C21" s="303"/>
      <c r="D21" s="303" t="s">
        <v>333</v>
      </c>
      <c r="E21" s="303" t="s">
        <v>334</v>
      </c>
      <c r="F21" s="303" t="s">
        <v>335</v>
      </c>
      <c r="G21" s="303" t="s">
        <v>336</v>
      </c>
      <c r="H21" s="303" t="s">
        <v>337</v>
      </c>
      <c r="I21" s="303" t="s">
        <v>338</v>
      </c>
      <c r="J21" s="303" t="s">
        <v>339</v>
      </c>
      <c r="K21" s="303" t="s">
        <v>340</v>
      </c>
      <c r="L21" s="89"/>
      <c r="M21" s="319"/>
      <c r="N21" s="320"/>
      <c r="O21" s="320"/>
      <c r="P21" s="320"/>
      <c r="Q21" s="320"/>
      <c r="R21" s="32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90"/>
      <c r="AH21" s="90"/>
      <c r="AI21" s="90"/>
      <c r="AJ21" s="91"/>
      <c r="AK21" s="92"/>
      <c r="AL21" s="92"/>
      <c r="AM21" s="92"/>
      <c r="AN21" s="92"/>
      <c r="AO21" s="92"/>
      <c r="AP21" s="92"/>
      <c r="AQ21" s="93"/>
    </row>
    <row r="22" spans="1:65" s="64" customFormat="1" ht="47.25" customHeight="1">
      <c r="A22" s="304"/>
      <c r="B22" s="305"/>
      <c r="C22" s="305"/>
      <c r="D22" s="305"/>
      <c r="E22" s="305"/>
      <c r="F22" s="305"/>
      <c r="G22" s="305"/>
      <c r="H22" s="305"/>
      <c r="I22" s="305"/>
      <c r="J22" s="305"/>
      <c r="K22" s="305"/>
      <c r="L22" s="95"/>
      <c r="M22" s="96">
        <v>37</v>
      </c>
      <c r="N22" s="97">
        <v>38</v>
      </c>
      <c r="O22" s="97">
        <v>39</v>
      </c>
      <c r="P22" s="97">
        <v>40</v>
      </c>
      <c r="Q22" s="97">
        <v>41</v>
      </c>
      <c r="R22" s="97">
        <v>42</v>
      </c>
      <c r="S22" s="97">
        <v>43</v>
      </c>
      <c r="T22" s="97">
        <v>44</v>
      </c>
      <c r="U22" s="97">
        <v>45</v>
      </c>
      <c r="V22" s="97">
        <v>46</v>
      </c>
      <c r="W22" s="97" t="s">
        <v>341</v>
      </c>
      <c r="X22" s="97" t="s">
        <v>342</v>
      </c>
      <c r="Y22" s="97" t="s">
        <v>343</v>
      </c>
      <c r="Z22" s="97" t="s">
        <v>344</v>
      </c>
      <c r="AA22" s="97" t="s">
        <v>345</v>
      </c>
      <c r="AB22" s="97" t="s">
        <v>346</v>
      </c>
      <c r="AC22" s="97" t="s">
        <v>347</v>
      </c>
      <c r="AD22" s="97" t="s">
        <v>348</v>
      </c>
      <c r="AE22" s="97" t="s">
        <v>349</v>
      </c>
      <c r="AF22" s="97" t="s">
        <v>180</v>
      </c>
      <c r="AG22" s="97" t="s">
        <v>182</v>
      </c>
      <c r="AH22" s="97" t="s">
        <v>183</v>
      </c>
      <c r="AI22" s="97" t="s">
        <v>184</v>
      </c>
      <c r="AJ22" s="98" t="s">
        <v>350</v>
      </c>
      <c r="AK22" s="94" t="s">
        <v>351</v>
      </c>
      <c r="AL22" s="94" t="s">
        <v>352</v>
      </c>
      <c r="AM22" s="94" t="s">
        <v>353</v>
      </c>
      <c r="AN22" s="94" t="s">
        <v>354</v>
      </c>
      <c r="AO22" s="94" t="s">
        <v>355</v>
      </c>
      <c r="AP22" s="94" t="s">
        <v>356</v>
      </c>
      <c r="AQ22" s="99" t="s">
        <v>357</v>
      </c>
    </row>
    <row r="23" spans="1:65" s="65" customFormat="1" ht="18" customHeight="1">
      <c r="A23" s="100">
        <v>1</v>
      </c>
      <c r="B23" s="101" t="s">
        <v>358</v>
      </c>
      <c r="C23" s="101">
        <f t="shared" ref="C23:C79" si="0">+A23+AJ23-1</f>
        <v>1</v>
      </c>
      <c r="D23" s="101">
        <v>4901893257</v>
      </c>
      <c r="E23" s="101">
        <v>50576354</v>
      </c>
      <c r="F23" s="101">
        <v>326746</v>
      </c>
      <c r="G23" s="101" t="s">
        <v>359</v>
      </c>
      <c r="H23" s="101">
        <v>10284468</v>
      </c>
      <c r="I23" s="101">
        <v>404</v>
      </c>
      <c r="J23" s="101" t="s">
        <v>127</v>
      </c>
      <c r="K23" s="101" t="s">
        <v>360</v>
      </c>
      <c r="L23" s="102"/>
      <c r="M23" s="103">
        <v>1</v>
      </c>
      <c r="N23" s="104">
        <v>5</v>
      </c>
      <c r="O23" s="104"/>
      <c r="P23" s="104">
        <v>8</v>
      </c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>
        <v>1</v>
      </c>
      <c r="AK23" s="104">
        <v>14</v>
      </c>
      <c r="AL23" s="104">
        <f t="shared" ref="AL23:AL72" si="1">SUM(AK23*AJ23)</f>
        <v>14</v>
      </c>
      <c r="AM23" s="105"/>
      <c r="AN23" s="106"/>
      <c r="AO23" s="105"/>
      <c r="AP23" s="105"/>
      <c r="AQ23" s="107" t="s">
        <v>361</v>
      </c>
      <c r="AR23" s="67"/>
      <c r="AS23" s="108"/>
      <c r="AT23" s="108"/>
      <c r="AU23" s="108"/>
      <c r="AV23" s="108"/>
      <c r="AW23" s="108"/>
      <c r="AX23" s="108"/>
      <c r="AY23" s="108"/>
      <c r="AZ23" s="108"/>
      <c r="BA23" s="108"/>
      <c r="BB23" s="67"/>
      <c r="BC23" s="67"/>
      <c r="BD23" s="67"/>
      <c r="BE23" s="67"/>
      <c r="BF23" s="67"/>
      <c r="BG23" s="67"/>
      <c r="BH23" s="67"/>
      <c r="BI23" s="67"/>
      <c r="BJ23" s="67"/>
      <c r="BK23" s="67"/>
      <c r="BL23" s="67"/>
      <c r="BM23" s="67"/>
    </row>
    <row r="24" spans="1:65" s="65" customFormat="1" ht="17.25" customHeight="1">
      <c r="A24" s="100">
        <f t="shared" ref="A24:A79" si="2">+C23+1</f>
        <v>2</v>
      </c>
      <c r="B24" s="101" t="s">
        <v>358</v>
      </c>
      <c r="C24" s="101">
        <f t="shared" si="0"/>
        <v>2</v>
      </c>
      <c r="D24" s="101">
        <v>4901893257</v>
      </c>
      <c r="E24" s="101">
        <v>50576354</v>
      </c>
      <c r="F24" s="101">
        <v>326746</v>
      </c>
      <c r="G24" s="101" t="s">
        <v>359</v>
      </c>
      <c r="H24" s="101">
        <v>10284468</v>
      </c>
      <c r="I24" s="101">
        <v>404</v>
      </c>
      <c r="J24" s="101" t="s">
        <v>127</v>
      </c>
      <c r="K24" s="101" t="s">
        <v>360</v>
      </c>
      <c r="L24" s="102"/>
      <c r="M24" s="103"/>
      <c r="N24" s="104"/>
      <c r="O24" s="104">
        <v>7</v>
      </c>
      <c r="P24" s="104"/>
      <c r="Q24" s="104">
        <v>3</v>
      </c>
      <c r="R24" s="104">
        <v>3</v>
      </c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>
        <v>1</v>
      </c>
      <c r="AK24" s="104">
        <v>14</v>
      </c>
      <c r="AL24" s="104">
        <v>13</v>
      </c>
      <c r="AM24" s="105"/>
      <c r="AN24" s="106"/>
      <c r="AO24" s="105"/>
      <c r="AP24" s="105"/>
      <c r="AQ24" s="107" t="s">
        <v>361</v>
      </c>
      <c r="AR24" s="67"/>
      <c r="AS24" s="108"/>
      <c r="AT24" s="108"/>
      <c r="AU24" s="108"/>
      <c r="AV24" s="108"/>
      <c r="AW24" s="108"/>
      <c r="AX24" s="108"/>
      <c r="AY24" s="108"/>
      <c r="AZ24" s="108"/>
      <c r="BA24" s="108"/>
      <c r="BB24" s="67"/>
      <c r="BC24" s="67"/>
      <c r="BD24" s="67"/>
      <c r="BE24" s="67"/>
      <c r="BF24" s="67"/>
      <c r="BG24" s="67"/>
      <c r="BH24" s="67"/>
      <c r="BI24" s="67"/>
      <c r="BJ24" s="67"/>
      <c r="BK24" s="67"/>
      <c r="BL24" s="67"/>
      <c r="BM24" s="67"/>
    </row>
    <row r="25" spans="1:65" s="65" customFormat="1" ht="17.25" customHeight="1">
      <c r="A25" s="100">
        <f t="shared" si="2"/>
        <v>3</v>
      </c>
      <c r="B25" s="101" t="s">
        <v>358</v>
      </c>
      <c r="C25" s="101">
        <f t="shared" si="0"/>
        <v>3</v>
      </c>
      <c r="D25" s="101">
        <v>4901893257</v>
      </c>
      <c r="E25" s="101">
        <v>50576354</v>
      </c>
      <c r="F25" s="101">
        <v>326746</v>
      </c>
      <c r="G25" s="101" t="s">
        <v>359</v>
      </c>
      <c r="H25" s="101">
        <v>10284468</v>
      </c>
      <c r="I25" s="101">
        <v>404</v>
      </c>
      <c r="J25" s="101" t="s">
        <v>127</v>
      </c>
      <c r="K25" s="101" t="s">
        <v>360</v>
      </c>
      <c r="L25" s="102"/>
      <c r="M25" s="103"/>
      <c r="N25" s="104"/>
      <c r="O25" s="104"/>
      <c r="P25" s="104"/>
      <c r="Q25" s="104"/>
      <c r="R25" s="104"/>
      <c r="S25" s="104">
        <v>2</v>
      </c>
      <c r="T25" s="104">
        <v>1</v>
      </c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>
        <v>1</v>
      </c>
      <c r="AK25" s="104">
        <v>14</v>
      </c>
      <c r="AL25" s="104">
        <v>3</v>
      </c>
      <c r="AM25" s="105"/>
      <c r="AN25" s="106"/>
      <c r="AO25" s="105"/>
      <c r="AP25" s="105"/>
      <c r="AQ25" s="107" t="s">
        <v>361</v>
      </c>
      <c r="AR25" s="67"/>
      <c r="AS25" s="108"/>
      <c r="AT25" s="108"/>
      <c r="AU25" s="108"/>
      <c r="AV25" s="108"/>
      <c r="AW25" s="108"/>
      <c r="AX25" s="108"/>
      <c r="AY25" s="108"/>
      <c r="AZ25" s="108"/>
      <c r="BA25" s="108"/>
      <c r="BB25" s="67"/>
      <c r="BC25" s="67"/>
      <c r="BD25" s="67"/>
      <c r="BE25" s="67"/>
      <c r="BF25" s="67"/>
      <c r="BG25" s="67"/>
      <c r="BH25" s="67"/>
      <c r="BI25" s="67"/>
      <c r="BJ25" s="67"/>
      <c r="BK25" s="67"/>
      <c r="BL25" s="67"/>
      <c r="BM25" s="67"/>
    </row>
    <row r="26" spans="1:65" s="66" customFormat="1" ht="18.75" customHeight="1">
      <c r="A26" s="317" t="s">
        <v>362</v>
      </c>
      <c r="B26" s="318"/>
      <c r="C26" s="318"/>
      <c r="D26" s="109"/>
      <c r="E26" s="109"/>
      <c r="F26" s="109"/>
      <c r="G26" s="109"/>
      <c r="H26" s="109"/>
      <c r="I26" s="110"/>
      <c r="J26" s="110"/>
      <c r="K26" s="111"/>
      <c r="L26" s="111"/>
      <c r="M26" s="112">
        <f t="shared" ref="M26:AL80" si="3">SUM(M23:M25)</f>
        <v>1</v>
      </c>
      <c r="N26" s="112">
        <f t="shared" si="3"/>
        <v>5</v>
      </c>
      <c r="O26" s="112">
        <f t="shared" si="3"/>
        <v>7</v>
      </c>
      <c r="P26" s="112">
        <f t="shared" si="3"/>
        <v>8</v>
      </c>
      <c r="Q26" s="112">
        <f t="shared" si="3"/>
        <v>3</v>
      </c>
      <c r="R26" s="112">
        <f t="shared" si="3"/>
        <v>3</v>
      </c>
      <c r="S26" s="112">
        <f t="shared" si="3"/>
        <v>2</v>
      </c>
      <c r="T26" s="112">
        <f t="shared" si="3"/>
        <v>1</v>
      </c>
      <c r="U26" s="112">
        <f t="shared" si="3"/>
        <v>0</v>
      </c>
      <c r="V26" s="112">
        <f t="shared" si="3"/>
        <v>0</v>
      </c>
      <c r="W26" s="112">
        <f t="shared" si="3"/>
        <v>0</v>
      </c>
      <c r="X26" s="112">
        <f t="shared" si="3"/>
        <v>0</v>
      </c>
      <c r="Y26" s="112">
        <f t="shared" si="3"/>
        <v>0</v>
      </c>
      <c r="Z26" s="112">
        <f t="shared" si="3"/>
        <v>0</v>
      </c>
      <c r="AA26" s="112">
        <f t="shared" si="3"/>
        <v>0</v>
      </c>
      <c r="AB26" s="112">
        <f t="shared" si="3"/>
        <v>0</v>
      </c>
      <c r="AC26" s="112">
        <f t="shared" si="3"/>
        <v>0</v>
      </c>
      <c r="AD26" s="112">
        <f t="shared" si="3"/>
        <v>0</v>
      </c>
      <c r="AE26" s="112">
        <f t="shared" si="3"/>
        <v>0</v>
      </c>
      <c r="AF26" s="112">
        <f t="shared" si="3"/>
        <v>0</v>
      </c>
      <c r="AG26" s="112">
        <f t="shared" si="3"/>
        <v>0</v>
      </c>
      <c r="AH26" s="112">
        <f t="shared" si="3"/>
        <v>0</v>
      </c>
      <c r="AI26" s="112">
        <f t="shared" si="3"/>
        <v>0</v>
      </c>
      <c r="AJ26" s="112">
        <f t="shared" si="3"/>
        <v>3</v>
      </c>
      <c r="AK26" s="112"/>
      <c r="AL26" s="112">
        <f t="shared" si="3"/>
        <v>30</v>
      </c>
      <c r="AM26" s="112"/>
      <c r="AN26" s="112"/>
      <c r="AO26" s="112"/>
      <c r="AP26" s="112"/>
      <c r="AQ26" s="113"/>
    </row>
    <row r="27" spans="1:65" s="66" customFormat="1" ht="18.75" customHeight="1">
      <c r="A27" s="114"/>
      <c r="B27" s="114"/>
      <c r="C27" s="114"/>
      <c r="D27" s="114"/>
      <c r="E27" s="114"/>
      <c r="F27" s="114"/>
      <c r="G27" s="114"/>
      <c r="H27" s="114"/>
      <c r="I27" s="115"/>
      <c r="J27" s="115"/>
      <c r="K27" s="116"/>
      <c r="L27" s="116"/>
      <c r="M27" s="117"/>
      <c r="N27" s="117"/>
      <c r="O27" s="117"/>
      <c r="P27" s="117"/>
      <c r="Q27" s="117"/>
      <c r="R27" s="117"/>
      <c r="S27" s="117"/>
      <c r="T27" s="117"/>
      <c r="U27" s="117"/>
      <c r="V27" s="117"/>
      <c r="W27" s="117"/>
      <c r="X27" s="117"/>
      <c r="Y27" s="117"/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</row>
    <row r="28" spans="1:65" s="64" customFormat="1" ht="18" customHeight="1">
      <c r="A28" s="302" t="s">
        <v>332</v>
      </c>
      <c r="B28" s="303"/>
      <c r="C28" s="303"/>
      <c r="D28" s="303" t="s">
        <v>333</v>
      </c>
      <c r="E28" s="303" t="s">
        <v>334</v>
      </c>
      <c r="F28" s="303" t="s">
        <v>335</v>
      </c>
      <c r="G28" s="303" t="s">
        <v>336</v>
      </c>
      <c r="H28" s="303" t="s">
        <v>337</v>
      </c>
      <c r="I28" s="303" t="s">
        <v>338</v>
      </c>
      <c r="J28" s="303" t="s">
        <v>339</v>
      </c>
      <c r="K28" s="303" t="s">
        <v>340</v>
      </c>
      <c r="L28" s="89"/>
      <c r="M28" s="319"/>
      <c r="N28" s="320"/>
      <c r="O28" s="320"/>
      <c r="P28" s="320"/>
      <c r="Q28" s="320"/>
      <c r="R28" s="320"/>
      <c r="S28" s="90"/>
      <c r="T28" s="90"/>
      <c r="U28" s="90"/>
      <c r="V28" s="90"/>
      <c r="W28" s="90"/>
      <c r="X28" s="90"/>
      <c r="Y28" s="90"/>
      <c r="Z28" s="90"/>
      <c r="AA28" s="90"/>
      <c r="AB28" s="90"/>
      <c r="AC28" s="90"/>
      <c r="AD28" s="90"/>
      <c r="AE28" s="90"/>
      <c r="AF28" s="90"/>
      <c r="AG28" s="90"/>
      <c r="AH28" s="90"/>
      <c r="AI28" s="90"/>
      <c r="AJ28" s="91"/>
      <c r="AK28" s="92"/>
      <c r="AL28" s="92"/>
      <c r="AM28" s="92"/>
      <c r="AN28" s="92"/>
      <c r="AO28" s="92"/>
      <c r="AP28" s="92"/>
      <c r="AQ28" s="93"/>
    </row>
    <row r="29" spans="1:65" s="64" customFormat="1" ht="47.25" customHeight="1">
      <c r="A29" s="304"/>
      <c r="B29" s="305"/>
      <c r="C29" s="305"/>
      <c r="D29" s="305"/>
      <c r="E29" s="305"/>
      <c r="F29" s="305"/>
      <c r="G29" s="305"/>
      <c r="H29" s="305"/>
      <c r="I29" s="305"/>
      <c r="J29" s="305"/>
      <c r="K29" s="305"/>
      <c r="L29" s="95"/>
      <c r="M29" s="96">
        <v>37</v>
      </c>
      <c r="N29" s="97">
        <v>38</v>
      </c>
      <c r="O29" s="97">
        <v>39</v>
      </c>
      <c r="P29" s="97">
        <v>40</v>
      </c>
      <c r="Q29" s="97">
        <v>41</v>
      </c>
      <c r="R29" s="97">
        <v>42</v>
      </c>
      <c r="S29" s="97">
        <v>43</v>
      </c>
      <c r="T29" s="97">
        <v>44</v>
      </c>
      <c r="U29" s="97">
        <v>45</v>
      </c>
      <c r="V29" s="97">
        <v>46</v>
      </c>
      <c r="W29" s="97" t="s">
        <v>341</v>
      </c>
      <c r="X29" s="97" t="s">
        <v>342</v>
      </c>
      <c r="Y29" s="97" t="s">
        <v>343</v>
      </c>
      <c r="Z29" s="97" t="s">
        <v>344</v>
      </c>
      <c r="AA29" s="97" t="s">
        <v>345</v>
      </c>
      <c r="AB29" s="97" t="s">
        <v>346</v>
      </c>
      <c r="AC29" s="97" t="s">
        <v>347</v>
      </c>
      <c r="AD29" s="97" t="s">
        <v>348</v>
      </c>
      <c r="AE29" s="97" t="s">
        <v>349</v>
      </c>
      <c r="AF29" s="97" t="s">
        <v>180</v>
      </c>
      <c r="AG29" s="97" t="s">
        <v>182</v>
      </c>
      <c r="AH29" s="97" t="s">
        <v>183</v>
      </c>
      <c r="AI29" s="97" t="s">
        <v>184</v>
      </c>
      <c r="AJ29" s="98" t="s">
        <v>350</v>
      </c>
      <c r="AK29" s="94" t="s">
        <v>351</v>
      </c>
      <c r="AL29" s="94" t="s">
        <v>352</v>
      </c>
      <c r="AM29" s="94" t="s">
        <v>353</v>
      </c>
      <c r="AN29" s="94" t="s">
        <v>354</v>
      </c>
      <c r="AO29" s="94" t="s">
        <v>355</v>
      </c>
      <c r="AP29" s="94" t="s">
        <v>356</v>
      </c>
      <c r="AQ29" s="99" t="s">
        <v>357</v>
      </c>
    </row>
    <row r="30" spans="1:65" s="65" customFormat="1" ht="18" customHeight="1">
      <c r="A30" s="100">
        <f t="shared" ref="A30:A77" si="4">+C25+1</f>
        <v>4</v>
      </c>
      <c r="B30" s="101" t="s">
        <v>358</v>
      </c>
      <c r="C30" s="101">
        <f t="shared" si="0"/>
        <v>5</v>
      </c>
      <c r="D30" s="101">
        <v>4901893257</v>
      </c>
      <c r="E30" s="101">
        <v>50576354</v>
      </c>
      <c r="F30" s="101">
        <v>326746</v>
      </c>
      <c r="G30" s="101" t="s">
        <v>359</v>
      </c>
      <c r="H30" s="101">
        <v>10284468</v>
      </c>
      <c r="I30" s="101">
        <v>404</v>
      </c>
      <c r="J30" s="101" t="s">
        <v>127</v>
      </c>
      <c r="K30" s="237" t="s">
        <v>363</v>
      </c>
      <c r="L30" s="102"/>
      <c r="M30" s="103"/>
      <c r="N30" s="104">
        <f t="shared" ref="N30:N53" si="5">AL30</f>
        <v>28</v>
      </c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>
        <v>2</v>
      </c>
      <c r="AK30" s="104">
        <v>14</v>
      </c>
      <c r="AL30" s="104">
        <f t="shared" si="1"/>
        <v>28</v>
      </c>
      <c r="AM30" s="105"/>
      <c r="AN30" s="106"/>
      <c r="AO30" s="105"/>
      <c r="AP30" s="105"/>
      <c r="AQ30" s="107" t="s">
        <v>361</v>
      </c>
      <c r="AR30" s="67"/>
      <c r="AS30" s="108"/>
      <c r="AT30" s="108"/>
      <c r="AU30" s="108"/>
      <c r="AV30" s="108"/>
      <c r="AW30" s="108"/>
      <c r="AX30" s="108"/>
      <c r="AY30" s="108"/>
      <c r="AZ30" s="108"/>
      <c r="BA30" s="108"/>
      <c r="BB30" s="67"/>
      <c r="BC30" s="67"/>
      <c r="BD30" s="67"/>
      <c r="BE30" s="67"/>
      <c r="BF30" s="67"/>
      <c r="BG30" s="67"/>
      <c r="BH30" s="67"/>
      <c r="BI30" s="67"/>
      <c r="BJ30" s="67"/>
      <c r="BK30" s="67"/>
      <c r="BL30" s="67"/>
      <c r="BM30" s="67"/>
    </row>
    <row r="31" spans="1:65" s="65" customFormat="1" ht="17.25" customHeight="1">
      <c r="A31" s="100">
        <f t="shared" si="2"/>
        <v>6</v>
      </c>
      <c r="B31" s="101" t="s">
        <v>358</v>
      </c>
      <c r="C31" s="101">
        <f t="shared" si="0"/>
        <v>8</v>
      </c>
      <c r="D31" s="101">
        <v>4901893257</v>
      </c>
      <c r="E31" s="101">
        <v>50576354</v>
      </c>
      <c r="F31" s="101">
        <v>326746</v>
      </c>
      <c r="G31" s="101" t="s">
        <v>359</v>
      </c>
      <c r="H31" s="101">
        <v>10284468</v>
      </c>
      <c r="I31" s="101">
        <v>404</v>
      </c>
      <c r="J31" s="101" t="s">
        <v>127</v>
      </c>
      <c r="K31" s="237" t="s">
        <v>363</v>
      </c>
      <c r="L31" s="102"/>
      <c r="M31" s="103"/>
      <c r="N31" s="104"/>
      <c r="O31" s="104">
        <f t="shared" ref="O31:O54" si="6">AL31</f>
        <v>42</v>
      </c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>
        <v>3</v>
      </c>
      <c r="AK31" s="104">
        <v>14</v>
      </c>
      <c r="AL31" s="104">
        <f t="shared" si="1"/>
        <v>42</v>
      </c>
      <c r="AM31" s="105"/>
      <c r="AN31" s="106"/>
      <c r="AO31" s="105"/>
      <c r="AP31" s="105"/>
      <c r="AQ31" s="107" t="s">
        <v>361</v>
      </c>
      <c r="AR31" s="67"/>
      <c r="AS31" s="108"/>
      <c r="AT31" s="108"/>
      <c r="AU31" s="108"/>
      <c r="AV31" s="108"/>
      <c r="AW31" s="108"/>
      <c r="AX31" s="108"/>
      <c r="AY31" s="108"/>
      <c r="AZ31" s="108"/>
      <c r="BA31" s="108"/>
      <c r="BB31" s="67"/>
      <c r="BC31" s="67"/>
      <c r="BD31" s="67"/>
      <c r="BE31" s="67"/>
      <c r="BF31" s="67"/>
      <c r="BG31" s="67"/>
      <c r="BH31" s="67"/>
      <c r="BI31" s="67"/>
      <c r="BJ31" s="67"/>
      <c r="BK31" s="67"/>
      <c r="BL31" s="67"/>
      <c r="BM31" s="67"/>
    </row>
    <row r="32" spans="1:65" s="65" customFormat="1" ht="17.25" customHeight="1">
      <c r="A32" s="100">
        <f t="shared" si="2"/>
        <v>9</v>
      </c>
      <c r="B32" s="101" t="s">
        <v>358</v>
      </c>
      <c r="C32" s="101">
        <f t="shared" si="0"/>
        <v>13</v>
      </c>
      <c r="D32" s="101">
        <v>4901893257</v>
      </c>
      <c r="E32" s="101">
        <v>50576354</v>
      </c>
      <c r="F32" s="101">
        <v>326746</v>
      </c>
      <c r="G32" s="101" t="s">
        <v>359</v>
      </c>
      <c r="H32" s="101">
        <v>10284468</v>
      </c>
      <c r="I32" s="101">
        <v>404</v>
      </c>
      <c r="J32" s="101" t="s">
        <v>127</v>
      </c>
      <c r="K32" s="237" t="s">
        <v>363</v>
      </c>
      <c r="L32" s="102"/>
      <c r="M32" s="103"/>
      <c r="N32" s="104"/>
      <c r="O32" s="104"/>
      <c r="P32" s="104">
        <f t="shared" ref="P32:P55" si="7">AL32</f>
        <v>70</v>
      </c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>
        <v>5</v>
      </c>
      <c r="AK32" s="104">
        <v>14</v>
      </c>
      <c r="AL32" s="104">
        <f t="shared" si="1"/>
        <v>70</v>
      </c>
      <c r="AM32" s="105"/>
      <c r="AN32" s="106"/>
      <c r="AO32" s="105"/>
      <c r="AP32" s="105"/>
      <c r="AQ32" s="107" t="s">
        <v>361</v>
      </c>
      <c r="AR32" s="67"/>
      <c r="AS32" s="108"/>
      <c r="AT32" s="108"/>
      <c r="AU32" s="108"/>
      <c r="AV32" s="108"/>
      <c r="AW32" s="108"/>
      <c r="AX32" s="108"/>
      <c r="AY32" s="108"/>
      <c r="AZ32" s="108"/>
      <c r="BA32" s="108"/>
      <c r="BB32" s="67"/>
      <c r="BC32" s="67"/>
      <c r="BD32" s="67"/>
      <c r="BE32" s="67"/>
      <c r="BF32" s="67"/>
      <c r="BG32" s="67"/>
      <c r="BH32" s="67"/>
      <c r="BI32" s="67"/>
      <c r="BJ32" s="67"/>
      <c r="BK32" s="67"/>
      <c r="BL32" s="67"/>
      <c r="BM32" s="67"/>
    </row>
    <row r="33" spans="1:65" s="65" customFormat="1" ht="17.25" customHeight="1">
      <c r="A33" s="100">
        <f t="shared" si="2"/>
        <v>14</v>
      </c>
      <c r="B33" s="101" t="s">
        <v>358</v>
      </c>
      <c r="C33" s="101">
        <f t="shared" si="0"/>
        <v>18</v>
      </c>
      <c r="D33" s="101">
        <v>4901893257</v>
      </c>
      <c r="E33" s="101">
        <v>50576354</v>
      </c>
      <c r="F33" s="101">
        <v>326746</v>
      </c>
      <c r="G33" s="101" t="s">
        <v>359</v>
      </c>
      <c r="H33" s="101">
        <v>10284468</v>
      </c>
      <c r="I33" s="101">
        <v>404</v>
      </c>
      <c r="J33" s="101" t="s">
        <v>127</v>
      </c>
      <c r="K33" s="237" t="s">
        <v>363</v>
      </c>
      <c r="L33" s="102"/>
      <c r="M33" s="103"/>
      <c r="N33" s="104"/>
      <c r="O33" s="104"/>
      <c r="P33" s="104"/>
      <c r="Q33" s="104">
        <f t="shared" ref="Q33:Q56" si="8">AL33</f>
        <v>70</v>
      </c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>
        <v>5</v>
      </c>
      <c r="AK33" s="104">
        <v>14</v>
      </c>
      <c r="AL33" s="104">
        <f t="shared" si="1"/>
        <v>70</v>
      </c>
      <c r="AM33" s="105"/>
      <c r="AN33" s="106"/>
      <c r="AO33" s="105"/>
      <c r="AP33" s="105"/>
      <c r="AQ33" s="107" t="s">
        <v>361</v>
      </c>
      <c r="AR33" s="67"/>
      <c r="AS33" s="108"/>
      <c r="AT33" s="108"/>
      <c r="AU33" s="108"/>
      <c r="AV33" s="108"/>
      <c r="AW33" s="108"/>
      <c r="AX33" s="108"/>
      <c r="AY33" s="108"/>
      <c r="AZ33" s="108"/>
      <c r="BA33" s="108"/>
      <c r="BB33" s="67"/>
      <c r="BC33" s="67"/>
      <c r="BD33" s="67"/>
      <c r="BE33" s="67"/>
      <c r="BF33" s="67"/>
      <c r="BG33" s="67"/>
      <c r="BH33" s="67"/>
      <c r="BI33" s="67"/>
      <c r="BJ33" s="67"/>
      <c r="BK33" s="67"/>
      <c r="BL33" s="67"/>
      <c r="BM33" s="67"/>
    </row>
    <row r="34" spans="1:65" s="65" customFormat="1" ht="17.25" customHeight="1">
      <c r="A34" s="100">
        <f t="shared" si="2"/>
        <v>19</v>
      </c>
      <c r="B34" s="101" t="s">
        <v>358</v>
      </c>
      <c r="C34" s="101">
        <f t="shared" si="0"/>
        <v>23</v>
      </c>
      <c r="D34" s="101">
        <v>4901893257</v>
      </c>
      <c r="E34" s="101">
        <v>50576354</v>
      </c>
      <c r="F34" s="101">
        <v>326746</v>
      </c>
      <c r="G34" s="101" t="s">
        <v>359</v>
      </c>
      <c r="H34" s="101">
        <v>10284468</v>
      </c>
      <c r="I34" s="101">
        <v>404</v>
      </c>
      <c r="J34" s="101" t="s">
        <v>127</v>
      </c>
      <c r="K34" s="237" t="s">
        <v>363</v>
      </c>
      <c r="L34" s="102"/>
      <c r="M34" s="103"/>
      <c r="N34" s="104"/>
      <c r="O34" s="104"/>
      <c r="P34" s="104"/>
      <c r="Q34" s="104"/>
      <c r="R34" s="104">
        <f t="shared" ref="R34:R57" si="9">AL34</f>
        <v>70</v>
      </c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>
        <v>5</v>
      </c>
      <c r="AK34" s="104">
        <v>14</v>
      </c>
      <c r="AL34" s="104">
        <f t="shared" si="1"/>
        <v>70</v>
      </c>
      <c r="AM34" s="105"/>
      <c r="AN34" s="106"/>
      <c r="AO34" s="105"/>
      <c r="AP34" s="105"/>
      <c r="AQ34" s="107" t="s">
        <v>361</v>
      </c>
      <c r="AR34" s="67"/>
      <c r="AS34" s="108"/>
      <c r="AT34" s="108"/>
      <c r="AU34" s="108"/>
      <c r="AV34" s="108"/>
      <c r="AW34" s="108"/>
      <c r="AX34" s="108"/>
      <c r="AY34" s="108"/>
      <c r="AZ34" s="108"/>
      <c r="BA34" s="108"/>
      <c r="BB34" s="67"/>
      <c r="BC34" s="67"/>
      <c r="BD34" s="67"/>
      <c r="BE34" s="67"/>
      <c r="BF34" s="67"/>
      <c r="BG34" s="67"/>
      <c r="BH34" s="67"/>
      <c r="BI34" s="67"/>
      <c r="BJ34" s="67"/>
      <c r="BK34" s="67"/>
      <c r="BL34" s="67"/>
      <c r="BM34" s="67"/>
    </row>
    <row r="35" spans="1:65" s="65" customFormat="1" ht="17.25" customHeight="1">
      <c r="A35" s="100">
        <f t="shared" si="2"/>
        <v>24</v>
      </c>
      <c r="B35" s="101" t="s">
        <v>358</v>
      </c>
      <c r="C35" s="101">
        <f t="shared" si="0"/>
        <v>26</v>
      </c>
      <c r="D35" s="101">
        <v>4901893257</v>
      </c>
      <c r="E35" s="101">
        <v>50576354</v>
      </c>
      <c r="F35" s="101">
        <v>326746</v>
      </c>
      <c r="G35" s="101" t="s">
        <v>359</v>
      </c>
      <c r="H35" s="101">
        <v>10284468</v>
      </c>
      <c r="I35" s="101">
        <v>404</v>
      </c>
      <c r="J35" s="101" t="s">
        <v>127</v>
      </c>
      <c r="K35" s="237" t="s">
        <v>363</v>
      </c>
      <c r="L35" s="102"/>
      <c r="M35" s="103"/>
      <c r="N35" s="104"/>
      <c r="O35" s="104"/>
      <c r="P35" s="104"/>
      <c r="Q35" s="104"/>
      <c r="R35" s="104"/>
      <c r="S35" s="104">
        <f t="shared" ref="S35:S58" si="10">AL35</f>
        <v>42</v>
      </c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>
        <v>3</v>
      </c>
      <c r="AK35" s="104">
        <v>14</v>
      </c>
      <c r="AL35" s="104">
        <f t="shared" si="1"/>
        <v>42</v>
      </c>
      <c r="AM35" s="105"/>
      <c r="AN35" s="106"/>
      <c r="AO35" s="105"/>
      <c r="AP35" s="105"/>
      <c r="AQ35" s="107" t="s">
        <v>361</v>
      </c>
      <c r="AR35" s="67"/>
      <c r="AS35" s="108"/>
      <c r="AT35" s="108"/>
      <c r="AU35" s="108"/>
      <c r="AV35" s="108"/>
      <c r="AW35" s="108"/>
      <c r="AX35" s="108"/>
      <c r="AY35" s="108"/>
      <c r="AZ35" s="108"/>
      <c r="BA35" s="108"/>
      <c r="BB35" s="67"/>
      <c r="BC35" s="67"/>
      <c r="BD35" s="67"/>
      <c r="BE35" s="67"/>
      <c r="BF35" s="67"/>
      <c r="BG35" s="67"/>
      <c r="BH35" s="67"/>
      <c r="BI35" s="67"/>
      <c r="BJ35" s="67"/>
      <c r="BK35" s="67"/>
      <c r="BL35" s="67"/>
      <c r="BM35" s="67"/>
    </row>
    <row r="36" spans="1:65" s="65" customFormat="1" ht="17.25" customHeight="1">
      <c r="A36" s="100">
        <f t="shared" si="2"/>
        <v>27</v>
      </c>
      <c r="B36" s="101" t="s">
        <v>358</v>
      </c>
      <c r="C36" s="101">
        <f t="shared" si="0"/>
        <v>28</v>
      </c>
      <c r="D36" s="101">
        <v>4901893257</v>
      </c>
      <c r="E36" s="101">
        <v>50576354</v>
      </c>
      <c r="F36" s="101">
        <v>326746</v>
      </c>
      <c r="G36" s="101" t="s">
        <v>359</v>
      </c>
      <c r="H36" s="101">
        <v>10284468</v>
      </c>
      <c r="I36" s="101">
        <v>404</v>
      </c>
      <c r="J36" s="101" t="s">
        <v>127</v>
      </c>
      <c r="K36" s="237" t="s">
        <v>363</v>
      </c>
      <c r="L36" s="102"/>
      <c r="M36" s="103"/>
      <c r="N36" s="104"/>
      <c r="O36" s="104"/>
      <c r="P36" s="104"/>
      <c r="Q36" s="104"/>
      <c r="R36" s="104"/>
      <c r="S36" s="104"/>
      <c r="T36" s="104">
        <f t="shared" ref="T36:T59" si="11">AL36</f>
        <v>28</v>
      </c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>
        <v>2</v>
      </c>
      <c r="AK36" s="104">
        <v>14</v>
      </c>
      <c r="AL36" s="104">
        <f t="shared" si="1"/>
        <v>28</v>
      </c>
      <c r="AM36" s="105"/>
      <c r="AN36" s="106"/>
      <c r="AO36" s="105"/>
      <c r="AP36" s="105"/>
      <c r="AQ36" s="107" t="s">
        <v>361</v>
      </c>
      <c r="AR36" s="67"/>
      <c r="AS36" s="108"/>
      <c r="AT36" s="108"/>
      <c r="AU36" s="108"/>
      <c r="AV36" s="108"/>
      <c r="AW36" s="108"/>
      <c r="AX36" s="108"/>
      <c r="AY36" s="108"/>
      <c r="AZ36" s="108"/>
      <c r="BA36" s="108"/>
      <c r="BB36" s="67"/>
      <c r="BC36" s="67"/>
      <c r="BD36" s="67"/>
      <c r="BE36" s="67"/>
      <c r="BF36" s="67"/>
      <c r="BG36" s="67"/>
      <c r="BH36" s="67"/>
      <c r="BI36" s="67"/>
      <c r="BJ36" s="67"/>
      <c r="BK36" s="67"/>
      <c r="BL36" s="67"/>
      <c r="BM36" s="67"/>
    </row>
    <row r="37" spans="1:65" s="65" customFormat="1" ht="17.25" customHeight="1">
      <c r="A37" s="100">
        <f t="shared" si="2"/>
        <v>29</v>
      </c>
      <c r="B37" s="101" t="s">
        <v>358</v>
      </c>
      <c r="C37" s="101">
        <f t="shared" si="0"/>
        <v>29</v>
      </c>
      <c r="D37" s="101">
        <v>4901893257</v>
      </c>
      <c r="E37" s="101">
        <v>50576354</v>
      </c>
      <c r="F37" s="101">
        <v>326746</v>
      </c>
      <c r="G37" s="101" t="s">
        <v>359</v>
      </c>
      <c r="H37" s="101">
        <v>10284468</v>
      </c>
      <c r="I37" s="101">
        <v>404</v>
      </c>
      <c r="J37" s="101" t="s">
        <v>127</v>
      </c>
      <c r="K37" s="237" t="s">
        <v>363</v>
      </c>
      <c r="L37" s="102"/>
      <c r="M37" s="103">
        <v>1</v>
      </c>
      <c r="N37" s="104"/>
      <c r="O37" s="104">
        <v>10</v>
      </c>
      <c r="P37" s="104"/>
      <c r="Q37" s="104">
        <v>3</v>
      </c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>
        <v>1</v>
      </c>
      <c r="AK37" s="104">
        <v>14</v>
      </c>
      <c r="AL37" s="104">
        <f t="shared" si="1"/>
        <v>14</v>
      </c>
      <c r="AM37" s="105"/>
      <c r="AN37" s="106"/>
      <c r="AO37" s="105"/>
      <c r="AP37" s="105"/>
      <c r="AQ37" s="107" t="s">
        <v>361</v>
      </c>
      <c r="AR37" s="67"/>
      <c r="AS37" s="108"/>
      <c r="AT37" s="108"/>
      <c r="AU37" s="108"/>
      <c r="AV37" s="108"/>
      <c r="AW37" s="108"/>
      <c r="AX37" s="108"/>
      <c r="AY37" s="108"/>
      <c r="AZ37" s="108"/>
      <c r="BA37" s="108"/>
      <c r="BB37" s="67"/>
      <c r="BC37" s="67"/>
      <c r="BD37" s="67"/>
      <c r="BE37" s="67"/>
      <c r="BF37" s="67"/>
      <c r="BG37" s="67"/>
      <c r="BH37" s="67"/>
      <c r="BI37" s="67"/>
      <c r="BJ37" s="67"/>
      <c r="BK37" s="67"/>
      <c r="BL37" s="67"/>
      <c r="BM37" s="67"/>
    </row>
    <row r="38" spans="1:65" s="65" customFormat="1" ht="17.25" customHeight="1">
      <c r="A38" s="100">
        <f t="shared" si="2"/>
        <v>30</v>
      </c>
      <c r="B38" s="101" t="s">
        <v>358</v>
      </c>
      <c r="C38" s="101">
        <f t="shared" si="0"/>
        <v>30</v>
      </c>
      <c r="D38" s="101">
        <v>4901893257</v>
      </c>
      <c r="E38" s="101">
        <v>50576354</v>
      </c>
      <c r="F38" s="101">
        <v>326746</v>
      </c>
      <c r="G38" s="101" t="s">
        <v>359</v>
      </c>
      <c r="H38" s="101">
        <v>10284468</v>
      </c>
      <c r="I38" s="101">
        <v>404</v>
      </c>
      <c r="J38" s="101" t="s">
        <v>127</v>
      </c>
      <c r="K38" s="237" t="s">
        <v>363</v>
      </c>
      <c r="L38" s="102"/>
      <c r="M38" s="103"/>
      <c r="N38" s="104"/>
      <c r="O38" s="104"/>
      <c r="P38" s="104">
        <v>9</v>
      </c>
      <c r="Q38" s="104"/>
      <c r="R38" s="104">
        <v>2</v>
      </c>
      <c r="S38" s="104">
        <v>3</v>
      </c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>
        <v>1</v>
      </c>
      <c r="AK38" s="104">
        <v>14</v>
      </c>
      <c r="AL38" s="104">
        <f t="shared" si="1"/>
        <v>14</v>
      </c>
      <c r="AM38" s="105"/>
      <c r="AN38" s="106"/>
      <c r="AO38" s="105"/>
      <c r="AP38" s="105"/>
      <c r="AQ38" s="107" t="s">
        <v>361</v>
      </c>
      <c r="AR38" s="67"/>
      <c r="AS38" s="108"/>
      <c r="AT38" s="108"/>
      <c r="AU38" s="108"/>
      <c r="AV38" s="108"/>
      <c r="AW38" s="108"/>
      <c r="AX38" s="108"/>
      <c r="AY38" s="108"/>
      <c r="AZ38" s="108"/>
      <c r="BA38" s="108"/>
      <c r="BB38" s="67"/>
      <c r="BC38" s="67"/>
      <c r="BD38" s="67"/>
      <c r="BE38" s="67"/>
      <c r="BF38" s="67"/>
      <c r="BG38" s="67"/>
      <c r="BH38" s="67"/>
      <c r="BI38" s="67"/>
      <c r="BJ38" s="67"/>
      <c r="BK38" s="67"/>
      <c r="BL38" s="67"/>
      <c r="BM38" s="67"/>
    </row>
    <row r="39" spans="1:65" s="65" customFormat="1" ht="17.25" customHeight="1">
      <c r="A39" s="100">
        <f t="shared" ref="A39:A40" si="12">+C37+1</f>
        <v>30</v>
      </c>
      <c r="B39" s="101" t="s">
        <v>358</v>
      </c>
      <c r="C39" s="101">
        <f t="shared" si="0"/>
        <v>30</v>
      </c>
      <c r="D39" s="101">
        <v>4901893257</v>
      </c>
      <c r="E39" s="101">
        <v>50576354</v>
      </c>
      <c r="F39" s="101">
        <v>326746</v>
      </c>
      <c r="G39" s="101" t="s">
        <v>359</v>
      </c>
      <c r="H39" s="101">
        <v>10284468</v>
      </c>
      <c r="I39" s="101">
        <v>404</v>
      </c>
      <c r="J39" s="101" t="s">
        <v>127</v>
      </c>
      <c r="K39" s="237" t="s">
        <v>363</v>
      </c>
      <c r="L39" s="102"/>
      <c r="M39" s="103"/>
      <c r="N39" s="104">
        <v>9</v>
      </c>
      <c r="O39" s="104"/>
      <c r="P39" s="104"/>
      <c r="Q39" s="104"/>
      <c r="R39" s="104"/>
      <c r="S39" s="104"/>
      <c r="T39" s="104"/>
      <c r="U39" s="104">
        <v>3</v>
      </c>
      <c r="V39" s="104">
        <v>2</v>
      </c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>
        <v>1</v>
      </c>
      <c r="AK39" s="104">
        <v>14</v>
      </c>
      <c r="AL39" s="104">
        <v>14</v>
      </c>
      <c r="AM39" s="105"/>
      <c r="AN39" s="106"/>
      <c r="AO39" s="105"/>
      <c r="AP39" s="105"/>
      <c r="AQ39" s="107" t="s">
        <v>361</v>
      </c>
      <c r="AR39" s="67"/>
      <c r="AS39" s="108"/>
      <c r="AT39" s="108"/>
      <c r="AU39" s="108"/>
      <c r="AV39" s="108"/>
      <c r="AW39" s="108"/>
      <c r="AX39" s="108"/>
      <c r="AY39" s="108"/>
      <c r="AZ39" s="108"/>
      <c r="BA39" s="108"/>
      <c r="BB39" s="67"/>
      <c r="BC39" s="67"/>
      <c r="BD39" s="67"/>
      <c r="BE39" s="67"/>
      <c r="BF39" s="67"/>
      <c r="BG39" s="67"/>
      <c r="BH39" s="67"/>
      <c r="BI39" s="67"/>
      <c r="BJ39" s="67"/>
      <c r="BK39" s="67"/>
      <c r="BL39" s="67"/>
      <c r="BM39" s="67"/>
    </row>
    <row r="40" spans="1:65" s="65" customFormat="1" ht="17.25" customHeight="1">
      <c r="A40" s="100">
        <f t="shared" si="12"/>
        <v>31</v>
      </c>
      <c r="B40" s="101" t="s">
        <v>358</v>
      </c>
      <c r="C40" s="101">
        <f t="shared" si="0"/>
        <v>31</v>
      </c>
      <c r="D40" s="101">
        <v>4901893257</v>
      </c>
      <c r="E40" s="101">
        <v>50576354</v>
      </c>
      <c r="F40" s="101">
        <v>326746</v>
      </c>
      <c r="G40" s="101" t="s">
        <v>359</v>
      </c>
      <c r="H40" s="101">
        <v>10284468</v>
      </c>
      <c r="I40" s="101">
        <v>404</v>
      </c>
      <c r="J40" s="101" t="s">
        <v>127</v>
      </c>
      <c r="K40" s="237" t="s">
        <v>363</v>
      </c>
      <c r="L40" s="102"/>
      <c r="M40" s="103"/>
      <c r="N40" s="104"/>
      <c r="O40" s="104"/>
      <c r="P40" s="104"/>
      <c r="Q40" s="104"/>
      <c r="R40" s="104"/>
      <c r="S40" s="104"/>
      <c r="T40" s="104">
        <v>7</v>
      </c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>
        <v>1</v>
      </c>
      <c r="AK40" s="104">
        <v>14</v>
      </c>
      <c r="AL40" s="104">
        <v>7</v>
      </c>
      <c r="AM40" s="105"/>
      <c r="AN40" s="106"/>
      <c r="AO40" s="105"/>
      <c r="AP40" s="105"/>
      <c r="AQ40" s="107" t="s">
        <v>361</v>
      </c>
      <c r="AR40" s="67"/>
      <c r="AS40" s="108"/>
      <c r="AT40" s="108"/>
      <c r="AU40" s="108"/>
      <c r="AV40" s="108"/>
      <c r="AW40" s="108"/>
      <c r="AX40" s="108"/>
      <c r="AY40" s="108"/>
      <c r="AZ40" s="108"/>
      <c r="BA40" s="108"/>
      <c r="BB40" s="67"/>
      <c r="BC40" s="67"/>
      <c r="BD40" s="67"/>
      <c r="BE40" s="67"/>
      <c r="BF40" s="67"/>
      <c r="BG40" s="67"/>
      <c r="BH40" s="67"/>
      <c r="BI40" s="67"/>
      <c r="BJ40" s="67"/>
      <c r="BK40" s="67"/>
      <c r="BL40" s="67"/>
      <c r="BM40" s="67"/>
    </row>
    <row r="41" spans="1:65" s="66" customFormat="1" ht="18.75" customHeight="1">
      <c r="A41" s="317" t="s">
        <v>362</v>
      </c>
      <c r="B41" s="318"/>
      <c r="C41" s="318"/>
      <c r="D41" s="109"/>
      <c r="E41" s="109"/>
      <c r="F41" s="109"/>
      <c r="G41" s="109"/>
      <c r="H41" s="109"/>
      <c r="I41" s="110"/>
      <c r="J41" s="110"/>
      <c r="K41" s="111"/>
      <c r="L41" s="111"/>
      <c r="M41" s="112">
        <f t="shared" ref="M41:AL41" si="13">SUM(M30:M40)</f>
        <v>1</v>
      </c>
      <c r="N41" s="112">
        <f t="shared" si="13"/>
        <v>37</v>
      </c>
      <c r="O41" s="112">
        <f t="shared" si="13"/>
        <v>52</v>
      </c>
      <c r="P41" s="112">
        <f t="shared" si="13"/>
        <v>79</v>
      </c>
      <c r="Q41" s="112">
        <f t="shared" si="13"/>
        <v>73</v>
      </c>
      <c r="R41" s="112">
        <f t="shared" si="13"/>
        <v>72</v>
      </c>
      <c r="S41" s="112">
        <f t="shared" si="13"/>
        <v>45</v>
      </c>
      <c r="T41" s="112">
        <f t="shared" si="13"/>
        <v>35</v>
      </c>
      <c r="U41" s="112">
        <f t="shared" si="13"/>
        <v>3</v>
      </c>
      <c r="V41" s="112">
        <f t="shared" si="13"/>
        <v>2</v>
      </c>
      <c r="W41" s="112">
        <f t="shared" si="13"/>
        <v>0</v>
      </c>
      <c r="X41" s="112">
        <f t="shared" si="13"/>
        <v>0</v>
      </c>
      <c r="Y41" s="112">
        <f t="shared" si="13"/>
        <v>0</v>
      </c>
      <c r="Z41" s="112">
        <f t="shared" si="13"/>
        <v>0</v>
      </c>
      <c r="AA41" s="112">
        <f t="shared" si="13"/>
        <v>0</v>
      </c>
      <c r="AB41" s="112">
        <f t="shared" si="13"/>
        <v>0</v>
      </c>
      <c r="AC41" s="112">
        <f t="shared" si="13"/>
        <v>0</v>
      </c>
      <c r="AD41" s="112">
        <f t="shared" si="13"/>
        <v>0</v>
      </c>
      <c r="AE41" s="112">
        <f t="shared" si="13"/>
        <v>0</v>
      </c>
      <c r="AF41" s="112">
        <f t="shared" si="13"/>
        <v>0</v>
      </c>
      <c r="AG41" s="112">
        <f t="shared" si="13"/>
        <v>0</v>
      </c>
      <c r="AH41" s="112">
        <f t="shared" si="13"/>
        <v>0</v>
      </c>
      <c r="AI41" s="112">
        <f t="shared" si="13"/>
        <v>0</v>
      </c>
      <c r="AJ41" s="112">
        <f t="shared" si="13"/>
        <v>29</v>
      </c>
      <c r="AK41" s="112"/>
      <c r="AL41" s="112">
        <f t="shared" si="13"/>
        <v>399</v>
      </c>
      <c r="AM41" s="112"/>
      <c r="AN41" s="112"/>
      <c r="AO41" s="118"/>
      <c r="AP41" s="118"/>
      <c r="AQ41" s="113"/>
    </row>
    <row r="42" spans="1:65" s="66" customFormat="1" ht="18.75" customHeight="1">
      <c r="A42" s="114"/>
      <c r="B42" s="114"/>
      <c r="C42" s="114"/>
      <c r="D42" s="114"/>
      <c r="E42" s="114"/>
      <c r="F42" s="114"/>
      <c r="G42" s="114"/>
      <c r="H42" s="114"/>
      <c r="I42" s="115"/>
      <c r="J42" s="115"/>
      <c r="K42" s="116"/>
      <c r="L42" s="116"/>
      <c r="M42" s="117"/>
      <c r="N42" s="117"/>
      <c r="O42" s="117"/>
      <c r="P42" s="117"/>
      <c r="Q42" s="117"/>
      <c r="R42" s="117"/>
      <c r="S42" s="117"/>
      <c r="T42" s="117"/>
      <c r="U42" s="117"/>
      <c r="V42" s="117"/>
      <c r="W42" s="117"/>
      <c r="X42" s="117"/>
      <c r="Y42" s="117"/>
      <c r="Z42" s="117"/>
      <c r="AA42" s="117"/>
      <c r="AB42" s="117"/>
      <c r="AC42" s="117"/>
      <c r="AD42" s="117"/>
      <c r="AE42" s="117"/>
      <c r="AF42" s="117"/>
      <c r="AG42" s="117"/>
      <c r="AH42" s="117"/>
      <c r="AI42" s="117"/>
      <c r="AJ42" s="117"/>
      <c r="AK42" s="117"/>
      <c r="AL42" s="117"/>
      <c r="AM42" s="117"/>
      <c r="AN42" s="117"/>
      <c r="AO42" s="117"/>
      <c r="AP42" s="117"/>
      <c r="AQ42" s="117"/>
    </row>
    <row r="43" spans="1:65" s="64" customFormat="1" ht="18" customHeight="1">
      <c r="A43" s="302" t="s">
        <v>332</v>
      </c>
      <c r="B43" s="303"/>
      <c r="C43" s="303"/>
      <c r="D43" s="303" t="s">
        <v>333</v>
      </c>
      <c r="E43" s="303" t="s">
        <v>334</v>
      </c>
      <c r="F43" s="303" t="s">
        <v>335</v>
      </c>
      <c r="G43" s="303" t="s">
        <v>336</v>
      </c>
      <c r="H43" s="303" t="s">
        <v>337</v>
      </c>
      <c r="I43" s="303" t="s">
        <v>338</v>
      </c>
      <c r="J43" s="303" t="s">
        <v>339</v>
      </c>
      <c r="K43" s="303" t="s">
        <v>340</v>
      </c>
      <c r="L43" s="89"/>
      <c r="M43" s="319"/>
      <c r="N43" s="320"/>
      <c r="O43" s="320"/>
      <c r="P43" s="320"/>
      <c r="Q43" s="320"/>
      <c r="R43" s="32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0"/>
      <c r="AH43" s="90"/>
      <c r="AI43" s="90"/>
      <c r="AJ43" s="91"/>
      <c r="AK43" s="92"/>
      <c r="AL43" s="92"/>
      <c r="AM43" s="92"/>
      <c r="AN43" s="92"/>
      <c r="AO43" s="92"/>
      <c r="AP43" s="92"/>
      <c r="AQ43" s="93"/>
    </row>
    <row r="44" spans="1:65" s="64" customFormat="1" ht="47.25" customHeight="1">
      <c r="A44" s="304"/>
      <c r="B44" s="305"/>
      <c r="C44" s="305"/>
      <c r="D44" s="305"/>
      <c r="E44" s="305"/>
      <c r="F44" s="305"/>
      <c r="G44" s="305"/>
      <c r="H44" s="305"/>
      <c r="I44" s="305"/>
      <c r="J44" s="305"/>
      <c r="K44" s="305"/>
      <c r="L44" s="95"/>
      <c r="M44" s="96">
        <v>37</v>
      </c>
      <c r="N44" s="97">
        <v>38</v>
      </c>
      <c r="O44" s="97">
        <v>39</v>
      </c>
      <c r="P44" s="97">
        <v>40</v>
      </c>
      <c r="Q44" s="97">
        <v>41</v>
      </c>
      <c r="R44" s="97">
        <v>42</v>
      </c>
      <c r="S44" s="97">
        <v>43</v>
      </c>
      <c r="T44" s="97">
        <v>44</v>
      </c>
      <c r="U44" s="97">
        <v>45</v>
      </c>
      <c r="V44" s="97">
        <v>46</v>
      </c>
      <c r="W44" s="97" t="s">
        <v>341</v>
      </c>
      <c r="X44" s="97" t="s">
        <v>342</v>
      </c>
      <c r="Y44" s="97" t="s">
        <v>343</v>
      </c>
      <c r="Z44" s="97" t="s">
        <v>344</v>
      </c>
      <c r="AA44" s="97" t="s">
        <v>345</v>
      </c>
      <c r="AB44" s="97" t="s">
        <v>346</v>
      </c>
      <c r="AC44" s="97" t="s">
        <v>347</v>
      </c>
      <c r="AD44" s="97" t="s">
        <v>348</v>
      </c>
      <c r="AE44" s="97" t="s">
        <v>349</v>
      </c>
      <c r="AF44" s="97" t="s">
        <v>180</v>
      </c>
      <c r="AG44" s="97" t="s">
        <v>182</v>
      </c>
      <c r="AH44" s="97" t="s">
        <v>183</v>
      </c>
      <c r="AI44" s="97" t="s">
        <v>184</v>
      </c>
      <c r="AJ44" s="98" t="s">
        <v>350</v>
      </c>
      <c r="AK44" s="94" t="s">
        <v>351</v>
      </c>
      <c r="AL44" s="94" t="s">
        <v>352</v>
      </c>
      <c r="AM44" s="94" t="s">
        <v>353</v>
      </c>
      <c r="AN44" s="94" t="s">
        <v>354</v>
      </c>
      <c r="AO44" s="94" t="s">
        <v>355</v>
      </c>
      <c r="AP44" s="94" t="s">
        <v>356</v>
      </c>
      <c r="AQ44" s="99" t="s">
        <v>357</v>
      </c>
    </row>
    <row r="45" spans="1:65" s="65" customFormat="1" ht="18" customHeight="1">
      <c r="A45" s="100">
        <f t="shared" si="4"/>
        <v>32</v>
      </c>
      <c r="B45" s="101" t="s">
        <v>358</v>
      </c>
      <c r="C45" s="101">
        <f t="shared" si="0"/>
        <v>32</v>
      </c>
      <c r="D45" s="101">
        <v>4901893257</v>
      </c>
      <c r="E45" s="101">
        <v>50576354</v>
      </c>
      <c r="F45" s="101">
        <v>326746</v>
      </c>
      <c r="G45" s="101" t="s">
        <v>359</v>
      </c>
      <c r="H45" s="101">
        <v>10284468</v>
      </c>
      <c r="I45" s="101">
        <v>118</v>
      </c>
      <c r="J45" s="101" t="s">
        <v>170</v>
      </c>
      <c r="K45" s="237" t="s">
        <v>364</v>
      </c>
      <c r="L45" s="102"/>
      <c r="M45" s="103"/>
      <c r="N45" s="104"/>
      <c r="O45" s="104"/>
      <c r="P45" s="104"/>
      <c r="Q45" s="104">
        <v>8</v>
      </c>
      <c r="R45" s="104"/>
      <c r="S45" s="104">
        <v>6</v>
      </c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>
        <v>1</v>
      </c>
      <c r="AK45" s="104">
        <v>14</v>
      </c>
      <c r="AL45" s="104">
        <f t="shared" si="1"/>
        <v>14</v>
      </c>
      <c r="AM45" s="105"/>
      <c r="AN45" s="106"/>
      <c r="AO45" s="105"/>
      <c r="AP45" s="105"/>
      <c r="AQ45" s="107" t="s">
        <v>361</v>
      </c>
      <c r="AR45" s="67"/>
      <c r="AS45" s="108"/>
      <c r="AT45" s="108"/>
      <c r="AU45" s="108"/>
      <c r="AV45" s="108"/>
      <c r="AW45" s="108"/>
      <c r="AX45" s="108"/>
      <c r="AY45" s="108"/>
      <c r="AZ45" s="108"/>
      <c r="BA45" s="108"/>
      <c r="BB45" s="67"/>
      <c r="BC45" s="67"/>
      <c r="BD45" s="67"/>
      <c r="BE45" s="67"/>
      <c r="BF45" s="67"/>
      <c r="BG45" s="67"/>
      <c r="BH45" s="67"/>
      <c r="BI45" s="67"/>
      <c r="BJ45" s="67"/>
      <c r="BK45" s="67"/>
      <c r="BL45" s="67"/>
      <c r="BM45" s="67"/>
    </row>
    <row r="46" spans="1:65" s="65" customFormat="1" ht="17.25" customHeight="1">
      <c r="A46" s="100">
        <f t="shared" si="2"/>
        <v>33</v>
      </c>
      <c r="B46" s="101" t="s">
        <v>358</v>
      </c>
      <c r="C46" s="101">
        <f t="shared" si="0"/>
        <v>33</v>
      </c>
      <c r="D46" s="101">
        <v>4901893257</v>
      </c>
      <c r="E46" s="101">
        <v>50576354</v>
      </c>
      <c r="F46" s="101">
        <v>326746</v>
      </c>
      <c r="G46" s="101" t="s">
        <v>359</v>
      </c>
      <c r="H46" s="101">
        <v>10284468</v>
      </c>
      <c r="I46" s="101">
        <v>118</v>
      </c>
      <c r="J46" s="101" t="s">
        <v>170</v>
      </c>
      <c r="K46" s="237" t="s">
        <v>364</v>
      </c>
      <c r="L46" s="102"/>
      <c r="M46" s="103"/>
      <c r="N46" s="104"/>
      <c r="O46" s="104">
        <v>7</v>
      </c>
      <c r="P46" s="104"/>
      <c r="Q46" s="104"/>
      <c r="R46" s="104">
        <v>7</v>
      </c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>
        <v>1</v>
      </c>
      <c r="AK46" s="104">
        <v>14</v>
      </c>
      <c r="AL46" s="104">
        <f t="shared" si="1"/>
        <v>14</v>
      </c>
      <c r="AM46" s="105"/>
      <c r="AN46" s="106"/>
      <c r="AO46" s="105"/>
      <c r="AP46" s="105"/>
      <c r="AQ46" s="107" t="s">
        <v>361</v>
      </c>
      <c r="AR46" s="67"/>
      <c r="AS46" s="108"/>
      <c r="AT46" s="108"/>
      <c r="AU46" s="108"/>
      <c r="AV46" s="108"/>
      <c r="AW46" s="108"/>
      <c r="AX46" s="108"/>
      <c r="AY46" s="108"/>
      <c r="AZ46" s="108"/>
      <c r="BA46" s="108"/>
      <c r="BB46" s="67"/>
      <c r="BC46" s="67"/>
      <c r="BD46" s="67"/>
      <c r="BE46" s="67"/>
      <c r="BF46" s="67"/>
      <c r="BG46" s="67"/>
      <c r="BH46" s="67"/>
      <c r="BI46" s="67"/>
      <c r="BJ46" s="67"/>
      <c r="BK46" s="67"/>
      <c r="BL46" s="67"/>
      <c r="BM46" s="67"/>
    </row>
    <row r="47" spans="1:65" s="65" customFormat="1" ht="17.25" customHeight="1">
      <c r="A47" s="100">
        <f t="shared" si="2"/>
        <v>34</v>
      </c>
      <c r="B47" s="101" t="s">
        <v>358</v>
      </c>
      <c r="C47" s="101">
        <f t="shared" si="0"/>
        <v>34</v>
      </c>
      <c r="D47" s="101">
        <v>4901893257</v>
      </c>
      <c r="E47" s="101">
        <v>50576354</v>
      </c>
      <c r="F47" s="101">
        <v>326746</v>
      </c>
      <c r="G47" s="101" t="s">
        <v>359</v>
      </c>
      <c r="H47" s="101">
        <v>10284468</v>
      </c>
      <c r="I47" s="101">
        <v>118</v>
      </c>
      <c r="J47" s="101" t="s">
        <v>170</v>
      </c>
      <c r="K47" s="237" t="s">
        <v>364</v>
      </c>
      <c r="L47" s="102"/>
      <c r="M47" s="103"/>
      <c r="N47" s="104">
        <v>5</v>
      </c>
      <c r="O47" s="104"/>
      <c r="P47" s="104"/>
      <c r="Q47" s="104"/>
      <c r="R47" s="104"/>
      <c r="S47" s="104"/>
      <c r="T47" s="104">
        <v>4</v>
      </c>
      <c r="U47" s="104"/>
      <c r="V47" s="104">
        <v>1</v>
      </c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>
        <v>1</v>
      </c>
      <c r="AK47" s="104">
        <v>14</v>
      </c>
      <c r="AL47" s="104">
        <v>10</v>
      </c>
      <c r="AM47" s="105"/>
      <c r="AN47" s="106"/>
      <c r="AO47" s="105"/>
      <c r="AP47" s="105"/>
      <c r="AQ47" s="107" t="s">
        <v>361</v>
      </c>
      <c r="AR47" s="67"/>
      <c r="AS47" s="108"/>
      <c r="AT47" s="108"/>
      <c r="AU47" s="108"/>
      <c r="AV47" s="108"/>
      <c r="AW47" s="108"/>
      <c r="AX47" s="108"/>
      <c r="AY47" s="108"/>
      <c r="AZ47" s="108"/>
      <c r="BA47" s="108"/>
      <c r="BB47" s="67"/>
      <c r="BC47" s="67"/>
      <c r="BD47" s="67"/>
      <c r="BE47" s="67"/>
      <c r="BF47" s="67"/>
      <c r="BG47" s="67"/>
      <c r="BH47" s="67"/>
      <c r="BI47" s="67"/>
      <c r="BJ47" s="67"/>
      <c r="BK47" s="67"/>
      <c r="BL47" s="67"/>
      <c r="BM47" s="67"/>
    </row>
    <row r="48" spans="1:65" s="66" customFormat="1" ht="18.75" customHeight="1">
      <c r="A48" s="317" t="s">
        <v>362</v>
      </c>
      <c r="B48" s="318"/>
      <c r="C48" s="318"/>
      <c r="D48" s="109"/>
      <c r="E48" s="109"/>
      <c r="F48" s="109"/>
      <c r="G48" s="109"/>
      <c r="H48" s="109"/>
      <c r="I48" s="110"/>
      <c r="J48" s="110"/>
      <c r="K48" s="111"/>
      <c r="L48" s="111"/>
      <c r="M48" s="112">
        <f t="shared" si="3"/>
        <v>0</v>
      </c>
      <c r="N48" s="112">
        <f t="shared" si="3"/>
        <v>5</v>
      </c>
      <c r="O48" s="112">
        <f t="shared" si="3"/>
        <v>7</v>
      </c>
      <c r="P48" s="112">
        <f t="shared" si="3"/>
        <v>0</v>
      </c>
      <c r="Q48" s="112">
        <f t="shared" si="3"/>
        <v>8</v>
      </c>
      <c r="R48" s="112">
        <f t="shared" si="3"/>
        <v>7</v>
      </c>
      <c r="S48" s="112">
        <f t="shared" si="3"/>
        <v>6</v>
      </c>
      <c r="T48" s="112">
        <f t="shared" si="3"/>
        <v>4</v>
      </c>
      <c r="U48" s="112">
        <f t="shared" si="3"/>
        <v>0</v>
      </c>
      <c r="V48" s="112">
        <f t="shared" si="3"/>
        <v>1</v>
      </c>
      <c r="W48" s="112">
        <f t="shared" si="3"/>
        <v>0</v>
      </c>
      <c r="X48" s="112">
        <f t="shared" si="3"/>
        <v>0</v>
      </c>
      <c r="Y48" s="112">
        <f t="shared" si="3"/>
        <v>0</v>
      </c>
      <c r="Z48" s="112">
        <f t="shared" si="3"/>
        <v>0</v>
      </c>
      <c r="AA48" s="112">
        <f t="shared" si="3"/>
        <v>0</v>
      </c>
      <c r="AB48" s="112">
        <f t="shared" si="3"/>
        <v>0</v>
      </c>
      <c r="AC48" s="112">
        <f t="shared" si="3"/>
        <v>0</v>
      </c>
      <c r="AD48" s="112">
        <f t="shared" si="3"/>
        <v>0</v>
      </c>
      <c r="AE48" s="112">
        <f t="shared" si="3"/>
        <v>0</v>
      </c>
      <c r="AF48" s="112">
        <f t="shared" si="3"/>
        <v>0</v>
      </c>
      <c r="AG48" s="112">
        <f t="shared" si="3"/>
        <v>0</v>
      </c>
      <c r="AH48" s="112">
        <f t="shared" si="3"/>
        <v>0</v>
      </c>
      <c r="AI48" s="112">
        <f t="shared" si="3"/>
        <v>0</v>
      </c>
      <c r="AJ48" s="112">
        <f t="shared" si="3"/>
        <v>3</v>
      </c>
      <c r="AK48" s="112"/>
      <c r="AL48" s="112">
        <f t="shared" si="3"/>
        <v>38</v>
      </c>
      <c r="AM48" s="112"/>
      <c r="AN48" s="112"/>
      <c r="AO48" s="118"/>
      <c r="AP48" s="118"/>
      <c r="AQ48" s="113"/>
    </row>
    <row r="49" spans="1:65" s="66" customFormat="1" ht="18.75" customHeight="1">
      <c r="A49" s="114"/>
      <c r="B49" s="114"/>
      <c r="C49" s="114"/>
      <c r="D49" s="114"/>
      <c r="E49" s="114"/>
      <c r="F49" s="114"/>
      <c r="G49" s="114"/>
      <c r="H49" s="114"/>
      <c r="I49" s="115"/>
      <c r="J49" s="115"/>
      <c r="K49" s="116"/>
      <c r="L49" s="116"/>
      <c r="M49" s="117"/>
      <c r="N49" s="117"/>
      <c r="O49" s="117"/>
      <c r="P49" s="117"/>
      <c r="Q49" s="117"/>
      <c r="R49" s="117"/>
      <c r="S49" s="117"/>
      <c r="T49" s="117"/>
      <c r="U49" s="117"/>
      <c r="V49" s="117"/>
      <c r="W49" s="117"/>
      <c r="X49" s="117"/>
      <c r="Y49" s="117"/>
      <c r="Z49" s="117"/>
      <c r="AA49" s="117"/>
      <c r="AB49" s="117"/>
      <c r="AC49" s="117"/>
      <c r="AD49" s="117"/>
      <c r="AE49" s="117"/>
      <c r="AF49" s="117"/>
      <c r="AG49" s="117"/>
      <c r="AH49" s="117"/>
      <c r="AI49" s="117"/>
      <c r="AJ49" s="117"/>
      <c r="AK49" s="117"/>
      <c r="AL49" s="117"/>
      <c r="AM49" s="117"/>
      <c r="AN49" s="117"/>
      <c r="AO49" s="117"/>
      <c r="AP49" s="117"/>
      <c r="AQ49" s="117"/>
    </row>
    <row r="50" spans="1:65" s="64" customFormat="1" ht="18" customHeight="1">
      <c r="A50" s="302" t="s">
        <v>332</v>
      </c>
      <c r="B50" s="303"/>
      <c r="C50" s="303"/>
      <c r="D50" s="303" t="s">
        <v>333</v>
      </c>
      <c r="E50" s="303" t="s">
        <v>334</v>
      </c>
      <c r="F50" s="303" t="s">
        <v>335</v>
      </c>
      <c r="G50" s="303" t="s">
        <v>336</v>
      </c>
      <c r="H50" s="303" t="s">
        <v>337</v>
      </c>
      <c r="I50" s="303" t="s">
        <v>338</v>
      </c>
      <c r="J50" s="303" t="s">
        <v>339</v>
      </c>
      <c r="K50" s="303" t="s">
        <v>340</v>
      </c>
      <c r="L50" s="89"/>
      <c r="M50" s="319"/>
      <c r="N50" s="320"/>
      <c r="O50" s="320"/>
      <c r="P50" s="320"/>
      <c r="Q50" s="320"/>
      <c r="R50" s="320"/>
      <c r="S50" s="90"/>
      <c r="T50" s="90"/>
      <c r="U50" s="90"/>
      <c r="V50" s="90"/>
      <c r="W50" s="90"/>
      <c r="X50" s="90"/>
      <c r="Y50" s="90"/>
      <c r="Z50" s="90"/>
      <c r="AA50" s="90"/>
      <c r="AB50" s="90"/>
      <c r="AC50" s="90"/>
      <c r="AD50" s="90"/>
      <c r="AE50" s="90"/>
      <c r="AF50" s="90"/>
      <c r="AG50" s="90"/>
      <c r="AH50" s="90"/>
      <c r="AI50" s="90"/>
      <c r="AJ50" s="91"/>
      <c r="AK50" s="92"/>
      <c r="AL50" s="92"/>
      <c r="AM50" s="92"/>
      <c r="AN50" s="92"/>
      <c r="AO50" s="92"/>
      <c r="AP50" s="92"/>
      <c r="AQ50" s="93"/>
    </row>
    <row r="51" spans="1:65" s="64" customFormat="1" ht="47.25" customHeight="1">
      <c r="A51" s="304"/>
      <c r="B51" s="305"/>
      <c r="C51" s="305"/>
      <c r="D51" s="305"/>
      <c r="E51" s="305"/>
      <c r="F51" s="305"/>
      <c r="G51" s="305"/>
      <c r="H51" s="305"/>
      <c r="I51" s="305"/>
      <c r="J51" s="305"/>
      <c r="K51" s="305"/>
      <c r="L51" s="95"/>
      <c r="M51" s="96">
        <v>37</v>
      </c>
      <c r="N51" s="97">
        <v>38</v>
      </c>
      <c r="O51" s="97">
        <v>39</v>
      </c>
      <c r="P51" s="97">
        <v>40</v>
      </c>
      <c r="Q51" s="97">
        <v>41</v>
      </c>
      <c r="R51" s="97">
        <v>42</v>
      </c>
      <c r="S51" s="97">
        <v>43</v>
      </c>
      <c r="T51" s="97">
        <v>44</v>
      </c>
      <c r="U51" s="97">
        <v>45</v>
      </c>
      <c r="V51" s="97">
        <v>46</v>
      </c>
      <c r="W51" s="97" t="s">
        <v>341</v>
      </c>
      <c r="X51" s="97" t="s">
        <v>342</v>
      </c>
      <c r="Y51" s="97" t="s">
        <v>343</v>
      </c>
      <c r="Z51" s="97" t="s">
        <v>344</v>
      </c>
      <c r="AA51" s="97" t="s">
        <v>345</v>
      </c>
      <c r="AB51" s="97" t="s">
        <v>346</v>
      </c>
      <c r="AC51" s="97" t="s">
        <v>365</v>
      </c>
      <c r="AD51" s="97" t="s">
        <v>366</v>
      </c>
      <c r="AE51" s="97" t="s">
        <v>349</v>
      </c>
      <c r="AF51" s="97" t="s">
        <v>180</v>
      </c>
      <c r="AG51" s="97" t="s">
        <v>182</v>
      </c>
      <c r="AH51" s="97" t="s">
        <v>183</v>
      </c>
      <c r="AI51" s="97" t="s">
        <v>184</v>
      </c>
      <c r="AJ51" s="98" t="s">
        <v>350</v>
      </c>
      <c r="AK51" s="94" t="s">
        <v>351</v>
      </c>
      <c r="AL51" s="94" t="s">
        <v>352</v>
      </c>
      <c r="AM51" s="94" t="s">
        <v>353</v>
      </c>
      <c r="AN51" s="94" t="s">
        <v>354</v>
      </c>
      <c r="AO51" s="94" t="s">
        <v>355</v>
      </c>
      <c r="AP51" s="94" t="s">
        <v>356</v>
      </c>
      <c r="AQ51" s="99" t="s">
        <v>357</v>
      </c>
    </row>
    <row r="52" spans="1:65" s="65" customFormat="1" ht="18" customHeight="1">
      <c r="A52" s="100">
        <f t="shared" si="4"/>
        <v>35</v>
      </c>
      <c r="B52" s="101" t="s">
        <v>358</v>
      </c>
      <c r="C52" s="101">
        <f t="shared" si="0"/>
        <v>35</v>
      </c>
      <c r="D52" s="101">
        <v>4901893257</v>
      </c>
      <c r="E52" s="101">
        <v>50576354</v>
      </c>
      <c r="F52" s="101">
        <v>326746</v>
      </c>
      <c r="G52" s="101" t="s">
        <v>359</v>
      </c>
      <c r="H52" s="101">
        <v>10284468</v>
      </c>
      <c r="I52" s="101">
        <v>404</v>
      </c>
      <c r="J52" s="101" t="s">
        <v>170</v>
      </c>
      <c r="K52" s="237" t="s">
        <v>367</v>
      </c>
      <c r="L52" s="308"/>
      <c r="M52" s="103">
        <f>AL52</f>
        <v>14</v>
      </c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>
        <v>1</v>
      </c>
      <c r="AK52" s="104">
        <v>14</v>
      </c>
      <c r="AL52" s="104">
        <f t="shared" si="1"/>
        <v>14</v>
      </c>
      <c r="AM52" s="105"/>
      <c r="AN52" s="106"/>
      <c r="AO52" s="105"/>
      <c r="AP52" s="105"/>
      <c r="AQ52" s="107" t="s">
        <v>361</v>
      </c>
      <c r="AR52" s="67"/>
      <c r="AS52" s="108"/>
      <c r="AT52" s="108"/>
      <c r="AU52" s="108"/>
      <c r="AV52" s="108"/>
      <c r="AW52" s="108"/>
      <c r="AX52" s="108"/>
      <c r="AY52" s="108"/>
      <c r="AZ52" s="108"/>
      <c r="BA52" s="108"/>
      <c r="BB52" s="67"/>
      <c r="BC52" s="67"/>
      <c r="BD52" s="67"/>
      <c r="BE52" s="67"/>
      <c r="BF52" s="67"/>
      <c r="BG52" s="67"/>
      <c r="BH52" s="67"/>
      <c r="BI52" s="67"/>
      <c r="BJ52" s="67"/>
      <c r="BK52" s="67"/>
      <c r="BL52" s="67"/>
      <c r="BM52" s="67"/>
    </row>
    <row r="53" spans="1:65" s="65" customFormat="1" ht="18" customHeight="1">
      <c r="A53" s="100">
        <f t="shared" si="2"/>
        <v>36</v>
      </c>
      <c r="B53" s="101" t="s">
        <v>358</v>
      </c>
      <c r="C53" s="101">
        <f t="shared" si="0"/>
        <v>46</v>
      </c>
      <c r="D53" s="101">
        <v>4901893257</v>
      </c>
      <c r="E53" s="101">
        <v>50576354</v>
      </c>
      <c r="F53" s="101">
        <v>326746</v>
      </c>
      <c r="G53" s="101" t="s">
        <v>359</v>
      </c>
      <c r="H53" s="101">
        <v>10284468</v>
      </c>
      <c r="I53" s="101">
        <v>404</v>
      </c>
      <c r="J53" s="101" t="s">
        <v>170</v>
      </c>
      <c r="K53" s="237" t="s">
        <v>367</v>
      </c>
      <c r="L53" s="308"/>
      <c r="M53" s="103"/>
      <c r="N53" s="104">
        <f t="shared" si="5"/>
        <v>154</v>
      </c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>
        <v>11</v>
      </c>
      <c r="AK53" s="104">
        <v>14</v>
      </c>
      <c r="AL53" s="104">
        <f t="shared" si="1"/>
        <v>154</v>
      </c>
      <c r="AM53" s="105"/>
      <c r="AN53" s="106"/>
      <c r="AO53" s="105"/>
      <c r="AP53" s="105"/>
      <c r="AQ53" s="107" t="s">
        <v>361</v>
      </c>
      <c r="AR53" s="67"/>
      <c r="AS53" s="108"/>
      <c r="AT53" s="108"/>
      <c r="AU53" s="108"/>
      <c r="AV53" s="108"/>
      <c r="AW53" s="108"/>
      <c r="AX53" s="108"/>
      <c r="AY53" s="108"/>
      <c r="AZ53" s="108"/>
      <c r="BA53" s="108"/>
      <c r="BB53" s="67"/>
      <c r="BC53" s="67"/>
      <c r="BD53" s="67"/>
      <c r="BE53" s="67"/>
      <c r="BF53" s="67"/>
      <c r="BG53" s="67"/>
      <c r="BH53" s="67"/>
      <c r="BI53" s="67"/>
      <c r="BJ53" s="67"/>
      <c r="BK53" s="67"/>
      <c r="BL53" s="67"/>
      <c r="BM53" s="67"/>
    </row>
    <row r="54" spans="1:65" s="65" customFormat="1" ht="18" customHeight="1">
      <c r="A54" s="100">
        <f t="shared" si="2"/>
        <v>47</v>
      </c>
      <c r="B54" s="101" t="s">
        <v>358</v>
      </c>
      <c r="C54" s="101">
        <f t="shared" si="0"/>
        <v>72</v>
      </c>
      <c r="D54" s="101">
        <v>4901893257</v>
      </c>
      <c r="E54" s="101">
        <v>50576354</v>
      </c>
      <c r="F54" s="101">
        <v>326746</v>
      </c>
      <c r="G54" s="101" t="s">
        <v>359</v>
      </c>
      <c r="H54" s="101">
        <v>10284468</v>
      </c>
      <c r="I54" s="101">
        <v>404</v>
      </c>
      <c r="J54" s="101" t="s">
        <v>170</v>
      </c>
      <c r="K54" s="237" t="s">
        <v>367</v>
      </c>
      <c r="L54" s="308"/>
      <c r="M54" s="103"/>
      <c r="N54" s="104"/>
      <c r="O54" s="104">
        <f t="shared" si="6"/>
        <v>364</v>
      </c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>
        <v>26</v>
      </c>
      <c r="AK54" s="104">
        <v>14</v>
      </c>
      <c r="AL54" s="104">
        <f t="shared" si="1"/>
        <v>364</v>
      </c>
      <c r="AM54" s="105"/>
      <c r="AN54" s="106"/>
      <c r="AO54" s="105"/>
      <c r="AP54" s="105"/>
      <c r="AQ54" s="107" t="s">
        <v>361</v>
      </c>
      <c r="AR54" s="67"/>
      <c r="AS54" s="108"/>
      <c r="AT54" s="108"/>
      <c r="AU54" s="108"/>
      <c r="AV54" s="108"/>
      <c r="AW54" s="108"/>
      <c r="AX54" s="108"/>
      <c r="AY54" s="108"/>
      <c r="AZ54" s="108"/>
      <c r="BA54" s="108"/>
      <c r="BB54" s="67"/>
      <c r="BC54" s="67"/>
      <c r="BD54" s="67"/>
      <c r="BE54" s="67"/>
      <c r="BF54" s="67"/>
      <c r="BG54" s="67"/>
      <c r="BH54" s="67"/>
      <c r="BI54" s="67"/>
      <c r="BJ54" s="67"/>
      <c r="BK54" s="67"/>
      <c r="BL54" s="67"/>
      <c r="BM54" s="67"/>
    </row>
    <row r="55" spans="1:65" s="65" customFormat="1" ht="18" customHeight="1">
      <c r="A55" s="100">
        <f t="shared" si="2"/>
        <v>73</v>
      </c>
      <c r="B55" s="101" t="s">
        <v>358</v>
      </c>
      <c r="C55" s="101">
        <f t="shared" si="0"/>
        <v>104</v>
      </c>
      <c r="D55" s="101">
        <v>4901893257</v>
      </c>
      <c r="E55" s="101">
        <v>50576354</v>
      </c>
      <c r="F55" s="101">
        <v>326746</v>
      </c>
      <c r="G55" s="101" t="s">
        <v>359</v>
      </c>
      <c r="H55" s="101">
        <v>10284468</v>
      </c>
      <c r="I55" s="101">
        <v>404</v>
      </c>
      <c r="J55" s="101" t="s">
        <v>170</v>
      </c>
      <c r="K55" s="237" t="s">
        <v>367</v>
      </c>
      <c r="L55" s="308"/>
      <c r="M55" s="103"/>
      <c r="N55" s="104"/>
      <c r="O55" s="104"/>
      <c r="P55" s="104">
        <f t="shared" si="7"/>
        <v>448</v>
      </c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>
        <v>32</v>
      </c>
      <c r="AK55" s="104">
        <v>14</v>
      </c>
      <c r="AL55" s="104">
        <f t="shared" si="1"/>
        <v>448</v>
      </c>
      <c r="AM55" s="105"/>
      <c r="AN55" s="106"/>
      <c r="AO55" s="105"/>
      <c r="AP55" s="105"/>
      <c r="AQ55" s="107" t="s">
        <v>361</v>
      </c>
      <c r="AR55" s="67"/>
      <c r="AS55" s="108"/>
      <c r="AT55" s="108"/>
      <c r="AU55" s="108"/>
      <c r="AV55" s="108"/>
      <c r="AW55" s="108"/>
      <c r="AX55" s="108"/>
      <c r="AY55" s="108"/>
      <c r="AZ55" s="108"/>
      <c r="BA55" s="108"/>
      <c r="BB55" s="67"/>
      <c r="BC55" s="67"/>
      <c r="BD55" s="67"/>
      <c r="BE55" s="67"/>
      <c r="BF55" s="67"/>
      <c r="BG55" s="67"/>
      <c r="BH55" s="67"/>
      <c r="BI55" s="67"/>
      <c r="BJ55" s="67"/>
      <c r="BK55" s="67"/>
      <c r="BL55" s="67"/>
      <c r="BM55" s="67"/>
    </row>
    <row r="56" spans="1:65" s="65" customFormat="1" ht="18" customHeight="1">
      <c r="A56" s="100">
        <f t="shared" si="2"/>
        <v>105</v>
      </c>
      <c r="B56" s="101" t="s">
        <v>358</v>
      </c>
      <c r="C56" s="101">
        <f t="shared" si="0"/>
        <v>143</v>
      </c>
      <c r="D56" s="101">
        <v>4901893257</v>
      </c>
      <c r="E56" s="101">
        <v>50576354</v>
      </c>
      <c r="F56" s="101">
        <v>326746</v>
      </c>
      <c r="G56" s="101" t="s">
        <v>359</v>
      </c>
      <c r="H56" s="101">
        <v>10284468</v>
      </c>
      <c r="I56" s="101">
        <v>404</v>
      </c>
      <c r="J56" s="101" t="s">
        <v>170</v>
      </c>
      <c r="K56" s="237" t="s">
        <v>367</v>
      </c>
      <c r="L56" s="308"/>
      <c r="M56" s="103"/>
      <c r="N56" s="104"/>
      <c r="O56" s="104"/>
      <c r="P56" s="104"/>
      <c r="Q56" s="104">
        <f t="shared" si="8"/>
        <v>546</v>
      </c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>
        <v>39</v>
      </c>
      <c r="AK56" s="104">
        <v>14</v>
      </c>
      <c r="AL56" s="104">
        <f t="shared" si="1"/>
        <v>546</v>
      </c>
      <c r="AM56" s="105"/>
      <c r="AN56" s="106"/>
      <c r="AO56" s="105"/>
      <c r="AP56" s="105"/>
      <c r="AQ56" s="107" t="s">
        <v>361</v>
      </c>
      <c r="AR56" s="67"/>
      <c r="AS56" s="108"/>
      <c r="AT56" s="108"/>
      <c r="AU56" s="108"/>
      <c r="AV56" s="108"/>
      <c r="AW56" s="108"/>
      <c r="AX56" s="108"/>
      <c r="AY56" s="108"/>
      <c r="AZ56" s="108"/>
      <c r="BA56" s="108"/>
      <c r="BB56" s="67"/>
      <c r="BC56" s="67"/>
      <c r="BD56" s="67"/>
      <c r="BE56" s="67"/>
      <c r="BF56" s="67"/>
      <c r="BG56" s="67"/>
      <c r="BH56" s="67"/>
      <c r="BI56" s="67"/>
      <c r="BJ56" s="67"/>
      <c r="BK56" s="67"/>
      <c r="BL56" s="67"/>
      <c r="BM56" s="67"/>
    </row>
    <row r="57" spans="1:65" s="65" customFormat="1" ht="18" customHeight="1">
      <c r="A57" s="100">
        <f t="shared" si="2"/>
        <v>144</v>
      </c>
      <c r="B57" s="101" t="s">
        <v>358</v>
      </c>
      <c r="C57" s="101">
        <f t="shared" si="0"/>
        <v>185</v>
      </c>
      <c r="D57" s="101">
        <v>4901893257</v>
      </c>
      <c r="E57" s="101">
        <v>50576354</v>
      </c>
      <c r="F57" s="101">
        <v>326746</v>
      </c>
      <c r="G57" s="101" t="s">
        <v>359</v>
      </c>
      <c r="H57" s="101">
        <v>10284468</v>
      </c>
      <c r="I57" s="101">
        <v>404</v>
      </c>
      <c r="J57" s="101" t="s">
        <v>170</v>
      </c>
      <c r="K57" s="237" t="s">
        <v>367</v>
      </c>
      <c r="L57" s="308"/>
      <c r="M57" s="103"/>
      <c r="N57" s="104"/>
      <c r="O57" s="104"/>
      <c r="P57" s="104"/>
      <c r="Q57" s="104"/>
      <c r="R57" s="104">
        <f t="shared" si="9"/>
        <v>588</v>
      </c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>
        <v>42</v>
      </c>
      <c r="AK57" s="104">
        <v>14</v>
      </c>
      <c r="AL57" s="104">
        <f t="shared" si="1"/>
        <v>588</v>
      </c>
      <c r="AM57" s="105"/>
      <c r="AN57" s="106"/>
      <c r="AO57" s="105"/>
      <c r="AP57" s="105"/>
      <c r="AQ57" s="107" t="s">
        <v>361</v>
      </c>
      <c r="AR57" s="67"/>
      <c r="AS57" s="108"/>
      <c r="AT57" s="108"/>
      <c r="AU57" s="108"/>
      <c r="AV57" s="108"/>
      <c r="AW57" s="108"/>
      <c r="AX57" s="108"/>
      <c r="AY57" s="108"/>
      <c r="AZ57" s="108"/>
      <c r="BA57" s="108"/>
      <c r="BB57" s="67"/>
      <c r="BC57" s="67"/>
      <c r="BD57" s="67"/>
      <c r="BE57" s="67"/>
      <c r="BF57" s="67"/>
      <c r="BG57" s="67"/>
      <c r="BH57" s="67"/>
      <c r="BI57" s="67"/>
      <c r="BJ57" s="67"/>
      <c r="BK57" s="67"/>
      <c r="BL57" s="67"/>
      <c r="BM57" s="67"/>
    </row>
    <row r="58" spans="1:65" s="65" customFormat="1" ht="18" customHeight="1">
      <c r="A58" s="100">
        <f t="shared" si="2"/>
        <v>186</v>
      </c>
      <c r="B58" s="101" t="s">
        <v>358</v>
      </c>
      <c r="C58" s="101">
        <f t="shared" si="0"/>
        <v>215</v>
      </c>
      <c r="D58" s="101">
        <v>4901893257</v>
      </c>
      <c r="E58" s="101">
        <v>50576354</v>
      </c>
      <c r="F58" s="101">
        <v>326746</v>
      </c>
      <c r="G58" s="101" t="s">
        <v>359</v>
      </c>
      <c r="H58" s="101">
        <v>10284468</v>
      </c>
      <c r="I58" s="101">
        <v>404</v>
      </c>
      <c r="J58" s="101" t="s">
        <v>170</v>
      </c>
      <c r="K58" s="237" t="s">
        <v>367</v>
      </c>
      <c r="L58" s="308"/>
      <c r="M58" s="103"/>
      <c r="N58" s="104"/>
      <c r="O58" s="104"/>
      <c r="P58" s="104"/>
      <c r="Q58" s="104"/>
      <c r="R58" s="104"/>
      <c r="S58" s="104">
        <f t="shared" si="10"/>
        <v>420</v>
      </c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>
        <v>30</v>
      </c>
      <c r="AK58" s="104">
        <v>14</v>
      </c>
      <c r="AL58" s="104">
        <f t="shared" si="1"/>
        <v>420</v>
      </c>
      <c r="AM58" s="105"/>
      <c r="AN58" s="106"/>
      <c r="AO58" s="105"/>
      <c r="AP58" s="105"/>
      <c r="AQ58" s="107" t="s">
        <v>361</v>
      </c>
      <c r="AR58" s="67"/>
      <c r="AS58" s="108"/>
      <c r="AT58" s="108"/>
      <c r="AU58" s="108"/>
      <c r="AV58" s="108"/>
      <c r="AW58" s="108"/>
      <c r="AX58" s="108"/>
      <c r="AY58" s="108"/>
      <c r="AZ58" s="108"/>
      <c r="BA58" s="108"/>
      <c r="BB58" s="67"/>
      <c r="BC58" s="67"/>
      <c r="BD58" s="67"/>
      <c r="BE58" s="67"/>
      <c r="BF58" s="67"/>
      <c r="BG58" s="67"/>
      <c r="BH58" s="67"/>
      <c r="BI58" s="67"/>
      <c r="BJ58" s="67"/>
      <c r="BK58" s="67"/>
      <c r="BL58" s="67"/>
      <c r="BM58" s="67"/>
    </row>
    <row r="59" spans="1:65" s="65" customFormat="1" ht="18" customHeight="1">
      <c r="A59" s="100">
        <f t="shared" si="2"/>
        <v>216</v>
      </c>
      <c r="B59" s="101" t="s">
        <v>358</v>
      </c>
      <c r="C59" s="101">
        <f t="shared" si="0"/>
        <v>233</v>
      </c>
      <c r="D59" s="101">
        <v>4901893257</v>
      </c>
      <c r="E59" s="101">
        <v>50576354</v>
      </c>
      <c r="F59" s="101">
        <v>326746</v>
      </c>
      <c r="G59" s="101" t="s">
        <v>359</v>
      </c>
      <c r="H59" s="101">
        <v>10284468</v>
      </c>
      <c r="I59" s="101">
        <v>404</v>
      </c>
      <c r="J59" s="101" t="s">
        <v>170</v>
      </c>
      <c r="K59" s="237" t="s">
        <v>367</v>
      </c>
      <c r="L59" s="308"/>
      <c r="M59" s="103"/>
      <c r="N59" s="104"/>
      <c r="O59" s="104"/>
      <c r="P59" s="104"/>
      <c r="Q59" s="104"/>
      <c r="R59" s="104"/>
      <c r="S59" s="104"/>
      <c r="T59" s="104">
        <f t="shared" si="11"/>
        <v>252</v>
      </c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>
        <v>18</v>
      </c>
      <c r="AK59" s="104">
        <v>14</v>
      </c>
      <c r="AL59" s="104">
        <f t="shared" si="1"/>
        <v>252</v>
      </c>
      <c r="AM59" s="105"/>
      <c r="AN59" s="106"/>
      <c r="AO59" s="105"/>
      <c r="AP59" s="105"/>
      <c r="AQ59" s="107" t="s">
        <v>361</v>
      </c>
      <c r="AR59" s="67"/>
      <c r="AS59" s="108"/>
      <c r="AT59" s="108"/>
      <c r="AU59" s="108"/>
      <c r="AV59" s="108"/>
      <c r="AW59" s="108"/>
      <c r="AX59" s="108"/>
      <c r="AY59" s="108"/>
      <c r="AZ59" s="108"/>
      <c r="BA59" s="108"/>
      <c r="BB59" s="67"/>
      <c r="BC59" s="67"/>
      <c r="BD59" s="67"/>
      <c r="BE59" s="67"/>
      <c r="BF59" s="67"/>
      <c r="BG59" s="67"/>
      <c r="BH59" s="67"/>
      <c r="BI59" s="67"/>
      <c r="BJ59" s="67"/>
      <c r="BK59" s="67"/>
      <c r="BL59" s="67"/>
      <c r="BM59" s="67"/>
    </row>
    <row r="60" spans="1:65" s="65" customFormat="1" ht="18" customHeight="1">
      <c r="A60" s="100">
        <f t="shared" si="2"/>
        <v>234</v>
      </c>
      <c r="B60" s="101" t="s">
        <v>358</v>
      </c>
      <c r="C60" s="101">
        <f t="shared" si="0"/>
        <v>238</v>
      </c>
      <c r="D60" s="101">
        <v>4901893257</v>
      </c>
      <c r="E60" s="101">
        <v>50576354</v>
      </c>
      <c r="F60" s="101">
        <v>326746</v>
      </c>
      <c r="G60" s="101" t="s">
        <v>359</v>
      </c>
      <c r="H60" s="101">
        <v>10284468</v>
      </c>
      <c r="I60" s="101">
        <v>404</v>
      </c>
      <c r="J60" s="101" t="s">
        <v>170</v>
      </c>
      <c r="K60" s="237" t="s">
        <v>367</v>
      </c>
      <c r="L60" s="308"/>
      <c r="M60" s="103"/>
      <c r="N60" s="104"/>
      <c r="O60" s="104"/>
      <c r="P60" s="104"/>
      <c r="Q60" s="104"/>
      <c r="R60" s="104"/>
      <c r="S60" s="104"/>
      <c r="T60" s="104"/>
      <c r="U60" s="104">
        <f>AL60</f>
        <v>70</v>
      </c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>
        <v>5</v>
      </c>
      <c r="AK60" s="104">
        <v>14</v>
      </c>
      <c r="AL60" s="104">
        <f t="shared" si="1"/>
        <v>70</v>
      </c>
      <c r="AM60" s="105"/>
      <c r="AN60" s="106"/>
      <c r="AO60" s="105"/>
      <c r="AP60" s="105"/>
      <c r="AQ60" s="107" t="s">
        <v>361</v>
      </c>
      <c r="AR60" s="67"/>
      <c r="AS60" s="108"/>
      <c r="AT60" s="108"/>
      <c r="AU60" s="108"/>
      <c r="AV60" s="108"/>
      <c r="AW60" s="108"/>
      <c r="AX60" s="108"/>
      <c r="AY60" s="108"/>
      <c r="AZ60" s="108"/>
      <c r="BA60" s="108"/>
      <c r="BB60" s="67"/>
      <c r="BC60" s="67"/>
      <c r="BD60" s="67"/>
      <c r="BE60" s="67"/>
      <c r="BF60" s="67"/>
      <c r="BG60" s="67"/>
      <c r="BH60" s="67"/>
      <c r="BI60" s="67"/>
      <c r="BJ60" s="67"/>
      <c r="BK60" s="67"/>
      <c r="BL60" s="67"/>
      <c r="BM60" s="67"/>
    </row>
    <row r="61" spans="1:65" s="65" customFormat="1" ht="18" customHeight="1">
      <c r="A61" s="100">
        <f t="shared" si="2"/>
        <v>239</v>
      </c>
      <c r="B61" s="101" t="s">
        <v>358</v>
      </c>
      <c r="C61" s="101">
        <f t="shared" si="0"/>
        <v>239</v>
      </c>
      <c r="D61" s="101">
        <v>4901893257</v>
      </c>
      <c r="E61" s="101">
        <v>50576354</v>
      </c>
      <c r="F61" s="101">
        <v>326746</v>
      </c>
      <c r="G61" s="101" t="s">
        <v>359</v>
      </c>
      <c r="H61" s="101">
        <v>10284468</v>
      </c>
      <c r="I61" s="101">
        <v>404</v>
      </c>
      <c r="J61" s="101" t="s">
        <v>170</v>
      </c>
      <c r="K61" s="237" t="s">
        <v>367</v>
      </c>
      <c r="L61" s="308"/>
      <c r="M61" s="103"/>
      <c r="N61" s="104"/>
      <c r="O61" s="104"/>
      <c r="P61" s="104"/>
      <c r="Q61" s="104"/>
      <c r="R61" s="104"/>
      <c r="S61" s="104"/>
      <c r="T61" s="104"/>
      <c r="U61" s="104"/>
      <c r="V61" s="104">
        <f>AL61</f>
        <v>14</v>
      </c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>
        <v>1</v>
      </c>
      <c r="AK61" s="104">
        <v>14</v>
      </c>
      <c r="AL61" s="104">
        <f t="shared" si="1"/>
        <v>14</v>
      </c>
      <c r="AM61" s="105"/>
      <c r="AN61" s="106"/>
      <c r="AO61" s="105"/>
      <c r="AP61" s="105"/>
      <c r="AQ61" s="107" t="s">
        <v>361</v>
      </c>
      <c r="AR61" s="67"/>
      <c r="AS61" s="108"/>
      <c r="AT61" s="108"/>
      <c r="AU61" s="108"/>
      <c r="AV61" s="108"/>
      <c r="AW61" s="108"/>
      <c r="AX61" s="108"/>
      <c r="AY61" s="108"/>
      <c r="AZ61" s="108"/>
      <c r="BA61" s="108"/>
      <c r="BB61" s="67"/>
      <c r="BC61" s="67"/>
      <c r="BD61" s="67"/>
      <c r="BE61" s="67"/>
      <c r="BF61" s="67"/>
      <c r="BG61" s="67"/>
      <c r="BH61" s="67"/>
      <c r="BI61" s="67"/>
      <c r="BJ61" s="67"/>
      <c r="BK61" s="67"/>
      <c r="BL61" s="67"/>
      <c r="BM61" s="67"/>
    </row>
    <row r="62" spans="1:65" s="65" customFormat="1" ht="18" customHeight="1">
      <c r="A62" s="100">
        <f t="shared" si="2"/>
        <v>240</v>
      </c>
      <c r="B62" s="101" t="s">
        <v>358</v>
      </c>
      <c r="C62" s="101">
        <f t="shared" si="0"/>
        <v>240</v>
      </c>
      <c r="D62" s="101">
        <v>4901893257</v>
      </c>
      <c r="E62" s="101">
        <v>50576354</v>
      </c>
      <c r="F62" s="101">
        <v>326746</v>
      </c>
      <c r="G62" s="101" t="s">
        <v>359</v>
      </c>
      <c r="H62" s="101">
        <v>10284468</v>
      </c>
      <c r="I62" s="101">
        <v>404</v>
      </c>
      <c r="J62" s="101" t="s">
        <v>170</v>
      </c>
      <c r="K62" s="237" t="s">
        <v>367</v>
      </c>
      <c r="L62" s="308"/>
      <c r="M62" s="103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>
        <v>14</v>
      </c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>
        <v>1</v>
      </c>
      <c r="AK62" s="104">
        <v>14</v>
      </c>
      <c r="AL62" s="104">
        <f t="shared" si="1"/>
        <v>14</v>
      </c>
      <c r="AM62" s="105"/>
      <c r="AN62" s="106"/>
      <c r="AO62" s="105"/>
      <c r="AP62" s="105"/>
      <c r="AQ62" s="107" t="s">
        <v>361</v>
      </c>
      <c r="AR62" s="67"/>
      <c r="AS62" s="108"/>
      <c r="AT62" s="108"/>
      <c r="AU62" s="108"/>
      <c r="AV62" s="108"/>
      <c r="AW62" s="108"/>
      <c r="AX62" s="108"/>
      <c r="AY62" s="108"/>
      <c r="AZ62" s="108"/>
      <c r="BA62" s="108"/>
      <c r="BB62" s="67"/>
      <c r="BC62" s="67"/>
      <c r="BD62" s="67"/>
      <c r="BE62" s="67"/>
      <c r="BF62" s="67"/>
      <c r="BG62" s="67"/>
      <c r="BH62" s="67"/>
      <c r="BI62" s="67"/>
      <c r="BJ62" s="67"/>
      <c r="BK62" s="67"/>
      <c r="BL62" s="67"/>
      <c r="BM62" s="67"/>
    </row>
    <row r="63" spans="1:65" s="65" customFormat="1" ht="18" customHeight="1">
      <c r="A63" s="100">
        <f t="shared" si="2"/>
        <v>241</v>
      </c>
      <c r="B63" s="101" t="s">
        <v>358</v>
      </c>
      <c r="C63" s="101">
        <f t="shared" si="0"/>
        <v>241</v>
      </c>
      <c r="D63" s="101">
        <v>4901893257</v>
      </c>
      <c r="E63" s="101">
        <v>50576354</v>
      </c>
      <c r="F63" s="101">
        <v>326746</v>
      </c>
      <c r="G63" s="101" t="s">
        <v>359</v>
      </c>
      <c r="H63" s="101">
        <v>10284468</v>
      </c>
      <c r="I63" s="101">
        <v>404</v>
      </c>
      <c r="J63" s="101" t="s">
        <v>170</v>
      </c>
      <c r="K63" s="237" t="s">
        <v>367</v>
      </c>
      <c r="L63" s="308"/>
      <c r="M63" s="103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>
        <v>14</v>
      </c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>
        <v>1</v>
      </c>
      <c r="AK63" s="104">
        <v>14</v>
      </c>
      <c r="AL63" s="104">
        <f t="shared" si="1"/>
        <v>14</v>
      </c>
      <c r="AM63" s="105"/>
      <c r="AN63" s="106"/>
      <c r="AO63" s="105"/>
      <c r="AP63" s="105"/>
      <c r="AQ63" s="107" t="s">
        <v>361</v>
      </c>
      <c r="AR63" s="67"/>
      <c r="AS63" s="108"/>
      <c r="AT63" s="108"/>
      <c r="AU63" s="108"/>
      <c r="AV63" s="108"/>
      <c r="AW63" s="108"/>
      <c r="AX63" s="108"/>
      <c r="AY63" s="108"/>
      <c r="AZ63" s="108"/>
      <c r="BA63" s="108"/>
      <c r="BB63" s="67"/>
      <c r="BC63" s="67"/>
      <c r="BD63" s="67"/>
      <c r="BE63" s="67"/>
      <c r="BF63" s="67"/>
      <c r="BG63" s="67"/>
      <c r="BH63" s="67"/>
      <c r="BI63" s="67"/>
      <c r="BJ63" s="67"/>
      <c r="BK63" s="67"/>
      <c r="BL63" s="67"/>
      <c r="BM63" s="67"/>
    </row>
    <row r="64" spans="1:65" s="65" customFormat="1" ht="18" customHeight="1">
      <c r="A64" s="100">
        <f t="shared" si="2"/>
        <v>242</v>
      </c>
      <c r="B64" s="101" t="s">
        <v>358</v>
      </c>
      <c r="C64" s="101">
        <f t="shared" si="0"/>
        <v>242</v>
      </c>
      <c r="D64" s="101">
        <v>4901893257</v>
      </c>
      <c r="E64" s="101">
        <v>50576354</v>
      </c>
      <c r="F64" s="101">
        <v>326746</v>
      </c>
      <c r="G64" s="101" t="s">
        <v>359</v>
      </c>
      <c r="H64" s="101">
        <v>10284468</v>
      </c>
      <c r="I64" s="101">
        <v>404</v>
      </c>
      <c r="J64" s="101" t="s">
        <v>170</v>
      </c>
      <c r="K64" s="237" t="s">
        <v>367</v>
      </c>
      <c r="L64" s="308"/>
      <c r="M64" s="103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>
        <v>14</v>
      </c>
      <c r="AA64" s="104"/>
      <c r="AB64" s="104"/>
      <c r="AC64" s="104"/>
      <c r="AD64" s="104"/>
      <c r="AE64" s="104"/>
      <c r="AF64" s="104"/>
      <c r="AG64" s="104"/>
      <c r="AH64" s="104"/>
      <c r="AI64" s="104"/>
      <c r="AJ64" s="104">
        <v>1</v>
      </c>
      <c r="AK64" s="104">
        <v>14</v>
      </c>
      <c r="AL64" s="104">
        <f t="shared" si="1"/>
        <v>14</v>
      </c>
      <c r="AM64" s="105"/>
      <c r="AN64" s="106"/>
      <c r="AO64" s="105"/>
      <c r="AP64" s="105"/>
      <c r="AQ64" s="107" t="s">
        <v>361</v>
      </c>
      <c r="AR64" s="67"/>
      <c r="AS64" s="108"/>
      <c r="AT64" s="108"/>
      <c r="AU64" s="108"/>
      <c r="AV64" s="108"/>
      <c r="AW64" s="108"/>
      <c r="AX64" s="108"/>
      <c r="AY64" s="108"/>
      <c r="AZ64" s="108"/>
      <c r="BA64" s="108"/>
      <c r="BB64" s="67"/>
      <c r="BC64" s="67"/>
      <c r="BD64" s="67"/>
      <c r="BE64" s="67"/>
      <c r="BF64" s="67"/>
      <c r="BG64" s="67"/>
      <c r="BH64" s="67"/>
      <c r="BI64" s="67"/>
      <c r="BJ64" s="67"/>
      <c r="BK64" s="67"/>
      <c r="BL64" s="67"/>
      <c r="BM64" s="67"/>
    </row>
    <row r="65" spans="1:65" s="65" customFormat="1" ht="18" customHeight="1">
      <c r="A65" s="100">
        <f t="shared" si="2"/>
        <v>243</v>
      </c>
      <c r="B65" s="101" t="s">
        <v>358</v>
      </c>
      <c r="C65" s="101">
        <f t="shared" si="0"/>
        <v>243</v>
      </c>
      <c r="D65" s="101">
        <v>4901893257</v>
      </c>
      <c r="E65" s="101">
        <v>50576354</v>
      </c>
      <c r="F65" s="101">
        <v>326746</v>
      </c>
      <c r="G65" s="101" t="s">
        <v>359</v>
      </c>
      <c r="H65" s="101">
        <v>10284468</v>
      </c>
      <c r="I65" s="101">
        <v>404</v>
      </c>
      <c r="J65" s="101" t="s">
        <v>170</v>
      </c>
      <c r="K65" s="237" t="s">
        <v>367</v>
      </c>
      <c r="L65" s="308"/>
      <c r="M65" s="103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>
        <v>14</v>
      </c>
      <c r="AB65" s="104"/>
      <c r="AC65" s="104"/>
      <c r="AD65" s="104"/>
      <c r="AE65" s="104"/>
      <c r="AF65" s="104"/>
      <c r="AG65" s="104"/>
      <c r="AH65" s="104"/>
      <c r="AI65" s="104"/>
      <c r="AJ65" s="104">
        <v>1</v>
      </c>
      <c r="AK65" s="104">
        <v>14</v>
      </c>
      <c r="AL65" s="104">
        <f t="shared" si="1"/>
        <v>14</v>
      </c>
      <c r="AM65" s="105"/>
      <c r="AN65" s="106"/>
      <c r="AO65" s="105"/>
      <c r="AP65" s="105"/>
      <c r="AQ65" s="107" t="s">
        <v>361</v>
      </c>
      <c r="AR65" s="67"/>
      <c r="AS65" s="108"/>
      <c r="AT65" s="108"/>
      <c r="AU65" s="108"/>
      <c r="AV65" s="108"/>
      <c r="AW65" s="108"/>
      <c r="AX65" s="108"/>
      <c r="AY65" s="108"/>
      <c r="AZ65" s="108"/>
      <c r="BA65" s="108"/>
      <c r="BB65" s="67"/>
      <c r="BC65" s="67"/>
      <c r="BD65" s="67"/>
      <c r="BE65" s="67"/>
      <c r="BF65" s="67"/>
      <c r="BG65" s="67"/>
      <c r="BH65" s="67"/>
      <c r="BI65" s="67"/>
      <c r="BJ65" s="67"/>
      <c r="BK65" s="67"/>
      <c r="BL65" s="67"/>
      <c r="BM65" s="67"/>
    </row>
    <row r="66" spans="1:65" s="65" customFormat="1" ht="18" customHeight="1">
      <c r="A66" s="100">
        <f t="shared" si="2"/>
        <v>244</v>
      </c>
      <c r="B66" s="101" t="s">
        <v>358</v>
      </c>
      <c r="C66" s="101">
        <f t="shared" si="0"/>
        <v>244</v>
      </c>
      <c r="D66" s="101">
        <v>4901893257</v>
      </c>
      <c r="E66" s="101">
        <v>50576354</v>
      </c>
      <c r="F66" s="101">
        <v>326746</v>
      </c>
      <c r="G66" s="101" t="s">
        <v>359</v>
      </c>
      <c r="H66" s="101">
        <v>10284468</v>
      </c>
      <c r="I66" s="101">
        <v>404</v>
      </c>
      <c r="J66" s="101" t="s">
        <v>170</v>
      </c>
      <c r="K66" s="237" t="s">
        <v>367</v>
      </c>
      <c r="L66" s="308"/>
      <c r="M66" s="103"/>
      <c r="N66" s="104">
        <v>7</v>
      </c>
      <c r="O66" s="104"/>
      <c r="P66" s="104"/>
      <c r="Q66" s="104"/>
      <c r="R66" s="104"/>
      <c r="S66" s="104">
        <v>7</v>
      </c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>
        <v>1</v>
      </c>
      <c r="AK66" s="104">
        <v>14</v>
      </c>
      <c r="AL66" s="104">
        <f t="shared" si="1"/>
        <v>14</v>
      </c>
      <c r="AM66" s="105"/>
      <c r="AN66" s="106"/>
      <c r="AO66" s="105"/>
      <c r="AP66" s="105"/>
      <c r="AQ66" s="107" t="s">
        <v>361</v>
      </c>
      <c r="AR66" s="67"/>
      <c r="AS66" s="108"/>
      <c r="AT66" s="108"/>
      <c r="AU66" s="108"/>
      <c r="AV66" s="108"/>
      <c r="AW66" s="108"/>
      <c r="AX66" s="108"/>
      <c r="AY66" s="108"/>
      <c r="AZ66" s="108"/>
      <c r="BA66" s="108"/>
      <c r="BB66" s="67"/>
      <c r="BC66" s="67"/>
      <c r="BD66" s="67"/>
      <c r="BE66" s="67"/>
      <c r="BF66" s="67"/>
      <c r="BG66" s="67"/>
      <c r="BH66" s="67"/>
      <c r="BI66" s="67"/>
      <c r="BJ66" s="67"/>
      <c r="BK66" s="67"/>
      <c r="BL66" s="67"/>
      <c r="BM66" s="67"/>
    </row>
    <row r="67" spans="1:65" s="65" customFormat="1" ht="18" customHeight="1">
      <c r="A67" s="100">
        <f t="shared" si="2"/>
        <v>245</v>
      </c>
      <c r="B67" s="101" t="s">
        <v>358</v>
      </c>
      <c r="C67" s="101">
        <f t="shared" si="0"/>
        <v>245</v>
      </c>
      <c r="D67" s="101">
        <v>4901893257</v>
      </c>
      <c r="E67" s="101">
        <v>50576354</v>
      </c>
      <c r="F67" s="101">
        <v>326746</v>
      </c>
      <c r="G67" s="101" t="s">
        <v>359</v>
      </c>
      <c r="H67" s="101">
        <v>10284468</v>
      </c>
      <c r="I67" s="101">
        <v>404</v>
      </c>
      <c r="J67" s="101" t="s">
        <v>170</v>
      </c>
      <c r="K67" s="237" t="s">
        <v>367</v>
      </c>
      <c r="L67" s="308"/>
      <c r="M67" s="103"/>
      <c r="N67" s="104"/>
      <c r="O67" s="104"/>
      <c r="P67" s="104">
        <v>11</v>
      </c>
      <c r="Q67" s="104"/>
      <c r="R67" s="104"/>
      <c r="S67" s="104"/>
      <c r="T67" s="104"/>
      <c r="U67" s="104">
        <v>3</v>
      </c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>
        <v>1</v>
      </c>
      <c r="AK67" s="104">
        <v>14</v>
      </c>
      <c r="AL67" s="104">
        <f t="shared" si="1"/>
        <v>14</v>
      </c>
      <c r="AM67" s="105"/>
      <c r="AN67" s="106"/>
      <c r="AO67" s="105"/>
      <c r="AP67" s="105"/>
      <c r="AQ67" s="107" t="s">
        <v>361</v>
      </c>
      <c r="AR67" s="67"/>
      <c r="AS67" s="108"/>
      <c r="AT67" s="108"/>
      <c r="AU67" s="108"/>
      <c r="AV67" s="108"/>
      <c r="AW67" s="108"/>
      <c r="AX67" s="108"/>
      <c r="AY67" s="108"/>
      <c r="AZ67" s="108"/>
      <c r="BA67" s="108"/>
      <c r="BB67" s="67"/>
      <c r="BC67" s="67"/>
      <c r="BD67" s="67"/>
      <c r="BE67" s="67"/>
      <c r="BF67" s="67"/>
      <c r="BG67" s="67"/>
      <c r="BH67" s="67"/>
      <c r="BI67" s="67"/>
      <c r="BJ67" s="67"/>
      <c r="BK67" s="67"/>
      <c r="BL67" s="67"/>
      <c r="BM67" s="67"/>
    </row>
    <row r="68" spans="1:65" s="65" customFormat="1" ht="18" customHeight="1">
      <c r="A68" s="100">
        <f t="shared" si="2"/>
        <v>246</v>
      </c>
      <c r="B68" s="101" t="s">
        <v>358</v>
      </c>
      <c r="C68" s="101">
        <f t="shared" si="0"/>
        <v>246</v>
      </c>
      <c r="D68" s="101">
        <v>4901893257</v>
      </c>
      <c r="E68" s="101">
        <v>50576354</v>
      </c>
      <c r="F68" s="101">
        <v>326746</v>
      </c>
      <c r="G68" s="101" t="s">
        <v>359</v>
      </c>
      <c r="H68" s="101">
        <v>10284468</v>
      </c>
      <c r="I68" s="101">
        <v>404</v>
      </c>
      <c r="J68" s="101" t="s">
        <v>170</v>
      </c>
      <c r="K68" s="237" t="s">
        <v>367</v>
      </c>
      <c r="L68" s="308"/>
      <c r="M68" s="103">
        <v>5</v>
      </c>
      <c r="N68" s="104"/>
      <c r="O68" s="104"/>
      <c r="P68" s="104"/>
      <c r="Q68" s="104">
        <v>5</v>
      </c>
      <c r="R68" s="104"/>
      <c r="S68" s="104"/>
      <c r="T68" s="104">
        <v>4</v>
      </c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>
        <v>1</v>
      </c>
      <c r="AK68" s="104">
        <v>14</v>
      </c>
      <c r="AL68" s="104">
        <f t="shared" si="1"/>
        <v>14</v>
      </c>
      <c r="AM68" s="105"/>
      <c r="AN68" s="106"/>
      <c r="AO68" s="105"/>
      <c r="AP68" s="105"/>
      <c r="AQ68" s="107" t="s">
        <v>361</v>
      </c>
      <c r="AR68" s="67"/>
      <c r="AS68" s="108"/>
      <c r="AT68" s="108"/>
      <c r="AU68" s="108"/>
      <c r="AV68" s="108"/>
      <c r="AW68" s="108"/>
      <c r="AX68" s="108"/>
      <c r="AY68" s="108"/>
      <c r="AZ68" s="108"/>
      <c r="BA68" s="108"/>
      <c r="BB68" s="67"/>
      <c r="BC68" s="67"/>
      <c r="BD68" s="67"/>
      <c r="BE68" s="67"/>
      <c r="BF68" s="67"/>
      <c r="BG68" s="67"/>
      <c r="BH68" s="67"/>
      <c r="BI68" s="67"/>
      <c r="BJ68" s="67"/>
      <c r="BK68" s="67"/>
      <c r="BL68" s="67"/>
      <c r="BM68" s="67"/>
    </row>
    <row r="69" spans="1:65" s="65" customFormat="1" ht="18" customHeight="1">
      <c r="A69" s="100">
        <f t="shared" si="2"/>
        <v>247</v>
      </c>
      <c r="B69" s="101" t="s">
        <v>358</v>
      </c>
      <c r="C69" s="101">
        <f t="shared" si="0"/>
        <v>247</v>
      </c>
      <c r="D69" s="101">
        <v>4901893257</v>
      </c>
      <c r="E69" s="101">
        <v>50576354</v>
      </c>
      <c r="F69" s="101">
        <v>326746</v>
      </c>
      <c r="G69" s="101" t="s">
        <v>359</v>
      </c>
      <c r="H69" s="101">
        <v>10284468</v>
      </c>
      <c r="I69" s="101">
        <v>404</v>
      </c>
      <c r="J69" s="101" t="s">
        <v>170</v>
      </c>
      <c r="K69" s="237" t="s">
        <v>367</v>
      </c>
      <c r="L69" s="308"/>
      <c r="M69" s="103"/>
      <c r="N69" s="104"/>
      <c r="O69" s="104"/>
      <c r="P69" s="104"/>
      <c r="Q69" s="104"/>
      <c r="R69" s="104"/>
      <c r="S69" s="104"/>
      <c r="T69" s="104"/>
      <c r="U69" s="104"/>
      <c r="V69" s="104">
        <v>12</v>
      </c>
      <c r="W69" s="104">
        <v>2</v>
      </c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>
        <v>1</v>
      </c>
      <c r="AK69" s="104">
        <f t="shared" ref="AK69:AK72" si="14">SUM(M69:AI69)</f>
        <v>14</v>
      </c>
      <c r="AL69" s="104">
        <f t="shared" si="1"/>
        <v>14</v>
      </c>
      <c r="AM69" s="105"/>
      <c r="AN69" s="106"/>
      <c r="AO69" s="105"/>
      <c r="AP69" s="105"/>
      <c r="AQ69" s="107" t="s">
        <v>361</v>
      </c>
      <c r="AR69" s="67"/>
      <c r="AS69" s="108"/>
      <c r="AT69" s="108"/>
      <c r="AU69" s="108"/>
      <c r="AV69" s="108"/>
      <c r="AW69" s="108"/>
      <c r="AX69" s="108"/>
      <c r="AY69" s="108"/>
      <c r="AZ69" s="108"/>
      <c r="BA69" s="108"/>
      <c r="BB69" s="67"/>
      <c r="BC69" s="67"/>
      <c r="BD69" s="67"/>
      <c r="BE69" s="67"/>
      <c r="BF69" s="67"/>
      <c r="BG69" s="67"/>
      <c r="BH69" s="67"/>
      <c r="BI69" s="67"/>
      <c r="BJ69" s="67"/>
      <c r="BK69" s="67"/>
      <c r="BL69" s="67"/>
      <c r="BM69" s="67"/>
    </row>
    <row r="70" spans="1:65" s="65" customFormat="1" ht="18" customHeight="1">
      <c r="A70" s="100">
        <f t="shared" si="2"/>
        <v>248</v>
      </c>
      <c r="B70" s="101" t="s">
        <v>358</v>
      </c>
      <c r="C70" s="101">
        <f t="shared" si="0"/>
        <v>248</v>
      </c>
      <c r="D70" s="101">
        <v>4901893257</v>
      </c>
      <c r="E70" s="101">
        <v>50576354</v>
      </c>
      <c r="F70" s="101">
        <v>326746</v>
      </c>
      <c r="G70" s="101" t="s">
        <v>359</v>
      </c>
      <c r="H70" s="101">
        <v>10284468</v>
      </c>
      <c r="I70" s="101">
        <v>404</v>
      </c>
      <c r="J70" s="101" t="s">
        <v>170</v>
      </c>
      <c r="K70" s="237" t="s">
        <v>367</v>
      </c>
      <c r="L70" s="308"/>
      <c r="M70" s="103"/>
      <c r="N70" s="104"/>
      <c r="O70" s="104"/>
      <c r="P70" s="104"/>
      <c r="Q70" s="104"/>
      <c r="R70" s="104"/>
      <c r="S70" s="104"/>
      <c r="T70" s="104">
        <v>3</v>
      </c>
      <c r="U70" s="104"/>
      <c r="V70" s="104"/>
      <c r="W70" s="104"/>
      <c r="X70" s="104">
        <v>1</v>
      </c>
      <c r="Y70" s="104">
        <v>2</v>
      </c>
      <c r="Z70" s="104">
        <v>8</v>
      </c>
      <c r="AA70" s="104"/>
      <c r="AB70" s="104"/>
      <c r="AC70" s="104"/>
      <c r="AD70" s="104"/>
      <c r="AE70" s="104"/>
      <c r="AF70" s="104"/>
      <c r="AG70" s="104"/>
      <c r="AH70" s="104"/>
      <c r="AI70" s="104"/>
      <c r="AJ70" s="104">
        <v>1</v>
      </c>
      <c r="AK70" s="104">
        <f t="shared" si="14"/>
        <v>14</v>
      </c>
      <c r="AL70" s="104">
        <f t="shared" si="1"/>
        <v>14</v>
      </c>
      <c r="AM70" s="105"/>
      <c r="AN70" s="106"/>
      <c r="AO70" s="105"/>
      <c r="AP70" s="105"/>
      <c r="AQ70" s="107" t="s">
        <v>361</v>
      </c>
      <c r="AR70" s="67"/>
      <c r="AS70" s="108"/>
      <c r="AT70" s="108"/>
      <c r="AU70" s="108"/>
      <c r="AV70" s="108"/>
      <c r="AW70" s="108"/>
      <c r="AX70" s="108"/>
      <c r="AY70" s="108"/>
      <c r="AZ70" s="108"/>
      <c r="BA70" s="108"/>
      <c r="BB70" s="67"/>
      <c r="BC70" s="67"/>
      <c r="BD70" s="67"/>
      <c r="BE70" s="67"/>
      <c r="BF70" s="67"/>
      <c r="BG70" s="67"/>
      <c r="BH70" s="67"/>
      <c r="BI70" s="67"/>
      <c r="BJ70" s="67"/>
      <c r="BK70" s="67"/>
      <c r="BL70" s="67"/>
      <c r="BM70" s="67"/>
    </row>
    <row r="71" spans="1:65" s="65" customFormat="1" ht="18" customHeight="1">
      <c r="A71" s="100">
        <f t="shared" si="2"/>
        <v>249</v>
      </c>
      <c r="B71" s="101" t="s">
        <v>358</v>
      </c>
      <c r="C71" s="101">
        <f t="shared" si="0"/>
        <v>249</v>
      </c>
      <c r="D71" s="101">
        <v>4901893257</v>
      </c>
      <c r="E71" s="101">
        <v>50576354</v>
      </c>
      <c r="F71" s="101">
        <v>326746</v>
      </c>
      <c r="G71" s="101" t="s">
        <v>359</v>
      </c>
      <c r="H71" s="101">
        <v>10284468</v>
      </c>
      <c r="I71" s="101">
        <v>404</v>
      </c>
      <c r="J71" s="101" t="s">
        <v>170</v>
      </c>
      <c r="K71" s="237" t="s">
        <v>367</v>
      </c>
      <c r="L71" s="308"/>
      <c r="M71" s="103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>
        <v>10</v>
      </c>
      <c r="AC71" s="104">
        <v>4</v>
      </c>
      <c r="AD71" s="104"/>
      <c r="AE71" s="104"/>
      <c r="AF71" s="104"/>
      <c r="AG71" s="104"/>
      <c r="AH71" s="104"/>
      <c r="AI71" s="104"/>
      <c r="AJ71" s="104">
        <v>1</v>
      </c>
      <c r="AK71" s="104">
        <f t="shared" si="14"/>
        <v>14</v>
      </c>
      <c r="AL71" s="104">
        <f t="shared" si="1"/>
        <v>14</v>
      </c>
      <c r="AM71" s="105"/>
      <c r="AN71" s="106"/>
      <c r="AO71" s="105"/>
      <c r="AP71" s="105"/>
      <c r="AQ71" s="107" t="s">
        <v>361</v>
      </c>
      <c r="AR71" s="67"/>
      <c r="AS71" s="108"/>
      <c r="AT71" s="108"/>
      <c r="AU71" s="108"/>
      <c r="AV71" s="108"/>
      <c r="AW71" s="108"/>
      <c r="AX71" s="108"/>
      <c r="AY71" s="108"/>
      <c r="AZ71" s="108"/>
      <c r="BA71" s="108"/>
      <c r="BB71" s="67"/>
      <c r="BC71" s="67"/>
      <c r="BD71" s="67"/>
      <c r="BE71" s="67"/>
      <c r="BF71" s="67"/>
      <c r="BG71" s="67"/>
      <c r="BH71" s="67"/>
      <c r="BI71" s="67"/>
      <c r="BJ71" s="67"/>
      <c r="BK71" s="67"/>
      <c r="BL71" s="67"/>
      <c r="BM71" s="67"/>
    </row>
    <row r="72" spans="1:65" s="65" customFormat="1" ht="18" customHeight="1">
      <c r="A72" s="100">
        <f t="shared" si="2"/>
        <v>250</v>
      </c>
      <c r="B72" s="101" t="s">
        <v>358</v>
      </c>
      <c r="C72" s="101">
        <f t="shared" si="0"/>
        <v>250</v>
      </c>
      <c r="D72" s="101">
        <v>4901893257</v>
      </c>
      <c r="E72" s="101">
        <v>50576354</v>
      </c>
      <c r="F72" s="101">
        <v>326746</v>
      </c>
      <c r="G72" s="101" t="s">
        <v>359</v>
      </c>
      <c r="H72" s="101">
        <v>10284468</v>
      </c>
      <c r="I72" s="101">
        <v>404</v>
      </c>
      <c r="J72" s="101" t="s">
        <v>170</v>
      </c>
      <c r="K72" s="237" t="s">
        <v>367</v>
      </c>
      <c r="L72" s="308"/>
      <c r="M72" s="103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>
        <v>3</v>
      </c>
      <c r="AB72" s="104"/>
      <c r="AC72" s="104">
        <v>11</v>
      </c>
      <c r="AD72" s="104"/>
      <c r="AE72" s="104"/>
      <c r="AF72" s="104"/>
      <c r="AG72" s="104"/>
      <c r="AH72" s="104"/>
      <c r="AI72" s="104"/>
      <c r="AJ72" s="104">
        <v>1</v>
      </c>
      <c r="AK72" s="104">
        <f t="shared" si="14"/>
        <v>14</v>
      </c>
      <c r="AL72" s="104">
        <f t="shared" si="1"/>
        <v>14</v>
      </c>
      <c r="AM72" s="105"/>
      <c r="AN72" s="106"/>
      <c r="AO72" s="105"/>
      <c r="AP72" s="105"/>
      <c r="AQ72" s="107" t="s">
        <v>361</v>
      </c>
      <c r="AR72" s="67"/>
      <c r="AS72" s="108"/>
      <c r="AT72" s="108"/>
      <c r="AU72" s="108"/>
      <c r="AV72" s="108"/>
      <c r="AW72" s="108"/>
      <c r="AX72" s="108"/>
      <c r="AY72" s="108"/>
      <c r="AZ72" s="108"/>
      <c r="BA72" s="108"/>
      <c r="BB72" s="67"/>
      <c r="BC72" s="67"/>
      <c r="BD72" s="67"/>
      <c r="BE72" s="67"/>
      <c r="BF72" s="67"/>
      <c r="BG72" s="67"/>
      <c r="BH72" s="67"/>
      <c r="BI72" s="67"/>
      <c r="BJ72" s="67"/>
      <c r="BK72" s="67"/>
      <c r="BL72" s="67"/>
      <c r="BM72" s="67"/>
    </row>
    <row r="73" spans="1:65" s="66" customFormat="1" ht="18.75" customHeight="1">
      <c r="A73" s="317" t="s">
        <v>362</v>
      </c>
      <c r="B73" s="318"/>
      <c r="C73" s="318"/>
      <c r="D73" s="109"/>
      <c r="E73" s="109"/>
      <c r="F73" s="109"/>
      <c r="G73" s="109"/>
      <c r="H73" s="109"/>
      <c r="I73" s="110"/>
      <c r="J73" s="110"/>
      <c r="K73" s="111"/>
      <c r="L73" s="111"/>
      <c r="M73" s="112">
        <f t="shared" ref="M73:AL73" si="15">SUM(M52:M72)</f>
        <v>19</v>
      </c>
      <c r="N73" s="112">
        <f t="shared" si="15"/>
        <v>161</v>
      </c>
      <c r="O73" s="112">
        <f t="shared" si="15"/>
        <v>364</v>
      </c>
      <c r="P73" s="112">
        <f t="shared" si="15"/>
        <v>459</v>
      </c>
      <c r="Q73" s="112">
        <f t="shared" si="15"/>
        <v>551</v>
      </c>
      <c r="R73" s="112">
        <f t="shared" si="15"/>
        <v>588</v>
      </c>
      <c r="S73" s="112">
        <f t="shared" si="15"/>
        <v>427</v>
      </c>
      <c r="T73" s="112">
        <f t="shared" si="15"/>
        <v>259</v>
      </c>
      <c r="U73" s="112">
        <f t="shared" si="15"/>
        <v>73</v>
      </c>
      <c r="V73" s="112">
        <f t="shared" si="15"/>
        <v>26</v>
      </c>
      <c r="W73" s="112">
        <f t="shared" si="15"/>
        <v>2</v>
      </c>
      <c r="X73" s="112">
        <f t="shared" si="15"/>
        <v>15</v>
      </c>
      <c r="Y73" s="112">
        <f t="shared" si="15"/>
        <v>16</v>
      </c>
      <c r="Z73" s="112">
        <f t="shared" si="15"/>
        <v>22</v>
      </c>
      <c r="AA73" s="112">
        <f t="shared" si="15"/>
        <v>17</v>
      </c>
      <c r="AB73" s="112">
        <f t="shared" si="15"/>
        <v>10</v>
      </c>
      <c r="AC73" s="112">
        <f t="shared" si="15"/>
        <v>15</v>
      </c>
      <c r="AD73" s="112">
        <f t="shared" si="15"/>
        <v>0</v>
      </c>
      <c r="AE73" s="112">
        <f t="shared" si="15"/>
        <v>0</v>
      </c>
      <c r="AF73" s="112">
        <f t="shared" si="15"/>
        <v>0</v>
      </c>
      <c r="AG73" s="112">
        <f t="shared" si="15"/>
        <v>0</v>
      </c>
      <c r="AH73" s="112">
        <f t="shared" si="15"/>
        <v>0</v>
      </c>
      <c r="AI73" s="112">
        <f t="shared" si="15"/>
        <v>0</v>
      </c>
      <c r="AJ73" s="118">
        <f t="shared" si="15"/>
        <v>216</v>
      </c>
      <c r="AK73" s="118"/>
      <c r="AL73" s="118">
        <f t="shared" si="15"/>
        <v>3024</v>
      </c>
      <c r="AM73" s="118"/>
      <c r="AN73" s="118"/>
      <c r="AO73" s="118"/>
      <c r="AP73" s="118"/>
      <c r="AQ73" s="113"/>
    </row>
    <row r="74" spans="1:65" s="66" customFormat="1" ht="18.75" customHeight="1">
      <c r="A74" s="114"/>
      <c r="B74" s="114"/>
      <c r="C74" s="114"/>
      <c r="D74" s="114"/>
      <c r="E74" s="114"/>
      <c r="F74" s="114"/>
      <c r="G74" s="114"/>
      <c r="H74" s="114"/>
      <c r="I74" s="115"/>
      <c r="J74" s="115"/>
      <c r="K74" s="116"/>
      <c r="L74" s="116"/>
      <c r="M74" s="117"/>
      <c r="N74" s="117"/>
      <c r="O74" s="117"/>
      <c r="P74" s="117"/>
      <c r="Q74" s="117"/>
      <c r="R74" s="117"/>
      <c r="S74" s="117"/>
      <c r="T74" s="117"/>
      <c r="U74" s="117"/>
      <c r="V74" s="117"/>
      <c r="W74" s="117"/>
      <c r="X74" s="117"/>
      <c r="Y74" s="117"/>
      <c r="Z74" s="117"/>
      <c r="AA74" s="117"/>
      <c r="AB74" s="117"/>
      <c r="AC74" s="117"/>
      <c r="AD74" s="117"/>
      <c r="AE74" s="117"/>
      <c r="AF74" s="117"/>
      <c r="AG74" s="117"/>
      <c r="AH74" s="117"/>
      <c r="AI74" s="117"/>
      <c r="AJ74" s="117"/>
      <c r="AK74" s="117"/>
      <c r="AL74" s="117"/>
      <c r="AM74" s="117"/>
      <c r="AN74" s="117"/>
      <c r="AO74" s="117"/>
      <c r="AP74" s="117"/>
      <c r="AQ74" s="117"/>
    </row>
    <row r="75" spans="1:65" s="64" customFormat="1" ht="18" customHeight="1">
      <c r="A75" s="302" t="s">
        <v>332</v>
      </c>
      <c r="B75" s="303"/>
      <c r="C75" s="303"/>
      <c r="D75" s="303" t="s">
        <v>333</v>
      </c>
      <c r="E75" s="303" t="s">
        <v>334</v>
      </c>
      <c r="F75" s="303" t="s">
        <v>335</v>
      </c>
      <c r="G75" s="303" t="s">
        <v>336</v>
      </c>
      <c r="H75" s="303" t="s">
        <v>337</v>
      </c>
      <c r="I75" s="303" t="s">
        <v>338</v>
      </c>
      <c r="J75" s="303" t="s">
        <v>339</v>
      </c>
      <c r="K75" s="303" t="s">
        <v>340</v>
      </c>
      <c r="L75" s="89"/>
      <c r="M75" s="319"/>
      <c r="N75" s="320"/>
      <c r="O75" s="320"/>
      <c r="P75" s="320"/>
      <c r="Q75" s="320"/>
      <c r="R75" s="320"/>
      <c r="S75" s="90"/>
      <c r="T75" s="90"/>
      <c r="U75" s="90"/>
      <c r="V75" s="90"/>
      <c r="W75" s="90"/>
      <c r="X75" s="90"/>
      <c r="Y75" s="90"/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1"/>
      <c r="AK75" s="92"/>
      <c r="AL75" s="92"/>
      <c r="AM75" s="92"/>
      <c r="AN75" s="92"/>
      <c r="AO75" s="92"/>
      <c r="AP75" s="92"/>
      <c r="AQ75" s="93"/>
    </row>
    <row r="76" spans="1:65" s="64" customFormat="1" ht="47.25" customHeight="1">
      <c r="A76" s="304"/>
      <c r="B76" s="305"/>
      <c r="C76" s="305"/>
      <c r="D76" s="305"/>
      <c r="E76" s="305"/>
      <c r="F76" s="305"/>
      <c r="G76" s="305"/>
      <c r="H76" s="305"/>
      <c r="I76" s="305"/>
      <c r="J76" s="305"/>
      <c r="K76" s="305"/>
      <c r="L76" s="95"/>
      <c r="M76" s="96">
        <v>37</v>
      </c>
      <c r="N76" s="97">
        <v>38</v>
      </c>
      <c r="O76" s="97">
        <v>39</v>
      </c>
      <c r="P76" s="97">
        <v>40</v>
      </c>
      <c r="Q76" s="97">
        <v>41</v>
      </c>
      <c r="R76" s="97">
        <v>42</v>
      </c>
      <c r="S76" s="97">
        <v>43</v>
      </c>
      <c r="T76" s="97">
        <v>44</v>
      </c>
      <c r="U76" s="97">
        <v>45</v>
      </c>
      <c r="V76" s="97">
        <v>46</v>
      </c>
      <c r="W76" s="97" t="s">
        <v>341</v>
      </c>
      <c r="X76" s="97" t="s">
        <v>342</v>
      </c>
      <c r="Y76" s="97" t="s">
        <v>343</v>
      </c>
      <c r="Z76" s="97" t="s">
        <v>344</v>
      </c>
      <c r="AA76" s="97" t="s">
        <v>345</v>
      </c>
      <c r="AB76" s="97" t="s">
        <v>346</v>
      </c>
      <c r="AC76" s="97" t="s">
        <v>347</v>
      </c>
      <c r="AD76" s="97" t="s">
        <v>348</v>
      </c>
      <c r="AE76" s="97" t="s">
        <v>349</v>
      </c>
      <c r="AF76" s="97" t="s">
        <v>180</v>
      </c>
      <c r="AG76" s="97" t="s">
        <v>182</v>
      </c>
      <c r="AH76" s="97" t="s">
        <v>183</v>
      </c>
      <c r="AI76" s="97" t="s">
        <v>184</v>
      </c>
      <c r="AJ76" s="98" t="s">
        <v>350</v>
      </c>
      <c r="AK76" s="94" t="s">
        <v>351</v>
      </c>
      <c r="AL76" s="94" t="s">
        <v>352</v>
      </c>
      <c r="AM76" s="94" t="s">
        <v>353</v>
      </c>
      <c r="AN76" s="94" t="s">
        <v>354</v>
      </c>
      <c r="AO76" s="94" t="s">
        <v>355</v>
      </c>
      <c r="AP76" s="94" t="s">
        <v>356</v>
      </c>
      <c r="AQ76" s="99" t="s">
        <v>357</v>
      </c>
    </row>
    <row r="77" spans="1:65" s="65" customFormat="1" ht="18" customHeight="1">
      <c r="A77" s="100">
        <f t="shared" si="4"/>
        <v>251</v>
      </c>
      <c r="B77" s="101" t="s">
        <v>358</v>
      </c>
      <c r="C77" s="101">
        <f t="shared" si="0"/>
        <v>251</v>
      </c>
      <c r="D77" s="101">
        <v>4901893257</v>
      </c>
      <c r="E77" s="101">
        <v>50576354</v>
      </c>
      <c r="F77" s="101">
        <v>326746</v>
      </c>
      <c r="G77" s="101" t="s">
        <v>359</v>
      </c>
      <c r="H77" s="101">
        <v>10284468</v>
      </c>
      <c r="I77" s="101">
        <v>404</v>
      </c>
      <c r="J77" s="101" t="s">
        <v>127</v>
      </c>
      <c r="K77" s="237" t="s">
        <v>368</v>
      </c>
      <c r="L77" s="102"/>
      <c r="M77" s="103"/>
      <c r="N77" s="104"/>
      <c r="O77" s="104"/>
      <c r="P77" s="104"/>
      <c r="Q77" s="104">
        <v>4</v>
      </c>
      <c r="R77" s="104">
        <v>5</v>
      </c>
      <c r="S77" s="104">
        <v>3</v>
      </c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>
        <v>1</v>
      </c>
      <c r="AK77" s="104">
        <v>14</v>
      </c>
      <c r="AL77" s="104">
        <v>12</v>
      </c>
      <c r="AM77" s="105"/>
      <c r="AN77" s="106"/>
      <c r="AO77" s="105"/>
      <c r="AP77" s="105"/>
      <c r="AQ77" s="107" t="s">
        <v>361</v>
      </c>
      <c r="AR77" s="67"/>
      <c r="AS77" s="108"/>
      <c r="AT77" s="108"/>
      <c r="AU77" s="108"/>
      <c r="AV77" s="108"/>
      <c r="AW77" s="108"/>
      <c r="AX77" s="108"/>
      <c r="AY77" s="108"/>
      <c r="AZ77" s="108"/>
      <c r="BA77" s="108"/>
      <c r="BB77" s="67"/>
      <c r="BC77" s="67"/>
      <c r="BD77" s="67"/>
      <c r="BE77" s="67"/>
      <c r="BF77" s="67"/>
      <c r="BG77" s="67"/>
      <c r="BH77" s="67"/>
      <c r="BI77" s="67"/>
      <c r="BJ77" s="67"/>
      <c r="BK77" s="67"/>
      <c r="BL77" s="67"/>
      <c r="BM77" s="67"/>
    </row>
    <row r="78" spans="1:65" s="65" customFormat="1" ht="18" customHeight="1">
      <c r="A78" s="100">
        <f t="shared" si="2"/>
        <v>252</v>
      </c>
      <c r="B78" s="101" t="s">
        <v>358</v>
      </c>
      <c r="C78" s="101">
        <f t="shared" si="0"/>
        <v>252</v>
      </c>
      <c r="D78" s="101">
        <v>4901893257</v>
      </c>
      <c r="E78" s="101">
        <v>50576354</v>
      </c>
      <c r="F78" s="101">
        <v>326746</v>
      </c>
      <c r="G78" s="101" t="s">
        <v>359</v>
      </c>
      <c r="H78" s="101">
        <v>10284468</v>
      </c>
      <c r="I78" s="101">
        <v>404</v>
      </c>
      <c r="J78" s="101" t="s">
        <v>127</v>
      </c>
      <c r="K78" s="237" t="s">
        <v>368</v>
      </c>
      <c r="L78" s="102"/>
      <c r="M78" s="103"/>
      <c r="N78" s="104">
        <v>1</v>
      </c>
      <c r="O78" s="104">
        <v>3</v>
      </c>
      <c r="P78" s="104">
        <v>3</v>
      </c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>
        <v>1</v>
      </c>
      <c r="AK78" s="104">
        <v>14</v>
      </c>
      <c r="AL78" s="104">
        <v>7</v>
      </c>
      <c r="AM78" s="105"/>
      <c r="AN78" s="106"/>
      <c r="AO78" s="105"/>
      <c r="AP78" s="105"/>
      <c r="AQ78" s="107" t="s">
        <v>361</v>
      </c>
      <c r="AR78" s="67"/>
      <c r="AS78" s="108"/>
      <c r="AT78" s="108"/>
      <c r="AU78" s="108"/>
      <c r="AV78" s="108"/>
      <c r="AW78" s="108"/>
      <c r="AX78" s="108"/>
      <c r="AY78" s="108"/>
      <c r="AZ78" s="108"/>
      <c r="BA78" s="108"/>
      <c r="BB78" s="67"/>
      <c r="BC78" s="67"/>
      <c r="BD78" s="67"/>
      <c r="BE78" s="67"/>
      <c r="BF78" s="67"/>
      <c r="BG78" s="67"/>
      <c r="BH78" s="67"/>
      <c r="BI78" s="67"/>
      <c r="BJ78" s="67"/>
      <c r="BK78" s="67"/>
      <c r="BL78" s="67"/>
      <c r="BM78" s="67"/>
    </row>
    <row r="79" spans="1:65" s="65" customFormat="1" ht="18" customHeight="1">
      <c r="A79" s="100">
        <f t="shared" si="2"/>
        <v>253</v>
      </c>
      <c r="B79" s="101" t="s">
        <v>358</v>
      </c>
      <c r="C79" s="101">
        <f t="shared" si="0"/>
        <v>253</v>
      </c>
      <c r="D79" s="101">
        <v>4901893257</v>
      </c>
      <c r="E79" s="101">
        <v>50576354</v>
      </c>
      <c r="F79" s="101">
        <v>326746</v>
      </c>
      <c r="G79" s="101" t="s">
        <v>359</v>
      </c>
      <c r="H79" s="101">
        <v>10284468</v>
      </c>
      <c r="I79" s="101">
        <v>404</v>
      </c>
      <c r="J79" s="101" t="s">
        <v>127</v>
      </c>
      <c r="K79" s="237" t="s">
        <v>368</v>
      </c>
      <c r="L79" s="102"/>
      <c r="M79" s="103"/>
      <c r="N79" s="104"/>
      <c r="O79" s="104"/>
      <c r="P79" s="104"/>
      <c r="Q79" s="104"/>
      <c r="R79" s="104"/>
      <c r="S79" s="104"/>
      <c r="T79" s="104">
        <v>3</v>
      </c>
      <c r="U79" s="104">
        <v>1</v>
      </c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>
        <v>1</v>
      </c>
      <c r="AH79" s="104"/>
      <c r="AI79" s="104"/>
      <c r="AJ79" s="104">
        <v>1</v>
      </c>
      <c r="AK79" s="104">
        <v>14</v>
      </c>
      <c r="AL79" s="104">
        <v>5</v>
      </c>
      <c r="AM79" s="105"/>
      <c r="AN79" s="106"/>
      <c r="AO79" s="105"/>
      <c r="AP79" s="105"/>
      <c r="AQ79" s="107" t="s">
        <v>361</v>
      </c>
      <c r="AR79" s="67"/>
      <c r="AS79" s="108"/>
      <c r="AT79" s="108"/>
      <c r="AU79" s="108"/>
      <c r="AV79" s="108"/>
      <c r="AW79" s="108"/>
      <c r="AX79" s="108"/>
      <c r="AY79" s="108"/>
      <c r="AZ79" s="108"/>
      <c r="BA79" s="108"/>
      <c r="BB79" s="67"/>
      <c r="BC79" s="67"/>
      <c r="BD79" s="67"/>
      <c r="BE79" s="67"/>
      <c r="BF79" s="67"/>
      <c r="BG79" s="67"/>
      <c r="BH79" s="67"/>
      <c r="BI79" s="67"/>
      <c r="BJ79" s="67"/>
      <c r="BK79" s="67"/>
      <c r="BL79" s="67"/>
      <c r="BM79" s="67"/>
    </row>
    <row r="80" spans="1:65" s="66" customFormat="1" ht="18.75" customHeight="1">
      <c r="A80" s="317" t="s">
        <v>362</v>
      </c>
      <c r="B80" s="318"/>
      <c r="C80" s="318"/>
      <c r="D80" s="109"/>
      <c r="E80" s="109"/>
      <c r="F80" s="109"/>
      <c r="G80" s="109"/>
      <c r="H80" s="109"/>
      <c r="I80" s="110"/>
      <c r="J80" s="110"/>
      <c r="K80" s="111"/>
      <c r="L80" s="111"/>
      <c r="M80" s="112">
        <f t="shared" si="3"/>
        <v>0</v>
      </c>
      <c r="N80" s="112">
        <f t="shared" si="3"/>
        <v>1</v>
      </c>
      <c r="O80" s="112">
        <f t="shared" si="3"/>
        <v>3</v>
      </c>
      <c r="P80" s="112">
        <f t="shared" si="3"/>
        <v>3</v>
      </c>
      <c r="Q80" s="112">
        <f t="shared" si="3"/>
        <v>4</v>
      </c>
      <c r="R80" s="112">
        <f t="shared" si="3"/>
        <v>5</v>
      </c>
      <c r="S80" s="112">
        <f t="shared" si="3"/>
        <v>3</v>
      </c>
      <c r="T80" s="112">
        <f t="shared" si="3"/>
        <v>3</v>
      </c>
      <c r="U80" s="112">
        <f t="shared" si="3"/>
        <v>1</v>
      </c>
      <c r="V80" s="112">
        <f t="shared" si="3"/>
        <v>0</v>
      </c>
      <c r="W80" s="112">
        <f t="shared" si="3"/>
        <v>0</v>
      </c>
      <c r="X80" s="112">
        <f t="shared" si="3"/>
        <v>0</v>
      </c>
      <c r="Y80" s="112">
        <f t="shared" si="3"/>
        <v>0</v>
      </c>
      <c r="Z80" s="112">
        <f t="shared" si="3"/>
        <v>0</v>
      </c>
      <c r="AA80" s="112">
        <f t="shared" si="3"/>
        <v>0</v>
      </c>
      <c r="AB80" s="112">
        <f t="shared" si="3"/>
        <v>0</v>
      </c>
      <c r="AC80" s="112">
        <f t="shared" si="3"/>
        <v>0</v>
      </c>
      <c r="AD80" s="112">
        <f t="shared" si="3"/>
        <v>0</v>
      </c>
      <c r="AE80" s="112">
        <f t="shared" si="3"/>
        <v>0</v>
      </c>
      <c r="AF80" s="112">
        <f t="shared" si="3"/>
        <v>0</v>
      </c>
      <c r="AG80" s="112">
        <f t="shared" si="3"/>
        <v>1</v>
      </c>
      <c r="AH80" s="112">
        <f t="shared" si="3"/>
        <v>0</v>
      </c>
      <c r="AI80" s="112">
        <f t="shared" si="3"/>
        <v>0</v>
      </c>
      <c r="AJ80" s="112">
        <f t="shared" si="3"/>
        <v>3</v>
      </c>
      <c r="AK80" s="112"/>
      <c r="AL80" s="112">
        <f t="shared" si="3"/>
        <v>24</v>
      </c>
      <c r="AM80" s="112"/>
      <c r="AN80" s="112"/>
      <c r="AO80" s="118"/>
      <c r="AP80" s="118"/>
      <c r="AQ80" s="113"/>
    </row>
    <row r="81" spans="1:43" s="66" customFormat="1" ht="18.75" customHeight="1">
      <c r="A81" s="114"/>
      <c r="B81" s="114"/>
      <c r="C81" s="114"/>
      <c r="D81" s="114"/>
      <c r="E81" s="114"/>
      <c r="F81" s="114"/>
      <c r="G81" s="114"/>
      <c r="H81" s="114"/>
      <c r="I81" s="115"/>
      <c r="J81" s="115"/>
      <c r="K81" s="116"/>
      <c r="L81" s="116"/>
      <c r="M81" s="117"/>
      <c r="N81" s="117"/>
      <c r="O81" s="117"/>
      <c r="P81" s="117"/>
      <c r="Q81" s="117"/>
      <c r="R81" s="117"/>
      <c r="S81" s="117"/>
      <c r="T81" s="117"/>
      <c r="U81" s="117"/>
      <c r="V81" s="117"/>
      <c r="W81" s="117"/>
      <c r="X81" s="117"/>
      <c r="Y81" s="117"/>
      <c r="Z81" s="117"/>
      <c r="AA81" s="117"/>
      <c r="AB81" s="117"/>
      <c r="AC81" s="117"/>
      <c r="AD81" s="117"/>
      <c r="AE81" s="117"/>
      <c r="AF81" s="117"/>
      <c r="AG81" s="117"/>
      <c r="AH81" s="117"/>
      <c r="AI81" s="117"/>
      <c r="AJ81" s="117"/>
      <c r="AK81" s="117"/>
      <c r="AL81" s="117"/>
      <c r="AM81" s="117"/>
      <c r="AN81" s="117"/>
      <c r="AO81" s="117"/>
      <c r="AP81" s="117"/>
      <c r="AQ81" s="117"/>
    </row>
    <row r="82" spans="1:43" s="66" customFormat="1" ht="18.75" customHeight="1">
      <c r="A82" s="114"/>
      <c r="B82" s="114"/>
      <c r="C82" s="114"/>
      <c r="D82" s="114"/>
      <c r="E82" s="114"/>
      <c r="F82" s="114"/>
      <c r="G82" s="114"/>
      <c r="H82" s="114"/>
      <c r="I82" s="115"/>
      <c r="J82" s="115"/>
      <c r="K82" s="116"/>
      <c r="L82" s="116"/>
      <c r="M82" s="117"/>
      <c r="N82" s="117"/>
      <c r="O82" s="117"/>
      <c r="P82" s="117"/>
      <c r="Q82" s="117"/>
      <c r="R82" s="117"/>
      <c r="S82" s="117"/>
      <c r="T82" s="117"/>
      <c r="U82" s="117"/>
      <c r="V82" s="117"/>
      <c r="W82" s="117"/>
      <c r="X82" s="117"/>
      <c r="Y82" s="117"/>
      <c r="Z82" s="117"/>
      <c r="AA82" s="117"/>
      <c r="AB82" s="117"/>
      <c r="AC82" s="117"/>
      <c r="AD82" s="117"/>
      <c r="AE82" s="117"/>
      <c r="AF82" s="117"/>
      <c r="AG82" s="117"/>
      <c r="AH82" s="117"/>
      <c r="AI82" s="117"/>
      <c r="AJ82" s="117"/>
      <c r="AK82" s="117"/>
      <c r="AL82" s="117"/>
      <c r="AM82" s="117"/>
      <c r="AN82" s="117"/>
      <c r="AO82" s="117"/>
      <c r="AP82" s="117"/>
      <c r="AQ82" s="117"/>
    </row>
    <row r="83" spans="1:43" s="67" customFormat="1" ht="18" customHeight="1">
      <c r="A83" s="321"/>
      <c r="B83" s="322"/>
      <c r="C83" s="322"/>
      <c r="D83" s="322"/>
      <c r="E83" s="322"/>
      <c r="F83" s="322"/>
      <c r="G83" s="322"/>
      <c r="H83" s="322"/>
      <c r="I83" s="322"/>
      <c r="J83" s="119"/>
      <c r="K83" s="119" t="s">
        <v>320</v>
      </c>
      <c r="L83" s="119"/>
      <c r="M83" s="120">
        <f t="shared" ref="M83:AL83" si="16">M26+M41+M48+M73+M80</f>
        <v>21</v>
      </c>
      <c r="N83" s="120">
        <f t="shared" si="16"/>
        <v>209</v>
      </c>
      <c r="O83" s="120">
        <f t="shared" si="16"/>
        <v>433</v>
      </c>
      <c r="P83" s="120">
        <f t="shared" si="16"/>
        <v>549</v>
      </c>
      <c r="Q83" s="120">
        <f t="shared" si="16"/>
        <v>639</v>
      </c>
      <c r="R83" s="120">
        <f t="shared" si="16"/>
        <v>675</v>
      </c>
      <c r="S83" s="120">
        <f t="shared" si="16"/>
        <v>483</v>
      </c>
      <c r="T83" s="120">
        <f t="shared" si="16"/>
        <v>302</v>
      </c>
      <c r="U83" s="120">
        <f t="shared" si="16"/>
        <v>77</v>
      </c>
      <c r="V83" s="120">
        <f t="shared" si="16"/>
        <v>29</v>
      </c>
      <c r="W83" s="120">
        <f t="shared" si="16"/>
        <v>2</v>
      </c>
      <c r="X83" s="120">
        <f t="shared" si="16"/>
        <v>15</v>
      </c>
      <c r="Y83" s="120">
        <f t="shared" si="16"/>
        <v>16</v>
      </c>
      <c r="Z83" s="120">
        <f t="shared" si="16"/>
        <v>22</v>
      </c>
      <c r="AA83" s="120">
        <f t="shared" si="16"/>
        <v>17</v>
      </c>
      <c r="AB83" s="120">
        <f t="shared" si="16"/>
        <v>10</v>
      </c>
      <c r="AC83" s="120">
        <f t="shared" si="16"/>
        <v>15</v>
      </c>
      <c r="AD83" s="120">
        <f t="shared" si="16"/>
        <v>0</v>
      </c>
      <c r="AE83" s="120">
        <f t="shared" si="16"/>
        <v>0</v>
      </c>
      <c r="AF83" s="120">
        <f t="shared" si="16"/>
        <v>0</v>
      </c>
      <c r="AG83" s="120">
        <f t="shared" si="16"/>
        <v>1</v>
      </c>
      <c r="AH83" s="120">
        <f t="shared" si="16"/>
        <v>0</v>
      </c>
      <c r="AI83" s="120">
        <f t="shared" si="16"/>
        <v>0</v>
      </c>
      <c r="AJ83" s="120">
        <f t="shared" si="16"/>
        <v>254</v>
      </c>
      <c r="AK83" s="120">
        <f t="shared" si="16"/>
        <v>0</v>
      </c>
      <c r="AL83" s="120">
        <f t="shared" si="16"/>
        <v>3515</v>
      </c>
      <c r="AM83" s="120"/>
      <c r="AN83" s="120"/>
      <c r="AO83" s="120"/>
      <c r="AP83" s="120"/>
      <c r="AQ83" s="121"/>
    </row>
    <row r="84" spans="1:43" s="67" customFormat="1" ht="18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3"/>
      <c r="N84" s="123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</row>
    <row r="85" spans="1:43" s="67" customFormat="1" ht="18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23"/>
      <c r="AP85" s="123"/>
      <c r="AQ85" s="123"/>
    </row>
    <row r="86" spans="1:43" s="67" customFormat="1" ht="18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4"/>
      <c r="N86" s="124"/>
      <c r="O86" s="124"/>
      <c r="P86" s="124"/>
      <c r="Q86" s="124"/>
      <c r="R86" s="124"/>
      <c r="S86" s="124"/>
      <c r="T86" s="124"/>
      <c r="U86" s="124"/>
      <c r="V86" s="124"/>
      <c r="W86" s="124"/>
      <c r="X86" s="124"/>
      <c r="Y86" s="124"/>
      <c r="Z86" s="124"/>
      <c r="AA86" s="124"/>
      <c r="AB86" s="124"/>
      <c r="AC86" s="124"/>
      <c r="AD86" s="124"/>
      <c r="AE86" s="124"/>
      <c r="AF86" s="124"/>
      <c r="AG86" s="124"/>
      <c r="AH86" s="124"/>
      <c r="AI86" s="124"/>
      <c r="AJ86" s="123"/>
      <c r="AK86" s="123"/>
      <c r="AL86" s="123"/>
      <c r="AM86" s="123"/>
      <c r="AN86" s="123"/>
      <c r="AO86" s="123"/>
      <c r="AP86" s="123"/>
      <c r="AQ86" s="123"/>
    </row>
    <row r="87" spans="1:43" s="67" customFormat="1" ht="18" hidden="1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</row>
    <row r="88" spans="1:43" ht="18.75" hidden="1" customHeight="1">
      <c r="L88" s="68" t="s">
        <v>369</v>
      </c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  <c r="AJ88" s="68"/>
      <c r="AK88" s="68"/>
      <c r="AM88" s="125" t="s">
        <v>361</v>
      </c>
      <c r="AN88" s="126"/>
      <c r="AO88" s="125"/>
      <c r="AP88" s="126"/>
      <c r="AQ88" s="126">
        <f>AJ83-AQ89-AQ90-AQ91</f>
        <v>251</v>
      </c>
    </row>
    <row r="89" spans="1:43" ht="18.75" hidden="1" customHeight="1">
      <c r="K89" s="127" t="s">
        <v>340</v>
      </c>
      <c r="L89" s="128" t="s">
        <v>370</v>
      </c>
      <c r="M89" s="309"/>
      <c r="N89" s="310"/>
      <c r="O89" s="310"/>
      <c r="P89" s="310"/>
      <c r="Q89" s="310"/>
      <c r="R89" s="310"/>
      <c r="S89" s="310"/>
      <c r="T89" s="310"/>
      <c r="U89" s="310"/>
      <c r="V89" s="310"/>
      <c r="W89" s="310"/>
      <c r="X89" s="310"/>
      <c r="Y89" s="310"/>
      <c r="Z89" s="310"/>
      <c r="AA89" s="310"/>
      <c r="AB89" s="310"/>
      <c r="AC89" s="310"/>
      <c r="AD89" s="310"/>
      <c r="AE89" s="310"/>
      <c r="AF89" s="310"/>
      <c r="AG89" s="310"/>
      <c r="AH89" s="310"/>
      <c r="AI89" s="310"/>
      <c r="AJ89" s="311"/>
      <c r="AK89" s="129"/>
      <c r="AM89" s="125" t="s">
        <v>371</v>
      </c>
      <c r="AN89" s="126"/>
      <c r="AO89" s="125"/>
      <c r="AP89" s="126"/>
      <c r="AQ89" s="126">
        <v>1</v>
      </c>
    </row>
    <row r="90" spans="1:43" ht="18.75" hidden="1" customHeight="1">
      <c r="K90" s="307"/>
      <c r="L90" s="130" t="s">
        <v>372</v>
      </c>
      <c r="M90" s="131">
        <f t="shared" ref="M90:AI90" si="17">M22</f>
        <v>37</v>
      </c>
      <c r="N90" s="131">
        <f t="shared" si="17"/>
        <v>38</v>
      </c>
      <c r="O90" s="131">
        <f t="shared" si="17"/>
        <v>39</v>
      </c>
      <c r="P90" s="131">
        <f t="shared" si="17"/>
        <v>40</v>
      </c>
      <c r="Q90" s="131">
        <f t="shared" si="17"/>
        <v>41</v>
      </c>
      <c r="R90" s="131">
        <f t="shared" si="17"/>
        <v>42</v>
      </c>
      <c r="S90" s="131">
        <f t="shared" si="17"/>
        <v>43</v>
      </c>
      <c r="T90" s="131">
        <f t="shared" si="17"/>
        <v>44</v>
      </c>
      <c r="U90" s="131">
        <f t="shared" si="17"/>
        <v>45</v>
      </c>
      <c r="V90" s="131">
        <f t="shared" si="17"/>
        <v>46</v>
      </c>
      <c r="W90" s="131" t="str">
        <f t="shared" si="17"/>
        <v>37A</v>
      </c>
      <c r="X90" s="131" t="str">
        <f t="shared" si="17"/>
        <v>38A</v>
      </c>
      <c r="Y90" s="131" t="str">
        <f t="shared" si="17"/>
        <v>39A</v>
      </c>
      <c r="Z90" s="131" t="str">
        <f t="shared" si="17"/>
        <v>40A</v>
      </c>
      <c r="AA90" s="131" t="str">
        <f t="shared" si="17"/>
        <v>41A</v>
      </c>
      <c r="AB90" s="131" t="str">
        <f t="shared" si="17"/>
        <v>42A</v>
      </c>
      <c r="AC90" s="131" t="str">
        <f t="shared" si="17"/>
        <v>39L</v>
      </c>
      <c r="AD90" s="131" t="str">
        <f t="shared" si="17"/>
        <v>40L</v>
      </c>
      <c r="AE90" s="131" t="str">
        <f t="shared" si="17"/>
        <v>41L</v>
      </c>
      <c r="AF90" s="131" t="str">
        <f t="shared" si="17"/>
        <v>42L</v>
      </c>
      <c r="AG90" s="131" t="str">
        <f t="shared" si="17"/>
        <v>43L</v>
      </c>
      <c r="AH90" s="131" t="str">
        <f t="shared" si="17"/>
        <v>44L</v>
      </c>
      <c r="AI90" s="131" t="str">
        <f t="shared" si="17"/>
        <v>45L</v>
      </c>
      <c r="AJ90" s="132" t="s">
        <v>320</v>
      </c>
      <c r="AK90" s="133"/>
      <c r="AM90" s="125" t="s">
        <v>373</v>
      </c>
      <c r="AN90" s="126"/>
      <c r="AO90" s="125"/>
      <c r="AP90" s="126"/>
      <c r="AQ90" s="126">
        <v>2</v>
      </c>
    </row>
    <row r="91" spans="1:43" ht="20.25" hidden="1" customHeight="1">
      <c r="K91" s="307"/>
      <c r="L91" s="134" t="s">
        <v>374</v>
      </c>
      <c r="M91" s="135">
        <v>3</v>
      </c>
      <c r="N91" s="135">
        <v>43</v>
      </c>
      <c r="O91" s="135">
        <v>81</v>
      </c>
      <c r="P91" s="135">
        <v>93</v>
      </c>
      <c r="Q91" s="135">
        <v>112</v>
      </c>
      <c r="R91" s="135">
        <v>119</v>
      </c>
      <c r="S91" s="135">
        <v>86</v>
      </c>
      <c r="T91" s="135">
        <v>63</v>
      </c>
      <c r="U91" s="135">
        <v>28</v>
      </c>
      <c r="V91" s="135">
        <v>13</v>
      </c>
      <c r="W91" s="135"/>
      <c r="X91" s="135">
        <v>2</v>
      </c>
      <c r="Y91" s="135">
        <v>2</v>
      </c>
      <c r="Z91" s="135">
        <v>2</v>
      </c>
      <c r="AA91" s="135">
        <v>2</v>
      </c>
      <c r="AB91" s="135">
        <v>1</v>
      </c>
      <c r="AC91" s="135">
        <v>3</v>
      </c>
      <c r="AD91" s="135">
        <v>6</v>
      </c>
      <c r="AE91" s="135">
        <v>6</v>
      </c>
      <c r="AF91" s="135">
        <v>8</v>
      </c>
      <c r="AG91" s="135">
        <v>8</v>
      </c>
      <c r="AH91" s="135">
        <v>6</v>
      </c>
      <c r="AI91" s="135">
        <v>1</v>
      </c>
      <c r="AJ91" s="135">
        <f t="shared" ref="AJ91:AJ168" si="18">SUM(M91:AI91)</f>
        <v>688</v>
      </c>
      <c r="AK91" s="136"/>
      <c r="AM91" s="125" t="s">
        <v>375</v>
      </c>
      <c r="AN91" s="126"/>
      <c r="AO91" s="125"/>
      <c r="AP91" s="126"/>
      <c r="AQ91" s="125"/>
    </row>
    <row r="92" spans="1:43" ht="20.25" hidden="1" customHeight="1">
      <c r="K92" s="307"/>
      <c r="L92" s="137" t="s">
        <v>376</v>
      </c>
      <c r="M92" s="135"/>
      <c r="N92" s="135"/>
      <c r="O92" s="135"/>
      <c r="P92" s="135"/>
      <c r="Q92" s="135"/>
      <c r="R92" s="135"/>
      <c r="S92" s="135"/>
      <c r="T92" s="135"/>
      <c r="U92" s="135"/>
      <c r="V92" s="135"/>
      <c r="W92" s="135"/>
      <c r="X92" s="135"/>
      <c r="Y92" s="135"/>
      <c r="Z92" s="135"/>
      <c r="AA92" s="135"/>
      <c r="AB92" s="135"/>
      <c r="AC92" s="135"/>
      <c r="AD92" s="135"/>
      <c r="AE92" s="135"/>
      <c r="AF92" s="135"/>
      <c r="AG92" s="135"/>
      <c r="AH92" s="135"/>
      <c r="AI92" s="135"/>
      <c r="AJ92" s="135">
        <f t="shared" si="18"/>
        <v>0</v>
      </c>
      <c r="AK92" s="138"/>
      <c r="AM92" s="312" t="s">
        <v>320</v>
      </c>
      <c r="AN92" s="313"/>
      <c r="AO92" s="312"/>
      <c r="AP92" s="313"/>
      <c r="AQ92" s="125">
        <f>SUM(AQ88:AQ91)</f>
        <v>254</v>
      </c>
    </row>
    <row r="93" spans="1:43" ht="18.75" hidden="1" customHeight="1">
      <c r="K93" s="307"/>
      <c r="L93" s="139" t="s">
        <v>377</v>
      </c>
      <c r="M93" s="140">
        <f t="shared" ref="M93:AI93" si="19">+M26</f>
        <v>1</v>
      </c>
      <c r="N93" s="140">
        <f t="shared" si="19"/>
        <v>5</v>
      </c>
      <c r="O93" s="140">
        <f t="shared" si="19"/>
        <v>7</v>
      </c>
      <c r="P93" s="140">
        <f t="shared" si="19"/>
        <v>8</v>
      </c>
      <c r="Q93" s="140">
        <f t="shared" si="19"/>
        <v>3</v>
      </c>
      <c r="R93" s="140">
        <f t="shared" si="19"/>
        <v>3</v>
      </c>
      <c r="S93" s="140">
        <f t="shared" si="19"/>
        <v>2</v>
      </c>
      <c r="T93" s="140">
        <f t="shared" si="19"/>
        <v>1</v>
      </c>
      <c r="U93" s="140">
        <f t="shared" si="19"/>
        <v>0</v>
      </c>
      <c r="V93" s="140">
        <f t="shared" si="19"/>
        <v>0</v>
      </c>
      <c r="W93" s="140">
        <f t="shared" si="19"/>
        <v>0</v>
      </c>
      <c r="X93" s="140">
        <f t="shared" si="19"/>
        <v>0</v>
      </c>
      <c r="Y93" s="140">
        <f t="shared" si="19"/>
        <v>0</v>
      </c>
      <c r="Z93" s="140">
        <f t="shared" si="19"/>
        <v>0</v>
      </c>
      <c r="AA93" s="140">
        <f t="shared" si="19"/>
        <v>0</v>
      </c>
      <c r="AB93" s="140">
        <f t="shared" si="19"/>
        <v>0</v>
      </c>
      <c r="AC93" s="140">
        <f t="shared" si="19"/>
        <v>0</v>
      </c>
      <c r="AD93" s="140">
        <f t="shared" si="19"/>
        <v>0</v>
      </c>
      <c r="AE93" s="140">
        <f t="shared" si="19"/>
        <v>0</v>
      </c>
      <c r="AF93" s="140">
        <f t="shared" si="19"/>
        <v>0</v>
      </c>
      <c r="AG93" s="140">
        <f t="shared" si="19"/>
        <v>0</v>
      </c>
      <c r="AH93" s="140">
        <f t="shared" si="19"/>
        <v>0</v>
      </c>
      <c r="AI93" s="140">
        <f t="shared" si="19"/>
        <v>0</v>
      </c>
      <c r="AJ93" s="140">
        <f t="shared" si="18"/>
        <v>30</v>
      </c>
      <c r="AK93" s="141"/>
    </row>
    <row r="94" spans="1:43" s="68" customFormat="1" ht="18.75" hidden="1" customHeight="1">
      <c r="K94" s="307"/>
      <c r="L94" s="238" t="s">
        <v>378</v>
      </c>
      <c r="M94" s="142">
        <f t="shared" ref="M94:AI168" si="20">+M93-M92</f>
        <v>1</v>
      </c>
      <c r="N94" s="142">
        <f t="shared" si="20"/>
        <v>5</v>
      </c>
      <c r="O94" s="142">
        <f t="shared" si="20"/>
        <v>7</v>
      </c>
      <c r="P94" s="142">
        <f t="shared" si="20"/>
        <v>8</v>
      </c>
      <c r="Q94" s="142">
        <f t="shared" si="20"/>
        <v>3</v>
      </c>
      <c r="R94" s="142">
        <f t="shared" si="20"/>
        <v>3</v>
      </c>
      <c r="S94" s="142">
        <f t="shared" si="20"/>
        <v>2</v>
      </c>
      <c r="T94" s="142">
        <f t="shared" si="20"/>
        <v>1</v>
      </c>
      <c r="U94" s="142">
        <f t="shared" si="20"/>
        <v>0</v>
      </c>
      <c r="V94" s="142">
        <f t="shared" si="20"/>
        <v>0</v>
      </c>
      <c r="W94" s="142">
        <f t="shared" si="20"/>
        <v>0</v>
      </c>
      <c r="X94" s="142">
        <f t="shared" si="20"/>
        <v>0</v>
      </c>
      <c r="Y94" s="142">
        <f t="shared" si="20"/>
        <v>0</v>
      </c>
      <c r="Z94" s="142">
        <f t="shared" si="20"/>
        <v>0</v>
      </c>
      <c r="AA94" s="142">
        <f t="shared" si="20"/>
        <v>0</v>
      </c>
      <c r="AB94" s="142">
        <f t="shared" si="20"/>
        <v>0</v>
      </c>
      <c r="AC94" s="142">
        <f t="shared" si="20"/>
        <v>0</v>
      </c>
      <c r="AD94" s="142">
        <f t="shared" si="20"/>
        <v>0</v>
      </c>
      <c r="AE94" s="142">
        <f t="shared" si="20"/>
        <v>0</v>
      </c>
      <c r="AF94" s="142">
        <f t="shared" si="20"/>
        <v>0</v>
      </c>
      <c r="AG94" s="142">
        <f t="shared" si="20"/>
        <v>0</v>
      </c>
      <c r="AH94" s="142">
        <f t="shared" si="20"/>
        <v>0</v>
      </c>
      <c r="AI94" s="142">
        <f t="shared" si="20"/>
        <v>0</v>
      </c>
      <c r="AJ94" s="140">
        <f t="shared" si="18"/>
        <v>30</v>
      </c>
      <c r="AK94" s="143"/>
      <c r="AL94" s="69"/>
      <c r="AM94" s="69"/>
      <c r="AN94" s="69"/>
      <c r="AO94" s="144"/>
      <c r="AP94" s="144"/>
    </row>
    <row r="95" spans="1:43" s="69" customFormat="1" ht="18" hidden="1" customHeight="1">
      <c r="K95" s="307"/>
      <c r="L95" s="145" t="s">
        <v>379</v>
      </c>
      <c r="M95" s="146">
        <f t="shared" ref="M95:AJ169" si="21">M93/M91</f>
        <v>0.33333333333333298</v>
      </c>
      <c r="N95" s="146">
        <f t="shared" si="21"/>
        <v>0.116279069767442</v>
      </c>
      <c r="O95" s="146">
        <f t="shared" si="21"/>
        <v>8.6419753086419707E-2</v>
      </c>
      <c r="P95" s="146">
        <f t="shared" si="21"/>
        <v>8.6021505376344107E-2</v>
      </c>
      <c r="Q95" s="146">
        <f t="shared" si="21"/>
        <v>2.6785714285714302E-2</v>
      </c>
      <c r="R95" s="146">
        <f t="shared" si="21"/>
        <v>2.5210084033613401E-2</v>
      </c>
      <c r="S95" s="146">
        <f t="shared" si="21"/>
        <v>2.32558139534884E-2</v>
      </c>
      <c r="T95" s="146">
        <f t="shared" si="21"/>
        <v>1.58730158730159E-2</v>
      </c>
      <c r="U95" s="146">
        <f t="shared" si="21"/>
        <v>0</v>
      </c>
      <c r="V95" s="146">
        <f t="shared" si="21"/>
        <v>0</v>
      </c>
      <c r="W95" s="146"/>
      <c r="X95" s="146">
        <f t="shared" si="21"/>
        <v>0</v>
      </c>
      <c r="Y95" s="146">
        <f t="shared" si="21"/>
        <v>0</v>
      </c>
      <c r="Z95" s="146">
        <f t="shared" si="21"/>
        <v>0</v>
      </c>
      <c r="AA95" s="146">
        <f t="shared" si="21"/>
        <v>0</v>
      </c>
      <c r="AB95" s="146">
        <f t="shared" si="21"/>
        <v>0</v>
      </c>
      <c r="AC95" s="146">
        <f t="shared" si="21"/>
        <v>0</v>
      </c>
      <c r="AD95" s="146">
        <f t="shared" si="21"/>
        <v>0</v>
      </c>
      <c r="AE95" s="146">
        <f t="shared" si="21"/>
        <v>0</v>
      </c>
      <c r="AF95" s="146">
        <f t="shared" si="21"/>
        <v>0</v>
      </c>
      <c r="AG95" s="146">
        <f t="shared" si="21"/>
        <v>0</v>
      </c>
      <c r="AH95" s="146">
        <f t="shared" si="21"/>
        <v>0</v>
      </c>
      <c r="AI95" s="146">
        <f t="shared" si="21"/>
        <v>0</v>
      </c>
      <c r="AJ95" s="146">
        <f t="shared" si="21"/>
        <v>4.3604651162790699E-2</v>
      </c>
      <c r="AK95" s="147"/>
      <c r="AL95" s="314"/>
      <c r="AM95" s="315"/>
      <c r="AN95" s="316"/>
      <c r="AO95" s="148"/>
      <c r="AP95" s="148"/>
    </row>
    <row r="96" spans="1:43" ht="18.75" hidden="1" customHeight="1">
      <c r="AL96" s="314"/>
      <c r="AM96" s="315"/>
      <c r="AN96" s="316"/>
    </row>
    <row r="97" spans="11:37" ht="18" hidden="1" customHeight="1"/>
    <row r="98" spans="11:37" ht="18.75" hidden="1" customHeight="1">
      <c r="L98" s="68" t="s">
        <v>369</v>
      </c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  <c r="AJ98" s="68"/>
      <c r="AK98" s="68"/>
    </row>
    <row r="99" spans="11:37" ht="18.75" hidden="1" customHeight="1">
      <c r="K99" s="127" t="s">
        <v>340</v>
      </c>
      <c r="L99" s="128" t="s">
        <v>370</v>
      </c>
      <c r="M99" s="309"/>
      <c r="N99" s="310"/>
      <c r="O99" s="310"/>
      <c r="P99" s="310"/>
      <c r="Q99" s="310"/>
      <c r="R99" s="310"/>
      <c r="S99" s="310"/>
      <c r="T99" s="310"/>
      <c r="U99" s="310"/>
      <c r="V99" s="310"/>
      <c r="W99" s="310"/>
      <c r="X99" s="310"/>
      <c r="Y99" s="310"/>
      <c r="Z99" s="310"/>
      <c r="AA99" s="310"/>
      <c r="AB99" s="310"/>
      <c r="AC99" s="310"/>
      <c r="AD99" s="310"/>
      <c r="AE99" s="310"/>
      <c r="AF99" s="310"/>
      <c r="AG99" s="310"/>
      <c r="AH99" s="310"/>
      <c r="AI99" s="310"/>
      <c r="AJ99" s="311"/>
      <c r="AK99" s="129"/>
    </row>
    <row r="100" spans="11:37" ht="18.75" hidden="1" customHeight="1">
      <c r="K100" s="307"/>
      <c r="L100" s="130" t="s">
        <v>372</v>
      </c>
      <c r="M100" s="131">
        <f t="shared" ref="M100:AI100" si="22">+M29</f>
        <v>37</v>
      </c>
      <c r="N100" s="131">
        <f t="shared" si="22"/>
        <v>38</v>
      </c>
      <c r="O100" s="131">
        <f t="shared" si="22"/>
        <v>39</v>
      </c>
      <c r="P100" s="131">
        <f t="shared" si="22"/>
        <v>40</v>
      </c>
      <c r="Q100" s="131">
        <f t="shared" si="22"/>
        <v>41</v>
      </c>
      <c r="R100" s="131">
        <f t="shared" si="22"/>
        <v>42</v>
      </c>
      <c r="S100" s="131">
        <f t="shared" si="22"/>
        <v>43</v>
      </c>
      <c r="T100" s="131">
        <f t="shared" si="22"/>
        <v>44</v>
      </c>
      <c r="U100" s="131">
        <f t="shared" si="22"/>
        <v>45</v>
      </c>
      <c r="V100" s="131">
        <f t="shared" si="22"/>
        <v>46</v>
      </c>
      <c r="W100" s="131" t="str">
        <f t="shared" si="22"/>
        <v>37A</v>
      </c>
      <c r="X100" s="131" t="str">
        <f t="shared" si="22"/>
        <v>38A</v>
      </c>
      <c r="Y100" s="131" t="str">
        <f t="shared" si="22"/>
        <v>39A</v>
      </c>
      <c r="Z100" s="131" t="str">
        <f t="shared" si="22"/>
        <v>40A</v>
      </c>
      <c r="AA100" s="131" t="str">
        <f t="shared" si="22"/>
        <v>41A</v>
      </c>
      <c r="AB100" s="131" t="str">
        <f t="shared" si="22"/>
        <v>42A</v>
      </c>
      <c r="AC100" s="131" t="str">
        <f t="shared" si="22"/>
        <v>39L</v>
      </c>
      <c r="AD100" s="131" t="str">
        <f t="shared" si="22"/>
        <v>40L</v>
      </c>
      <c r="AE100" s="131" t="str">
        <f t="shared" si="22"/>
        <v>41L</v>
      </c>
      <c r="AF100" s="131" t="str">
        <f t="shared" si="22"/>
        <v>42L</v>
      </c>
      <c r="AG100" s="131" t="str">
        <f t="shared" si="22"/>
        <v>43L</v>
      </c>
      <c r="AH100" s="131" t="str">
        <f t="shared" si="22"/>
        <v>44L</v>
      </c>
      <c r="AI100" s="131" t="str">
        <f t="shared" si="22"/>
        <v>45L</v>
      </c>
      <c r="AJ100" s="132" t="s">
        <v>320</v>
      </c>
      <c r="AK100" s="133"/>
    </row>
    <row r="101" spans="11:37" ht="18.75" hidden="1" customHeight="1">
      <c r="K101" s="307"/>
      <c r="L101" s="134" t="s">
        <v>374</v>
      </c>
      <c r="M101" s="135"/>
      <c r="N101" s="135"/>
      <c r="O101" s="135"/>
      <c r="P101" s="135">
        <v>1</v>
      </c>
      <c r="Q101" s="135">
        <v>2</v>
      </c>
      <c r="R101" s="135">
        <v>1</v>
      </c>
      <c r="S101" s="135">
        <v>1</v>
      </c>
      <c r="T101" s="135">
        <v>1</v>
      </c>
      <c r="U101" s="135"/>
      <c r="V101" s="135"/>
      <c r="W101" s="135"/>
      <c r="X101" s="135"/>
      <c r="Y101" s="135"/>
      <c r="Z101" s="135"/>
      <c r="AA101" s="135"/>
      <c r="AB101" s="135"/>
      <c r="AC101" s="135"/>
      <c r="AD101" s="135"/>
      <c r="AE101" s="135"/>
      <c r="AF101" s="135"/>
      <c r="AG101" s="135"/>
      <c r="AH101" s="135"/>
      <c r="AI101" s="135"/>
      <c r="AJ101" s="135">
        <f t="shared" si="18"/>
        <v>6</v>
      </c>
      <c r="AK101" s="136"/>
    </row>
    <row r="102" spans="11:37" ht="18" hidden="1" customHeight="1">
      <c r="K102" s="307"/>
      <c r="L102" s="137" t="s">
        <v>376</v>
      </c>
      <c r="M102" s="135"/>
      <c r="N102" s="135"/>
      <c r="O102" s="135"/>
      <c r="P102" s="135"/>
      <c r="Q102" s="135"/>
      <c r="R102" s="135"/>
      <c r="S102" s="135"/>
      <c r="T102" s="135"/>
      <c r="U102" s="135"/>
      <c r="V102" s="135"/>
      <c r="W102" s="135"/>
      <c r="X102" s="135"/>
      <c r="Y102" s="135"/>
      <c r="Z102" s="135"/>
      <c r="AA102" s="135"/>
      <c r="AB102" s="135"/>
      <c r="AC102" s="135"/>
      <c r="AD102" s="135"/>
      <c r="AE102" s="135"/>
      <c r="AF102" s="135"/>
      <c r="AG102" s="135"/>
      <c r="AH102" s="135"/>
      <c r="AI102" s="135"/>
      <c r="AJ102" s="135">
        <f t="shared" si="18"/>
        <v>0</v>
      </c>
      <c r="AK102" s="138"/>
    </row>
    <row r="103" spans="11:37" ht="18.75" hidden="1" customHeight="1">
      <c r="K103" s="307"/>
      <c r="L103" s="139" t="s">
        <v>377</v>
      </c>
      <c r="M103" s="140">
        <f t="shared" ref="M103:V103" si="23">+M41</f>
        <v>1</v>
      </c>
      <c r="N103" s="140">
        <f t="shared" si="23"/>
        <v>37</v>
      </c>
      <c r="O103" s="140">
        <f t="shared" si="23"/>
        <v>52</v>
      </c>
      <c r="P103" s="140">
        <f t="shared" si="23"/>
        <v>79</v>
      </c>
      <c r="Q103" s="140">
        <f t="shared" si="23"/>
        <v>73</v>
      </c>
      <c r="R103" s="140">
        <f t="shared" si="23"/>
        <v>72</v>
      </c>
      <c r="S103" s="140">
        <f t="shared" si="23"/>
        <v>45</v>
      </c>
      <c r="T103" s="140">
        <f t="shared" si="23"/>
        <v>35</v>
      </c>
      <c r="U103" s="140">
        <f t="shared" si="23"/>
        <v>3</v>
      </c>
      <c r="V103" s="140">
        <f t="shared" si="23"/>
        <v>2</v>
      </c>
      <c r="W103" s="140"/>
      <c r="X103" s="140"/>
      <c r="Y103" s="140"/>
      <c r="Z103" s="140"/>
      <c r="AA103" s="140"/>
      <c r="AB103" s="140"/>
      <c r="AC103" s="140"/>
      <c r="AD103" s="140"/>
      <c r="AE103" s="140"/>
      <c r="AF103" s="140"/>
      <c r="AG103" s="140"/>
      <c r="AH103" s="140"/>
      <c r="AI103" s="140"/>
      <c r="AJ103" s="140">
        <f t="shared" si="18"/>
        <v>399</v>
      </c>
      <c r="AK103" s="141"/>
    </row>
    <row r="104" spans="11:37" ht="18.75" hidden="1" customHeight="1">
      <c r="K104" s="307"/>
      <c r="L104" s="238" t="s">
        <v>378</v>
      </c>
      <c r="M104" s="142">
        <f t="shared" si="20"/>
        <v>1</v>
      </c>
      <c r="N104" s="142">
        <f t="shared" si="20"/>
        <v>37</v>
      </c>
      <c r="O104" s="142">
        <f t="shared" si="20"/>
        <v>52</v>
      </c>
      <c r="P104" s="142">
        <f t="shared" si="20"/>
        <v>79</v>
      </c>
      <c r="Q104" s="142">
        <f t="shared" si="20"/>
        <v>73</v>
      </c>
      <c r="R104" s="142">
        <f t="shared" si="20"/>
        <v>72</v>
      </c>
      <c r="S104" s="142">
        <f t="shared" si="20"/>
        <v>45</v>
      </c>
      <c r="T104" s="142">
        <f t="shared" si="20"/>
        <v>35</v>
      </c>
      <c r="U104" s="142">
        <f t="shared" si="20"/>
        <v>3</v>
      </c>
      <c r="V104" s="142">
        <f t="shared" si="20"/>
        <v>2</v>
      </c>
      <c r="W104" s="142"/>
      <c r="X104" s="142"/>
      <c r="Y104" s="142"/>
      <c r="Z104" s="142"/>
      <c r="AA104" s="142"/>
      <c r="AB104" s="142"/>
      <c r="AC104" s="142"/>
      <c r="AD104" s="142"/>
      <c r="AE104" s="142"/>
      <c r="AF104" s="142"/>
      <c r="AG104" s="142"/>
      <c r="AH104" s="142"/>
      <c r="AI104" s="142"/>
      <c r="AJ104" s="140">
        <f t="shared" si="18"/>
        <v>399</v>
      </c>
      <c r="AK104" s="143"/>
    </row>
    <row r="105" spans="11:37" ht="18.75" hidden="1" customHeight="1">
      <c r="K105" s="307"/>
      <c r="L105" s="145" t="s">
        <v>379</v>
      </c>
      <c r="M105" s="146"/>
      <c r="N105" s="146"/>
      <c r="O105" s="146"/>
      <c r="P105" s="146">
        <f t="shared" si="21"/>
        <v>79</v>
      </c>
      <c r="Q105" s="146">
        <f t="shared" si="21"/>
        <v>36.5</v>
      </c>
      <c r="R105" s="146">
        <f t="shared" si="21"/>
        <v>72</v>
      </c>
      <c r="S105" s="146">
        <f t="shared" si="21"/>
        <v>45</v>
      </c>
      <c r="T105" s="146">
        <f t="shared" si="21"/>
        <v>35</v>
      </c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6"/>
      <c r="AE105" s="146"/>
      <c r="AF105" s="146"/>
      <c r="AG105" s="146"/>
      <c r="AH105" s="146"/>
      <c r="AI105" s="146"/>
      <c r="AJ105" s="146">
        <f t="shared" si="21"/>
        <v>66.5</v>
      </c>
      <c r="AK105" s="147"/>
    </row>
    <row r="106" spans="11:37" ht="18" hidden="1" customHeight="1"/>
    <row r="107" spans="11:37" ht="18.75" hidden="1" customHeight="1">
      <c r="L107" s="68" t="s">
        <v>369</v>
      </c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  <c r="AJ107" s="68"/>
      <c r="AK107" s="68"/>
    </row>
    <row r="108" spans="11:37" ht="18.75" hidden="1" customHeight="1">
      <c r="K108" s="127" t="s">
        <v>340</v>
      </c>
      <c r="L108" s="128" t="s">
        <v>370</v>
      </c>
      <c r="M108" s="309"/>
      <c r="N108" s="310"/>
      <c r="O108" s="310"/>
      <c r="P108" s="310"/>
      <c r="Q108" s="310"/>
      <c r="R108" s="310"/>
      <c r="S108" s="310"/>
      <c r="T108" s="310"/>
      <c r="U108" s="310"/>
      <c r="V108" s="310"/>
      <c r="W108" s="310"/>
      <c r="X108" s="310"/>
      <c r="Y108" s="310"/>
      <c r="Z108" s="310"/>
      <c r="AA108" s="310"/>
      <c r="AB108" s="310"/>
      <c r="AC108" s="310"/>
      <c r="AD108" s="310"/>
      <c r="AE108" s="310"/>
      <c r="AF108" s="310"/>
      <c r="AG108" s="310"/>
      <c r="AH108" s="310"/>
      <c r="AI108" s="310"/>
      <c r="AJ108" s="311"/>
      <c r="AK108" s="129"/>
    </row>
    <row r="109" spans="11:37" ht="18.75" hidden="1" customHeight="1">
      <c r="K109" s="307"/>
      <c r="L109" s="130" t="s">
        <v>372</v>
      </c>
      <c r="M109" s="131">
        <f t="shared" ref="M109:AI109" si="24">M44</f>
        <v>37</v>
      </c>
      <c r="N109" s="131">
        <f t="shared" si="24"/>
        <v>38</v>
      </c>
      <c r="O109" s="131">
        <f t="shared" si="24"/>
        <v>39</v>
      </c>
      <c r="P109" s="131">
        <f t="shared" si="24"/>
        <v>40</v>
      </c>
      <c r="Q109" s="131">
        <f t="shared" si="24"/>
        <v>41</v>
      </c>
      <c r="R109" s="131">
        <f t="shared" si="24"/>
        <v>42</v>
      </c>
      <c r="S109" s="131">
        <f t="shared" si="24"/>
        <v>43</v>
      </c>
      <c r="T109" s="131">
        <f t="shared" si="24"/>
        <v>44</v>
      </c>
      <c r="U109" s="131">
        <f t="shared" si="24"/>
        <v>45</v>
      </c>
      <c r="V109" s="131">
        <f t="shared" si="24"/>
        <v>46</v>
      </c>
      <c r="W109" s="131" t="str">
        <f t="shared" si="24"/>
        <v>37A</v>
      </c>
      <c r="X109" s="131" t="str">
        <f t="shared" si="24"/>
        <v>38A</v>
      </c>
      <c r="Y109" s="131" t="str">
        <f t="shared" si="24"/>
        <v>39A</v>
      </c>
      <c r="Z109" s="131" t="str">
        <f t="shared" si="24"/>
        <v>40A</v>
      </c>
      <c r="AA109" s="131" t="str">
        <f t="shared" si="24"/>
        <v>41A</v>
      </c>
      <c r="AB109" s="131" t="str">
        <f t="shared" si="24"/>
        <v>42A</v>
      </c>
      <c r="AC109" s="131" t="str">
        <f t="shared" si="24"/>
        <v>39L</v>
      </c>
      <c r="AD109" s="131" t="str">
        <f t="shared" si="24"/>
        <v>40L</v>
      </c>
      <c r="AE109" s="131" t="str">
        <f t="shared" si="24"/>
        <v>41L</v>
      </c>
      <c r="AF109" s="131" t="str">
        <f t="shared" si="24"/>
        <v>42L</v>
      </c>
      <c r="AG109" s="131" t="str">
        <f t="shared" si="24"/>
        <v>43L</v>
      </c>
      <c r="AH109" s="131" t="str">
        <f t="shared" si="24"/>
        <v>44L</v>
      </c>
      <c r="AI109" s="131" t="str">
        <f t="shared" si="24"/>
        <v>45L</v>
      </c>
      <c r="AJ109" s="132" t="s">
        <v>320</v>
      </c>
      <c r="AK109" s="133"/>
    </row>
    <row r="110" spans="11:37" ht="18.75" hidden="1" customHeight="1">
      <c r="K110" s="307"/>
      <c r="L110" s="134" t="s">
        <v>374</v>
      </c>
      <c r="M110" s="135"/>
      <c r="N110" s="135">
        <v>3</v>
      </c>
      <c r="O110" s="135">
        <v>6</v>
      </c>
      <c r="P110" s="135">
        <v>8</v>
      </c>
      <c r="Q110" s="135">
        <v>7</v>
      </c>
      <c r="R110" s="135">
        <v>9</v>
      </c>
      <c r="S110" s="135">
        <v>5</v>
      </c>
      <c r="T110" s="135">
        <v>5</v>
      </c>
      <c r="U110" s="135">
        <v>2</v>
      </c>
      <c r="V110" s="135">
        <v>2</v>
      </c>
      <c r="W110" s="135"/>
      <c r="X110" s="135"/>
      <c r="Y110" s="135"/>
      <c r="Z110" s="135"/>
      <c r="AA110" s="135"/>
      <c r="AB110" s="135"/>
      <c r="AC110" s="135"/>
      <c r="AD110" s="135"/>
      <c r="AE110" s="135"/>
      <c r="AF110" s="135"/>
      <c r="AG110" s="135"/>
      <c r="AH110" s="135"/>
      <c r="AI110" s="135"/>
      <c r="AJ110" s="135">
        <f t="shared" si="18"/>
        <v>47</v>
      </c>
      <c r="AK110" s="136"/>
    </row>
    <row r="111" spans="11:37" ht="18" hidden="1" customHeight="1">
      <c r="K111" s="307"/>
      <c r="L111" s="137" t="s">
        <v>376</v>
      </c>
      <c r="M111" s="135"/>
      <c r="N111" s="135"/>
      <c r="O111" s="135"/>
      <c r="P111" s="135"/>
      <c r="Q111" s="135"/>
      <c r="R111" s="135"/>
      <c r="S111" s="135"/>
      <c r="T111" s="135"/>
      <c r="U111" s="135"/>
      <c r="V111" s="135"/>
      <c r="W111" s="135"/>
      <c r="X111" s="135"/>
      <c r="Y111" s="135"/>
      <c r="Z111" s="135"/>
      <c r="AA111" s="135"/>
      <c r="AB111" s="135"/>
      <c r="AC111" s="135"/>
      <c r="AD111" s="135"/>
      <c r="AE111" s="135"/>
      <c r="AF111" s="135"/>
      <c r="AG111" s="135"/>
      <c r="AH111" s="135"/>
      <c r="AI111" s="135"/>
      <c r="AJ111" s="135">
        <f t="shared" si="18"/>
        <v>0</v>
      </c>
      <c r="AK111" s="138"/>
    </row>
    <row r="112" spans="11:37" ht="18.75" hidden="1" customHeight="1">
      <c r="K112" s="307"/>
      <c r="L112" s="139" t="s">
        <v>377</v>
      </c>
      <c r="M112" s="140"/>
      <c r="N112" s="140">
        <f t="shared" ref="N112:V112" si="25">+N48</f>
        <v>5</v>
      </c>
      <c r="O112" s="140">
        <f t="shared" si="25"/>
        <v>7</v>
      </c>
      <c r="P112" s="140">
        <f t="shared" si="25"/>
        <v>0</v>
      </c>
      <c r="Q112" s="140">
        <f t="shared" si="25"/>
        <v>8</v>
      </c>
      <c r="R112" s="140">
        <f t="shared" si="25"/>
        <v>7</v>
      </c>
      <c r="S112" s="140">
        <f t="shared" si="25"/>
        <v>6</v>
      </c>
      <c r="T112" s="140">
        <f t="shared" si="25"/>
        <v>4</v>
      </c>
      <c r="U112" s="140">
        <f t="shared" si="25"/>
        <v>0</v>
      </c>
      <c r="V112" s="140">
        <f t="shared" si="25"/>
        <v>1</v>
      </c>
      <c r="W112" s="140"/>
      <c r="X112" s="140"/>
      <c r="Y112" s="140"/>
      <c r="Z112" s="140"/>
      <c r="AA112" s="140"/>
      <c r="AB112" s="140"/>
      <c r="AC112" s="140"/>
      <c r="AD112" s="140"/>
      <c r="AE112" s="140"/>
      <c r="AF112" s="140"/>
      <c r="AG112" s="140"/>
      <c r="AH112" s="140"/>
      <c r="AI112" s="140"/>
      <c r="AJ112" s="140">
        <f t="shared" si="18"/>
        <v>38</v>
      </c>
      <c r="AK112" s="141"/>
    </row>
    <row r="113" spans="11:37" ht="18.75" hidden="1" customHeight="1">
      <c r="K113" s="307"/>
      <c r="L113" s="238" t="s">
        <v>378</v>
      </c>
      <c r="M113" s="142"/>
      <c r="N113" s="142">
        <f t="shared" si="20"/>
        <v>5</v>
      </c>
      <c r="O113" s="142">
        <f t="shared" si="20"/>
        <v>7</v>
      </c>
      <c r="P113" s="142">
        <f t="shared" si="20"/>
        <v>0</v>
      </c>
      <c r="Q113" s="142">
        <f t="shared" si="20"/>
        <v>8</v>
      </c>
      <c r="R113" s="142">
        <f t="shared" si="20"/>
        <v>7</v>
      </c>
      <c r="S113" s="142">
        <f t="shared" si="20"/>
        <v>6</v>
      </c>
      <c r="T113" s="142">
        <f t="shared" si="20"/>
        <v>4</v>
      </c>
      <c r="U113" s="142">
        <f t="shared" si="20"/>
        <v>0</v>
      </c>
      <c r="V113" s="142">
        <f t="shared" si="20"/>
        <v>1</v>
      </c>
      <c r="W113" s="142"/>
      <c r="X113" s="142"/>
      <c r="Y113" s="142"/>
      <c r="Z113" s="142"/>
      <c r="AA113" s="142"/>
      <c r="AB113" s="142"/>
      <c r="AC113" s="142"/>
      <c r="AD113" s="142"/>
      <c r="AE113" s="142"/>
      <c r="AF113" s="142"/>
      <c r="AG113" s="142"/>
      <c r="AH113" s="142"/>
      <c r="AI113" s="142"/>
      <c r="AJ113" s="140">
        <f t="shared" si="18"/>
        <v>38</v>
      </c>
      <c r="AK113" s="143"/>
    </row>
    <row r="114" spans="11:37" ht="18.75" hidden="1" customHeight="1">
      <c r="K114" s="307"/>
      <c r="L114" s="145" t="s">
        <v>379</v>
      </c>
      <c r="M114" s="146"/>
      <c r="N114" s="146">
        <f t="shared" si="21"/>
        <v>1.6666666666666701</v>
      </c>
      <c r="O114" s="146">
        <f t="shared" si="21"/>
        <v>1.1666666666666701</v>
      </c>
      <c r="P114" s="146">
        <f t="shared" si="21"/>
        <v>0</v>
      </c>
      <c r="Q114" s="146">
        <f t="shared" si="21"/>
        <v>1.1428571428571399</v>
      </c>
      <c r="R114" s="146">
        <f t="shared" si="21"/>
        <v>0.77777777777777801</v>
      </c>
      <c r="S114" s="146">
        <f t="shared" si="21"/>
        <v>1.2</v>
      </c>
      <c r="T114" s="146">
        <f t="shared" si="21"/>
        <v>0.8</v>
      </c>
      <c r="U114" s="146">
        <f t="shared" si="21"/>
        <v>0</v>
      </c>
      <c r="V114" s="146">
        <f t="shared" si="21"/>
        <v>0.5</v>
      </c>
      <c r="W114" s="146"/>
      <c r="X114" s="146"/>
      <c r="Y114" s="146"/>
      <c r="Z114" s="146"/>
      <c r="AA114" s="146"/>
      <c r="AB114" s="146"/>
      <c r="AC114" s="146"/>
      <c r="AD114" s="146"/>
      <c r="AE114" s="146"/>
      <c r="AF114" s="146"/>
      <c r="AG114" s="146"/>
      <c r="AH114" s="146"/>
      <c r="AI114" s="146"/>
      <c r="AJ114" s="146">
        <f t="shared" si="21"/>
        <v>0.80851063829787195</v>
      </c>
      <c r="AK114" s="147"/>
    </row>
    <row r="115" spans="11:37" ht="18" hidden="1" customHeight="1"/>
    <row r="116" spans="11:37" ht="18.75" hidden="1" customHeight="1">
      <c r="L116" s="68" t="s">
        <v>369</v>
      </c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  <c r="AJ116" s="68"/>
      <c r="AK116" s="68"/>
    </row>
    <row r="117" spans="11:37" ht="18.75" hidden="1" customHeight="1">
      <c r="K117" s="127" t="s">
        <v>340</v>
      </c>
      <c r="L117" s="128" t="s">
        <v>370</v>
      </c>
      <c r="M117" s="309"/>
      <c r="N117" s="310"/>
      <c r="O117" s="310"/>
      <c r="P117" s="310"/>
      <c r="Q117" s="310"/>
      <c r="R117" s="310"/>
      <c r="S117" s="310"/>
      <c r="T117" s="310"/>
      <c r="U117" s="310"/>
      <c r="V117" s="310"/>
      <c r="W117" s="310"/>
      <c r="X117" s="310"/>
      <c r="Y117" s="310"/>
      <c r="Z117" s="310"/>
      <c r="AA117" s="310"/>
      <c r="AB117" s="310"/>
      <c r="AC117" s="310"/>
      <c r="AD117" s="310"/>
      <c r="AE117" s="310"/>
      <c r="AF117" s="310"/>
      <c r="AG117" s="310"/>
      <c r="AH117" s="310"/>
      <c r="AI117" s="310"/>
      <c r="AJ117" s="311"/>
      <c r="AK117" s="129"/>
    </row>
    <row r="118" spans="11:37" ht="18.75" hidden="1" customHeight="1">
      <c r="K118" s="307"/>
      <c r="L118" s="130" t="s">
        <v>372</v>
      </c>
      <c r="M118" s="131">
        <f t="shared" ref="M118:AI118" si="26">M51</f>
        <v>37</v>
      </c>
      <c r="N118" s="131">
        <f t="shared" si="26"/>
        <v>38</v>
      </c>
      <c r="O118" s="131">
        <f t="shared" si="26"/>
        <v>39</v>
      </c>
      <c r="P118" s="131">
        <f t="shared" si="26"/>
        <v>40</v>
      </c>
      <c r="Q118" s="131">
        <f t="shared" si="26"/>
        <v>41</v>
      </c>
      <c r="R118" s="131">
        <f t="shared" si="26"/>
        <v>42</v>
      </c>
      <c r="S118" s="131">
        <f t="shared" si="26"/>
        <v>43</v>
      </c>
      <c r="T118" s="131">
        <f t="shared" si="26"/>
        <v>44</v>
      </c>
      <c r="U118" s="131">
        <f t="shared" si="26"/>
        <v>45</v>
      </c>
      <c r="V118" s="131">
        <f t="shared" si="26"/>
        <v>46</v>
      </c>
      <c r="W118" s="131" t="str">
        <f t="shared" si="26"/>
        <v>37A</v>
      </c>
      <c r="X118" s="131" t="str">
        <f t="shared" si="26"/>
        <v>38A</v>
      </c>
      <c r="Y118" s="131" t="str">
        <f t="shared" si="26"/>
        <v>39A</v>
      </c>
      <c r="Z118" s="131" t="str">
        <f t="shared" si="26"/>
        <v>40A</v>
      </c>
      <c r="AA118" s="131" t="str">
        <f t="shared" si="26"/>
        <v>41A</v>
      </c>
      <c r="AB118" s="131" t="str">
        <f t="shared" si="26"/>
        <v>42A</v>
      </c>
      <c r="AC118" s="131" t="str">
        <f t="shared" si="26"/>
        <v>43A</v>
      </c>
      <c r="AD118" s="131" t="str">
        <f t="shared" si="26"/>
        <v>44A</v>
      </c>
      <c r="AE118" s="131" t="str">
        <f t="shared" si="26"/>
        <v>41L</v>
      </c>
      <c r="AF118" s="131" t="str">
        <f t="shared" si="26"/>
        <v>42L</v>
      </c>
      <c r="AG118" s="131" t="str">
        <f t="shared" si="26"/>
        <v>43L</v>
      </c>
      <c r="AH118" s="131" t="str">
        <f t="shared" si="26"/>
        <v>44L</v>
      </c>
      <c r="AI118" s="131" t="str">
        <f t="shared" si="26"/>
        <v>45L</v>
      </c>
      <c r="AJ118" s="132" t="s">
        <v>320</v>
      </c>
      <c r="AK118" s="133"/>
    </row>
    <row r="119" spans="11:37" ht="18.75" hidden="1" customHeight="1">
      <c r="K119" s="307"/>
      <c r="L119" s="134" t="s">
        <v>374</v>
      </c>
      <c r="M119" s="135">
        <v>2</v>
      </c>
      <c r="N119" s="135">
        <v>34</v>
      </c>
      <c r="O119" s="135">
        <v>65</v>
      </c>
      <c r="P119" s="135">
        <v>81</v>
      </c>
      <c r="Q119" s="135">
        <v>105</v>
      </c>
      <c r="R119" s="135">
        <v>101</v>
      </c>
      <c r="S119" s="135">
        <v>76</v>
      </c>
      <c r="T119" s="135">
        <v>58</v>
      </c>
      <c r="U119" s="135">
        <v>29</v>
      </c>
      <c r="V119" s="135">
        <v>14</v>
      </c>
      <c r="W119" s="135"/>
      <c r="X119" s="135"/>
      <c r="Y119" s="135"/>
      <c r="Z119" s="135"/>
      <c r="AA119" s="135"/>
      <c r="AB119" s="135"/>
      <c r="AC119" s="135"/>
      <c r="AD119" s="135"/>
      <c r="AE119" s="135"/>
      <c r="AF119" s="135"/>
      <c r="AG119" s="135"/>
      <c r="AH119" s="135"/>
      <c r="AI119" s="135"/>
      <c r="AJ119" s="135">
        <f t="shared" si="18"/>
        <v>565</v>
      </c>
      <c r="AK119" s="136"/>
    </row>
    <row r="120" spans="11:37" ht="18" hidden="1" customHeight="1">
      <c r="K120" s="307"/>
      <c r="L120" s="137" t="s">
        <v>376</v>
      </c>
      <c r="M120" s="135"/>
      <c r="N120" s="135"/>
      <c r="O120" s="135"/>
      <c r="P120" s="135"/>
      <c r="Q120" s="135"/>
      <c r="R120" s="135"/>
      <c r="S120" s="135"/>
      <c r="T120" s="135"/>
      <c r="U120" s="135"/>
      <c r="V120" s="135"/>
      <c r="W120" s="135"/>
      <c r="X120" s="135"/>
      <c r="Y120" s="135"/>
      <c r="Z120" s="135"/>
      <c r="AA120" s="135"/>
      <c r="AB120" s="135"/>
      <c r="AC120" s="135"/>
      <c r="AD120" s="135"/>
      <c r="AE120" s="135"/>
      <c r="AF120" s="135"/>
      <c r="AG120" s="135"/>
      <c r="AH120" s="135"/>
      <c r="AI120" s="135"/>
      <c r="AJ120" s="135">
        <f t="shared" si="18"/>
        <v>0</v>
      </c>
      <c r="AK120" s="138"/>
    </row>
    <row r="121" spans="11:37" ht="18.75" hidden="1" customHeight="1">
      <c r="K121" s="307"/>
      <c r="L121" s="139" t="s">
        <v>377</v>
      </c>
      <c r="M121" s="140">
        <f t="shared" ref="M121:AB121" si="27">+M73</f>
        <v>19</v>
      </c>
      <c r="N121" s="140">
        <f t="shared" si="27"/>
        <v>161</v>
      </c>
      <c r="O121" s="140">
        <f t="shared" si="27"/>
        <v>364</v>
      </c>
      <c r="P121" s="140">
        <f t="shared" si="27"/>
        <v>459</v>
      </c>
      <c r="Q121" s="140">
        <f t="shared" si="27"/>
        <v>551</v>
      </c>
      <c r="R121" s="140">
        <f t="shared" si="27"/>
        <v>588</v>
      </c>
      <c r="S121" s="140">
        <f t="shared" si="27"/>
        <v>427</v>
      </c>
      <c r="T121" s="140">
        <f t="shared" si="27"/>
        <v>259</v>
      </c>
      <c r="U121" s="140">
        <f t="shared" si="27"/>
        <v>73</v>
      </c>
      <c r="V121" s="140">
        <f t="shared" si="27"/>
        <v>26</v>
      </c>
      <c r="W121" s="140">
        <f t="shared" si="27"/>
        <v>2</v>
      </c>
      <c r="X121" s="140">
        <f t="shared" si="27"/>
        <v>15</v>
      </c>
      <c r="Y121" s="140">
        <f t="shared" si="27"/>
        <v>16</v>
      </c>
      <c r="Z121" s="140">
        <f t="shared" si="27"/>
        <v>22</v>
      </c>
      <c r="AA121" s="140">
        <f t="shared" si="27"/>
        <v>17</v>
      </c>
      <c r="AB121" s="140">
        <f t="shared" si="27"/>
        <v>10</v>
      </c>
      <c r="AC121" s="140"/>
      <c r="AD121" s="140"/>
      <c r="AE121" s="140"/>
      <c r="AF121" s="140"/>
      <c r="AG121" s="140"/>
      <c r="AH121" s="140"/>
      <c r="AI121" s="140"/>
      <c r="AJ121" s="140">
        <f t="shared" si="18"/>
        <v>3009</v>
      </c>
      <c r="AK121" s="141"/>
    </row>
    <row r="122" spans="11:37" ht="18.75" hidden="1" customHeight="1">
      <c r="K122" s="307"/>
      <c r="L122" s="238" t="s">
        <v>378</v>
      </c>
      <c r="M122" s="142">
        <f t="shared" si="20"/>
        <v>19</v>
      </c>
      <c r="N122" s="142">
        <f t="shared" si="20"/>
        <v>161</v>
      </c>
      <c r="O122" s="142">
        <f t="shared" si="20"/>
        <v>364</v>
      </c>
      <c r="P122" s="142">
        <f t="shared" si="20"/>
        <v>459</v>
      </c>
      <c r="Q122" s="142">
        <f t="shared" si="20"/>
        <v>551</v>
      </c>
      <c r="R122" s="142">
        <f t="shared" si="20"/>
        <v>588</v>
      </c>
      <c r="S122" s="142">
        <f t="shared" si="20"/>
        <v>427</v>
      </c>
      <c r="T122" s="142">
        <f t="shared" si="20"/>
        <v>259</v>
      </c>
      <c r="U122" s="142">
        <f t="shared" si="20"/>
        <v>73</v>
      </c>
      <c r="V122" s="142">
        <f t="shared" si="20"/>
        <v>26</v>
      </c>
      <c r="W122" s="142">
        <f t="shared" si="20"/>
        <v>2</v>
      </c>
      <c r="X122" s="142">
        <f t="shared" si="20"/>
        <v>15</v>
      </c>
      <c r="Y122" s="142">
        <f t="shared" si="20"/>
        <v>16</v>
      </c>
      <c r="Z122" s="142">
        <f t="shared" si="20"/>
        <v>22</v>
      </c>
      <c r="AA122" s="142">
        <f t="shared" si="20"/>
        <v>17</v>
      </c>
      <c r="AB122" s="142">
        <f t="shared" si="20"/>
        <v>10</v>
      </c>
      <c r="AC122" s="142"/>
      <c r="AD122" s="142"/>
      <c r="AE122" s="142"/>
      <c r="AF122" s="142"/>
      <c r="AG122" s="142"/>
      <c r="AH122" s="142"/>
      <c r="AI122" s="142"/>
      <c r="AJ122" s="140">
        <f t="shared" si="18"/>
        <v>3009</v>
      </c>
      <c r="AK122" s="143"/>
    </row>
    <row r="123" spans="11:37" ht="18.75" hidden="1" customHeight="1">
      <c r="K123" s="307"/>
      <c r="L123" s="145" t="s">
        <v>379</v>
      </c>
      <c r="M123" s="146">
        <f t="shared" si="21"/>
        <v>9.5</v>
      </c>
      <c r="N123" s="146">
        <f t="shared" si="21"/>
        <v>4.7352941176470598</v>
      </c>
      <c r="O123" s="146">
        <f t="shared" si="21"/>
        <v>5.6</v>
      </c>
      <c r="P123" s="146">
        <f t="shared" si="21"/>
        <v>5.6666666666666696</v>
      </c>
      <c r="Q123" s="146">
        <f t="shared" si="21"/>
        <v>5.2476190476190503</v>
      </c>
      <c r="R123" s="146">
        <f t="shared" si="21"/>
        <v>5.8217821782178198</v>
      </c>
      <c r="S123" s="146">
        <f t="shared" si="21"/>
        <v>5.6184210526315796</v>
      </c>
      <c r="T123" s="146">
        <f t="shared" si="21"/>
        <v>4.4655172413793096</v>
      </c>
      <c r="U123" s="146">
        <f t="shared" si="21"/>
        <v>2.5172413793103399</v>
      </c>
      <c r="V123" s="146">
        <f t="shared" si="21"/>
        <v>1.8571428571428601</v>
      </c>
      <c r="W123" s="146"/>
      <c r="X123" s="146"/>
      <c r="Y123" s="146"/>
      <c r="Z123" s="146"/>
      <c r="AA123" s="146"/>
      <c r="AB123" s="146"/>
      <c r="AC123" s="146"/>
      <c r="AD123" s="146"/>
      <c r="AE123" s="146"/>
      <c r="AF123" s="146"/>
      <c r="AG123" s="146"/>
      <c r="AH123" s="146"/>
      <c r="AI123" s="146"/>
      <c r="AJ123" s="146">
        <f t="shared" si="21"/>
        <v>5.3256637168141596</v>
      </c>
      <c r="AK123" s="147"/>
    </row>
    <row r="124" spans="11:37" ht="18" hidden="1" customHeight="1">
      <c r="P124" s="69">
        <f t="shared" ref="P124:AB134" si="28">+P119-P121</f>
        <v>-378</v>
      </c>
      <c r="S124" s="69">
        <f t="shared" si="28"/>
        <v>-351</v>
      </c>
      <c r="AB124" s="69">
        <f t="shared" si="28"/>
        <v>-10</v>
      </c>
    </row>
    <row r="125" spans="11:37" ht="18" hidden="1" customHeight="1"/>
    <row r="126" spans="11:37" ht="18.75" customHeight="1">
      <c r="L126" s="68" t="s">
        <v>369</v>
      </c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  <c r="AJ126" s="68"/>
      <c r="AK126" s="68"/>
    </row>
    <row r="127" spans="11:37" ht="18.75" customHeight="1">
      <c r="K127" s="127" t="s">
        <v>340</v>
      </c>
      <c r="L127" s="128" t="s">
        <v>370</v>
      </c>
      <c r="M127" s="309" t="str">
        <f>J24</f>
        <v>Dark Blue</v>
      </c>
      <c r="N127" s="310"/>
      <c r="O127" s="310"/>
      <c r="P127" s="310"/>
      <c r="Q127" s="310"/>
      <c r="R127" s="310"/>
      <c r="S127" s="310"/>
      <c r="T127" s="310"/>
      <c r="U127" s="310"/>
      <c r="V127" s="310"/>
      <c r="W127" s="310"/>
      <c r="X127" s="310"/>
      <c r="Y127" s="310"/>
      <c r="Z127" s="310"/>
      <c r="AA127" s="310"/>
      <c r="AB127" s="310"/>
      <c r="AC127" s="310"/>
      <c r="AD127" s="310"/>
      <c r="AE127" s="310"/>
      <c r="AF127" s="310"/>
      <c r="AG127" s="310"/>
      <c r="AH127" s="310"/>
      <c r="AI127" s="310"/>
      <c r="AJ127" s="311"/>
      <c r="AK127" s="129"/>
    </row>
    <row r="128" spans="11:37" ht="18.75" customHeight="1">
      <c r="K128" s="307" t="str">
        <f t="shared" ref="K128:K137" si="29">K24</f>
        <v>00010</v>
      </c>
      <c r="L128" s="130" t="s">
        <v>372</v>
      </c>
      <c r="M128" s="131">
        <f t="shared" ref="M128:AI128" si="30">M76</f>
        <v>37</v>
      </c>
      <c r="N128" s="131">
        <f t="shared" si="30"/>
        <v>38</v>
      </c>
      <c r="O128" s="131">
        <f t="shared" si="30"/>
        <v>39</v>
      </c>
      <c r="P128" s="131">
        <f t="shared" si="30"/>
        <v>40</v>
      </c>
      <c r="Q128" s="131">
        <f t="shared" si="30"/>
        <v>41</v>
      </c>
      <c r="R128" s="131">
        <f t="shared" si="30"/>
        <v>42</v>
      </c>
      <c r="S128" s="131">
        <f t="shared" si="30"/>
        <v>43</v>
      </c>
      <c r="T128" s="131">
        <f t="shared" si="30"/>
        <v>44</v>
      </c>
      <c r="U128" s="131">
        <f t="shared" si="30"/>
        <v>45</v>
      </c>
      <c r="V128" s="131">
        <f t="shared" si="30"/>
        <v>46</v>
      </c>
      <c r="W128" s="131" t="str">
        <f t="shared" si="30"/>
        <v>37A</v>
      </c>
      <c r="X128" s="131" t="str">
        <f t="shared" si="30"/>
        <v>38A</v>
      </c>
      <c r="Y128" s="131" t="str">
        <f t="shared" si="30"/>
        <v>39A</v>
      </c>
      <c r="Z128" s="131" t="str">
        <f t="shared" si="30"/>
        <v>40A</v>
      </c>
      <c r="AA128" s="131" t="str">
        <f t="shared" si="30"/>
        <v>41A</v>
      </c>
      <c r="AB128" s="131" t="str">
        <f t="shared" si="30"/>
        <v>42A</v>
      </c>
      <c r="AC128" s="131" t="str">
        <f t="shared" si="30"/>
        <v>39L</v>
      </c>
      <c r="AD128" s="131" t="str">
        <f t="shared" si="30"/>
        <v>40L</v>
      </c>
      <c r="AE128" s="131" t="str">
        <f t="shared" si="30"/>
        <v>41L</v>
      </c>
      <c r="AF128" s="131" t="str">
        <f t="shared" si="30"/>
        <v>42L</v>
      </c>
      <c r="AG128" s="131" t="str">
        <f t="shared" si="30"/>
        <v>43L</v>
      </c>
      <c r="AH128" s="131" t="str">
        <f t="shared" si="30"/>
        <v>44L</v>
      </c>
      <c r="AI128" s="131" t="str">
        <f t="shared" si="30"/>
        <v>45L</v>
      </c>
      <c r="AJ128" s="132" t="s">
        <v>320</v>
      </c>
      <c r="AK128" s="133"/>
    </row>
    <row r="129" spans="11:37" ht="18.75" customHeight="1">
      <c r="K129" s="307"/>
      <c r="L129" s="134" t="s">
        <v>374</v>
      </c>
      <c r="M129" s="135"/>
      <c r="N129" s="135"/>
      <c r="O129" s="135"/>
      <c r="P129" s="135"/>
      <c r="Q129" s="135"/>
      <c r="R129" s="135"/>
      <c r="S129" s="135"/>
      <c r="T129" s="135"/>
      <c r="U129" s="135"/>
      <c r="V129" s="135"/>
      <c r="W129" s="135"/>
      <c r="X129" s="135"/>
      <c r="Y129" s="135"/>
      <c r="Z129" s="135"/>
      <c r="AA129" s="135"/>
      <c r="AB129" s="135"/>
      <c r="AC129" s="135"/>
      <c r="AD129" s="135"/>
      <c r="AE129" s="135"/>
      <c r="AF129" s="135"/>
      <c r="AG129" s="135"/>
      <c r="AH129" s="135"/>
      <c r="AI129" s="135"/>
      <c r="AJ129" s="135">
        <f t="shared" si="18"/>
        <v>0</v>
      </c>
      <c r="AK129" s="136"/>
    </row>
    <row r="130" spans="11:37" ht="18" customHeight="1">
      <c r="K130" s="307"/>
      <c r="L130" s="137" t="s">
        <v>376</v>
      </c>
      <c r="M130" s="135"/>
      <c r="N130" s="135"/>
      <c r="O130" s="135"/>
      <c r="P130" s="135"/>
      <c r="Q130" s="135"/>
      <c r="R130" s="135"/>
      <c r="S130" s="135"/>
      <c r="T130" s="135"/>
      <c r="U130" s="135"/>
      <c r="V130" s="135"/>
      <c r="W130" s="135"/>
      <c r="X130" s="135"/>
      <c r="Y130" s="135"/>
      <c r="Z130" s="135"/>
      <c r="AA130" s="135"/>
      <c r="AB130" s="135"/>
      <c r="AC130" s="135"/>
      <c r="AD130" s="135"/>
      <c r="AE130" s="135"/>
      <c r="AF130" s="135"/>
      <c r="AG130" s="135"/>
      <c r="AH130" s="135"/>
      <c r="AI130" s="135"/>
      <c r="AJ130" s="135">
        <f t="shared" si="18"/>
        <v>0</v>
      </c>
      <c r="AK130" s="138"/>
    </row>
    <row r="131" spans="11:37" ht="18.75" customHeight="1">
      <c r="K131" s="307"/>
      <c r="L131" s="139" t="s">
        <v>377</v>
      </c>
      <c r="M131" s="140">
        <f>M26</f>
        <v>1</v>
      </c>
      <c r="N131" s="140">
        <f t="shared" ref="N131:AH131" si="31">+N80</f>
        <v>1</v>
      </c>
      <c r="O131" s="140">
        <f t="shared" si="31"/>
        <v>3</v>
      </c>
      <c r="P131" s="140">
        <f t="shared" si="31"/>
        <v>3</v>
      </c>
      <c r="Q131" s="140">
        <f t="shared" si="31"/>
        <v>4</v>
      </c>
      <c r="R131" s="140">
        <f t="shared" si="31"/>
        <v>5</v>
      </c>
      <c r="S131" s="140">
        <f t="shared" si="31"/>
        <v>3</v>
      </c>
      <c r="T131" s="140">
        <f t="shared" si="31"/>
        <v>3</v>
      </c>
      <c r="U131" s="140">
        <f t="shared" si="31"/>
        <v>1</v>
      </c>
      <c r="V131" s="140">
        <f t="shared" si="31"/>
        <v>0</v>
      </c>
      <c r="W131" s="140">
        <f t="shared" si="31"/>
        <v>0</v>
      </c>
      <c r="X131" s="140">
        <f t="shared" si="31"/>
        <v>0</v>
      </c>
      <c r="Y131" s="140">
        <f t="shared" si="31"/>
        <v>0</v>
      </c>
      <c r="Z131" s="140">
        <f t="shared" si="31"/>
        <v>0</v>
      </c>
      <c r="AA131" s="140">
        <f t="shared" si="31"/>
        <v>0</v>
      </c>
      <c r="AB131" s="140">
        <f t="shared" si="31"/>
        <v>0</v>
      </c>
      <c r="AC131" s="140">
        <f t="shared" si="31"/>
        <v>0</v>
      </c>
      <c r="AD131" s="140">
        <f t="shared" si="31"/>
        <v>0</v>
      </c>
      <c r="AE131" s="140">
        <f t="shared" si="31"/>
        <v>0</v>
      </c>
      <c r="AF131" s="140">
        <f t="shared" si="31"/>
        <v>0</v>
      </c>
      <c r="AG131" s="140">
        <f t="shared" si="31"/>
        <v>1</v>
      </c>
      <c r="AH131" s="140">
        <f t="shared" si="31"/>
        <v>0</v>
      </c>
      <c r="AI131" s="140"/>
      <c r="AJ131" s="140">
        <f t="shared" si="18"/>
        <v>25</v>
      </c>
      <c r="AK131" s="141"/>
    </row>
    <row r="132" spans="11:37" ht="18.75" customHeight="1">
      <c r="K132" s="307"/>
      <c r="L132" s="238" t="s">
        <v>378</v>
      </c>
      <c r="M132" s="142">
        <f t="shared" si="20"/>
        <v>1</v>
      </c>
      <c r="N132" s="142">
        <f t="shared" si="20"/>
        <v>1</v>
      </c>
      <c r="O132" s="142">
        <f t="shared" si="20"/>
        <v>3</v>
      </c>
      <c r="P132" s="142">
        <f t="shared" si="20"/>
        <v>3</v>
      </c>
      <c r="Q132" s="142">
        <f t="shared" si="20"/>
        <v>4</v>
      </c>
      <c r="R132" s="142">
        <f t="shared" si="20"/>
        <v>5</v>
      </c>
      <c r="S132" s="142">
        <f t="shared" si="20"/>
        <v>3</v>
      </c>
      <c r="T132" s="142">
        <f t="shared" si="20"/>
        <v>3</v>
      </c>
      <c r="U132" s="142">
        <f t="shared" si="20"/>
        <v>1</v>
      </c>
      <c r="V132" s="142">
        <f t="shared" si="20"/>
        <v>0</v>
      </c>
      <c r="W132" s="142">
        <f t="shared" si="20"/>
        <v>0</v>
      </c>
      <c r="X132" s="142">
        <f t="shared" si="20"/>
        <v>0</v>
      </c>
      <c r="Y132" s="142">
        <f t="shared" si="20"/>
        <v>0</v>
      </c>
      <c r="Z132" s="142">
        <f t="shared" si="20"/>
        <v>0</v>
      </c>
      <c r="AA132" s="142">
        <f t="shared" si="20"/>
        <v>0</v>
      </c>
      <c r="AB132" s="142">
        <f t="shared" si="20"/>
        <v>0</v>
      </c>
      <c r="AC132" s="142">
        <f t="shared" si="20"/>
        <v>0</v>
      </c>
      <c r="AD132" s="142">
        <f t="shared" si="20"/>
        <v>0</v>
      </c>
      <c r="AE132" s="142">
        <f t="shared" si="20"/>
        <v>0</v>
      </c>
      <c r="AF132" s="142">
        <f t="shared" si="20"/>
        <v>0</v>
      </c>
      <c r="AG132" s="142">
        <f t="shared" si="20"/>
        <v>1</v>
      </c>
      <c r="AH132" s="142">
        <f t="shared" si="20"/>
        <v>0</v>
      </c>
      <c r="AI132" s="142"/>
      <c r="AJ132" s="140">
        <f t="shared" si="18"/>
        <v>25</v>
      </c>
      <c r="AK132" s="143"/>
    </row>
    <row r="133" spans="11:37" ht="18.75" customHeight="1">
      <c r="K133" s="307"/>
      <c r="L133" s="145" t="s">
        <v>379</v>
      </c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6"/>
      <c r="AE133" s="146"/>
      <c r="AF133" s="146"/>
      <c r="AG133" s="146"/>
      <c r="AH133" s="146"/>
      <c r="AI133" s="146"/>
      <c r="AJ133" s="146"/>
      <c r="AK133" s="147"/>
    </row>
    <row r="134" spans="11:37" ht="18" customHeight="1">
      <c r="U134" s="69">
        <f t="shared" si="28"/>
        <v>-1</v>
      </c>
    </row>
    <row r="135" spans="11:37" ht="18.75" customHeight="1">
      <c r="L135" s="68" t="s">
        <v>369</v>
      </c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  <c r="AJ135" s="68"/>
      <c r="AK135" s="68"/>
    </row>
    <row r="136" spans="11:37" ht="18.75" customHeight="1">
      <c r="K136" s="127" t="s">
        <v>340</v>
      </c>
      <c r="L136" s="128" t="s">
        <v>370</v>
      </c>
      <c r="M136" s="309" t="str">
        <f>J35</f>
        <v>Dark Blue</v>
      </c>
      <c r="N136" s="310"/>
      <c r="O136" s="310"/>
      <c r="P136" s="310"/>
      <c r="Q136" s="310"/>
      <c r="R136" s="310"/>
      <c r="S136" s="310"/>
      <c r="T136" s="310"/>
      <c r="U136" s="310"/>
      <c r="V136" s="310"/>
      <c r="W136" s="310"/>
      <c r="X136" s="310"/>
      <c r="Y136" s="310"/>
      <c r="Z136" s="310"/>
      <c r="AA136" s="310"/>
      <c r="AB136" s="310"/>
      <c r="AC136" s="310"/>
      <c r="AD136" s="310"/>
      <c r="AE136" s="310"/>
      <c r="AF136" s="310"/>
      <c r="AG136" s="310"/>
      <c r="AH136" s="310"/>
      <c r="AI136" s="310"/>
      <c r="AJ136" s="311"/>
      <c r="AK136" s="129"/>
    </row>
    <row r="137" spans="11:37" ht="18.75" customHeight="1">
      <c r="K137" s="306" t="str">
        <f t="shared" si="29"/>
        <v>00020</v>
      </c>
      <c r="L137" s="130" t="s">
        <v>372</v>
      </c>
      <c r="M137" s="131">
        <v>37</v>
      </c>
      <c r="N137" s="131">
        <v>38</v>
      </c>
      <c r="O137" s="131">
        <v>39</v>
      </c>
      <c r="P137" s="131">
        <v>40</v>
      </c>
      <c r="Q137" s="131">
        <v>41</v>
      </c>
      <c r="R137" s="131">
        <v>42</v>
      </c>
      <c r="S137" s="131">
        <v>43</v>
      </c>
      <c r="T137" s="131">
        <v>44</v>
      </c>
      <c r="U137" s="131">
        <v>45</v>
      </c>
      <c r="V137" s="131">
        <v>46</v>
      </c>
      <c r="W137" s="131" t="s">
        <v>341</v>
      </c>
      <c r="X137" s="131" t="s">
        <v>342</v>
      </c>
      <c r="Y137" s="131" t="s">
        <v>343</v>
      </c>
      <c r="Z137" s="131" t="s">
        <v>344</v>
      </c>
      <c r="AA137" s="131" t="s">
        <v>345</v>
      </c>
      <c r="AB137" s="131" t="s">
        <v>346</v>
      </c>
      <c r="AC137" s="131" t="s">
        <v>347</v>
      </c>
      <c r="AD137" s="131" t="s">
        <v>348</v>
      </c>
      <c r="AE137" s="131" t="s">
        <v>349</v>
      </c>
      <c r="AF137" s="131" t="s">
        <v>180</v>
      </c>
      <c r="AG137" s="131" t="s">
        <v>182</v>
      </c>
      <c r="AH137" s="131" t="s">
        <v>183</v>
      </c>
      <c r="AI137" s="131" t="s">
        <v>184</v>
      </c>
      <c r="AJ137" s="132" t="s">
        <v>320</v>
      </c>
      <c r="AK137" s="133"/>
    </row>
    <row r="138" spans="11:37" ht="18.75" customHeight="1">
      <c r="K138" s="307"/>
      <c r="L138" s="134" t="s">
        <v>374</v>
      </c>
      <c r="M138" s="135">
        <v>1</v>
      </c>
      <c r="N138" s="135">
        <v>37</v>
      </c>
      <c r="O138" s="135">
        <v>52</v>
      </c>
      <c r="P138" s="135">
        <v>79</v>
      </c>
      <c r="Q138" s="135">
        <v>73</v>
      </c>
      <c r="R138" s="135">
        <v>72</v>
      </c>
      <c r="S138" s="135">
        <v>45</v>
      </c>
      <c r="T138" s="135">
        <v>35</v>
      </c>
      <c r="U138" s="135">
        <v>3</v>
      </c>
      <c r="V138" s="135">
        <v>2</v>
      </c>
      <c r="W138" s="135"/>
      <c r="X138" s="135"/>
      <c r="Y138" s="135"/>
      <c r="Z138" s="135"/>
      <c r="AA138" s="135"/>
      <c r="AB138" s="135"/>
      <c r="AC138" s="135"/>
      <c r="AD138" s="135"/>
      <c r="AE138" s="135"/>
      <c r="AF138" s="135"/>
      <c r="AG138" s="135"/>
      <c r="AH138" s="135"/>
      <c r="AI138" s="135"/>
      <c r="AJ138" s="135">
        <f t="shared" si="18"/>
        <v>399</v>
      </c>
      <c r="AK138" s="136"/>
    </row>
    <row r="139" spans="11:37" ht="18" customHeight="1">
      <c r="K139" s="307"/>
      <c r="L139" s="137" t="s">
        <v>376</v>
      </c>
      <c r="M139" s="135"/>
      <c r="N139" s="135"/>
      <c r="O139" s="135"/>
      <c r="P139" s="135"/>
      <c r="Q139" s="135"/>
      <c r="R139" s="135"/>
      <c r="S139" s="135"/>
      <c r="T139" s="135"/>
      <c r="U139" s="135"/>
      <c r="V139" s="135"/>
      <c r="W139" s="135"/>
      <c r="X139" s="135"/>
      <c r="Y139" s="135"/>
      <c r="Z139" s="135"/>
      <c r="AA139" s="135"/>
      <c r="AB139" s="135"/>
      <c r="AC139" s="135"/>
      <c r="AD139" s="135"/>
      <c r="AE139" s="135"/>
      <c r="AF139" s="135"/>
      <c r="AG139" s="135"/>
      <c r="AH139" s="135"/>
      <c r="AI139" s="135"/>
      <c r="AJ139" s="135">
        <f t="shared" si="18"/>
        <v>0</v>
      </c>
      <c r="AK139" s="138"/>
    </row>
    <row r="140" spans="11:37" ht="18.75" customHeight="1">
      <c r="K140" s="307"/>
      <c r="L140" s="139" t="s">
        <v>377</v>
      </c>
      <c r="M140" s="140">
        <f t="shared" ref="M140:AH140" si="32">M41</f>
        <v>1</v>
      </c>
      <c r="N140" s="140">
        <f t="shared" si="32"/>
        <v>37</v>
      </c>
      <c r="O140" s="140">
        <f t="shared" si="32"/>
        <v>52</v>
      </c>
      <c r="P140" s="140">
        <f t="shared" si="32"/>
        <v>79</v>
      </c>
      <c r="Q140" s="140">
        <f t="shared" si="32"/>
        <v>73</v>
      </c>
      <c r="R140" s="140">
        <f t="shared" si="32"/>
        <v>72</v>
      </c>
      <c r="S140" s="140">
        <f t="shared" si="32"/>
        <v>45</v>
      </c>
      <c r="T140" s="140">
        <f t="shared" si="32"/>
        <v>35</v>
      </c>
      <c r="U140" s="140">
        <f t="shared" si="32"/>
        <v>3</v>
      </c>
      <c r="V140" s="140">
        <f t="shared" si="32"/>
        <v>2</v>
      </c>
      <c r="W140" s="140">
        <f t="shared" si="32"/>
        <v>0</v>
      </c>
      <c r="X140" s="140">
        <f t="shared" si="32"/>
        <v>0</v>
      </c>
      <c r="Y140" s="140">
        <f t="shared" si="32"/>
        <v>0</v>
      </c>
      <c r="Z140" s="140">
        <f t="shared" si="32"/>
        <v>0</v>
      </c>
      <c r="AA140" s="140">
        <f t="shared" si="32"/>
        <v>0</v>
      </c>
      <c r="AB140" s="140">
        <f t="shared" si="32"/>
        <v>0</v>
      </c>
      <c r="AC140" s="140">
        <f t="shared" si="32"/>
        <v>0</v>
      </c>
      <c r="AD140" s="140">
        <f t="shared" si="32"/>
        <v>0</v>
      </c>
      <c r="AE140" s="140">
        <f t="shared" si="32"/>
        <v>0</v>
      </c>
      <c r="AF140" s="140">
        <f t="shared" si="32"/>
        <v>0</v>
      </c>
      <c r="AG140" s="140">
        <f t="shared" si="32"/>
        <v>0</v>
      </c>
      <c r="AH140" s="140">
        <f t="shared" si="32"/>
        <v>0</v>
      </c>
      <c r="AI140" s="140"/>
      <c r="AJ140" s="140">
        <f t="shared" si="18"/>
        <v>399</v>
      </c>
      <c r="AK140" s="141"/>
    </row>
    <row r="141" spans="11:37" ht="18.75" customHeight="1">
      <c r="K141" s="307"/>
      <c r="L141" s="238" t="s">
        <v>378</v>
      </c>
      <c r="M141" s="142">
        <f t="shared" si="20"/>
        <v>1</v>
      </c>
      <c r="N141" s="142">
        <f t="shared" si="20"/>
        <v>37</v>
      </c>
      <c r="O141" s="142">
        <f t="shared" si="20"/>
        <v>52</v>
      </c>
      <c r="P141" s="142">
        <f t="shared" si="20"/>
        <v>79</v>
      </c>
      <c r="Q141" s="142">
        <f t="shared" si="20"/>
        <v>73</v>
      </c>
      <c r="R141" s="142">
        <f t="shared" si="20"/>
        <v>72</v>
      </c>
      <c r="S141" s="142">
        <f t="shared" si="20"/>
        <v>45</v>
      </c>
      <c r="T141" s="142">
        <f t="shared" si="20"/>
        <v>35</v>
      </c>
      <c r="U141" s="142">
        <f t="shared" si="20"/>
        <v>3</v>
      </c>
      <c r="V141" s="142">
        <f t="shared" si="20"/>
        <v>2</v>
      </c>
      <c r="W141" s="142">
        <f t="shared" si="20"/>
        <v>0</v>
      </c>
      <c r="X141" s="142">
        <f t="shared" si="20"/>
        <v>0</v>
      </c>
      <c r="Y141" s="142">
        <f t="shared" si="20"/>
        <v>0</v>
      </c>
      <c r="Z141" s="142">
        <f t="shared" si="20"/>
        <v>0</v>
      </c>
      <c r="AA141" s="142">
        <f t="shared" si="20"/>
        <v>0</v>
      </c>
      <c r="AB141" s="142">
        <f t="shared" si="20"/>
        <v>0</v>
      </c>
      <c r="AC141" s="142">
        <f t="shared" si="20"/>
        <v>0</v>
      </c>
      <c r="AD141" s="142">
        <f t="shared" si="20"/>
        <v>0</v>
      </c>
      <c r="AE141" s="142">
        <f t="shared" si="20"/>
        <v>0</v>
      </c>
      <c r="AF141" s="142">
        <f t="shared" si="20"/>
        <v>0</v>
      </c>
      <c r="AG141" s="142">
        <f t="shared" si="20"/>
        <v>0</v>
      </c>
      <c r="AH141" s="142">
        <f t="shared" si="20"/>
        <v>0</v>
      </c>
      <c r="AI141" s="142"/>
      <c r="AJ141" s="140">
        <f t="shared" si="18"/>
        <v>399</v>
      </c>
      <c r="AK141" s="143"/>
    </row>
    <row r="142" spans="11:37" ht="18.75" customHeight="1">
      <c r="K142" s="307"/>
      <c r="L142" s="145" t="s">
        <v>379</v>
      </c>
      <c r="M142" s="146">
        <f t="shared" si="21"/>
        <v>1</v>
      </c>
      <c r="N142" s="146">
        <f t="shared" si="21"/>
        <v>1</v>
      </c>
      <c r="O142" s="146">
        <f t="shared" si="21"/>
        <v>1</v>
      </c>
      <c r="P142" s="146">
        <f t="shared" si="21"/>
        <v>1</v>
      </c>
      <c r="Q142" s="146">
        <f t="shared" si="21"/>
        <v>1</v>
      </c>
      <c r="R142" s="146">
        <f t="shared" si="21"/>
        <v>1</v>
      </c>
      <c r="S142" s="146">
        <f t="shared" si="21"/>
        <v>1</v>
      </c>
      <c r="T142" s="146">
        <f t="shared" si="21"/>
        <v>1</v>
      </c>
      <c r="U142" s="146">
        <f t="shared" si="21"/>
        <v>1</v>
      </c>
      <c r="V142" s="146">
        <f t="shared" si="21"/>
        <v>1</v>
      </c>
      <c r="W142" s="146"/>
      <c r="X142" s="146"/>
      <c r="Y142" s="146"/>
      <c r="Z142" s="146"/>
      <c r="AA142" s="146"/>
      <c r="AB142" s="146"/>
      <c r="AC142" s="146"/>
      <c r="AD142" s="146"/>
      <c r="AE142" s="146"/>
      <c r="AF142" s="146"/>
      <c r="AG142" s="146"/>
      <c r="AH142" s="146"/>
      <c r="AI142" s="146"/>
      <c r="AJ142" s="146">
        <f t="shared" si="21"/>
        <v>1</v>
      </c>
      <c r="AK142" s="147"/>
    </row>
    <row r="143" spans="11:37" ht="19.5" customHeight="1"/>
    <row r="144" spans="11:37" ht="18.75" customHeight="1">
      <c r="L144" s="68" t="s">
        <v>369</v>
      </c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  <c r="AJ144" s="68"/>
      <c r="AK144" s="68"/>
    </row>
    <row r="145" spans="11:37" ht="18.75" customHeight="1">
      <c r="K145" s="127" t="s">
        <v>340</v>
      </c>
      <c r="L145" s="128" t="s">
        <v>370</v>
      </c>
      <c r="M145" s="309" t="str">
        <f>J46</f>
        <v>Open White</v>
      </c>
      <c r="N145" s="310"/>
      <c r="O145" s="310"/>
      <c r="P145" s="310"/>
      <c r="Q145" s="310"/>
      <c r="R145" s="310"/>
      <c r="S145" s="310"/>
      <c r="T145" s="310"/>
      <c r="U145" s="310"/>
      <c r="V145" s="310"/>
      <c r="W145" s="310"/>
      <c r="X145" s="310"/>
      <c r="Y145" s="310"/>
      <c r="Z145" s="310"/>
      <c r="AA145" s="310"/>
      <c r="AB145" s="310"/>
      <c r="AC145" s="310"/>
      <c r="AD145" s="310"/>
      <c r="AE145" s="310"/>
      <c r="AF145" s="310"/>
      <c r="AG145" s="310"/>
      <c r="AH145" s="310"/>
      <c r="AI145" s="310"/>
      <c r="AJ145" s="311"/>
      <c r="AK145" s="129"/>
    </row>
    <row r="146" spans="11:37" ht="18.75" customHeight="1">
      <c r="K146" s="306" t="str">
        <f>K46</f>
        <v>00030</v>
      </c>
      <c r="L146" s="130" t="s">
        <v>372</v>
      </c>
      <c r="M146" s="131">
        <v>37</v>
      </c>
      <c r="N146" s="131">
        <v>38</v>
      </c>
      <c r="O146" s="131">
        <v>39</v>
      </c>
      <c r="P146" s="131">
        <v>40</v>
      </c>
      <c r="Q146" s="131">
        <v>41</v>
      </c>
      <c r="R146" s="131">
        <v>42</v>
      </c>
      <c r="S146" s="131">
        <v>43</v>
      </c>
      <c r="T146" s="131">
        <v>44</v>
      </c>
      <c r="U146" s="131">
        <v>45</v>
      </c>
      <c r="V146" s="131">
        <v>46</v>
      </c>
      <c r="W146" s="131" t="s">
        <v>341</v>
      </c>
      <c r="X146" s="131" t="s">
        <v>342</v>
      </c>
      <c r="Y146" s="131" t="s">
        <v>343</v>
      </c>
      <c r="Z146" s="131" t="s">
        <v>344</v>
      </c>
      <c r="AA146" s="131" t="s">
        <v>345</v>
      </c>
      <c r="AB146" s="131" t="s">
        <v>346</v>
      </c>
      <c r="AC146" s="131" t="s">
        <v>347</v>
      </c>
      <c r="AD146" s="131" t="s">
        <v>348</v>
      </c>
      <c r="AE146" s="131" t="s">
        <v>349</v>
      </c>
      <c r="AF146" s="131" t="s">
        <v>180</v>
      </c>
      <c r="AG146" s="131" t="s">
        <v>182</v>
      </c>
      <c r="AH146" s="131" t="s">
        <v>183</v>
      </c>
      <c r="AI146" s="131" t="s">
        <v>184</v>
      </c>
      <c r="AJ146" s="132" t="s">
        <v>320</v>
      </c>
      <c r="AK146" s="133"/>
    </row>
    <row r="147" spans="11:37" ht="18.75" customHeight="1">
      <c r="K147" s="307"/>
      <c r="L147" s="134" t="s">
        <v>374</v>
      </c>
      <c r="M147" s="135">
        <v>0</v>
      </c>
      <c r="N147" s="135">
        <v>5</v>
      </c>
      <c r="O147" s="135">
        <v>7</v>
      </c>
      <c r="P147" s="135">
        <v>0</v>
      </c>
      <c r="Q147" s="135">
        <v>8</v>
      </c>
      <c r="R147" s="135">
        <v>7</v>
      </c>
      <c r="S147" s="135">
        <v>6</v>
      </c>
      <c r="T147" s="135">
        <v>4</v>
      </c>
      <c r="U147" s="135">
        <v>0</v>
      </c>
      <c r="V147" s="135">
        <v>1</v>
      </c>
      <c r="W147" s="135"/>
      <c r="X147" s="135"/>
      <c r="Y147" s="135"/>
      <c r="Z147" s="135"/>
      <c r="AA147" s="135"/>
      <c r="AB147" s="135"/>
      <c r="AC147" s="135"/>
      <c r="AD147" s="135"/>
      <c r="AE147" s="135"/>
      <c r="AF147" s="135"/>
      <c r="AG147" s="135"/>
      <c r="AH147" s="135"/>
      <c r="AI147" s="135"/>
      <c r="AJ147" s="135">
        <f t="shared" si="18"/>
        <v>38</v>
      </c>
      <c r="AK147" s="136"/>
    </row>
    <row r="148" spans="11:37" ht="18" customHeight="1">
      <c r="K148" s="307"/>
      <c r="L148" s="137" t="s">
        <v>376</v>
      </c>
      <c r="M148" s="135"/>
      <c r="N148" s="135"/>
      <c r="O148" s="135"/>
      <c r="P148" s="135"/>
      <c r="Q148" s="135"/>
      <c r="R148" s="135"/>
      <c r="S148" s="135"/>
      <c r="T148" s="135"/>
      <c r="U148" s="135"/>
      <c r="V148" s="135"/>
      <c r="W148" s="135"/>
      <c r="X148" s="135"/>
      <c r="Y148" s="135"/>
      <c r="Z148" s="135"/>
      <c r="AA148" s="135"/>
      <c r="AB148" s="135"/>
      <c r="AC148" s="135"/>
      <c r="AD148" s="135"/>
      <c r="AE148" s="135"/>
      <c r="AF148" s="135"/>
      <c r="AG148" s="135"/>
      <c r="AH148" s="135"/>
      <c r="AI148" s="135"/>
      <c r="AJ148" s="135">
        <f t="shared" si="18"/>
        <v>0</v>
      </c>
      <c r="AK148" s="138"/>
    </row>
    <row r="149" spans="11:37" ht="18.75" customHeight="1">
      <c r="K149" s="307"/>
      <c r="L149" s="139" t="s">
        <v>377</v>
      </c>
      <c r="M149" s="140">
        <f t="shared" ref="M149:AH149" si="33">M48</f>
        <v>0</v>
      </c>
      <c r="N149" s="140">
        <f t="shared" si="33"/>
        <v>5</v>
      </c>
      <c r="O149" s="140">
        <f t="shared" si="33"/>
        <v>7</v>
      </c>
      <c r="P149" s="140">
        <f t="shared" si="33"/>
        <v>0</v>
      </c>
      <c r="Q149" s="140">
        <f t="shared" si="33"/>
        <v>8</v>
      </c>
      <c r="R149" s="140">
        <f t="shared" si="33"/>
        <v>7</v>
      </c>
      <c r="S149" s="140">
        <f t="shared" si="33"/>
        <v>6</v>
      </c>
      <c r="T149" s="140">
        <f t="shared" si="33"/>
        <v>4</v>
      </c>
      <c r="U149" s="140">
        <f t="shared" si="33"/>
        <v>0</v>
      </c>
      <c r="V149" s="140">
        <f t="shared" si="33"/>
        <v>1</v>
      </c>
      <c r="W149" s="140">
        <f t="shared" si="33"/>
        <v>0</v>
      </c>
      <c r="X149" s="140">
        <f t="shared" si="33"/>
        <v>0</v>
      </c>
      <c r="Y149" s="140">
        <f t="shared" si="33"/>
        <v>0</v>
      </c>
      <c r="Z149" s="140">
        <f t="shared" si="33"/>
        <v>0</v>
      </c>
      <c r="AA149" s="140">
        <f t="shared" si="33"/>
        <v>0</v>
      </c>
      <c r="AB149" s="140">
        <f t="shared" si="33"/>
        <v>0</v>
      </c>
      <c r="AC149" s="140">
        <f t="shared" si="33"/>
        <v>0</v>
      </c>
      <c r="AD149" s="140">
        <f t="shared" si="33"/>
        <v>0</v>
      </c>
      <c r="AE149" s="140">
        <f t="shared" si="33"/>
        <v>0</v>
      </c>
      <c r="AF149" s="140">
        <f t="shared" si="33"/>
        <v>0</v>
      </c>
      <c r="AG149" s="140">
        <f t="shared" si="33"/>
        <v>0</v>
      </c>
      <c r="AH149" s="140">
        <f t="shared" si="33"/>
        <v>0</v>
      </c>
      <c r="AI149" s="140"/>
      <c r="AJ149" s="140">
        <f t="shared" si="18"/>
        <v>38</v>
      </c>
      <c r="AK149" s="141"/>
    </row>
    <row r="150" spans="11:37" ht="18.75" customHeight="1">
      <c r="K150" s="307"/>
      <c r="L150" s="238" t="s">
        <v>378</v>
      </c>
      <c r="M150" s="142">
        <f t="shared" si="20"/>
        <v>0</v>
      </c>
      <c r="N150" s="142">
        <f t="shared" si="20"/>
        <v>5</v>
      </c>
      <c r="O150" s="142">
        <f t="shared" si="20"/>
        <v>7</v>
      </c>
      <c r="P150" s="142">
        <f t="shared" si="20"/>
        <v>0</v>
      </c>
      <c r="Q150" s="142">
        <f t="shared" si="20"/>
        <v>8</v>
      </c>
      <c r="R150" s="142">
        <f t="shared" si="20"/>
        <v>7</v>
      </c>
      <c r="S150" s="142">
        <f t="shared" si="20"/>
        <v>6</v>
      </c>
      <c r="T150" s="142">
        <f t="shared" si="20"/>
        <v>4</v>
      </c>
      <c r="U150" s="142">
        <f t="shared" si="20"/>
        <v>0</v>
      </c>
      <c r="V150" s="142">
        <f t="shared" si="20"/>
        <v>1</v>
      </c>
      <c r="W150" s="142">
        <f t="shared" si="20"/>
        <v>0</v>
      </c>
      <c r="X150" s="142">
        <f t="shared" si="20"/>
        <v>0</v>
      </c>
      <c r="Y150" s="142">
        <f t="shared" si="20"/>
        <v>0</v>
      </c>
      <c r="Z150" s="142">
        <f t="shared" si="20"/>
        <v>0</v>
      </c>
      <c r="AA150" s="142">
        <f t="shared" si="20"/>
        <v>0</v>
      </c>
      <c r="AB150" s="142">
        <f t="shared" si="20"/>
        <v>0</v>
      </c>
      <c r="AC150" s="142">
        <f t="shared" si="20"/>
        <v>0</v>
      </c>
      <c r="AD150" s="142">
        <f t="shared" si="20"/>
        <v>0</v>
      </c>
      <c r="AE150" s="142">
        <f t="shared" si="20"/>
        <v>0</v>
      </c>
      <c r="AF150" s="142">
        <f t="shared" si="20"/>
        <v>0</v>
      </c>
      <c r="AG150" s="142">
        <f t="shared" si="20"/>
        <v>0</v>
      </c>
      <c r="AH150" s="142">
        <f t="shared" si="20"/>
        <v>0</v>
      </c>
      <c r="AI150" s="142"/>
      <c r="AJ150" s="140">
        <f t="shared" si="18"/>
        <v>38</v>
      </c>
      <c r="AK150" s="143"/>
    </row>
    <row r="151" spans="11:37" ht="18.75" customHeight="1">
      <c r="K151" s="307"/>
      <c r="L151" s="145" t="s">
        <v>379</v>
      </c>
      <c r="M151" s="146"/>
      <c r="N151" s="146">
        <f t="shared" si="21"/>
        <v>1</v>
      </c>
      <c r="O151" s="146">
        <f t="shared" si="21"/>
        <v>1</v>
      </c>
      <c r="P151" s="146"/>
      <c r="Q151" s="146">
        <f t="shared" si="21"/>
        <v>1</v>
      </c>
      <c r="R151" s="146">
        <f t="shared" si="21"/>
        <v>1</v>
      </c>
      <c r="S151" s="146">
        <f t="shared" si="21"/>
        <v>1</v>
      </c>
      <c r="T151" s="146">
        <f t="shared" si="21"/>
        <v>1</v>
      </c>
      <c r="U151" s="146"/>
      <c r="V151" s="146">
        <f t="shared" si="21"/>
        <v>1</v>
      </c>
      <c r="W151" s="146"/>
      <c r="X151" s="146"/>
      <c r="Y151" s="146"/>
      <c r="Z151" s="146"/>
      <c r="AA151" s="146"/>
      <c r="AB151" s="146"/>
      <c r="AC151" s="146"/>
      <c r="AD151" s="146"/>
      <c r="AE151" s="146"/>
      <c r="AF151" s="146"/>
      <c r="AG151" s="146"/>
      <c r="AH151" s="146"/>
      <c r="AI151" s="146"/>
      <c r="AJ151" s="146">
        <f t="shared" si="21"/>
        <v>1</v>
      </c>
      <c r="AK151" s="147"/>
    </row>
    <row r="152" spans="11:37" ht="18" customHeight="1">
      <c r="L152" s="68" t="s">
        <v>369</v>
      </c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  <c r="AJ152" s="68"/>
      <c r="AK152" s="68"/>
    </row>
    <row r="153" spans="11:37" ht="18.75" customHeight="1">
      <c r="L153" s="68" t="s">
        <v>369</v>
      </c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  <c r="AJ153" s="68"/>
      <c r="AK153" s="68"/>
    </row>
    <row r="154" spans="11:37" ht="18.75" customHeight="1">
      <c r="K154" s="127" t="s">
        <v>340</v>
      </c>
      <c r="L154" s="128" t="s">
        <v>370</v>
      </c>
      <c r="M154" s="309" t="str">
        <f>J65</f>
        <v>Open White</v>
      </c>
      <c r="N154" s="310"/>
      <c r="O154" s="310"/>
      <c r="P154" s="310"/>
      <c r="Q154" s="310"/>
      <c r="R154" s="310"/>
      <c r="S154" s="310"/>
      <c r="T154" s="310"/>
      <c r="U154" s="310"/>
      <c r="V154" s="310"/>
      <c r="W154" s="310"/>
      <c r="X154" s="310"/>
      <c r="Y154" s="310"/>
      <c r="Z154" s="310"/>
      <c r="AA154" s="310"/>
      <c r="AB154" s="310"/>
      <c r="AC154" s="310"/>
      <c r="AD154" s="310"/>
      <c r="AE154" s="310"/>
      <c r="AF154" s="310"/>
      <c r="AG154" s="310"/>
      <c r="AH154" s="310"/>
      <c r="AI154" s="310"/>
      <c r="AJ154" s="311"/>
      <c r="AK154" s="129"/>
    </row>
    <row r="155" spans="11:37" ht="18.75" customHeight="1">
      <c r="K155" s="306" t="str">
        <f>K57</f>
        <v>00040</v>
      </c>
      <c r="L155" s="130" t="s">
        <v>372</v>
      </c>
      <c r="M155" s="131">
        <v>37</v>
      </c>
      <c r="N155" s="131">
        <v>38</v>
      </c>
      <c r="O155" s="131">
        <v>39</v>
      </c>
      <c r="P155" s="131">
        <v>40</v>
      </c>
      <c r="Q155" s="131">
        <v>41</v>
      </c>
      <c r="R155" s="131">
        <v>42</v>
      </c>
      <c r="S155" s="131">
        <v>43</v>
      </c>
      <c r="T155" s="131">
        <v>44</v>
      </c>
      <c r="U155" s="131">
        <v>45</v>
      </c>
      <c r="V155" s="131">
        <v>46</v>
      </c>
      <c r="W155" s="131" t="s">
        <v>341</v>
      </c>
      <c r="X155" s="131" t="s">
        <v>342</v>
      </c>
      <c r="Y155" s="131" t="s">
        <v>343</v>
      </c>
      <c r="Z155" s="131" t="s">
        <v>344</v>
      </c>
      <c r="AA155" s="131" t="s">
        <v>345</v>
      </c>
      <c r="AB155" s="131" t="s">
        <v>346</v>
      </c>
      <c r="AC155" s="131" t="s">
        <v>347</v>
      </c>
      <c r="AD155" s="131" t="s">
        <v>348</v>
      </c>
      <c r="AE155" s="131" t="s">
        <v>349</v>
      </c>
      <c r="AF155" s="131" t="s">
        <v>180</v>
      </c>
      <c r="AG155" s="131" t="s">
        <v>182</v>
      </c>
      <c r="AH155" s="131" t="s">
        <v>183</v>
      </c>
      <c r="AI155" s="131" t="s">
        <v>184</v>
      </c>
      <c r="AJ155" s="132" t="s">
        <v>320</v>
      </c>
      <c r="AK155" s="133"/>
    </row>
    <row r="156" spans="11:37" ht="18.75" customHeight="1">
      <c r="K156" s="307"/>
      <c r="L156" s="134" t="s">
        <v>374</v>
      </c>
      <c r="M156" s="135">
        <v>19</v>
      </c>
      <c r="N156" s="135">
        <v>161</v>
      </c>
      <c r="O156" s="135">
        <v>364</v>
      </c>
      <c r="P156" s="135">
        <v>459</v>
      </c>
      <c r="Q156" s="135">
        <v>551</v>
      </c>
      <c r="R156" s="135">
        <v>588</v>
      </c>
      <c r="S156" s="135">
        <v>427</v>
      </c>
      <c r="T156" s="135">
        <v>259</v>
      </c>
      <c r="U156" s="135">
        <v>73</v>
      </c>
      <c r="V156" s="135">
        <v>26</v>
      </c>
      <c r="W156" s="135">
        <v>2</v>
      </c>
      <c r="X156" s="135">
        <v>15</v>
      </c>
      <c r="Y156" s="135">
        <v>16</v>
      </c>
      <c r="Z156" s="135">
        <v>22</v>
      </c>
      <c r="AA156" s="135">
        <v>17</v>
      </c>
      <c r="AB156" s="135">
        <v>10</v>
      </c>
      <c r="AC156" s="135">
        <v>15</v>
      </c>
      <c r="AD156" s="135"/>
      <c r="AE156" s="135"/>
      <c r="AF156" s="135"/>
      <c r="AG156" s="135"/>
      <c r="AH156" s="135"/>
      <c r="AI156" s="135"/>
      <c r="AJ156" s="135">
        <f t="shared" si="18"/>
        <v>3024</v>
      </c>
      <c r="AK156" s="136"/>
    </row>
    <row r="157" spans="11:37" ht="18" customHeight="1">
      <c r="K157" s="307"/>
      <c r="L157" s="137" t="s">
        <v>376</v>
      </c>
      <c r="M157" s="135"/>
      <c r="N157" s="135"/>
      <c r="O157" s="135"/>
      <c r="P157" s="135"/>
      <c r="Q157" s="135"/>
      <c r="R157" s="135"/>
      <c r="S157" s="135"/>
      <c r="T157" s="135"/>
      <c r="U157" s="135"/>
      <c r="V157" s="135"/>
      <c r="W157" s="135"/>
      <c r="X157" s="135"/>
      <c r="Y157" s="135"/>
      <c r="Z157" s="135"/>
      <c r="AA157" s="135"/>
      <c r="AB157" s="135"/>
      <c r="AC157" s="135"/>
      <c r="AD157" s="135"/>
      <c r="AE157" s="135"/>
      <c r="AF157" s="135"/>
      <c r="AG157" s="135"/>
      <c r="AH157" s="135"/>
      <c r="AI157" s="135"/>
      <c r="AJ157" s="135">
        <f t="shared" si="18"/>
        <v>0</v>
      </c>
      <c r="AK157" s="138"/>
    </row>
    <row r="158" spans="11:37" ht="18.75" customHeight="1">
      <c r="K158" s="307"/>
      <c r="L158" s="139" t="s">
        <v>377</v>
      </c>
      <c r="M158" s="140">
        <f t="shared" ref="M158:AH158" si="34">M73</f>
        <v>19</v>
      </c>
      <c r="N158" s="140">
        <f t="shared" si="34"/>
        <v>161</v>
      </c>
      <c r="O158" s="140">
        <f t="shared" si="34"/>
        <v>364</v>
      </c>
      <c r="P158" s="140">
        <f t="shared" si="34"/>
        <v>459</v>
      </c>
      <c r="Q158" s="140">
        <f t="shared" si="34"/>
        <v>551</v>
      </c>
      <c r="R158" s="140">
        <f t="shared" si="34"/>
        <v>588</v>
      </c>
      <c r="S158" s="140">
        <f t="shared" si="34"/>
        <v>427</v>
      </c>
      <c r="T158" s="140">
        <f t="shared" si="34"/>
        <v>259</v>
      </c>
      <c r="U158" s="140">
        <f t="shared" si="34"/>
        <v>73</v>
      </c>
      <c r="V158" s="140">
        <f t="shared" si="34"/>
        <v>26</v>
      </c>
      <c r="W158" s="140">
        <f t="shared" si="34"/>
        <v>2</v>
      </c>
      <c r="X158" s="140">
        <f t="shared" si="34"/>
        <v>15</v>
      </c>
      <c r="Y158" s="140">
        <f t="shared" si="34"/>
        <v>16</v>
      </c>
      <c r="Z158" s="140">
        <f t="shared" si="34"/>
        <v>22</v>
      </c>
      <c r="AA158" s="140">
        <f t="shared" si="34"/>
        <v>17</v>
      </c>
      <c r="AB158" s="140">
        <f t="shared" si="34"/>
        <v>10</v>
      </c>
      <c r="AC158" s="140">
        <f t="shared" si="34"/>
        <v>15</v>
      </c>
      <c r="AD158" s="140">
        <f t="shared" si="34"/>
        <v>0</v>
      </c>
      <c r="AE158" s="140">
        <f t="shared" si="34"/>
        <v>0</v>
      </c>
      <c r="AF158" s="140">
        <f t="shared" si="34"/>
        <v>0</v>
      </c>
      <c r="AG158" s="140">
        <f t="shared" si="34"/>
        <v>0</v>
      </c>
      <c r="AH158" s="140">
        <f t="shared" si="34"/>
        <v>0</v>
      </c>
      <c r="AI158" s="140"/>
      <c r="AJ158" s="140">
        <f t="shared" si="18"/>
        <v>3024</v>
      </c>
      <c r="AK158" s="141"/>
    </row>
    <row r="159" spans="11:37" ht="18.75" customHeight="1">
      <c r="K159" s="307"/>
      <c r="L159" s="238" t="s">
        <v>378</v>
      </c>
      <c r="M159" s="142">
        <f t="shared" si="20"/>
        <v>19</v>
      </c>
      <c r="N159" s="142">
        <f t="shared" si="20"/>
        <v>161</v>
      </c>
      <c r="O159" s="142">
        <f t="shared" si="20"/>
        <v>364</v>
      </c>
      <c r="P159" s="142">
        <f t="shared" si="20"/>
        <v>459</v>
      </c>
      <c r="Q159" s="142">
        <f t="shared" si="20"/>
        <v>551</v>
      </c>
      <c r="R159" s="142">
        <f t="shared" si="20"/>
        <v>588</v>
      </c>
      <c r="S159" s="142">
        <f t="shared" si="20"/>
        <v>427</v>
      </c>
      <c r="T159" s="142">
        <f t="shared" si="20"/>
        <v>259</v>
      </c>
      <c r="U159" s="142">
        <f t="shared" si="20"/>
        <v>73</v>
      </c>
      <c r="V159" s="142">
        <f t="shared" si="20"/>
        <v>26</v>
      </c>
      <c r="W159" s="142">
        <f t="shared" si="20"/>
        <v>2</v>
      </c>
      <c r="X159" s="142">
        <f t="shared" si="20"/>
        <v>15</v>
      </c>
      <c r="Y159" s="142">
        <f t="shared" si="20"/>
        <v>16</v>
      </c>
      <c r="Z159" s="142">
        <f t="shared" si="20"/>
        <v>22</v>
      </c>
      <c r="AA159" s="142">
        <f t="shared" si="20"/>
        <v>17</v>
      </c>
      <c r="AB159" s="142">
        <f t="shared" si="20"/>
        <v>10</v>
      </c>
      <c r="AC159" s="142">
        <f t="shared" si="20"/>
        <v>15</v>
      </c>
      <c r="AD159" s="142">
        <f t="shared" si="20"/>
        <v>0</v>
      </c>
      <c r="AE159" s="142">
        <f t="shared" si="20"/>
        <v>0</v>
      </c>
      <c r="AF159" s="142">
        <f t="shared" si="20"/>
        <v>0</v>
      </c>
      <c r="AG159" s="142">
        <f t="shared" si="20"/>
        <v>0</v>
      </c>
      <c r="AH159" s="142">
        <f t="shared" si="20"/>
        <v>0</v>
      </c>
      <c r="AI159" s="142"/>
      <c r="AJ159" s="140">
        <f t="shared" si="18"/>
        <v>3024</v>
      </c>
      <c r="AK159" s="143"/>
    </row>
    <row r="160" spans="11:37" ht="18.75" customHeight="1">
      <c r="K160" s="307"/>
      <c r="L160" s="145" t="s">
        <v>379</v>
      </c>
      <c r="M160" s="146">
        <f t="shared" si="21"/>
        <v>1</v>
      </c>
      <c r="N160" s="146">
        <f t="shared" si="21"/>
        <v>1</v>
      </c>
      <c r="O160" s="146">
        <f t="shared" si="21"/>
        <v>1</v>
      </c>
      <c r="P160" s="146">
        <f t="shared" si="21"/>
        <v>1</v>
      </c>
      <c r="Q160" s="146">
        <f t="shared" si="21"/>
        <v>1</v>
      </c>
      <c r="R160" s="146">
        <f t="shared" si="21"/>
        <v>1</v>
      </c>
      <c r="S160" s="146">
        <f t="shared" si="21"/>
        <v>1</v>
      </c>
      <c r="T160" s="146">
        <f t="shared" si="21"/>
        <v>1</v>
      </c>
      <c r="U160" s="146">
        <f t="shared" si="21"/>
        <v>1</v>
      </c>
      <c r="V160" s="146">
        <f t="shared" si="21"/>
        <v>1</v>
      </c>
      <c r="W160" s="146">
        <f t="shared" si="21"/>
        <v>1</v>
      </c>
      <c r="X160" s="146">
        <f t="shared" si="21"/>
        <v>1</v>
      </c>
      <c r="Y160" s="146">
        <f t="shared" si="21"/>
        <v>1</v>
      </c>
      <c r="Z160" s="146">
        <f t="shared" si="21"/>
        <v>1</v>
      </c>
      <c r="AA160" s="146">
        <f t="shared" si="21"/>
        <v>1</v>
      </c>
      <c r="AB160" s="146">
        <f t="shared" si="21"/>
        <v>1</v>
      </c>
      <c r="AC160" s="146">
        <f t="shared" si="21"/>
        <v>1</v>
      </c>
      <c r="AD160" s="146"/>
      <c r="AE160" s="146"/>
      <c r="AF160" s="146"/>
      <c r="AG160" s="146"/>
      <c r="AH160" s="146"/>
      <c r="AI160" s="146"/>
      <c r="AJ160" s="146">
        <f t="shared" si="21"/>
        <v>1</v>
      </c>
      <c r="AK160" s="147"/>
    </row>
    <row r="162" spans="11:37" ht="18.75" customHeight="1">
      <c r="L162" s="68" t="s">
        <v>369</v>
      </c>
    </row>
    <row r="163" spans="11:37" ht="18.75" customHeight="1">
      <c r="K163" s="127" t="s">
        <v>340</v>
      </c>
      <c r="L163" s="128" t="s">
        <v>370</v>
      </c>
      <c r="M163" s="309" t="str">
        <f>J78</f>
        <v>Dark Blue</v>
      </c>
      <c r="N163" s="310"/>
      <c r="O163" s="310"/>
      <c r="P163" s="310"/>
      <c r="Q163" s="310"/>
      <c r="R163" s="310"/>
      <c r="S163" s="310"/>
      <c r="T163" s="310"/>
      <c r="U163" s="310"/>
      <c r="V163" s="310"/>
      <c r="W163" s="310"/>
      <c r="X163" s="310"/>
      <c r="Y163" s="310"/>
      <c r="Z163" s="310"/>
      <c r="AA163" s="310"/>
      <c r="AB163" s="310"/>
      <c r="AC163" s="310"/>
      <c r="AD163" s="310"/>
      <c r="AE163" s="310"/>
      <c r="AF163" s="310"/>
      <c r="AG163" s="310"/>
      <c r="AH163" s="310"/>
      <c r="AI163" s="310"/>
      <c r="AJ163" s="311"/>
      <c r="AK163" s="129"/>
    </row>
    <row r="164" spans="11:37" ht="18.75" customHeight="1">
      <c r="K164" s="306" t="str">
        <f t="shared" ref="K164:AH167" si="35">K77</f>
        <v>00050</v>
      </c>
      <c r="L164" s="130" t="s">
        <v>372</v>
      </c>
      <c r="M164" s="131">
        <v>37</v>
      </c>
      <c r="N164" s="131">
        <v>38</v>
      </c>
      <c r="O164" s="131">
        <v>39</v>
      </c>
      <c r="P164" s="131">
        <v>40</v>
      </c>
      <c r="Q164" s="131">
        <v>41</v>
      </c>
      <c r="R164" s="131">
        <v>42</v>
      </c>
      <c r="S164" s="131">
        <v>43</v>
      </c>
      <c r="T164" s="131">
        <v>44</v>
      </c>
      <c r="U164" s="131">
        <v>45</v>
      </c>
      <c r="V164" s="131">
        <v>46</v>
      </c>
      <c r="W164" s="131" t="s">
        <v>341</v>
      </c>
      <c r="X164" s="131" t="s">
        <v>342</v>
      </c>
      <c r="Y164" s="131" t="s">
        <v>343</v>
      </c>
      <c r="Z164" s="131" t="s">
        <v>344</v>
      </c>
      <c r="AA164" s="131" t="s">
        <v>345</v>
      </c>
      <c r="AB164" s="131" t="s">
        <v>346</v>
      </c>
      <c r="AC164" s="131" t="s">
        <v>347</v>
      </c>
      <c r="AD164" s="131" t="s">
        <v>348</v>
      </c>
      <c r="AE164" s="131" t="s">
        <v>349</v>
      </c>
      <c r="AF164" s="131" t="s">
        <v>180</v>
      </c>
      <c r="AG164" s="131" t="s">
        <v>182</v>
      </c>
      <c r="AH164" s="131" t="s">
        <v>183</v>
      </c>
      <c r="AI164" s="131" t="s">
        <v>184</v>
      </c>
      <c r="AJ164" s="132" t="s">
        <v>320</v>
      </c>
      <c r="AK164" s="133"/>
    </row>
    <row r="165" spans="11:37" ht="18.75" customHeight="1">
      <c r="K165" s="307"/>
      <c r="L165" s="134" t="s">
        <v>374</v>
      </c>
      <c r="M165" s="135">
        <v>0</v>
      </c>
      <c r="N165" s="135">
        <v>1</v>
      </c>
      <c r="O165" s="135">
        <v>3</v>
      </c>
      <c r="P165" s="135">
        <v>3</v>
      </c>
      <c r="Q165" s="135">
        <v>4</v>
      </c>
      <c r="R165" s="135">
        <v>5</v>
      </c>
      <c r="S165" s="135">
        <v>3</v>
      </c>
      <c r="T165" s="135">
        <v>3</v>
      </c>
      <c r="U165" s="135">
        <v>1</v>
      </c>
      <c r="V165" s="135"/>
      <c r="W165" s="135"/>
      <c r="X165" s="135"/>
      <c r="Y165" s="135"/>
      <c r="Z165" s="135"/>
      <c r="AA165" s="135"/>
      <c r="AB165" s="135"/>
      <c r="AC165" s="135"/>
      <c r="AD165" s="135"/>
      <c r="AE165" s="135"/>
      <c r="AF165" s="135"/>
      <c r="AG165" s="135">
        <v>1</v>
      </c>
      <c r="AH165" s="135"/>
      <c r="AI165" s="135"/>
      <c r="AJ165" s="135">
        <f t="shared" si="18"/>
        <v>24</v>
      </c>
      <c r="AK165" s="136"/>
    </row>
    <row r="166" spans="11:37" ht="18" customHeight="1">
      <c r="K166" s="307"/>
      <c r="L166" s="137" t="s">
        <v>376</v>
      </c>
      <c r="M166" s="135"/>
      <c r="N166" s="135"/>
      <c r="O166" s="135"/>
      <c r="P166" s="135"/>
      <c r="Q166" s="135"/>
      <c r="R166" s="135"/>
      <c r="S166" s="135"/>
      <c r="T166" s="135"/>
      <c r="U166" s="135"/>
      <c r="V166" s="135"/>
      <c r="W166" s="135"/>
      <c r="X166" s="135"/>
      <c r="Y166" s="135"/>
      <c r="Z166" s="135"/>
      <c r="AA166" s="135"/>
      <c r="AB166" s="135"/>
      <c r="AC166" s="135"/>
      <c r="AD166" s="135"/>
      <c r="AE166" s="135"/>
      <c r="AF166" s="135"/>
      <c r="AG166" s="135"/>
      <c r="AH166" s="135"/>
      <c r="AI166" s="135"/>
      <c r="AJ166" s="135">
        <f t="shared" si="18"/>
        <v>0</v>
      </c>
      <c r="AK166" s="138"/>
    </row>
    <row r="167" spans="11:37" ht="18.75" customHeight="1">
      <c r="K167" s="307"/>
      <c r="L167" s="139" t="s">
        <v>377</v>
      </c>
      <c r="M167" s="140">
        <f t="shared" si="35"/>
        <v>0</v>
      </c>
      <c r="N167" s="140">
        <f t="shared" si="35"/>
        <v>1</v>
      </c>
      <c r="O167" s="140">
        <f t="shared" si="35"/>
        <v>3</v>
      </c>
      <c r="P167" s="140">
        <f t="shared" si="35"/>
        <v>3</v>
      </c>
      <c r="Q167" s="140">
        <f t="shared" si="35"/>
        <v>4</v>
      </c>
      <c r="R167" s="140">
        <f t="shared" si="35"/>
        <v>5</v>
      </c>
      <c r="S167" s="140">
        <f t="shared" si="35"/>
        <v>3</v>
      </c>
      <c r="T167" s="140">
        <f t="shared" si="35"/>
        <v>3</v>
      </c>
      <c r="U167" s="140">
        <f t="shared" si="35"/>
        <v>1</v>
      </c>
      <c r="V167" s="140">
        <f t="shared" si="35"/>
        <v>0</v>
      </c>
      <c r="W167" s="140">
        <f t="shared" si="35"/>
        <v>0</v>
      </c>
      <c r="X167" s="140">
        <f t="shared" si="35"/>
        <v>0</v>
      </c>
      <c r="Y167" s="140">
        <f t="shared" si="35"/>
        <v>0</v>
      </c>
      <c r="Z167" s="140">
        <f t="shared" si="35"/>
        <v>0</v>
      </c>
      <c r="AA167" s="140">
        <f t="shared" si="35"/>
        <v>0</v>
      </c>
      <c r="AB167" s="140">
        <f t="shared" si="35"/>
        <v>0</v>
      </c>
      <c r="AC167" s="140">
        <f t="shared" si="35"/>
        <v>0</v>
      </c>
      <c r="AD167" s="140">
        <f t="shared" si="35"/>
        <v>0</v>
      </c>
      <c r="AE167" s="140">
        <f t="shared" si="35"/>
        <v>0</v>
      </c>
      <c r="AF167" s="140">
        <f t="shared" si="35"/>
        <v>0</v>
      </c>
      <c r="AG167" s="140">
        <f t="shared" si="35"/>
        <v>1</v>
      </c>
      <c r="AH167" s="140">
        <f t="shared" si="35"/>
        <v>0</v>
      </c>
      <c r="AI167" s="140"/>
      <c r="AJ167" s="140">
        <f t="shared" si="18"/>
        <v>24</v>
      </c>
      <c r="AK167" s="141"/>
    </row>
    <row r="168" spans="11:37" ht="18.75" customHeight="1">
      <c r="K168" s="307"/>
      <c r="L168" s="238" t="s">
        <v>378</v>
      </c>
      <c r="M168" s="142">
        <f t="shared" si="20"/>
        <v>0</v>
      </c>
      <c r="N168" s="142">
        <f t="shared" si="20"/>
        <v>1</v>
      </c>
      <c r="O168" s="142">
        <f t="shared" si="20"/>
        <v>3</v>
      </c>
      <c r="P168" s="142">
        <f t="shared" si="20"/>
        <v>3</v>
      </c>
      <c r="Q168" s="142">
        <f t="shared" si="20"/>
        <v>4</v>
      </c>
      <c r="R168" s="142">
        <f t="shared" si="20"/>
        <v>5</v>
      </c>
      <c r="S168" s="142">
        <f t="shared" si="20"/>
        <v>3</v>
      </c>
      <c r="T168" s="142">
        <f t="shared" si="20"/>
        <v>3</v>
      </c>
      <c r="U168" s="142">
        <f t="shared" si="20"/>
        <v>1</v>
      </c>
      <c r="V168" s="142">
        <f t="shared" si="20"/>
        <v>0</v>
      </c>
      <c r="W168" s="142">
        <f t="shared" si="20"/>
        <v>0</v>
      </c>
      <c r="X168" s="142">
        <f t="shared" si="20"/>
        <v>0</v>
      </c>
      <c r="Y168" s="142">
        <f t="shared" si="20"/>
        <v>0</v>
      </c>
      <c r="Z168" s="142">
        <f t="shared" si="20"/>
        <v>0</v>
      </c>
      <c r="AA168" s="142">
        <f t="shared" si="20"/>
        <v>0</v>
      </c>
      <c r="AB168" s="142">
        <f t="shared" si="20"/>
        <v>0</v>
      </c>
      <c r="AC168" s="142">
        <f t="shared" si="20"/>
        <v>0</v>
      </c>
      <c r="AD168" s="142">
        <f t="shared" si="20"/>
        <v>0</v>
      </c>
      <c r="AE168" s="142">
        <f t="shared" si="20"/>
        <v>0</v>
      </c>
      <c r="AF168" s="142">
        <f t="shared" si="20"/>
        <v>0</v>
      </c>
      <c r="AG168" s="142">
        <f t="shared" si="20"/>
        <v>1</v>
      </c>
      <c r="AH168" s="142">
        <f t="shared" si="20"/>
        <v>0</v>
      </c>
      <c r="AI168" s="142"/>
      <c r="AJ168" s="140">
        <f t="shared" si="18"/>
        <v>24</v>
      </c>
      <c r="AK168" s="143"/>
    </row>
    <row r="169" spans="11:37" ht="18.75" customHeight="1">
      <c r="K169" s="307"/>
      <c r="L169" s="145" t="s">
        <v>379</v>
      </c>
      <c r="M169" s="146"/>
      <c r="N169" s="146">
        <f t="shared" si="21"/>
        <v>1</v>
      </c>
      <c r="O169" s="146">
        <f t="shared" si="21"/>
        <v>1</v>
      </c>
      <c r="P169" s="146">
        <f t="shared" si="21"/>
        <v>1</v>
      </c>
      <c r="Q169" s="146">
        <f t="shared" si="21"/>
        <v>1</v>
      </c>
      <c r="R169" s="146">
        <f t="shared" si="21"/>
        <v>1</v>
      </c>
      <c r="S169" s="146">
        <f t="shared" si="21"/>
        <v>1</v>
      </c>
      <c r="T169" s="146">
        <f t="shared" si="21"/>
        <v>1</v>
      </c>
      <c r="U169" s="146">
        <f t="shared" si="21"/>
        <v>1</v>
      </c>
      <c r="V169" s="146"/>
      <c r="W169" s="146"/>
      <c r="X169" s="146"/>
      <c r="Y169" s="146"/>
      <c r="Z169" s="146"/>
      <c r="AA169" s="146"/>
      <c r="AB169" s="146"/>
      <c r="AC169" s="146"/>
      <c r="AD169" s="146"/>
      <c r="AE169" s="146"/>
      <c r="AF169" s="146"/>
      <c r="AG169" s="146">
        <f t="shared" si="21"/>
        <v>1</v>
      </c>
      <c r="AH169" s="146"/>
      <c r="AI169" s="146"/>
      <c r="AJ169" s="146">
        <f t="shared" si="21"/>
        <v>1</v>
      </c>
      <c r="AK169" s="147"/>
    </row>
  </sheetData>
  <sheetProtection algorithmName="SHA-512" hashValue="H6ryLi0QUItREY20MOruVTh85aqYpAKKivZVxuC9+qPjBH/AhSZl9TtSSrF0guEb4qIQaq0Qw4u38gVI6UnuaQ==" saltValue="sjQZR2jnnWLK9eu7pKSQNg==" spinCount="100000" sheet="1" objects="1" formatCells="0" formatColumns="0" formatRows="0" insertColumns="0" insertRows="0" insertHyperlinks="0" deleteColumns="0" deleteRows="0" sort="0" autoFilter="0" pivotTables="0"/>
  <mergeCells count="89">
    <mergeCell ref="A1:P1"/>
    <mergeCell ref="A2:P2"/>
    <mergeCell ref="B4:C4"/>
    <mergeCell ref="E4:F4"/>
    <mergeCell ref="H4:J4"/>
    <mergeCell ref="L4:M4"/>
    <mergeCell ref="O4:P4"/>
    <mergeCell ref="A5:P5"/>
    <mergeCell ref="L6:P6"/>
    <mergeCell ref="A7:AQ7"/>
    <mergeCell ref="M21:R21"/>
    <mergeCell ref="A26:C26"/>
    <mergeCell ref="G21:G22"/>
    <mergeCell ref="H21:H22"/>
    <mergeCell ref="I21:I22"/>
    <mergeCell ref="J21:J22"/>
    <mergeCell ref="A21:C22"/>
    <mergeCell ref="M28:R28"/>
    <mergeCell ref="A41:C41"/>
    <mergeCell ref="M43:R43"/>
    <mergeCell ref="A48:C48"/>
    <mergeCell ref="M50:R50"/>
    <mergeCell ref="G28:G29"/>
    <mergeCell ref="G43:G44"/>
    <mergeCell ref="G50:G51"/>
    <mergeCell ref="H28:H29"/>
    <mergeCell ref="H43:H44"/>
    <mergeCell ref="H50:H51"/>
    <mergeCell ref="I28:I29"/>
    <mergeCell ref="I43:I44"/>
    <mergeCell ref="I50:I51"/>
    <mergeCell ref="J28:J29"/>
    <mergeCell ref="J43:J44"/>
    <mergeCell ref="M75:R75"/>
    <mergeCell ref="A80:C80"/>
    <mergeCell ref="A83:I83"/>
    <mergeCell ref="M89:AJ89"/>
    <mergeCell ref="F75:F76"/>
    <mergeCell ref="G75:G76"/>
    <mergeCell ref="H75:H76"/>
    <mergeCell ref="I75:I76"/>
    <mergeCell ref="AM92:AN92"/>
    <mergeCell ref="AO92:AP92"/>
    <mergeCell ref="AL95:AN95"/>
    <mergeCell ref="AL96:AN96"/>
    <mergeCell ref="M99:AJ99"/>
    <mergeCell ref="M108:AJ108"/>
    <mergeCell ref="M117:AJ117"/>
    <mergeCell ref="M127:AJ127"/>
    <mergeCell ref="M136:AJ136"/>
    <mergeCell ref="M145:AJ145"/>
    <mergeCell ref="M154:AJ154"/>
    <mergeCell ref="M163:AJ163"/>
    <mergeCell ref="D21:D22"/>
    <mergeCell ref="D28:D29"/>
    <mergeCell ref="D43:D44"/>
    <mergeCell ref="D50:D51"/>
    <mergeCell ref="D75:D76"/>
    <mergeCell ref="E21:E22"/>
    <mergeCell ref="E28:E29"/>
    <mergeCell ref="E43:E44"/>
    <mergeCell ref="E50:E51"/>
    <mergeCell ref="E75:E76"/>
    <mergeCell ref="F21:F22"/>
    <mergeCell ref="F28:F29"/>
    <mergeCell ref="F43:F44"/>
    <mergeCell ref="F50:F51"/>
    <mergeCell ref="K21:K22"/>
    <mergeCell ref="K28:K29"/>
    <mergeCell ref="K43:K44"/>
    <mergeCell ref="K50:K51"/>
    <mergeCell ref="K75:K76"/>
    <mergeCell ref="K146:K151"/>
    <mergeCell ref="K155:K160"/>
    <mergeCell ref="K164:K169"/>
    <mergeCell ref="L52:L72"/>
    <mergeCell ref="K90:K95"/>
    <mergeCell ref="K100:K105"/>
    <mergeCell ref="K109:K114"/>
    <mergeCell ref="K118:K123"/>
    <mergeCell ref="K128:K133"/>
    <mergeCell ref="A28:C29"/>
    <mergeCell ref="A50:C51"/>
    <mergeCell ref="A43:C44"/>
    <mergeCell ref="A75:C76"/>
    <mergeCell ref="K137:K142"/>
    <mergeCell ref="J50:J51"/>
    <mergeCell ref="J75:J76"/>
    <mergeCell ref="A73:C73"/>
  </mergeCells>
  <pageMargins left="0.16" right="0.16" top="0.08" bottom="0.04" header="0.12" footer="0.31"/>
  <pageSetup paperSize="9" scale="10" fitToHeight="0" orientation="landscape" useFirstPageNumber="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5"/>
  <sheetViews>
    <sheetView showGridLines="0" workbookViewId="0">
      <selection activeCell="C140" sqref="C140"/>
    </sheetView>
  </sheetViews>
  <sheetFormatPr defaultColWidth="8.85546875" defaultRowHeight="14.45" customHeight="1"/>
  <cols>
    <col min="1" max="1" width="5.28515625" customWidth="1"/>
    <col min="2" max="2" width="44.7109375" customWidth="1"/>
    <col min="3" max="3" width="47.85546875" customWidth="1"/>
    <col min="4" max="4" width="8.7109375" customWidth="1"/>
  </cols>
  <sheetData>
    <row r="1" spans="1:4" ht="21" customHeight="1">
      <c r="A1" s="332" t="s">
        <v>380</v>
      </c>
      <c r="B1" s="333"/>
      <c r="C1" s="333"/>
      <c r="D1" s="333"/>
    </row>
    <row r="3" spans="1:4" ht="14.45" customHeight="1">
      <c r="A3" s="1" t="s">
        <v>381</v>
      </c>
      <c r="B3" s="1" t="s">
        <v>382</v>
      </c>
      <c r="C3" s="1" t="s">
        <v>383</v>
      </c>
    </row>
    <row r="4" spans="1:4" ht="14.45" customHeight="1">
      <c r="A4">
        <v>1</v>
      </c>
      <c r="B4" t="s">
        <v>384</v>
      </c>
      <c r="C4" t="s">
        <v>385</v>
      </c>
    </row>
    <row r="5" spans="1:4" ht="14.45" customHeight="1">
      <c r="A5">
        <v>2</v>
      </c>
      <c r="B5" t="s">
        <v>386</v>
      </c>
      <c r="C5" t="s">
        <v>387</v>
      </c>
    </row>
    <row r="6" spans="1:4" ht="14.45" customHeight="1">
      <c r="A6">
        <v>3</v>
      </c>
      <c r="B6" t="s">
        <v>388</v>
      </c>
      <c r="C6" t="s">
        <v>389</v>
      </c>
    </row>
    <row r="7" spans="1:4" ht="14.45" customHeight="1">
      <c r="A7">
        <v>4</v>
      </c>
      <c r="B7" t="s">
        <v>390</v>
      </c>
      <c r="C7" t="s">
        <v>391</v>
      </c>
    </row>
    <row r="8" spans="1:4" ht="14.45" customHeight="1">
      <c r="A8">
        <v>5</v>
      </c>
      <c r="B8" t="s">
        <v>392</v>
      </c>
      <c r="C8" t="s">
        <v>393</v>
      </c>
    </row>
    <row r="9" spans="1:4" ht="14.45" customHeight="1">
      <c r="A9">
        <v>6</v>
      </c>
      <c r="B9" t="s">
        <v>394</v>
      </c>
      <c r="C9" t="s">
        <v>395</v>
      </c>
    </row>
    <row r="10" spans="1:4" ht="14.45" customHeight="1">
      <c r="A10">
        <v>7</v>
      </c>
      <c r="B10" t="s">
        <v>396</v>
      </c>
      <c r="C10" t="s">
        <v>397</v>
      </c>
    </row>
    <row r="11" spans="1:4" ht="14.45" customHeight="1">
      <c r="A11">
        <v>8</v>
      </c>
      <c r="B11" t="s">
        <v>398</v>
      </c>
      <c r="C11" t="s">
        <v>399</v>
      </c>
    </row>
    <row r="12" spans="1:4" ht="14.45" customHeight="1">
      <c r="A12">
        <v>9</v>
      </c>
      <c r="B12" t="s">
        <v>400</v>
      </c>
      <c r="C12" t="s">
        <v>401</v>
      </c>
    </row>
    <row r="13" spans="1:4" ht="14.45" customHeight="1">
      <c r="A13">
        <v>10</v>
      </c>
      <c r="B13" t="s">
        <v>402</v>
      </c>
      <c r="C13" t="s">
        <v>403</v>
      </c>
    </row>
    <row r="14" spans="1:4" ht="14.45" customHeight="1">
      <c r="A14">
        <v>11</v>
      </c>
      <c r="B14" t="s">
        <v>404</v>
      </c>
      <c r="C14" t="s">
        <v>405</v>
      </c>
    </row>
    <row r="15" spans="1:4" ht="14.45" customHeight="1">
      <c r="A15">
        <v>12</v>
      </c>
      <c r="B15" t="s">
        <v>406</v>
      </c>
      <c r="C15" t="s">
        <v>407</v>
      </c>
    </row>
  </sheetData>
  <sheetProtection algorithmName="SHA-512" hashValue="p7gFi3a9/MkhE31/F59MtYX0tkPkvM6pN8XqJhAfcy6p5/Pbiox1dhBEgd6DDUc/rgq9wFbb6xju9Kg4TcpCfw==" saltValue="iHY/WG+LlNa5GujOQdAQJw==" spinCount="100000" sheet="1" objects="1" formatCells="0" formatColumns="0" formatRows="0" insertColumns="0" insertRows="0" insertHyperlinks="0" deleteColumns="0" deleteRows="0" sort="0" autoFilter="0" pivotTables="0"/>
  <mergeCells count="1">
    <mergeCell ref="A1:D1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503"/>
  <sheetViews>
    <sheetView workbookViewId="0">
      <pane ySplit="3" topLeftCell="A4" activePane="bottomLeft" state="frozen"/>
      <selection pane="bottomLeft" activeCell="F5" sqref="F5"/>
    </sheetView>
  </sheetViews>
  <sheetFormatPr defaultColWidth="8.85546875" defaultRowHeight="14.45" customHeight="1"/>
  <cols>
    <col min="1" max="1" width="2.140625" customWidth="1"/>
    <col min="2" max="2" width="23.28515625" customWidth="1"/>
    <col min="3" max="3" width="15.5703125" customWidth="1"/>
    <col min="4" max="4" width="11.5703125" customWidth="1"/>
    <col min="5" max="5" width="21.5703125" customWidth="1"/>
    <col min="6" max="6" width="22.85546875" customWidth="1"/>
    <col min="7" max="7" width="17" customWidth="1"/>
    <col min="8" max="8" width="20.28515625" customWidth="1"/>
    <col min="9" max="9" width="26.7109375" customWidth="1"/>
    <col min="10" max="10" width="2.140625" customWidth="1"/>
    <col min="11" max="11" width="6.28515625" customWidth="1"/>
    <col min="12" max="12" width="13.5703125" customWidth="1"/>
    <col min="13" max="13" width="9.28515625" customWidth="1"/>
    <col min="14" max="15" width="9" customWidth="1"/>
    <col min="16" max="17" width="4.5703125" customWidth="1"/>
    <col min="18" max="18" width="4.7109375" customWidth="1"/>
    <col min="19" max="19" width="5.85546875" customWidth="1"/>
    <col min="20" max="22" width="3.5703125" customWidth="1"/>
  </cols>
  <sheetData>
    <row r="1" spans="1:19" ht="21.75" customHeight="1">
      <c r="A1" s="37"/>
      <c r="B1" s="341" t="s">
        <v>408</v>
      </c>
      <c r="C1" s="333"/>
      <c r="D1" s="333"/>
      <c r="E1" s="333"/>
      <c r="F1" s="333"/>
      <c r="G1" s="333"/>
      <c r="H1" s="333"/>
      <c r="I1" s="333"/>
    </row>
    <row r="2" spans="1:19" ht="15" customHeight="1">
      <c r="B2" s="342" t="s">
        <v>409</v>
      </c>
      <c r="C2" s="333"/>
      <c r="D2" s="333"/>
      <c r="E2" s="333"/>
      <c r="F2" s="333"/>
      <c r="G2" s="333"/>
      <c r="H2" s="333"/>
      <c r="I2" s="333"/>
    </row>
    <row r="3" spans="1:19" ht="7.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6.5" customHeight="1">
      <c r="A4" s="38"/>
      <c r="B4" s="334" t="s">
        <v>410</v>
      </c>
      <c r="C4" s="335"/>
      <c r="D4" s="335"/>
      <c r="E4" s="335"/>
      <c r="F4" s="335"/>
      <c r="G4" s="336"/>
      <c r="H4" s="336"/>
      <c r="I4" s="336"/>
      <c r="J4" s="39"/>
      <c r="K4" s="39"/>
      <c r="L4" s="39"/>
      <c r="M4" s="40"/>
      <c r="N4" s="40"/>
      <c r="O4" s="40"/>
      <c r="P4" s="40"/>
      <c r="Q4" s="40"/>
      <c r="R4" s="40"/>
      <c r="S4" s="38"/>
    </row>
    <row r="5" spans="1:19" ht="24" customHeight="1">
      <c r="A5" s="38"/>
      <c r="B5" s="41" t="s">
        <v>411</v>
      </c>
      <c r="C5" s="343">
        <v>4901873568</v>
      </c>
      <c r="D5" s="335"/>
      <c r="E5" s="41" t="s">
        <v>67</v>
      </c>
      <c r="F5" s="42" t="str">
        <f>IFERROR(VLOOKUP($C$5,PO_Data,15,FALSE),"")</f>
        <v/>
      </c>
      <c r="G5" s="39"/>
      <c r="H5" s="41" t="s">
        <v>412</v>
      </c>
      <c r="I5" s="43" t="str">
        <f>IF($F$5="","",$F$5&amp;" Template")</f>
        <v/>
      </c>
      <c r="J5" s="39"/>
      <c r="K5" s="39"/>
      <c r="L5" s="39"/>
      <c r="M5" s="40"/>
      <c r="N5" s="40"/>
      <c r="O5" s="40"/>
      <c r="P5" s="40"/>
      <c r="Q5" s="40"/>
      <c r="R5" s="40"/>
      <c r="S5" s="38"/>
    </row>
    <row r="6" spans="1:19" ht="7.5" customHeight="1">
      <c r="A6" s="38"/>
      <c r="B6" s="38"/>
      <c r="C6" s="38"/>
      <c r="D6" s="38"/>
      <c r="E6" s="38"/>
      <c r="F6" s="38"/>
      <c r="G6" s="39"/>
      <c r="H6" s="39"/>
      <c r="I6" s="39"/>
      <c r="J6" s="39"/>
      <c r="K6" s="39"/>
      <c r="L6" s="39"/>
      <c r="M6" s="40"/>
      <c r="N6" s="40"/>
      <c r="O6" s="40"/>
      <c r="P6" s="40"/>
      <c r="Q6" s="40"/>
      <c r="R6" s="40"/>
      <c r="S6" s="38"/>
    </row>
    <row r="7" spans="1:19" ht="16.5" customHeight="1">
      <c r="A7" s="38"/>
      <c r="B7" s="334" t="s">
        <v>413</v>
      </c>
      <c r="C7" s="335"/>
      <c r="D7" s="335"/>
      <c r="E7" s="335"/>
      <c r="F7" s="335"/>
      <c r="G7" s="336"/>
      <c r="H7" s="336"/>
      <c r="I7" s="336"/>
      <c r="J7" s="39"/>
      <c r="K7" s="39"/>
      <c r="L7" s="39"/>
      <c r="M7" s="40"/>
      <c r="N7" s="40"/>
      <c r="O7" s="40"/>
      <c r="P7" s="40"/>
      <c r="Q7" s="40"/>
      <c r="R7" s="40"/>
      <c r="S7" s="38"/>
    </row>
    <row r="8" spans="1:19" ht="21" customHeight="1">
      <c r="A8" s="38"/>
      <c r="B8" s="44" t="s">
        <v>96</v>
      </c>
      <c r="C8" s="45" t="str">
        <f>IFERROR(VLOOKUP($C$5,PO_Data,7,FALSE),"")</f>
        <v/>
      </c>
      <c r="D8" s="38"/>
      <c r="E8" s="44" t="s">
        <v>97</v>
      </c>
      <c r="F8" s="45" t="str">
        <f>IFERROR(VLOOKUP($C$5,PO_Data,8,FALSE),"")</f>
        <v/>
      </c>
      <c r="G8" s="39"/>
      <c r="H8" s="44" t="s">
        <v>98</v>
      </c>
      <c r="I8" s="45" t="str">
        <f>IFERROR(VLOOKUP($C$5,PO_Data,9,FALSE),"")</f>
        <v/>
      </c>
      <c r="J8" s="39"/>
      <c r="K8" s="39"/>
      <c r="L8" s="39"/>
      <c r="M8" s="40"/>
      <c r="N8" s="40"/>
      <c r="O8" s="40"/>
      <c r="P8" s="40"/>
      <c r="Q8" s="40"/>
      <c r="R8" s="40"/>
      <c r="S8" s="38"/>
    </row>
    <row r="9" spans="1:19" ht="21" customHeight="1">
      <c r="A9" s="38"/>
      <c r="B9" s="44" t="s">
        <v>99</v>
      </c>
      <c r="C9" s="45" t="str">
        <f>IFERROR(VLOOKUP($C$5,PO_Data,10,FALSE),"")</f>
        <v/>
      </c>
      <c r="D9" s="38"/>
      <c r="E9" s="44" t="s">
        <v>100</v>
      </c>
      <c r="F9" s="45" t="str">
        <f>IFERROR(VLOOKUP($C$5,PO_Data,11,FALSE),"")</f>
        <v/>
      </c>
      <c r="G9" s="39"/>
      <c r="H9" s="44" t="s">
        <v>101</v>
      </c>
      <c r="I9" s="45" t="str">
        <f>IFERROR(VLOOKUP($C$5,PO_Data,12,FALSE),"")</f>
        <v/>
      </c>
      <c r="J9" s="39"/>
      <c r="K9" s="39"/>
      <c r="L9" s="39"/>
      <c r="M9" s="40"/>
      <c r="N9" s="40"/>
      <c r="O9" s="40"/>
      <c r="P9" s="40"/>
      <c r="Q9" s="40"/>
      <c r="R9" s="40"/>
      <c r="S9" s="38"/>
    </row>
    <row r="10" spans="1:19" ht="21" customHeight="1">
      <c r="A10" s="38"/>
      <c r="B10" s="44" t="s">
        <v>95</v>
      </c>
      <c r="C10" s="45" t="str">
        <f>IFERROR(VLOOKUP($C$5,PO_Data,6,FALSE),"")</f>
        <v/>
      </c>
      <c r="D10" s="38"/>
      <c r="E10" s="44" t="s">
        <v>5</v>
      </c>
      <c r="F10" s="45" t="str">
        <f>IFERROR(VLOOKUP($C$5,PO_Data,3,FALSE),"")</f>
        <v/>
      </c>
      <c r="G10" s="39"/>
      <c r="H10" s="44" t="s">
        <v>93</v>
      </c>
      <c r="I10" s="45" t="str">
        <f>IFERROR(VLOOKUP($C$5,PO_Data,4,FALSE),"")</f>
        <v/>
      </c>
      <c r="J10" s="39"/>
      <c r="K10" s="39"/>
      <c r="L10" s="39"/>
      <c r="M10" s="40"/>
      <c r="N10" s="40"/>
      <c r="O10" s="40"/>
      <c r="P10" s="40"/>
      <c r="Q10" s="40"/>
      <c r="R10" s="40"/>
      <c r="S10" s="38"/>
    </row>
    <row r="11" spans="1:19" ht="21" customHeight="1">
      <c r="A11" s="38"/>
      <c r="B11" s="44" t="s">
        <v>94</v>
      </c>
      <c r="C11" s="45" t="str">
        <f>IFERROR(VLOOKUP($C$5,PO_Data,5,FALSE),"")</f>
        <v/>
      </c>
      <c r="D11" s="38"/>
      <c r="E11" s="44" t="s">
        <v>92</v>
      </c>
      <c r="F11" s="45" t="str">
        <f>IFERROR(VLOOKUP($C$5,PO_Data,2,FALSE),"")</f>
        <v/>
      </c>
      <c r="G11" s="39"/>
      <c r="H11" s="44" t="s">
        <v>102</v>
      </c>
      <c r="I11" s="45" t="str">
        <f>IFERROR(TEXT(VLOOKUP($C$5,PO_Data,13,FALSE),"dd-mmm-yyyy"),"")</f>
        <v/>
      </c>
      <c r="J11" s="39"/>
      <c r="K11" s="39"/>
      <c r="L11" s="39"/>
      <c r="M11" s="40"/>
      <c r="N11" s="40"/>
      <c r="O11" s="40"/>
      <c r="P11" s="40"/>
      <c r="Q11" s="40"/>
      <c r="R11" s="40"/>
      <c r="S11" s="38"/>
    </row>
    <row r="12" spans="1:19" ht="21" customHeight="1">
      <c r="A12" s="38"/>
      <c r="B12" s="44" t="s">
        <v>103</v>
      </c>
      <c r="C12" s="45" t="str">
        <f>IFERROR(VLOOKUP($C$5,PO_Data,14,FALSE),"")</f>
        <v/>
      </c>
      <c r="D12" s="38"/>
      <c r="E12" s="44" t="s">
        <v>414</v>
      </c>
      <c r="F12" s="45" t="str">
        <f ca="1">TEXT(TODAY(),"dd-mmm-yyyy")</f>
        <v>04-Jul-2026</v>
      </c>
      <c r="G12" s="39"/>
      <c r="H12" s="44" t="s">
        <v>415</v>
      </c>
      <c r="I12" s="45" t="s">
        <v>306</v>
      </c>
      <c r="J12" s="39"/>
      <c r="K12" s="39"/>
      <c r="L12" s="39"/>
      <c r="M12" s="40"/>
      <c r="N12" s="40"/>
      <c r="O12" s="40"/>
      <c r="P12" s="40"/>
      <c r="Q12" s="40"/>
      <c r="R12" s="40"/>
      <c r="S12" s="38"/>
    </row>
    <row r="13" spans="1:19" ht="7.5" customHeight="1">
      <c r="A13" s="38"/>
      <c r="B13" s="38"/>
      <c r="C13" s="38"/>
      <c r="D13" s="38"/>
      <c r="E13" s="38"/>
      <c r="F13" s="38"/>
      <c r="G13" s="39"/>
      <c r="H13" s="39"/>
      <c r="I13" s="39"/>
      <c r="J13" s="39"/>
      <c r="K13" s="39"/>
      <c r="L13" s="39"/>
      <c r="M13" s="40"/>
      <c r="N13" s="40"/>
      <c r="O13" s="40"/>
      <c r="P13" s="40"/>
      <c r="Q13" s="40"/>
      <c r="R13" s="40"/>
      <c r="S13" s="38"/>
    </row>
    <row r="14" spans="1:19" ht="16.5" customHeight="1">
      <c r="A14" s="38"/>
      <c r="B14" s="334" t="s">
        <v>416</v>
      </c>
      <c r="C14" s="335"/>
      <c r="D14" s="335"/>
      <c r="E14" s="335"/>
      <c r="F14" s="335"/>
      <c r="G14" s="336"/>
      <c r="H14" s="336"/>
      <c r="I14" s="336"/>
      <c r="J14" s="39"/>
      <c r="K14" s="39"/>
      <c r="L14" s="39"/>
      <c r="M14" s="40"/>
      <c r="N14" s="40"/>
      <c r="O14" s="40"/>
      <c r="P14" s="40"/>
      <c r="Q14" s="40"/>
      <c r="R14" s="40"/>
      <c r="S14" s="38"/>
    </row>
    <row r="15" spans="1:19" ht="27" customHeight="1">
      <c r="A15" s="38"/>
      <c r="B15" s="41" t="s">
        <v>417</v>
      </c>
      <c r="C15" s="46">
        <v>14</v>
      </c>
      <c r="D15" s="38"/>
      <c r="E15" s="41" t="s">
        <v>418</v>
      </c>
      <c r="F15" s="47" t="s">
        <v>57</v>
      </c>
      <c r="G15" s="39"/>
      <c r="H15" s="41" t="s">
        <v>419</v>
      </c>
      <c r="I15" s="42" t="str">
        <f>IF(AND(ISNUMBER($C$15),$C$15&gt;=1,$C$15&lt;=100),"✅ Valid","❌ Invalid — enter 1-100")</f>
        <v>✅ Valid</v>
      </c>
      <c r="J15" s="39"/>
      <c r="K15" s="39"/>
      <c r="L15" s="39"/>
      <c r="M15" s="40"/>
      <c r="N15" s="40"/>
      <c r="O15" s="40"/>
      <c r="P15" s="40"/>
      <c r="Q15" s="40"/>
      <c r="R15" s="40"/>
      <c r="S15" s="38"/>
    </row>
    <row r="16" spans="1:19" ht="7.5" customHeight="1">
      <c r="A16" s="38"/>
      <c r="B16" s="38"/>
      <c r="C16" s="38"/>
      <c r="D16" s="38"/>
      <c r="E16" s="38"/>
      <c r="F16" s="38"/>
      <c r="G16" s="39"/>
      <c r="H16" s="39"/>
      <c r="I16" s="39"/>
      <c r="J16" s="39"/>
      <c r="K16" s="39"/>
      <c r="L16" s="39"/>
      <c r="M16" s="40"/>
      <c r="N16" s="40"/>
      <c r="O16" s="40"/>
      <c r="P16" s="40"/>
      <c r="Q16" s="40"/>
      <c r="R16" s="40"/>
      <c r="S16" s="38"/>
    </row>
    <row r="17" spans="1:22" ht="16.5" customHeight="1">
      <c r="A17" s="38"/>
      <c r="B17" s="334" t="s">
        <v>420</v>
      </c>
      <c r="C17" s="335"/>
      <c r="D17" s="335"/>
      <c r="E17" s="335"/>
      <c r="F17" s="335"/>
      <c r="G17" s="336"/>
      <c r="H17" s="336"/>
      <c r="I17" s="336"/>
      <c r="J17" s="39"/>
      <c r="K17" s="39"/>
      <c r="L17" s="39"/>
      <c r="M17" s="40"/>
      <c r="N17" s="40"/>
      <c r="O17" s="40"/>
      <c r="P17" s="40"/>
      <c r="Q17" s="40"/>
      <c r="R17" s="40"/>
      <c r="S17" s="38"/>
    </row>
    <row r="18" spans="1:22" ht="15.75" customHeight="1">
      <c r="A18" s="38"/>
      <c r="B18" s="48" t="s">
        <v>176</v>
      </c>
      <c r="C18" s="48" t="s">
        <v>421</v>
      </c>
      <c r="D18" s="48" t="s">
        <v>422</v>
      </c>
      <c r="E18" s="48" t="s">
        <v>423</v>
      </c>
      <c r="F18" s="48" t="s">
        <v>424</v>
      </c>
      <c r="G18" s="48" t="s">
        <v>301</v>
      </c>
      <c r="H18" s="48" t="s">
        <v>425</v>
      </c>
      <c r="I18" s="48" t="s">
        <v>426</v>
      </c>
      <c r="J18" s="39"/>
      <c r="K18" s="39"/>
      <c r="L18" s="49" t="s">
        <v>67</v>
      </c>
      <c r="M18" s="50" t="s">
        <v>427</v>
      </c>
      <c r="N18" s="50"/>
      <c r="O18" s="50"/>
      <c r="P18" s="50"/>
      <c r="Q18" s="50"/>
      <c r="R18" s="50"/>
      <c r="S18" s="51"/>
      <c r="T18" s="52"/>
      <c r="U18" s="52"/>
      <c r="V18" s="52"/>
    </row>
    <row r="19" spans="1:22" ht="18" customHeight="1">
      <c r="A19" s="38"/>
      <c r="B19" s="18" t="str">
        <f>IFERROR(INDEX($M$19:$V$22,MATCH($F$5,$L$19:$L$22,0),1),"")</f>
        <v/>
      </c>
      <c r="C19" s="53"/>
      <c r="D19" s="54" t="str">
        <f t="shared" ref="D19:D28" si="0">IF(B19="","",C19)</f>
        <v/>
      </c>
      <c r="E19" s="55" t="str">
        <f t="shared" ref="E19:E28" si="1">IF(OR(B19="",C19=""),"",CEILING(C19/$C$15,1))</f>
        <v/>
      </c>
      <c r="F19" s="56" t="str">
        <f t="shared" ref="F19:F28" si="2">IF(OR(B19="",C19=""),"",C19-D19)</f>
        <v/>
      </c>
      <c r="G19" s="57" t="str">
        <f t="shared" ref="G19:G28" si="3">IF(B19="","",IF(F19=0,"✅ Complete",IF(D19=0,"⏳ Pending","🔄 Partial")))</f>
        <v/>
      </c>
      <c r="H19" s="58"/>
      <c r="I19" s="59"/>
      <c r="J19" s="39"/>
      <c r="K19" s="39"/>
      <c r="L19" s="49" t="s">
        <v>71</v>
      </c>
      <c r="M19" s="50">
        <v>37</v>
      </c>
      <c r="N19" s="50">
        <v>38</v>
      </c>
      <c r="O19" s="50">
        <v>39</v>
      </c>
      <c r="P19" s="50">
        <v>40</v>
      </c>
      <c r="Q19" s="50">
        <v>41</v>
      </c>
      <c r="R19" s="50">
        <v>42</v>
      </c>
      <c r="S19" s="51">
        <v>43</v>
      </c>
      <c r="T19" s="52">
        <v>44</v>
      </c>
      <c r="U19" s="52">
        <v>45</v>
      </c>
      <c r="V19" s="52">
        <v>46</v>
      </c>
    </row>
    <row r="20" spans="1:22" ht="18" customHeight="1">
      <c r="A20" s="38"/>
      <c r="B20" s="18" t="str">
        <f>IFERROR(INDEX($M$19:$V$22,MATCH($F$5,$L$19:$L$22,0),2),"")</f>
        <v/>
      </c>
      <c r="C20" s="53"/>
      <c r="D20" s="54" t="str">
        <f t="shared" si="0"/>
        <v/>
      </c>
      <c r="E20" s="55" t="str">
        <f t="shared" si="1"/>
        <v/>
      </c>
      <c r="F20" s="56" t="str">
        <f t="shared" si="2"/>
        <v/>
      </c>
      <c r="G20" s="57" t="str">
        <f t="shared" si="3"/>
        <v/>
      </c>
      <c r="H20" s="58"/>
      <c r="I20" s="59"/>
      <c r="J20" s="39"/>
      <c r="K20" s="39"/>
      <c r="L20" s="49" t="s">
        <v>74</v>
      </c>
      <c r="M20" s="50" t="s">
        <v>185</v>
      </c>
      <c r="N20" s="50" t="s">
        <v>187</v>
      </c>
      <c r="O20" s="50" t="s">
        <v>188</v>
      </c>
      <c r="P20" s="50" t="s">
        <v>189</v>
      </c>
      <c r="Q20" s="50" t="s">
        <v>190</v>
      </c>
      <c r="R20" s="50" t="s">
        <v>191</v>
      </c>
      <c r="S20" s="51" t="s">
        <v>192</v>
      </c>
      <c r="T20" s="52"/>
      <c r="U20" s="52"/>
      <c r="V20" s="52"/>
    </row>
    <row r="21" spans="1:22" ht="18" customHeight="1">
      <c r="A21" s="38"/>
      <c r="B21" s="18" t="str">
        <f>IFERROR(INDEX($M$19:$V$22,MATCH($F$5,$L$19:$L$22,0),3),"")</f>
        <v/>
      </c>
      <c r="C21" s="53"/>
      <c r="D21" s="54" t="str">
        <f t="shared" si="0"/>
        <v/>
      </c>
      <c r="E21" s="55" t="str">
        <f t="shared" si="1"/>
        <v/>
      </c>
      <c r="F21" s="56" t="str">
        <f t="shared" si="2"/>
        <v/>
      </c>
      <c r="G21" s="57" t="str">
        <f t="shared" si="3"/>
        <v/>
      </c>
      <c r="H21" s="58"/>
      <c r="I21" s="59"/>
      <c r="J21" s="39"/>
      <c r="K21" s="39"/>
      <c r="L21" s="49" t="s">
        <v>77</v>
      </c>
      <c r="M21" s="50">
        <v>92</v>
      </c>
      <c r="N21" s="50">
        <v>98</v>
      </c>
      <c r="O21" s="50">
        <v>104</v>
      </c>
      <c r="P21" s="50">
        <v>110</v>
      </c>
      <c r="Q21" s="50">
        <v>116</v>
      </c>
      <c r="R21" s="50">
        <v>122</v>
      </c>
      <c r="S21" s="51"/>
      <c r="T21" s="52"/>
      <c r="U21" s="52"/>
      <c r="V21" s="52"/>
    </row>
    <row r="22" spans="1:22" ht="18" customHeight="1">
      <c r="A22" s="38"/>
      <c r="B22" s="18" t="str">
        <f>IFERROR(INDEX($M$19:$V$22,MATCH($F$5,$L$19:$L$22,0),4),"")</f>
        <v/>
      </c>
      <c r="C22" s="53"/>
      <c r="D22" s="54" t="str">
        <f t="shared" si="0"/>
        <v/>
      </c>
      <c r="E22" s="55" t="str">
        <f t="shared" si="1"/>
        <v/>
      </c>
      <c r="F22" s="56" t="str">
        <f t="shared" si="2"/>
        <v/>
      </c>
      <c r="G22" s="57" t="str">
        <f t="shared" si="3"/>
        <v/>
      </c>
      <c r="H22" s="58"/>
      <c r="I22" s="59"/>
      <c r="J22" s="39"/>
      <c r="K22" s="39"/>
      <c r="L22" s="49" t="s">
        <v>80</v>
      </c>
      <c r="M22" s="50" t="s">
        <v>428</v>
      </c>
      <c r="N22" s="50" t="s">
        <v>187</v>
      </c>
      <c r="O22" s="50" t="s">
        <v>188</v>
      </c>
      <c r="P22" s="50" t="s">
        <v>189</v>
      </c>
      <c r="Q22" s="50"/>
      <c r="R22" s="50"/>
      <c r="S22" s="51"/>
      <c r="T22" s="52"/>
      <c r="U22" s="52"/>
      <c r="V22" s="52"/>
    </row>
    <row r="23" spans="1:22" ht="18" customHeight="1">
      <c r="A23" s="38"/>
      <c r="B23" s="18" t="str">
        <f>IFERROR(INDEX($M$19:$V$22,MATCH($F$5,$L$19:$L$22,0),5),"")</f>
        <v/>
      </c>
      <c r="C23" s="53"/>
      <c r="D23" s="54" t="str">
        <f t="shared" si="0"/>
        <v/>
      </c>
      <c r="E23" s="55" t="str">
        <f t="shared" si="1"/>
        <v/>
      </c>
      <c r="F23" s="56" t="str">
        <f t="shared" si="2"/>
        <v/>
      </c>
      <c r="G23" s="57" t="str">
        <f t="shared" si="3"/>
        <v/>
      </c>
      <c r="H23" s="58"/>
      <c r="I23" s="59"/>
      <c r="J23" s="39"/>
      <c r="K23" s="39"/>
      <c r="L23" s="39"/>
      <c r="M23" s="40"/>
      <c r="N23" s="40"/>
      <c r="O23" s="40"/>
      <c r="P23" s="40"/>
      <c r="Q23" s="40"/>
      <c r="R23" s="40"/>
      <c r="S23" s="38"/>
    </row>
    <row r="24" spans="1:22" ht="18" customHeight="1">
      <c r="A24" s="38"/>
      <c r="B24" s="18" t="str">
        <f>IFERROR(INDEX($M$19:$V$22,MATCH($F$5,$L$19:$L$22,0),6),"")</f>
        <v/>
      </c>
      <c r="C24" s="53"/>
      <c r="D24" s="54" t="str">
        <f t="shared" si="0"/>
        <v/>
      </c>
      <c r="E24" s="55" t="str">
        <f t="shared" si="1"/>
        <v/>
      </c>
      <c r="F24" s="56" t="str">
        <f t="shared" si="2"/>
        <v/>
      </c>
      <c r="G24" s="57" t="str">
        <f t="shared" si="3"/>
        <v/>
      </c>
      <c r="H24" s="58"/>
      <c r="I24" s="59"/>
      <c r="J24" s="39"/>
      <c r="K24" s="39"/>
      <c r="L24" s="39"/>
      <c r="M24" s="40"/>
      <c r="N24" s="40"/>
      <c r="O24" s="40"/>
      <c r="P24" s="40"/>
      <c r="Q24" s="40"/>
      <c r="R24" s="40"/>
      <c r="S24" s="38"/>
    </row>
    <row r="25" spans="1:22" ht="18" customHeight="1">
      <c r="A25" s="38"/>
      <c r="B25" s="18" t="str">
        <f>IFERROR(INDEX($M$19:$V$22,MATCH($F$5,$L$19:$L$22,0),7),"")</f>
        <v/>
      </c>
      <c r="C25" s="53"/>
      <c r="D25" s="54" t="str">
        <f t="shared" si="0"/>
        <v/>
      </c>
      <c r="E25" s="55" t="str">
        <f t="shared" si="1"/>
        <v/>
      </c>
      <c r="F25" s="56" t="str">
        <f t="shared" si="2"/>
        <v/>
      </c>
      <c r="G25" s="57" t="str">
        <f t="shared" si="3"/>
        <v/>
      </c>
      <c r="H25" s="58"/>
      <c r="I25" s="59"/>
      <c r="J25" s="39"/>
      <c r="K25" s="39"/>
      <c r="L25" s="39"/>
      <c r="M25" s="40"/>
      <c r="N25" s="40"/>
      <c r="O25" s="40"/>
      <c r="P25" s="40"/>
      <c r="Q25" s="40"/>
      <c r="R25" s="40"/>
      <c r="S25" s="38"/>
    </row>
    <row r="26" spans="1:22" ht="18" customHeight="1">
      <c r="A26" s="38"/>
      <c r="B26" s="18" t="str">
        <f>IFERROR(INDEX($M$19:$V$22,MATCH($F$5,$L$19:$L$22,0),8),"")</f>
        <v/>
      </c>
      <c r="C26" s="53"/>
      <c r="D26" s="54" t="str">
        <f t="shared" si="0"/>
        <v/>
      </c>
      <c r="E26" s="55" t="str">
        <f t="shared" si="1"/>
        <v/>
      </c>
      <c r="F26" s="56" t="str">
        <f t="shared" si="2"/>
        <v/>
      </c>
      <c r="G26" s="57" t="str">
        <f t="shared" si="3"/>
        <v/>
      </c>
      <c r="H26" s="58"/>
      <c r="I26" s="59"/>
      <c r="J26" s="39"/>
      <c r="K26" s="39"/>
      <c r="L26" s="39"/>
      <c r="M26" s="40"/>
      <c r="N26" s="40"/>
      <c r="O26" s="40"/>
      <c r="P26" s="40"/>
      <c r="Q26" s="40"/>
      <c r="R26" s="40"/>
      <c r="S26" s="38"/>
    </row>
    <row r="27" spans="1:22" ht="18" customHeight="1">
      <c r="A27" s="38"/>
      <c r="B27" s="18" t="str">
        <f>IFERROR(INDEX($M$19:$V$22,MATCH($F$5,$L$19:$L$22,0),9),"")</f>
        <v/>
      </c>
      <c r="C27" s="53"/>
      <c r="D27" s="54" t="str">
        <f t="shared" si="0"/>
        <v/>
      </c>
      <c r="E27" s="55" t="str">
        <f t="shared" si="1"/>
        <v/>
      </c>
      <c r="F27" s="56" t="str">
        <f t="shared" si="2"/>
        <v/>
      </c>
      <c r="G27" s="57" t="str">
        <f t="shared" si="3"/>
        <v/>
      </c>
      <c r="H27" s="58"/>
      <c r="I27" s="59"/>
      <c r="J27" s="39"/>
      <c r="K27" s="39"/>
      <c r="L27" s="39"/>
      <c r="M27" s="40"/>
      <c r="N27" s="40"/>
      <c r="O27" s="40"/>
      <c r="P27" s="40"/>
      <c r="Q27" s="40"/>
      <c r="R27" s="40"/>
      <c r="S27" s="38"/>
    </row>
    <row r="28" spans="1:22" ht="18" customHeight="1">
      <c r="A28" s="38"/>
      <c r="B28" s="18" t="str">
        <f>IFERROR(INDEX($M$19:$V$22,MATCH($F$5,$L$19:$L$22,0),10),"")</f>
        <v/>
      </c>
      <c r="C28" s="53"/>
      <c r="D28" s="54" t="str">
        <f t="shared" si="0"/>
        <v/>
      </c>
      <c r="E28" s="55" t="str">
        <f t="shared" si="1"/>
        <v/>
      </c>
      <c r="F28" s="56" t="str">
        <f t="shared" si="2"/>
        <v/>
      </c>
      <c r="G28" s="57" t="str">
        <f t="shared" si="3"/>
        <v/>
      </c>
      <c r="H28" s="58"/>
      <c r="I28" s="59"/>
      <c r="J28" s="39"/>
      <c r="K28" s="39"/>
      <c r="L28" s="39"/>
      <c r="M28" s="40"/>
      <c r="N28" s="40"/>
      <c r="O28" s="40"/>
      <c r="P28" s="40"/>
      <c r="Q28" s="40"/>
      <c r="R28" s="40"/>
      <c r="S28" s="38"/>
    </row>
    <row r="29" spans="1:22" ht="21" customHeight="1">
      <c r="A29" s="38"/>
      <c r="B29" s="60" t="s">
        <v>320</v>
      </c>
      <c r="C29" s="61"/>
      <c r="D29" s="61"/>
      <c r="E29" s="61"/>
      <c r="F29" s="61"/>
      <c r="G29" s="60" t="str">
        <f>IF(F29=0,"✅ All Complete","🔄 In Progress")</f>
        <v>✅ All Complete</v>
      </c>
      <c r="H29" s="60"/>
      <c r="I29" s="60"/>
      <c r="J29" s="39"/>
      <c r="K29" s="39"/>
      <c r="L29" s="39"/>
      <c r="M29" s="40"/>
      <c r="N29" s="40"/>
      <c r="O29" s="40"/>
      <c r="P29" s="40"/>
      <c r="Q29" s="40"/>
      <c r="R29" s="40"/>
      <c r="S29" s="38"/>
    </row>
    <row r="30" spans="1:22" ht="9" customHeight="1">
      <c r="A30" s="38"/>
      <c r="B30" s="38"/>
      <c r="C30" s="38"/>
      <c r="D30" s="38"/>
      <c r="E30" s="38"/>
      <c r="F30" s="38"/>
      <c r="G30" s="39"/>
      <c r="H30" s="39"/>
      <c r="I30" s="39"/>
      <c r="J30" s="39"/>
      <c r="K30" s="39"/>
      <c r="L30" s="39"/>
      <c r="M30" s="40"/>
      <c r="N30" s="40"/>
      <c r="O30" s="40"/>
      <c r="P30" s="40"/>
      <c r="Q30" s="40"/>
      <c r="R30" s="40"/>
      <c r="S30" s="38"/>
    </row>
    <row r="31" spans="1:22" ht="26.25" customHeight="1">
      <c r="A31" s="38"/>
      <c r="B31" s="337" t="s">
        <v>429</v>
      </c>
      <c r="C31" s="335"/>
      <c r="D31" s="335"/>
      <c r="E31" s="335"/>
      <c r="F31" s="335"/>
      <c r="G31" s="336"/>
      <c r="H31" s="336"/>
      <c r="I31" s="336"/>
      <c r="J31" s="39"/>
      <c r="K31" s="39"/>
      <c r="L31" s="39"/>
      <c r="M31" s="40"/>
      <c r="N31" s="40"/>
      <c r="O31" s="40"/>
      <c r="P31" s="40"/>
      <c r="Q31" s="40"/>
      <c r="R31" s="40"/>
      <c r="S31" s="38"/>
    </row>
    <row r="32" spans="1:22" ht="7.5" customHeight="1">
      <c r="A32" s="38"/>
      <c r="B32" s="38"/>
      <c r="C32" s="38"/>
      <c r="D32" s="38"/>
      <c r="E32" s="38"/>
      <c r="F32" s="38"/>
      <c r="G32" s="39"/>
      <c r="H32" s="39"/>
      <c r="I32" s="39"/>
      <c r="J32" s="39"/>
      <c r="K32" s="39"/>
      <c r="L32" s="39"/>
      <c r="M32" s="40"/>
      <c r="N32" s="40"/>
      <c r="O32" s="40"/>
      <c r="P32" s="40"/>
      <c r="Q32" s="40"/>
      <c r="R32" s="40"/>
      <c r="S32" s="38"/>
    </row>
    <row r="33" spans="1:19" ht="15.75" customHeight="1">
      <c r="A33" s="38"/>
      <c r="B33" s="338" t="s">
        <v>430</v>
      </c>
      <c r="C33" s="335"/>
      <c r="D33" s="335"/>
      <c r="E33" s="335"/>
      <c r="F33" s="335"/>
      <c r="G33" s="336"/>
      <c r="H33" s="336"/>
      <c r="I33" s="336"/>
      <c r="J33" s="39"/>
      <c r="K33" s="39"/>
      <c r="L33" s="39"/>
      <c r="M33" s="40"/>
      <c r="N33" s="40"/>
      <c r="O33" s="40"/>
      <c r="P33" s="40"/>
      <c r="Q33" s="40"/>
      <c r="R33" s="40"/>
      <c r="S33" s="38"/>
    </row>
    <row r="34" spans="1:19" ht="18" customHeight="1">
      <c r="A34" s="38"/>
      <c r="B34" s="32" t="s">
        <v>431</v>
      </c>
      <c r="C34" s="62" t="str">
        <f>IF($C$5="","❌ Select a PO","✅ "&amp;$C$5)</f>
        <v>✅ 4901873568</v>
      </c>
      <c r="D34" s="38"/>
      <c r="E34" s="32" t="s">
        <v>432</v>
      </c>
      <c r="F34" s="62" t="str">
        <f>IF(AND(ISNUMBER($C$15),$C$15&gt;=1,$C$15&lt;=100),"✅ "&amp;$C$15&amp;" pcs/ctn","❌ Invalid")</f>
        <v>✅ 14 pcs/ctn</v>
      </c>
      <c r="G34" s="39"/>
      <c r="H34" s="32" t="s">
        <v>433</v>
      </c>
      <c r="I34" s="62" t="str">
        <f>IF(SUM($C$19:$C$28)&gt;0,"✅ "&amp;TEXT(SUM($C$19:$C$28),"#,##0")&amp;" pcs","❌ Enter quantities")</f>
        <v>❌ Enter quantities</v>
      </c>
      <c r="J34" s="39"/>
      <c r="K34" s="39"/>
      <c r="L34" s="39"/>
      <c r="M34" s="40"/>
      <c r="N34" s="40"/>
      <c r="O34" s="40"/>
      <c r="P34" s="40"/>
      <c r="Q34" s="40"/>
      <c r="R34" s="40"/>
      <c r="S34" s="38"/>
    </row>
    <row r="35" spans="1:19" ht="18" customHeight="1">
      <c r="A35" s="38"/>
      <c r="B35" s="32" t="s">
        <v>434</v>
      </c>
      <c r="C35" s="62" t="str">
        <f>IF($F$5="","❌ Unknown","✅ "&amp;$F$5)</f>
        <v>❌ Unknown</v>
      </c>
      <c r="D35" s="38"/>
      <c r="E35" s="32" t="s">
        <v>295</v>
      </c>
      <c r="F35" s="62" t="str">
        <f>IF($F$5="","❌ N/A","✅ "&amp;$F$5&amp;" Template")</f>
        <v>❌ N/A</v>
      </c>
      <c r="G35" s="39"/>
      <c r="H35" s="32" t="s">
        <v>435</v>
      </c>
      <c r="I35" s="62" t="str">
        <f>IF(AND($C$5&lt;&gt;"",ISNUMBER($C$15),SUM($C$19:$C$28)&gt;0,$F$5&lt;&gt;""),"✅ ALL CHECKS PASSED","❌ Complete the checklist")</f>
        <v>❌ Complete the checklist</v>
      </c>
      <c r="J35" s="39"/>
      <c r="K35" s="39"/>
      <c r="L35" s="39"/>
      <c r="M35" s="40"/>
      <c r="N35" s="40"/>
      <c r="O35" s="40"/>
      <c r="P35" s="40"/>
      <c r="Q35" s="40"/>
      <c r="R35" s="40"/>
      <c r="S35" s="38"/>
    </row>
    <row r="36" spans="1:19" ht="7.5" customHeight="1">
      <c r="A36" s="38"/>
      <c r="B36" s="38"/>
      <c r="C36" s="38"/>
      <c r="D36" s="38"/>
      <c r="E36" s="38"/>
      <c r="F36" s="38"/>
      <c r="G36" s="39"/>
      <c r="H36" s="39"/>
      <c r="I36" s="39"/>
      <c r="J36" s="39"/>
      <c r="K36" s="39"/>
      <c r="L36" s="39"/>
      <c r="M36" s="40"/>
      <c r="N36" s="40"/>
      <c r="O36" s="40"/>
      <c r="P36" s="40"/>
      <c r="Q36" s="40"/>
      <c r="R36" s="40"/>
      <c r="S36" s="38"/>
    </row>
    <row r="37" spans="1:19" ht="22.5" customHeight="1">
      <c r="A37" s="38"/>
      <c r="B37" s="278" t="s">
        <v>436</v>
      </c>
      <c r="C37" s="335"/>
      <c r="D37" s="38"/>
      <c r="E37" s="339" t="s">
        <v>437</v>
      </c>
      <c r="F37" s="335"/>
      <c r="G37" s="39"/>
      <c r="H37" s="340" t="s">
        <v>438</v>
      </c>
      <c r="I37" s="336"/>
      <c r="J37" s="39"/>
      <c r="K37" s="39"/>
      <c r="L37" s="39"/>
      <c r="M37" s="40"/>
      <c r="N37" s="40"/>
      <c r="O37" s="40"/>
      <c r="P37" s="40"/>
      <c r="Q37" s="40"/>
      <c r="R37" s="40"/>
      <c r="S37" s="38"/>
    </row>
    <row r="38" spans="1:19" ht="14.45" customHeight="1">
      <c r="A38" s="38"/>
      <c r="B38" s="38"/>
      <c r="C38" s="38"/>
      <c r="D38" s="38"/>
      <c r="E38" s="38"/>
      <c r="F38" s="38"/>
      <c r="G38" s="39"/>
      <c r="H38" s="39"/>
      <c r="I38" s="39"/>
      <c r="J38" s="39"/>
      <c r="K38" s="39"/>
      <c r="L38" s="39"/>
      <c r="M38" s="40"/>
      <c r="N38" s="40"/>
      <c r="O38" s="40"/>
      <c r="P38" s="40"/>
      <c r="Q38" s="40"/>
      <c r="R38" s="40"/>
      <c r="S38" s="38"/>
    </row>
    <row r="39" spans="1:19" ht="14.45" customHeight="1">
      <c r="A39" s="38"/>
      <c r="B39" s="38"/>
      <c r="C39" s="38"/>
      <c r="D39" s="38"/>
      <c r="E39" s="38"/>
      <c r="F39" s="38"/>
      <c r="G39" s="39"/>
      <c r="H39" s="39"/>
      <c r="I39" s="39"/>
      <c r="J39" s="39"/>
      <c r="K39" s="39"/>
      <c r="L39" s="39"/>
      <c r="M39" s="40"/>
      <c r="N39" s="40"/>
      <c r="O39" s="40"/>
      <c r="P39" s="40"/>
      <c r="Q39" s="40"/>
      <c r="R39" s="40"/>
      <c r="S39" s="38"/>
    </row>
    <row r="40" spans="1:19" ht="14.45" customHeight="1">
      <c r="A40" s="38"/>
      <c r="B40" s="38"/>
      <c r="C40" s="38"/>
      <c r="D40" s="38"/>
      <c r="E40" s="38"/>
      <c r="F40" s="38"/>
      <c r="G40" s="39"/>
      <c r="H40" s="39"/>
      <c r="I40" s="39"/>
      <c r="J40" s="39"/>
      <c r="K40" s="39"/>
      <c r="L40" s="39"/>
      <c r="M40" s="40"/>
      <c r="N40" s="40"/>
      <c r="O40" s="40"/>
      <c r="P40" s="40"/>
      <c r="Q40" s="40"/>
      <c r="R40" s="40"/>
      <c r="S40" s="38"/>
    </row>
    <row r="41" spans="1:19" ht="14.45" customHeight="1">
      <c r="A41" s="38"/>
      <c r="B41" s="38"/>
      <c r="C41" s="38"/>
      <c r="D41" s="38"/>
      <c r="E41" s="38"/>
      <c r="F41" s="38"/>
      <c r="G41" s="39"/>
      <c r="H41" s="39"/>
      <c r="I41" s="39"/>
      <c r="J41" s="39"/>
      <c r="K41" s="39"/>
      <c r="L41" s="39"/>
      <c r="M41" s="40"/>
      <c r="N41" s="40"/>
      <c r="O41" s="40"/>
      <c r="P41" s="40"/>
      <c r="Q41" s="40"/>
      <c r="R41" s="40"/>
      <c r="S41" s="38"/>
    </row>
    <row r="42" spans="1:19" ht="14.45" customHeight="1">
      <c r="A42" s="38"/>
      <c r="B42" s="38"/>
      <c r="C42" s="38"/>
      <c r="D42" s="38"/>
      <c r="E42" s="38"/>
      <c r="F42" s="38"/>
      <c r="G42" s="39"/>
      <c r="H42" s="39"/>
      <c r="I42" s="39"/>
      <c r="J42" s="39"/>
      <c r="K42" s="39"/>
      <c r="L42" s="39"/>
      <c r="M42" s="40"/>
      <c r="N42" s="40"/>
      <c r="O42" s="40"/>
      <c r="P42" s="40"/>
      <c r="Q42" s="40"/>
      <c r="R42" s="40"/>
      <c r="S42" s="38"/>
    </row>
    <row r="43" spans="1:19" ht="14.45" customHeight="1">
      <c r="A43" s="38"/>
      <c r="B43" s="38"/>
      <c r="C43" s="38"/>
      <c r="D43" s="38"/>
      <c r="E43" s="38"/>
      <c r="F43" s="38"/>
      <c r="G43" s="39"/>
      <c r="H43" s="39"/>
      <c r="I43" s="39"/>
      <c r="J43" s="39"/>
      <c r="K43" s="39"/>
      <c r="L43" s="39"/>
      <c r="M43" s="40"/>
      <c r="N43" s="40"/>
      <c r="O43" s="40"/>
      <c r="P43" s="40"/>
      <c r="Q43" s="40"/>
      <c r="R43" s="40"/>
      <c r="S43" s="38"/>
    </row>
    <row r="44" spans="1:19" ht="14.45" customHeight="1">
      <c r="A44" s="38"/>
      <c r="B44" s="38"/>
      <c r="C44" s="38"/>
      <c r="D44" s="38"/>
      <c r="E44" s="38"/>
      <c r="F44" s="38"/>
      <c r="G44" s="39"/>
      <c r="H44" s="39"/>
      <c r="I44" s="39"/>
      <c r="J44" s="39"/>
      <c r="K44" s="39"/>
      <c r="L44" s="39"/>
      <c r="M44" s="40"/>
      <c r="N44" s="40"/>
      <c r="O44" s="40"/>
      <c r="P44" s="40"/>
      <c r="Q44" s="40"/>
      <c r="R44" s="40"/>
      <c r="S44" s="38"/>
    </row>
    <row r="45" spans="1:19" ht="14.45" customHeight="1">
      <c r="A45" s="38"/>
      <c r="B45" s="38"/>
      <c r="C45" s="38"/>
      <c r="D45" s="38"/>
      <c r="E45" s="38"/>
      <c r="F45" s="38"/>
      <c r="G45" s="39"/>
      <c r="H45" s="39"/>
      <c r="I45" s="39"/>
      <c r="J45" s="39"/>
      <c r="K45" s="39"/>
      <c r="L45" s="39"/>
      <c r="M45" s="40"/>
      <c r="N45" s="40"/>
      <c r="O45" s="40"/>
      <c r="P45" s="40"/>
      <c r="Q45" s="40"/>
      <c r="R45" s="40"/>
      <c r="S45" s="38"/>
    </row>
    <row r="46" spans="1:19" ht="14.45" customHeight="1">
      <c r="A46" s="38"/>
      <c r="B46" s="38"/>
      <c r="C46" s="38"/>
      <c r="D46" s="38"/>
      <c r="E46" s="38"/>
      <c r="F46" s="38"/>
      <c r="G46" s="39"/>
      <c r="H46" s="39"/>
      <c r="I46" s="39"/>
      <c r="J46" s="39"/>
      <c r="K46" s="39"/>
      <c r="L46" s="39"/>
      <c r="M46" s="40"/>
      <c r="N46" s="40"/>
      <c r="O46" s="40"/>
      <c r="P46" s="40"/>
      <c r="Q46" s="40"/>
      <c r="R46" s="40"/>
      <c r="S46" s="38"/>
    </row>
    <row r="47" spans="1:19" ht="14.45" customHeight="1">
      <c r="A47" s="38"/>
      <c r="B47" s="38"/>
      <c r="C47" s="38"/>
      <c r="D47" s="38"/>
      <c r="E47" s="38"/>
      <c r="F47" s="38"/>
      <c r="G47" s="39"/>
      <c r="H47" s="39"/>
      <c r="I47" s="39"/>
      <c r="J47" s="39"/>
      <c r="K47" s="39"/>
      <c r="L47" s="39"/>
      <c r="M47" s="40"/>
      <c r="N47" s="40"/>
      <c r="O47" s="40"/>
      <c r="P47" s="40"/>
      <c r="Q47" s="40"/>
      <c r="R47" s="40"/>
      <c r="S47" s="38"/>
    </row>
    <row r="48" spans="1:19" ht="14.45" customHeight="1">
      <c r="A48" s="38"/>
      <c r="B48" s="38"/>
      <c r="C48" s="38"/>
      <c r="D48" s="38"/>
      <c r="E48" s="38"/>
      <c r="F48" s="38"/>
      <c r="G48" s="39"/>
      <c r="H48" s="39"/>
      <c r="I48" s="39"/>
      <c r="J48" s="39"/>
      <c r="K48" s="39"/>
      <c r="L48" s="39"/>
      <c r="M48" s="40"/>
      <c r="N48" s="40"/>
      <c r="O48" s="40"/>
      <c r="P48" s="40"/>
      <c r="Q48" s="40"/>
      <c r="R48" s="40"/>
      <c r="S48" s="38"/>
    </row>
    <row r="49" spans="1:19" ht="14.45" customHeight="1">
      <c r="A49" s="38"/>
      <c r="B49" s="38"/>
      <c r="C49" s="38"/>
      <c r="D49" s="38"/>
      <c r="E49" s="38"/>
      <c r="F49" s="38"/>
      <c r="G49" s="39"/>
      <c r="H49" s="39"/>
      <c r="I49" s="39"/>
      <c r="J49" s="39"/>
      <c r="K49" s="39"/>
      <c r="L49" s="39"/>
      <c r="M49" s="40"/>
      <c r="N49" s="40"/>
      <c r="O49" s="40"/>
      <c r="P49" s="40"/>
      <c r="Q49" s="40"/>
      <c r="R49" s="40"/>
      <c r="S49" s="38"/>
    </row>
    <row r="50" spans="1:19" ht="14.45" customHeight="1">
      <c r="A50" s="38"/>
      <c r="B50" s="38"/>
      <c r="C50" s="38"/>
      <c r="D50" s="38"/>
      <c r="E50" s="38"/>
      <c r="F50" s="38"/>
      <c r="G50" s="39"/>
      <c r="H50" s="39"/>
      <c r="I50" s="39"/>
      <c r="J50" s="39"/>
      <c r="K50" s="39"/>
      <c r="L50" s="39"/>
      <c r="M50" s="40"/>
      <c r="N50" s="40"/>
      <c r="O50" s="40"/>
      <c r="P50" s="40"/>
      <c r="Q50" s="40"/>
      <c r="R50" s="40"/>
      <c r="S50" s="38"/>
    </row>
    <row r="51" spans="1:19" ht="14.45" customHeight="1">
      <c r="A51" s="38"/>
      <c r="B51" s="38"/>
      <c r="C51" s="38"/>
      <c r="D51" s="38"/>
      <c r="E51" s="38"/>
      <c r="F51" s="38"/>
      <c r="G51" s="39"/>
      <c r="H51" s="39"/>
      <c r="I51" s="39"/>
      <c r="J51" s="39"/>
      <c r="K51" s="39"/>
      <c r="L51" s="39"/>
      <c r="M51" s="40"/>
      <c r="N51" s="40"/>
      <c r="O51" s="40"/>
      <c r="P51" s="40"/>
      <c r="Q51" s="40"/>
      <c r="R51" s="40"/>
      <c r="S51" s="38"/>
    </row>
    <row r="52" spans="1:19" ht="14.45" customHeight="1">
      <c r="A52" s="38"/>
      <c r="B52" s="38"/>
      <c r="C52" s="38"/>
      <c r="D52" s="38"/>
      <c r="E52" s="38"/>
      <c r="F52" s="38"/>
      <c r="G52" s="39"/>
      <c r="H52" s="39"/>
      <c r="I52" s="39"/>
      <c r="J52" s="39"/>
      <c r="K52" s="39"/>
      <c r="L52" s="39"/>
      <c r="M52" s="40"/>
      <c r="N52" s="40"/>
      <c r="O52" s="40"/>
      <c r="P52" s="40"/>
      <c r="Q52" s="40"/>
      <c r="R52" s="40"/>
      <c r="S52" s="38"/>
    </row>
    <row r="53" spans="1:19" ht="14.45" customHeight="1">
      <c r="A53" s="38"/>
      <c r="B53" s="38"/>
      <c r="C53" s="38"/>
      <c r="D53" s="38"/>
      <c r="E53" s="38"/>
      <c r="F53" s="38"/>
      <c r="G53" s="39"/>
      <c r="H53" s="39"/>
      <c r="I53" s="39"/>
      <c r="J53" s="39"/>
      <c r="K53" s="39"/>
      <c r="L53" s="39"/>
      <c r="M53" s="40"/>
      <c r="N53" s="40"/>
      <c r="O53" s="40"/>
      <c r="P53" s="40"/>
      <c r="Q53" s="40"/>
      <c r="R53" s="40"/>
      <c r="S53" s="38"/>
    </row>
    <row r="54" spans="1:19" ht="14.45" customHeight="1">
      <c r="A54" s="38"/>
      <c r="B54" s="38"/>
      <c r="C54" s="38"/>
      <c r="D54" s="38"/>
      <c r="E54" s="38"/>
      <c r="F54" s="38"/>
      <c r="G54" s="39"/>
      <c r="H54" s="39"/>
      <c r="I54" s="39"/>
      <c r="J54" s="39"/>
      <c r="K54" s="39"/>
      <c r="L54" s="39"/>
      <c r="M54" s="40"/>
      <c r="N54" s="40"/>
      <c r="O54" s="40"/>
      <c r="P54" s="40"/>
      <c r="Q54" s="40"/>
      <c r="R54" s="40"/>
      <c r="S54" s="38"/>
    </row>
    <row r="55" spans="1:19" ht="14.45" customHeight="1">
      <c r="A55" s="38"/>
      <c r="B55" s="38"/>
      <c r="C55" s="38"/>
      <c r="D55" s="38"/>
      <c r="E55" s="38"/>
      <c r="F55" s="38"/>
      <c r="G55" s="39"/>
      <c r="H55" s="39"/>
      <c r="I55" s="39"/>
      <c r="J55" s="39"/>
      <c r="K55" s="39"/>
      <c r="L55" s="39"/>
      <c r="M55" s="40"/>
      <c r="N55" s="40"/>
      <c r="O55" s="40"/>
      <c r="P55" s="40"/>
      <c r="Q55" s="40"/>
      <c r="R55" s="40"/>
      <c r="S55" s="38"/>
    </row>
    <row r="56" spans="1:19" ht="14.45" customHeight="1">
      <c r="A56" s="38"/>
      <c r="B56" s="38"/>
      <c r="C56" s="38"/>
      <c r="D56" s="38"/>
      <c r="E56" s="38"/>
      <c r="F56" s="38"/>
      <c r="G56" s="39"/>
      <c r="H56" s="39"/>
      <c r="I56" s="39"/>
      <c r="J56" s="39"/>
      <c r="K56" s="39"/>
      <c r="L56" s="39"/>
      <c r="M56" s="40"/>
      <c r="N56" s="40"/>
      <c r="O56" s="40"/>
      <c r="P56" s="40"/>
      <c r="Q56" s="40"/>
      <c r="R56" s="40"/>
      <c r="S56" s="38"/>
    </row>
    <row r="57" spans="1:19" ht="14.45" customHeight="1">
      <c r="A57" s="38"/>
      <c r="B57" s="38"/>
      <c r="C57" s="38"/>
      <c r="D57" s="38"/>
      <c r="E57" s="38"/>
      <c r="F57" s="38"/>
      <c r="G57" s="39"/>
      <c r="H57" s="39"/>
      <c r="I57" s="39"/>
      <c r="J57" s="39"/>
      <c r="K57" s="39"/>
      <c r="L57" s="39"/>
      <c r="M57" s="40"/>
      <c r="N57" s="40"/>
      <c r="O57" s="40"/>
      <c r="P57" s="40"/>
      <c r="Q57" s="40"/>
      <c r="R57" s="40"/>
      <c r="S57" s="38"/>
    </row>
    <row r="58" spans="1:19" ht="14.45" customHeight="1">
      <c r="A58" s="38"/>
      <c r="B58" s="38"/>
      <c r="C58" s="38"/>
      <c r="D58" s="38"/>
      <c r="E58" s="38"/>
      <c r="F58" s="38"/>
      <c r="G58" s="39"/>
      <c r="H58" s="39"/>
      <c r="I58" s="39"/>
      <c r="J58" s="39"/>
      <c r="K58" s="39"/>
      <c r="L58" s="39"/>
      <c r="M58" s="40"/>
      <c r="N58" s="40"/>
      <c r="O58" s="40"/>
      <c r="P58" s="40"/>
      <c r="Q58" s="40"/>
      <c r="R58" s="40"/>
      <c r="S58" s="38"/>
    </row>
    <row r="59" spans="1:19" ht="14.45" customHeight="1">
      <c r="A59" s="38"/>
      <c r="B59" s="38"/>
      <c r="C59" s="38"/>
      <c r="D59" s="38"/>
      <c r="E59" s="38"/>
      <c r="F59" s="38"/>
      <c r="G59" s="39"/>
      <c r="H59" s="39"/>
      <c r="I59" s="39"/>
      <c r="J59" s="39"/>
      <c r="K59" s="39"/>
      <c r="L59" s="39"/>
      <c r="M59" s="40"/>
      <c r="N59" s="40"/>
      <c r="O59" s="40"/>
      <c r="P59" s="40"/>
      <c r="Q59" s="40"/>
      <c r="R59" s="40"/>
      <c r="S59" s="38"/>
    </row>
    <row r="60" spans="1:19" ht="14.45" customHeight="1">
      <c r="A60" s="38"/>
      <c r="B60" s="38"/>
      <c r="C60" s="38"/>
      <c r="D60" s="38"/>
      <c r="E60" s="38"/>
      <c r="F60" s="38"/>
      <c r="G60" s="39"/>
      <c r="H60" s="39"/>
      <c r="I60" s="39"/>
      <c r="J60" s="39"/>
      <c r="K60" s="39"/>
      <c r="L60" s="39"/>
      <c r="M60" s="40"/>
      <c r="N60" s="40"/>
      <c r="O60" s="40"/>
      <c r="P60" s="40"/>
      <c r="Q60" s="40"/>
      <c r="R60" s="40"/>
      <c r="S60" s="38"/>
    </row>
    <row r="61" spans="1:19" ht="14.45" customHeight="1">
      <c r="A61" s="38"/>
      <c r="B61" s="38"/>
      <c r="C61" s="38"/>
      <c r="D61" s="38"/>
      <c r="E61" s="38"/>
      <c r="F61" s="38"/>
      <c r="G61" s="39"/>
      <c r="H61" s="39"/>
      <c r="I61" s="39"/>
      <c r="J61" s="39"/>
      <c r="K61" s="39"/>
      <c r="L61" s="39"/>
      <c r="M61" s="40"/>
      <c r="N61" s="40"/>
      <c r="O61" s="40"/>
      <c r="P61" s="40"/>
      <c r="Q61" s="40"/>
      <c r="R61" s="40"/>
      <c r="S61" s="38"/>
    </row>
    <row r="62" spans="1:19" ht="14.45" customHeight="1">
      <c r="A62" s="38"/>
      <c r="B62" s="38"/>
      <c r="C62" s="38"/>
      <c r="D62" s="38"/>
      <c r="E62" s="38"/>
      <c r="F62" s="38"/>
      <c r="G62" s="39"/>
      <c r="H62" s="39"/>
      <c r="I62" s="39"/>
      <c r="J62" s="39"/>
      <c r="K62" s="39"/>
      <c r="L62" s="39"/>
      <c r="M62" s="40"/>
      <c r="N62" s="40"/>
      <c r="O62" s="40"/>
      <c r="P62" s="40"/>
      <c r="Q62" s="40"/>
      <c r="R62" s="40"/>
      <c r="S62" s="38"/>
    </row>
    <row r="63" spans="1:19" ht="14.45" customHeight="1">
      <c r="A63" s="38"/>
      <c r="B63" s="38"/>
      <c r="C63" s="38"/>
      <c r="D63" s="38"/>
      <c r="E63" s="38"/>
      <c r="F63" s="38"/>
      <c r="G63" s="39"/>
      <c r="H63" s="39"/>
      <c r="I63" s="39"/>
      <c r="J63" s="39"/>
      <c r="K63" s="39"/>
      <c r="L63" s="39"/>
      <c r="M63" s="40"/>
      <c r="N63" s="40"/>
      <c r="O63" s="40"/>
      <c r="P63" s="40"/>
      <c r="Q63" s="40"/>
      <c r="R63" s="40"/>
      <c r="S63" s="38"/>
    </row>
    <row r="64" spans="1:19" ht="14.45" customHeight="1">
      <c r="A64" s="38"/>
      <c r="B64" s="38"/>
      <c r="C64" s="38"/>
      <c r="D64" s="38"/>
      <c r="E64" s="38"/>
      <c r="F64" s="38"/>
      <c r="G64" s="39"/>
      <c r="H64" s="39"/>
      <c r="I64" s="39"/>
      <c r="J64" s="39"/>
      <c r="K64" s="39"/>
      <c r="L64" s="39"/>
      <c r="M64" s="40"/>
      <c r="N64" s="40"/>
      <c r="O64" s="40"/>
      <c r="P64" s="40"/>
      <c r="Q64" s="40"/>
      <c r="R64" s="40"/>
      <c r="S64" s="38"/>
    </row>
    <row r="65" spans="1:19" ht="14.45" customHeight="1">
      <c r="A65" s="38"/>
      <c r="B65" s="38"/>
      <c r="C65" s="38"/>
      <c r="D65" s="38"/>
      <c r="E65" s="38"/>
      <c r="F65" s="38"/>
      <c r="G65" s="39"/>
      <c r="H65" s="39"/>
      <c r="I65" s="39"/>
      <c r="J65" s="39"/>
      <c r="K65" s="39"/>
      <c r="L65" s="39"/>
      <c r="M65" s="40"/>
      <c r="N65" s="40"/>
      <c r="O65" s="40"/>
      <c r="P65" s="40"/>
      <c r="Q65" s="40"/>
      <c r="R65" s="40"/>
      <c r="S65" s="38"/>
    </row>
    <row r="66" spans="1:19" ht="14.45" customHeight="1">
      <c r="A66" s="38"/>
      <c r="B66" s="38"/>
      <c r="C66" s="38"/>
      <c r="D66" s="38"/>
      <c r="E66" s="38"/>
      <c r="F66" s="38"/>
      <c r="G66" s="39"/>
      <c r="H66" s="39"/>
      <c r="I66" s="39"/>
      <c r="J66" s="39"/>
      <c r="K66" s="39"/>
      <c r="L66" s="39"/>
      <c r="M66" s="40"/>
      <c r="N66" s="40"/>
      <c r="O66" s="40"/>
      <c r="P66" s="40"/>
      <c r="Q66" s="40"/>
      <c r="R66" s="40"/>
      <c r="S66" s="38"/>
    </row>
    <row r="67" spans="1:19" ht="14.45" customHeight="1">
      <c r="A67" s="38"/>
      <c r="B67" s="38"/>
      <c r="C67" s="38"/>
      <c r="D67" s="38"/>
      <c r="E67" s="38"/>
      <c r="F67" s="38"/>
      <c r="G67" s="39"/>
      <c r="H67" s="39"/>
      <c r="I67" s="39"/>
      <c r="J67" s="39"/>
      <c r="K67" s="39"/>
      <c r="L67" s="39"/>
      <c r="M67" s="40"/>
      <c r="N67" s="40"/>
      <c r="O67" s="40"/>
      <c r="P67" s="40"/>
      <c r="Q67" s="40"/>
      <c r="R67" s="40"/>
      <c r="S67" s="38"/>
    </row>
    <row r="68" spans="1:19" ht="14.45" customHeight="1">
      <c r="A68" s="38"/>
      <c r="B68" s="38"/>
      <c r="C68" s="38"/>
      <c r="D68" s="38"/>
      <c r="E68" s="38"/>
      <c r="F68" s="38"/>
      <c r="G68" s="39"/>
      <c r="H68" s="39"/>
      <c r="I68" s="39"/>
      <c r="J68" s="39"/>
      <c r="K68" s="39"/>
      <c r="L68" s="39"/>
      <c r="M68" s="40"/>
      <c r="N68" s="40"/>
      <c r="O68" s="40"/>
      <c r="P68" s="40"/>
      <c r="Q68" s="40"/>
      <c r="R68" s="40"/>
      <c r="S68" s="38"/>
    </row>
    <row r="69" spans="1:19" ht="14.45" customHeight="1">
      <c r="A69" s="38"/>
      <c r="B69" s="38"/>
      <c r="C69" s="38"/>
      <c r="D69" s="38"/>
      <c r="E69" s="38"/>
      <c r="F69" s="38"/>
      <c r="G69" s="39"/>
      <c r="H69" s="39"/>
      <c r="I69" s="39"/>
      <c r="J69" s="39"/>
      <c r="K69" s="39"/>
      <c r="L69" s="39"/>
      <c r="M69" s="40"/>
      <c r="N69" s="40"/>
      <c r="O69" s="40"/>
      <c r="P69" s="40"/>
      <c r="Q69" s="40"/>
      <c r="R69" s="40"/>
      <c r="S69" s="38"/>
    </row>
    <row r="70" spans="1:19" ht="14.45" customHeight="1">
      <c r="A70" s="38"/>
      <c r="B70" s="38"/>
      <c r="C70" s="38"/>
      <c r="D70" s="38"/>
      <c r="E70" s="38"/>
      <c r="F70" s="38"/>
      <c r="G70" s="39"/>
      <c r="H70" s="39"/>
      <c r="I70" s="39"/>
      <c r="J70" s="39"/>
      <c r="K70" s="39"/>
      <c r="L70" s="39"/>
      <c r="M70" s="40"/>
      <c r="N70" s="40"/>
      <c r="O70" s="40"/>
      <c r="P70" s="40"/>
      <c r="Q70" s="40"/>
      <c r="R70" s="40"/>
      <c r="S70" s="38"/>
    </row>
    <row r="71" spans="1:19" ht="14.45" customHeight="1">
      <c r="A71" s="38"/>
      <c r="B71" s="38"/>
      <c r="C71" s="38"/>
      <c r="D71" s="38"/>
      <c r="E71" s="38"/>
      <c r="F71" s="38"/>
      <c r="G71" s="39"/>
      <c r="H71" s="39"/>
      <c r="I71" s="39"/>
      <c r="J71" s="39"/>
      <c r="K71" s="39"/>
      <c r="L71" s="39"/>
      <c r="M71" s="40"/>
      <c r="N71" s="40"/>
      <c r="O71" s="40"/>
      <c r="P71" s="40"/>
      <c r="Q71" s="40"/>
      <c r="R71" s="40"/>
      <c r="S71" s="38"/>
    </row>
    <row r="72" spans="1:19" ht="14.45" customHeight="1">
      <c r="A72" s="38"/>
      <c r="B72" s="38"/>
      <c r="C72" s="38"/>
      <c r="D72" s="38"/>
      <c r="E72" s="38"/>
      <c r="F72" s="38"/>
      <c r="G72" s="39"/>
      <c r="H72" s="39"/>
      <c r="I72" s="39"/>
      <c r="J72" s="39"/>
      <c r="K72" s="39"/>
      <c r="L72" s="39"/>
      <c r="M72" s="40"/>
      <c r="N72" s="40"/>
      <c r="O72" s="40"/>
      <c r="P72" s="40"/>
      <c r="Q72" s="40"/>
      <c r="R72" s="40"/>
      <c r="S72" s="38"/>
    </row>
    <row r="73" spans="1:19" ht="14.45" customHeight="1">
      <c r="A73" s="38"/>
      <c r="B73" s="38"/>
      <c r="C73" s="38"/>
      <c r="D73" s="38"/>
      <c r="E73" s="38"/>
      <c r="F73" s="38"/>
      <c r="G73" s="39"/>
      <c r="H73" s="39"/>
      <c r="I73" s="39"/>
      <c r="J73" s="39"/>
      <c r="K73" s="39"/>
      <c r="L73" s="39"/>
      <c r="M73" s="40"/>
      <c r="N73" s="40"/>
      <c r="O73" s="40"/>
      <c r="P73" s="40"/>
      <c r="Q73" s="40"/>
      <c r="R73" s="40"/>
      <c r="S73" s="38"/>
    </row>
    <row r="74" spans="1:19" ht="14.45" customHeight="1">
      <c r="A74" s="38"/>
      <c r="B74" s="38"/>
      <c r="C74" s="38"/>
      <c r="D74" s="38"/>
      <c r="E74" s="38"/>
      <c r="F74" s="38"/>
      <c r="G74" s="39"/>
      <c r="H74" s="39"/>
      <c r="I74" s="39"/>
      <c r="J74" s="39"/>
      <c r="K74" s="39"/>
      <c r="L74" s="39"/>
      <c r="M74" s="40"/>
      <c r="N74" s="40"/>
      <c r="O74" s="40"/>
      <c r="P74" s="40"/>
      <c r="Q74" s="40"/>
      <c r="R74" s="40"/>
      <c r="S74" s="38"/>
    </row>
    <row r="75" spans="1:19" ht="14.45" customHeight="1">
      <c r="A75" s="38"/>
      <c r="B75" s="38"/>
      <c r="C75" s="38"/>
      <c r="D75" s="38"/>
      <c r="E75" s="38"/>
      <c r="F75" s="38"/>
      <c r="G75" s="39"/>
      <c r="H75" s="39"/>
      <c r="I75" s="39"/>
      <c r="J75" s="39"/>
      <c r="K75" s="39"/>
      <c r="L75" s="39"/>
      <c r="M75" s="40"/>
      <c r="N75" s="40"/>
      <c r="O75" s="40"/>
      <c r="P75" s="40"/>
      <c r="Q75" s="40"/>
      <c r="R75" s="40"/>
      <c r="S75" s="38"/>
    </row>
    <row r="76" spans="1:19" ht="14.45" customHeight="1">
      <c r="A76" s="38"/>
      <c r="B76" s="38"/>
      <c r="C76" s="38"/>
      <c r="D76" s="38"/>
      <c r="E76" s="38"/>
      <c r="F76" s="38"/>
      <c r="G76" s="39"/>
      <c r="H76" s="39"/>
      <c r="I76" s="39"/>
      <c r="J76" s="39"/>
      <c r="K76" s="39"/>
      <c r="L76" s="39"/>
      <c r="M76" s="40"/>
      <c r="N76" s="40"/>
      <c r="O76" s="40"/>
      <c r="P76" s="40"/>
      <c r="Q76" s="40"/>
      <c r="R76" s="40"/>
      <c r="S76" s="38"/>
    </row>
    <row r="77" spans="1:19" ht="14.45" customHeight="1">
      <c r="A77" s="38"/>
      <c r="B77" s="38"/>
      <c r="C77" s="38"/>
      <c r="D77" s="38"/>
      <c r="E77" s="38"/>
      <c r="F77" s="38"/>
      <c r="G77" s="39"/>
      <c r="H77" s="39"/>
      <c r="I77" s="39"/>
      <c r="J77" s="39"/>
      <c r="K77" s="39"/>
      <c r="L77" s="39"/>
      <c r="M77" s="40"/>
      <c r="N77" s="40"/>
      <c r="O77" s="40"/>
      <c r="P77" s="40"/>
      <c r="Q77" s="40"/>
      <c r="R77" s="40"/>
      <c r="S77" s="38"/>
    </row>
    <row r="78" spans="1:19" ht="14.45" customHeight="1">
      <c r="A78" s="38"/>
      <c r="B78" s="38"/>
      <c r="C78" s="38"/>
      <c r="D78" s="38"/>
      <c r="E78" s="38"/>
      <c r="F78" s="38"/>
      <c r="G78" s="39"/>
      <c r="H78" s="39"/>
      <c r="I78" s="39"/>
      <c r="J78" s="39"/>
      <c r="K78" s="39"/>
      <c r="L78" s="39"/>
      <c r="M78" s="40"/>
      <c r="N78" s="40"/>
      <c r="O78" s="40"/>
      <c r="P78" s="40"/>
      <c r="Q78" s="40"/>
      <c r="R78" s="40"/>
      <c r="S78" s="38"/>
    </row>
    <row r="79" spans="1:19" ht="14.45" customHeight="1">
      <c r="A79" s="38"/>
      <c r="B79" s="38"/>
      <c r="C79" s="38"/>
      <c r="D79" s="38"/>
      <c r="E79" s="38"/>
      <c r="F79" s="38"/>
      <c r="G79" s="39"/>
      <c r="H79" s="39"/>
      <c r="I79" s="39"/>
      <c r="J79" s="39"/>
      <c r="K79" s="39"/>
      <c r="L79" s="39"/>
      <c r="M79" s="40"/>
      <c r="N79" s="40"/>
      <c r="O79" s="40"/>
      <c r="P79" s="40"/>
      <c r="Q79" s="40"/>
      <c r="R79" s="40"/>
      <c r="S79" s="38"/>
    </row>
    <row r="80" spans="1:19" ht="14.45" customHeight="1">
      <c r="A80" s="38"/>
      <c r="B80" s="38"/>
      <c r="C80" s="38"/>
      <c r="D80" s="38"/>
      <c r="E80" s="38"/>
      <c r="F80" s="38"/>
      <c r="G80" s="39"/>
      <c r="H80" s="39"/>
      <c r="I80" s="39"/>
      <c r="J80" s="39"/>
      <c r="K80" s="39"/>
      <c r="L80" s="39"/>
      <c r="M80" s="40"/>
      <c r="N80" s="40"/>
      <c r="O80" s="40"/>
      <c r="P80" s="40"/>
      <c r="Q80" s="40"/>
      <c r="R80" s="40"/>
      <c r="S80" s="38"/>
    </row>
    <row r="81" spans="1:19" ht="14.45" customHeight="1">
      <c r="A81" s="38"/>
      <c r="B81" s="38"/>
      <c r="C81" s="38"/>
      <c r="D81" s="38"/>
      <c r="E81" s="38"/>
      <c r="F81" s="38"/>
      <c r="G81" s="39"/>
      <c r="H81" s="39"/>
      <c r="I81" s="39"/>
      <c r="J81" s="39"/>
      <c r="K81" s="39"/>
      <c r="L81" s="39"/>
      <c r="M81" s="40"/>
      <c r="N81" s="40"/>
      <c r="O81" s="40"/>
      <c r="P81" s="40"/>
      <c r="Q81" s="40"/>
      <c r="R81" s="40"/>
      <c r="S81" s="38"/>
    </row>
    <row r="82" spans="1:19" ht="14.45" customHeight="1">
      <c r="A82" s="38"/>
      <c r="B82" s="38"/>
      <c r="C82" s="38"/>
      <c r="D82" s="38"/>
      <c r="E82" s="38"/>
      <c r="F82" s="38"/>
      <c r="G82" s="39"/>
      <c r="H82" s="39"/>
      <c r="I82" s="39"/>
      <c r="J82" s="39"/>
      <c r="K82" s="39"/>
      <c r="L82" s="39"/>
      <c r="M82" s="40"/>
      <c r="N82" s="40"/>
      <c r="O82" s="40"/>
      <c r="P82" s="40"/>
      <c r="Q82" s="40"/>
      <c r="R82" s="40"/>
      <c r="S82" s="38"/>
    </row>
    <row r="83" spans="1:19" ht="14.45" customHeight="1">
      <c r="A83" s="38"/>
      <c r="B83" s="38"/>
      <c r="C83" s="38"/>
      <c r="D83" s="38"/>
      <c r="E83" s="38"/>
      <c r="F83" s="38"/>
      <c r="G83" s="39"/>
      <c r="H83" s="39"/>
      <c r="I83" s="39"/>
      <c r="J83" s="39"/>
      <c r="K83" s="39"/>
      <c r="L83" s="39"/>
      <c r="M83" s="40"/>
      <c r="N83" s="40"/>
      <c r="O83" s="40"/>
      <c r="P83" s="40"/>
      <c r="Q83" s="40"/>
      <c r="R83" s="40"/>
      <c r="S83" s="38"/>
    </row>
    <row r="84" spans="1:19" ht="14.45" customHeight="1">
      <c r="A84" s="38"/>
      <c r="B84" s="38"/>
      <c r="C84" s="38"/>
      <c r="D84" s="38"/>
      <c r="E84" s="38"/>
      <c r="F84" s="38"/>
      <c r="G84" s="39"/>
      <c r="H84" s="39"/>
      <c r="I84" s="39"/>
      <c r="J84" s="39"/>
      <c r="K84" s="39"/>
      <c r="L84" s="39"/>
      <c r="M84" s="40"/>
      <c r="N84" s="40"/>
      <c r="O84" s="40"/>
      <c r="P84" s="40"/>
      <c r="Q84" s="40"/>
      <c r="R84" s="40"/>
      <c r="S84" s="38"/>
    </row>
    <row r="85" spans="1:19" ht="14.45" customHeight="1">
      <c r="A85" s="38"/>
      <c r="B85" s="38"/>
      <c r="C85" s="38"/>
      <c r="D85" s="38"/>
      <c r="E85" s="38"/>
      <c r="F85" s="38"/>
      <c r="G85" s="39"/>
      <c r="H85" s="39"/>
      <c r="I85" s="39"/>
      <c r="J85" s="39"/>
      <c r="K85" s="39"/>
      <c r="L85" s="39"/>
      <c r="M85" s="40"/>
      <c r="N85" s="40"/>
      <c r="O85" s="40"/>
      <c r="P85" s="40"/>
      <c r="Q85" s="40"/>
      <c r="R85" s="40"/>
      <c r="S85" s="38"/>
    </row>
    <row r="86" spans="1:19" ht="14.45" customHeight="1">
      <c r="A86" s="38"/>
      <c r="B86" s="38"/>
      <c r="C86" s="38"/>
      <c r="D86" s="38"/>
      <c r="E86" s="38"/>
      <c r="F86" s="38"/>
      <c r="G86" s="39"/>
      <c r="H86" s="39"/>
      <c r="I86" s="39"/>
      <c r="J86" s="39"/>
      <c r="K86" s="39"/>
      <c r="L86" s="39"/>
      <c r="M86" s="40"/>
      <c r="N86" s="40"/>
      <c r="O86" s="40"/>
      <c r="P86" s="40"/>
      <c r="Q86" s="40"/>
      <c r="R86" s="40"/>
      <c r="S86" s="38"/>
    </row>
    <row r="87" spans="1:19" ht="14.45" customHeight="1">
      <c r="A87" s="38"/>
      <c r="B87" s="38"/>
      <c r="C87" s="38"/>
      <c r="D87" s="38"/>
      <c r="E87" s="38"/>
      <c r="F87" s="38"/>
      <c r="G87" s="39"/>
      <c r="H87" s="39"/>
      <c r="I87" s="39"/>
      <c r="J87" s="39"/>
      <c r="K87" s="39"/>
      <c r="L87" s="39"/>
      <c r="M87" s="40"/>
      <c r="N87" s="40"/>
      <c r="O87" s="40"/>
      <c r="P87" s="40"/>
      <c r="Q87" s="40"/>
      <c r="R87" s="40"/>
      <c r="S87" s="38"/>
    </row>
    <row r="88" spans="1:19" ht="14.45" customHeight="1">
      <c r="A88" s="38"/>
      <c r="B88" s="38"/>
      <c r="C88" s="38"/>
      <c r="D88" s="38"/>
      <c r="E88" s="38"/>
      <c r="F88" s="38"/>
      <c r="G88" s="39"/>
      <c r="H88" s="39"/>
      <c r="I88" s="39"/>
      <c r="J88" s="39"/>
      <c r="K88" s="39"/>
      <c r="L88" s="39"/>
      <c r="M88" s="40"/>
      <c r="N88" s="40"/>
      <c r="O88" s="40"/>
      <c r="P88" s="40"/>
      <c r="Q88" s="40"/>
      <c r="R88" s="40"/>
      <c r="S88" s="38"/>
    </row>
    <row r="89" spans="1:19" ht="14.45" customHeight="1">
      <c r="A89" s="38"/>
      <c r="B89" s="38"/>
      <c r="C89" s="38"/>
      <c r="D89" s="38"/>
      <c r="E89" s="38"/>
      <c r="F89" s="38"/>
      <c r="G89" s="39"/>
      <c r="H89" s="39"/>
      <c r="I89" s="39"/>
      <c r="J89" s="39"/>
      <c r="K89" s="39"/>
      <c r="L89" s="39"/>
      <c r="M89" s="40"/>
      <c r="N89" s="40"/>
      <c r="O89" s="40"/>
      <c r="P89" s="40"/>
      <c r="Q89" s="40"/>
      <c r="R89" s="40"/>
      <c r="S89" s="38"/>
    </row>
    <row r="90" spans="1:19" ht="14.45" customHeight="1">
      <c r="A90" s="38"/>
      <c r="B90" s="38"/>
      <c r="C90" s="38"/>
      <c r="D90" s="38"/>
      <c r="E90" s="38"/>
      <c r="F90" s="38"/>
      <c r="G90" s="39"/>
      <c r="H90" s="39"/>
      <c r="I90" s="39"/>
      <c r="J90" s="39"/>
      <c r="K90" s="39"/>
      <c r="L90" s="39"/>
      <c r="M90" s="40"/>
      <c r="N90" s="40"/>
      <c r="O90" s="40"/>
      <c r="P90" s="40"/>
      <c r="Q90" s="40"/>
      <c r="R90" s="40"/>
      <c r="S90" s="38"/>
    </row>
    <row r="91" spans="1:19" ht="14.45" customHeight="1">
      <c r="A91" s="38"/>
      <c r="B91" s="38"/>
      <c r="C91" s="38"/>
      <c r="D91" s="38"/>
      <c r="E91" s="38"/>
      <c r="F91" s="38"/>
      <c r="G91" s="39"/>
      <c r="H91" s="39"/>
      <c r="I91" s="39"/>
      <c r="J91" s="39"/>
      <c r="K91" s="39"/>
      <c r="L91" s="39"/>
      <c r="M91" s="40"/>
      <c r="N91" s="40"/>
      <c r="O91" s="40"/>
      <c r="P91" s="40"/>
      <c r="Q91" s="40"/>
      <c r="R91" s="40"/>
      <c r="S91" s="38"/>
    </row>
    <row r="92" spans="1:19" ht="14.45" customHeight="1">
      <c r="A92" s="38"/>
      <c r="B92" s="38"/>
      <c r="C92" s="38"/>
      <c r="D92" s="38"/>
      <c r="E92" s="38"/>
      <c r="F92" s="38"/>
      <c r="G92" s="39"/>
      <c r="H92" s="39"/>
      <c r="I92" s="39"/>
      <c r="J92" s="39"/>
      <c r="K92" s="39"/>
      <c r="L92" s="39"/>
      <c r="M92" s="40"/>
      <c r="N92" s="40"/>
      <c r="O92" s="40"/>
      <c r="P92" s="40"/>
      <c r="Q92" s="40"/>
      <c r="R92" s="40"/>
      <c r="S92" s="38"/>
    </row>
    <row r="93" spans="1:19" ht="14.45" customHeight="1">
      <c r="A93" s="38"/>
      <c r="B93" s="38"/>
      <c r="C93" s="38"/>
      <c r="D93" s="38"/>
      <c r="E93" s="38"/>
      <c r="F93" s="38"/>
      <c r="G93" s="39"/>
      <c r="H93" s="39"/>
      <c r="I93" s="39"/>
      <c r="J93" s="39"/>
      <c r="K93" s="39"/>
      <c r="L93" s="39"/>
      <c r="M93" s="40"/>
      <c r="N93" s="40"/>
      <c r="O93" s="40"/>
      <c r="P93" s="40"/>
      <c r="Q93" s="40"/>
      <c r="R93" s="40"/>
      <c r="S93" s="38"/>
    </row>
    <row r="94" spans="1:19" ht="14.45" customHeight="1">
      <c r="A94" s="38"/>
      <c r="B94" s="38"/>
      <c r="C94" s="38"/>
      <c r="D94" s="38"/>
      <c r="E94" s="38"/>
      <c r="F94" s="38"/>
      <c r="G94" s="39"/>
      <c r="H94" s="39"/>
      <c r="I94" s="39"/>
      <c r="J94" s="39"/>
      <c r="K94" s="39"/>
      <c r="L94" s="39"/>
      <c r="M94" s="40"/>
      <c r="N94" s="40"/>
      <c r="O94" s="40"/>
      <c r="P94" s="40"/>
      <c r="Q94" s="40"/>
      <c r="R94" s="40"/>
      <c r="S94" s="38"/>
    </row>
    <row r="95" spans="1:19" ht="14.45" customHeight="1">
      <c r="A95" s="38"/>
      <c r="B95" s="38"/>
      <c r="C95" s="38"/>
      <c r="D95" s="38"/>
      <c r="E95" s="38"/>
      <c r="F95" s="38"/>
      <c r="G95" s="39"/>
      <c r="H95" s="39"/>
      <c r="I95" s="39"/>
      <c r="J95" s="39"/>
      <c r="K95" s="39"/>
      <c r="L95" s="39"/>
      <c r="M95" s="40"/>
      <c r="N95" s="40"/>
      <c r="O95" s="40"/>
      <c r="P95" s="40"/>
      <c r="Q95" s="40"/>
      <c r="R95" s="40"/>
      <c r="S95" s="38"/>
    </row>
    <row r="96" spans="1:19" ht="14.45" customHeight="1">
      <c r="A96" s="38"/>
      <c r="B96" s="38"/>
      <c r="C96" s="38"/>
      <c r="D96" s="38"/>
      <c r="E96" s="38"/>
      <c r="F96" s="38"/>
      <c r="G96" s="39"/>
      <c r="H96" s="39"/>
      <c r="I96" s="39"/>
      <c r="J96" s="39"/>
      <c r="K96" s="39"/>
      <c r="L96" s="39"/>
      <c r="M96" s="40"/>
      <c r="N96" s="40"/>
      <c r="O96" s="40"/>
      <c r="P96" s="40"/>
      <c r="Q96" s="40"/>
      <c r="R96" s="40"/>
      <c r="S96" s="38"/>
    </row>
    <row r="97" spans="1:19" ht="14.45" customHeight="1">
      <c r="A97" s="38"/>
      <c r="B97" s="38"/>
      <c r="C97" s="38"/>
      <c r="D97" s="38"/>
      <c r="E97" s="38"/>
      <c r="F97" s="38"/>
      <c r="G97" s="39"/>
      <c r="H97" s="39"/>
      <c r="I97" s="39"/>
      <c r="J97" s="39"/>
      <c r="K97" s="39"/>
      <c r="L97" s="39"/>
      <c r="M97" s="40"/>
      <c r="N97" s="40"/>
      <c r="O97" s="40"/>
      <c r="P97" s="40"/>
      <c r="Q97" s="40"/>
      <c r="R97" s="40"/>
      <c r="S97" s="38"/>
    </row>
    <row r="98" spans="1:19" ht="14.45" customHeight="1">
      <c r="A98" s="38"/>
      <c r="B98" s="38"/>
      <c r="C98" s="38"/>
      <c r="D98" s="38"/>
      <c r="E98" s="38"/>
      <c r="F98" s="38"/>
      <c r="G98" s="39"/>
      <c r="H98" s="39"/>
      <c r="I98" s="39"/>
      <c r="J98" s="39"/>
      <c r="K98" s="39"/>
      <c r="L98" s="39"/>
      <c r="M98" s="40"/>
      <c r="N98" s="40"/>
      <c r="O98" s="40"/>
      <c r="P98" s="40"/>
      <c r="Q98" s="40"/>
      <c r="R98" s="40"/>
      <c r="S98" s="38"/>
    </row>
    <row r="99" spans="1:19" ht="14.45" customHeight="1">
      <c r="A99" s="38"/>
      <c r="B99" s="38"/>
      <c r="C99" s="38"/>
      <c r="D99" s="38"/>
      <c r="E99" s="38"/>
      <c r="F99" s="38"/>
      <c r="G99" s="39"/>
      <c r="H99" s="39"/>
      <c r="I99" s="39"/>
      <c r="J99" s="39"/>
      <c r="K99" s="39"/>
      <c r="L99" s="39"/>
      <c r="M99" s="40"/>
      <c r="N99" s="40"/>
      <c r="O99" s="40"/>
      <c r="P99" s="40"/>
      <c r="Q99" s="40"/>
      <c r="R99" s="40"/>
      <c r="S99" s="38"/>
    </row>
    <row r="100" spans="1:19" ht="14.45" customHeight="1">
      <c r="A100" s="38"/>
      <c r="B100" s="38"/>
      <c r="C100" s="38"/>
      <c r="D100" s="38"/>
      <c r="E100" s="38"/>
      <c r="F100" s="38"/>
      <c r="G100" s="39"/>
      <c r="H100" s="39"/>
      <c r="I100" s="39"/>
      <c r="J100" s="39"/>
      <c r="K100" s="39"/>
      <c r="L100" s="39"/>
      <c r="M100" s="40"/>
      <c r="N100" s="40"/>
      <c r="O100" s="40"/>
      <c r="P100" s="40"/>
      <c r="Q100" s="40"/>
      <c r="R100" s="40"/>
      <c r="S100" s="38"/>
    </row>
    <row r="101" spans="1:19" ht="14.45" customHeight="1">
      <c r="A101" s="38"/>
      <c r="B101" s="38"/>
      <c r="C101" s="38"/>
      <c r="D101" s="38"/>
      <c r="E101" s="38"/>
      <c r="F101" s="38"/>
      <c r="G101" s="39"/>
      <c r="H101" s="39"/>
      <c r="I101" s="39"/>
      <c r="J101" s="39"/>
      <c r="K101" s="39"/>
      <c r="L101" s="39"/>
      <c r="M101" s="40">
        <f t="shared" ref="M101:M503" si="4">SUM(H101,J101,L101)</f>
        <v>0</v>
      </c>
      <c r="N101" s="40" t="e">
        <f>IF(M101="","",M101*SETTINGS!$B$9)</f>
        <v>#VALUE!</v>
      </c>
      <c r="O101" s="40" t="e">
        <f>IF(M101="","",M101*SETTINGS!$B$10)</f>
        <v>#VALUE!</v>
      </c>
      <c r="P101" s="40" t="str">
        <f>IF(A101="","",SETTINGS!$B$6)</f>
        <v/>
      </c>
      <c r="Q101" s="40" t="str">
        <f>IF(A101="","",SETTINGS!$B$7)</f>
        <v/>
      </c>
      <c r="R101" s="40" t="str">
        <f>IF(A101="","",SETTINGS!$B$8)</f>
        <v/>
      </c>
      <c r="S101" s="38"/>
    </row>
    <row r="102" spans="1:19" ht="14.45" customHeight="1">
      <c r="A102" s="38"/>
      <c r="B102" s="38"/>
      <c r="C102" s="38"/>
      <c r="D102" s="38"/>
      <c r="E102" s="38"/>
      <c r="F102" s="38"/>
      <c r="G102" s="39"/>
      <c r="H102" s="39"/>
      <c r="I102" s="39"/>
      <c r="J102" s="39"/>
      <c r="K102" s="39"/>
      <c r="L102" s="39"/>
      <c r="M102" s="40">
        <f t="shared" si="4"/>
        <v>0</v>
      </c>
      <c r="N102" s="40" t="e">
        <f>IF(M102="","",M102*SETTINGS!$B$9)</f>
        <v>#VALUE!</v>
      </c>
      <c r="O102" s="40" t="e">
        <f>IF(M102="","",M102*SETTINGS!$B$10)</f>
        <v>#VALUE!</v>
      </c>
      <c r="P102" s="40" t="str">
        <f>IF(A102="","",SETTINGS!$B$6)</f>
        <v/>
      </c>
      <c r="Q102" s="40" t="str">
        <f>IF(A102="","",SETTINGS!$B$7)</f>
        <v/>
      </c>
      <c r="R102" s="40" t="str">
        <f>IF(A102="","",SETTINGS!$B$8)</f>
        <v/>
      </c>
      <c r="S102" s="38"/>
    </row>
    <row r="103" spans="1:19" ht="14.45" customHeight="1">
      <c r="A103" s="38"/>
      <c r="B103" s="38"/>
      <c r="C103" s="38"/>
      <c r="D103" s="38"/>
      <c r="E103" s="38"/>
      <c r="F103" s="38"/>
      <c r="G103" s="39"/>
      <c r="H103" s="39"/>
      <c r="I103" s="39"/>
      <c r="J103" s="39"/>
      <c r="K103" s="39"/>
      <c r="L103" s="39"/>
      <c r="M103" s="40">
        <f t="shared" si="4"/>
        <v>0</v>
      </c>
      <c r="N103" s="40" t="e">
        <f>IF(M103="","",M103*SETTINGS!$B$9)</f>
        <v>#VALUE!</v>
      </c>
      <c r="O103" s="40" t="e">
        <f>IF(M103="","",M103*SETTINGS!$B$10)</f>
        <v>#VALUE!</v>
      </c>
      <c r="P103" s="40" t="str">
        <f>IF(A103="","",SETTINGS!$B$6)</f>
        <v/>
      </c>
      <c r="Q103" s="40" t="str">
        <f>IF(A103="","",SETTINGS!$B$7)</f>
        <v/>
      </c>
      <c r="R103" s="40" t="str">
        <f>IF(A103="","",SETTINGS!$B$8)</f>
        <v/>
      </c>
      <c r="S103" s="38"/>
    </row>
    <row r="104" spans="1:19" ht="14.45" customHeight="1">
      <c r="A104" s="38"/>
      <c r="B104" s="38"/>
      <c r="C104" s="38"/>
      <c r="D104" s="38"/>
      <c r="E104" s="38"/>
      <c r="F104" s="38"/>
      <c r="G104" s="39"/>
      <c r="H104" s="39"/>
      <c r="I104" s="39"/>
      <c r="J104" s="39"/>
      <c r="K104" s="39"/>
      <c r="L104" s="39"/>
      <c r="M104" s="40">
        <f t="shared" si="4"/>
        <v>0</v>
      </c>
      <c r="N104" s="40" t="e">
        <f>IF(M104="","",M104*SETTINGS!$B$9)</f>
        <v>#VALUE!</v>
      </c>
      <c r="O104" s="40" t="e">
        <f>IF(M104="","",M104*SETTINGS!$B$10)</f>
        <v>#VALUE!</v>
      </c>
      <c r="P104" s="40" t="str">
        <f>IF(A104="","",SETTINGS!$B$6)</f>
        <v/>
      </c>
      <c r="Q104" s="40" t="str">
        <f>IF(A104="","",SETTINGS!$B$7)</f>
        <v/>
      </c>
      <c r="R104" s="40" t="str">
        <f>IF(A104="","",SETTINGS!$B$8)</f>
        <v/>
      </c>
      <c r="S104" s="38"/>
    </row>
    <row r="105" spans="1:19" ht="14.45" customHeight="1">
      <c r="A105" s="38"/>
      <c r="B105" s="38"/>
      <c r="C105" s="38"/>
      <c r="D105" s="38"/>
      <c r="E105" s="38"/>
      <c r="F105" s="38"/>
      <c r="G105" s="39"/>
      <c r="H105" s="39"/>
      <c r="I105" s="39"/>
      <c r="J105" s="39"/>
      <c r="K105" s="39"/>
      <c r="L105" s="39"/>
      <c r="M105" s="40">
        <f t="shared" si="4"/>
        <v>0</v>
      </c>
      <c r="N105" s="40" t="e">
        <f>IF(M105="","",M105*SETTINGS!$B$9)</f>
        <v>#VALUE!</v>
      </c>
      <c r="O105" s="40" t="e">
        <f>IF(M105="","",M105*SETTINGS!$B$10)</f>
        <v>#VALUE!</v>
      </c>
      <c r="P105" s="40" t="str">
        <f>IF(A105="","",SETTINGS!$B$6)</f>
        <v/>
      </c>
      <c r="Q105" s="40" t="str">
        <f>IF(A105="","",SETTINGS!$B$7)</f>
        <v/>
      </c>
      <c r="R105" s="40" t="str">
        <f>IF(A105="","",SETTINGS!$B$8)</f>
        <v/>
      </c>
      <c r="S105" s="38"/>
    </row>
    <row r="106" spans="1:19" ht="14.45" customHeight="1">
      <c r="A106" s="38"/>
      <c r="B106" s="38"/>
      <c r="C106" s="38"/>
      <c r="D106" s="38"/>
      <c r="E106" s="38"/>
      <c r="F106" s="38"/>
      <c r="G106" s="39"/>
      <c r="H106" s="39"/>
      <c r="I106" s="39"/>
      <c r="J106" s="39"/>
      <c r="K106" s="39"/>
      <c r="L106" s="39"/>
      <c r="M106" s="40">
        <f t="shared" si="4"/>
        <v>0</v>
      </c>
      <c r="N106" s="40" t="e">
        <f>IF(M106="","",M106*SETTINGS!$B$9)</f>
        <v>#VALUE!</v>
      </c>
      <c r="O106" s="40" t="e">
        <f>IF(M106="","",M106*SETTINGS!$B$10)</f>
        <v>#VALUE!</v>
      </c>
      <c r="P106" s="40" t="str">
        <f>IF(A106="","",SETTINGS!$B$6)</f>
        <v/>
      </c>
      <c r="Q106" s="40" t="str">
        <f>IF(A106="","",SETTINGS!$B$7)</f>
        <v/>
      </c>
      <c r="R106" s="40" t="str">
        <f>IF(A106="","",SETTINGS!$B$8)</f>
        <v/>
      </c>
      <c r="S106" s="38"/>
    </row>
    <row r="107" spans="1:19" ht="14.45" customHeight="1">
      <c r="A107" s="38"/>
      <c r="B107" s="38"/>
      <c r="C107" s="38"/>
      <c r="D107" s="38"/>
      <c r="E107" s="38"/>
      <c r="F107" s="38"/>
      <c r="G107" s="39"/>
      <c r="H107" s="39"/>
      <c r="I107" s="39"/>
      <c r="J107" s="39"/>
      <c r="K107" s="39"/>
      <c r="L107" s="39"/>
      <c r="M107" s="40">
        <f t="shared" si="4"/>
        <v>0</v>
      </c>
      <c r="N107" s="40" t="e">
        <f>IF(M107="","",M107*SETTINGS!$B$9)</f>
        <v>#VALUE!</v>
      </c>
      <c r="O107" s="40" t="e">
        <f>IF(M107="","",M107*SETTINGS!$B$10)</f>
        <v>#VALUE!</v>
      </c>
      <c r="P107" s="40" t="str">
        <f>IF(A107="","",SETTINGS!$B$6)</f>
        <v/>
      </c>
      <c r="Q107" s="40" t="str">
        <f>IF(A107="","",SETTINGS!$B$7)</f>
        <v/>
      </c>
      <c r="R107" s="40" t="str">
        <f>IF(A107="","",SETTINGS!$B$8)</f>
        <v/>
      </c>
      <c r="S107" s="38"/>
    </row>
    <row r="108" spans="1:19" ht="14.45" customHeight="1">
      <c r="A108" s="38"/>
      <c r="B108" s="38"/>
      <c r="C108" s="38"/>
      <c r="D108" s="38"/>
      <c r="E108" s="38"/>
      <c r="F108" s="38"/>
      <c r="G108" s="39"/>
      <c r="H108" s="39"/>
      <c r="I108" s="39"/>
      <c r="J108" s="39"/>
      <c r="K108" s="39"/>
      <c r="L108" s="39"/>
      <c r="M108" s="40">
        <f t="shared" si="4"/>
        <v>0</v>
      </c>
      <c r="N108" s="40" t="e">
        <f>IF(M108="","",M108*SETTINGS!$B$9)</f>
        <v>#VALUE!</v>
      </c>
      <c r="O108" s="40" t="e">
        <f>IF(M108="","",M108*SETTINGS!$B$10)</f>
        <v>#VALUE!</v>
      </c>
      <c r="P108" s="40" t="str">
        <f>IF(A108="","",SETTINGS!$B$6)</f>
        <v/>
      </c>
      <c r="Q108" s="40" t="str">
        <f>IF(A108="","",SETTINGS!$B$7)</f>
        <v/>
      </c>
      <c r="R108" s="40" t="str">
        <f>IF(A108="","",SETTINGS!$B$8)</f>
        <v/>
      </c>
      <c r="S108" s="38"/>
    </row>
    <row r="109" spans="1:19" ht="14.45" customHeight="1">
      <c r="A109" s="38"/>
      <c r="B109" s="38"/>
      <c r="C109" s="38"/>
      <c r="D109" s="38"/>
      <c r="E109" s="38"/>
      <c r="F109" s="38"/>
      <c r="G109" s="39"/>
      <c r="H109" s="39"/>
      <c r="I109" s="39"/>
      <c r="J109" s="39"/>
      <c r="K109" s="39"/>
      <c r="L109" s="39"/>
      <c r="M109" s="40">
        <f t="shared" si="4"/>
        <v>0</v>
      </c>
      <c r="N109" s="40" t="e">
        <f>IF(M109="","",M109*SETTINGS!$B$9)</f>
        <v>#VALUE!</v>
      </c>
      <c r="O109" s="40" t="e">
        <f>IF(M109="","",M109*SETTINGS!$B$10)</f>
        <v>#VALUE!</v>
      </c>
      <c r="P109" s="40" t="str">
        <f>IF(A109="","",SETTINGS!$B$6)</f>
        <v/>
      </c>
      <c r="Q109" s="40" t="str">
        <f>IF(A109="","",SETTINGS!$B$7)</f>
        <v/>
      </c>
      <c r="R109" s="40" t="str">
        <f>IF(A109="","",SETTINGS!$B$8)</f>
        <v/>
      </c>
      <c r="S109" s="38"/>
    </row>
    <row r="110" spans="1:19" ht="14.45" customHeight="1">
      <c r="A110" s="38"/>
      <c r="B110" s="38"/>
      <c r="C110" s="38"/>
      <c r="D110" s="38"/>
      <c r="E110" s="38"/>
      <c r="F110" s="38"/>
      <c r="G110" s="39"/>
      <c r="H110" s="39"/>
      <c r="I110" s="39"/>
      <c r="J110" s="39"/>
      <c r="K110" s="39"/>
      <c r="L110" s="39"/>
      <c r="M110" s="40">
        <f t="shared" si="4"/>
        <v>0</v>
      </c>
      <c r="N110" s="40" t="e">
        <f>IF(M110="","",M110*SETTINGS!$B$9)</f>
        <v>#VALUE!</v>
      </c>
      <c r="O110" s="40" t="e">
        <f>IF(M110="","",M110*SETTINGS!$B$10)</f>
        <v>#VALUE!</v>
      </c>
      <c r="P110" s="40" t="str">
        <f>IF(A110="","",SETTINGS!$B$6)</f>
        <v/>
      </c>
      <c r="Q110" s="40" t="str">
        <f>IF(A110="","",SETTINGS!$B$7)</f>
        <v/>
      </c>
      <c r="R110" s="40" t="str">
        <f>IF(A110="","",SETTINGS!$B$8)</f>
        <v/>
      </c>
      <c r="S110" s="38"/>
    </row>
    <row r="111" spans="1:19" ht="14.45" customHeight="1">
      <c r="A111" s="38"/>
      <c r="B111" s="38"/>
      <c r="C111" s="38"/>
      <c r="D111" s="38"/>
      <c r="E111" s="38"/>
      <c r="F111" s="38"/>
      <c r="G111" s="39"/>
      <c r="H111" s="39"/>
      <c r="I111" s="39"/>
      <c r="J111" s="39"/>
      <c r="K111" s="39"/>
      <c r="L111" s="39"/>
      <c r="M111" s="40">
        <f t="shared" si="4"/>
        <v>0</v>
      </c>
      <c r="N111" s="40" t="e">
        <f>IF(M111="","",M111*SETTINGS!$B$9)</f>
        <v>#VALUE!</v>
      </c>
      <c r="O111" s="40" t="e">
        <f>IF(M111="","",M111*SETTINGS!$B$10)</f>
        <v>#VALUE!</v>
      </c>
      <c r="P111" s="40" t="str">
        <f>IF(A111="","",SETTINGS!$B$6)</f>
        <v/>
      </c>
      <c r="Q111" s="40" t="str">
        <f>IF(A111="","",SETTINGS!$B$7)</f>
        <v/>
      </c>
      <c r="R111" s="40" t="str">
        <f>IF(A111="","",SETTINGS!$B$8)</f>
        <v/>
      </c>
      <c r="S111" s="38"/>
    </row>
    <row r="112" spans="1:19" ht="14.45" customHeight="1">
      <c r="A112" s="38"/>
      <c r="B112" s="38"/>
      <c r="C112" s="38"/>
      <c r="D112" s="38"/>
      <c r="E112" s="38"/>
      <c r="F112" s="38"/>
      <c r="G112" s="39"/>
      <c r="H112" s="39"/>
      <c r="I112" s="39"/>
      <c r="J112" s="39"/>
      <c r="K112" s="39"/>
      <c r="L112" s="39"/>
      <c r="M112" s="40">
        <f t="shared" si="4"/>
        <v>0</v>
      </c>
      <c r="N112" s="40" t="e">
        <f>IF(M112="","",M112*SETTINGS!$B$9)</f>
        <v>#VALUE!</v>
      </c>
      <c r="O112" s="40" t="e">
        <f>IF(M112="","",M112*SETTINGS!$B$10)</f>
        <v>#VALUE!</v>
      </c>
      <c r="P112" s="40" t="str">
        <f>IF(A112="","",SETTINGS!$B$6)</f>
        <v/>
      </c>
      <c r="Q112" s="40" t="str">
        <f>IF(A112="","",SETTINGS!$B$7)</f>
        <v/>
      </c>
      <c r="R112" s="40" t="str">
        <f>IF(A112="","",SETTINGS!$B$8)</f>
        <v/>
      </c>
      <c r="S112" s="38"/>
    </row>
    <row r="113" spans="1:19" ht="14.45" customHeight="1">
      <c r="A113" s="38"/>
      <c r="B113" s="38"/>
      <c r="C113" s="38"/>
      <c r="D113" s="38"/>
      <c r="E113" s="38"/>
      <c r="F113" s="38"/>
      <c r="G113" s="39"/>
      <c r="H113" s="39"/>
      <c r="I113" s="39"/>
      <c r="J113" s="39"/>
      <c r="K113" s="39"/>
      <c r="L113" s="39"/>
      <c r="M113" s="40">
        <f t="shared" si="4"/>
        <v>0</v>
      </c>
      <c r="N113" s="40" t="e">
        <f>IF(M113="","",M113*SETTINGS!$B$9)</f>
        <v>#VALUE!</v>
      </c>
      <c r="O113" s="40" t="e">
        <f>IF(M113="","",M113*SETTINGS!$B$10)</f>
        <v>#VALUE!</v>
      </c>
      <c r="P113" s="40" t="str">
        <f>IF(A113="","",SETTINGS!$B$6)</f>
        <v/>
      </c>
      <c r="Q113" s="40" t="str">
        <f>IF(A113="","",SETTINGS!$B$7)</f>
        <v/>
      </c>
      <c r="R113" s="40" t="str">
        <f>IF(A113="","",SETTINGS!$B$8)</f>
        <v/>
      </c>
      <c r="S113" s="38"/>
    </row>
    <row r="114" spans="1:19" ht="14.45" customHeight="1">
      <c r="A114" s="38"/>
      <c r="B114" s="38"/>
      <c r="C114" s="38"/>
      <c r="D114" s="38"/>
      <c r="E114" s="38"/>
      <c r="F114" s="38"/>
      <c r="G114" s="39"/>
      <c r="H114" s="39"/>
      <c r="I114" s="39"/>
      <c r="J114" s="39"/>
      <c r="K114" s="39"/>
      <c r="L114" s="39"/>
      <c r="M114" s="40">
        <f t="shared" si="4"/>
        <v>0</v>
      </c>
      <c r="N114" s="40" t="e">
        <f>IF(M114="","",M114*SETTINGS!$B$9)</f>
        <v>#VALUE!</v>
      </c>
      <c r="O114" s="40" t="e">
        <f>IF(M114="","",M114*SETTINGS!$B$10)</f>
        <v>#VALUE!</v>
      </c>
      <c r="P114" s="40" t="str">
        <f>IF(A114="","",SETTINGS!$B$6)</f>
        <v/>
      </c>
      <c r="Q114" s="40" t="str">
        <f>IF(A114="","",SETTINGS!$B$7)</f>
        <v/>
      </c>
      <c r="R114" s="40" t="str">
        <f>IF(A114="","",SETTINGS!$B$8)</f>
        <v/>
      </c>
      <c r="S114" s="38"/>
    </row>
    <row r="115" spans="1:19" ht="14.45" customHeight="1">
      <c r="A115" s="38"/>
      <c r="B115" s="38"/>
      <c r="C115" s="38"/>
      <c r="D115" s="38"/>
      <c r="E115" s="38"/>
      <c r="F115" s="38"/>
      <c r="G115" s="39"/>
      <c r="H115" s="39"/>
      <c r="I115" s="39"/>
      <c r="J115" s="39"/>
      <c r="K115" s="39"/>
      <c r="L115" s="39"/>
      <c r="M115" s="40">
        <f t="shared" si="4"/>
        <v>0</v>
      </c>
      <c r="N115" s="40" t="e">
        <f>IF(M115="","",M115*SETTINGS!$B$9)</f>
        <v>#VALUE!</v>
      </c>
      <c r="O115" s="40" t="e">
        <f>IF(M115="","",M115*SETTINGS!$B$10)</f>
        <v>#VALUE!</v>
      </c>
      <c r="P115" s="40" t="str">
        <f>IF(A115="","",SETTINGS!$B$6)</f>
        <v/>
      </c>
      <c r="Q115" s="40" t="str">
        <f>IF(A115="","",SETTINGS!$B$7)</f>
        <v/>
      </c>
      <c r="R115" s="40" t="str">
        <f>IF(A115="","",SETTINGS!$B$8)</f>
        <v/>
      </c>
      <c r="S115" s="38"/>
    </row>
    <row r="116" spans="1:19" ht="14.45" customHeight="1">
      <c r="A116" s="38"/>
      <c r="B116" s="38"/>
      <c r="C116" s="38"/>
      <c r="D116" s="38"/>
      <c r="E116" s="38"/>
      <c r="F116" s="38"/>
      <c r="G116" s="39"/>
      <c r="H116" s="39"/>
      <c r="I116" s="39"/>
      <c r="J116" s="39"/>
      <c r="K116" s="39"/>
      <c r="L116" s="39"/>
      <c r="M116" s="40">
        <f t="shared" si="4"/>
        <v>0</v>
      </c>
      <c r="N116" s="40" t="e">
        <f>IF(M116="","",M116*SETTINGS!$B$9)</f>
        <v>#VALUE!</v>
      </c>
      <c r="O116" s="40" t="e">
        <f>IF(M116="","",M116*SETTINGS!$B$10)</f>
        <v>#VALUE!</v>
      </c>
      <c r="P116" s="40" t="str">
        <f>IF(A116="","",SETTINGS!$B$6)</f>
        <v/>
      </c>
      <c r="Q116" s="40" t="str">
        <f>IF(A116="","",SETTINGS!$B$7)</f>
        <v/>
      </c>
      <c r="R116" s="40" t="str">
        <f>IF(A116="","",SETTINGS!$B$8)</f>
        <v/>
      </c>
      <c r="S116" s="38"/>
    </row>
    <row r="117" spans="1:19" ht="14.45" customHeight="1">
      <c r="A117" s="38"/>
      <c r="B117" s="38"/>
      <c r="C117" s="38"/>
      <c r="D117" s="38"/>
      <c r="E117" s="38"/>
      <c r="F117" s="38"/>
      <c r="G117" s="39"/>
      <c r="H117" s="39"/>
      <c r="I117" s="39"/>
      <c r="J117" s="39"/>
      <c r="K117" s="39"/>
      <c r="L117" s="39"/>
      <c r="M117" s="40">
        <f t="shared" si="4"/>
        <v>0</v>
      </c>
      <c r="N117" s="40" t="e">
        <f>IF(M117="","",M117*SETTINGS!$B$9)</f>
        <v>#VALUE!</v>
      </c>
      <c r="O117" s="40" t="e">
        <f>IF(M117="","",M117*SETTINGS!$B$10)</f>
        <v>#VALUE!</v>
      </c>
      <c r="P117" s="40" t="str">
        <f>IF(A117="","",SETTINGS!$B$6)</f>
        <v/>
      </c>
      <c r="Q117" s="40" t="str">
        <f>IF(A117="","",SETTINGS!$B$7)</f>
        <v/>
      </c>
      <c r="R117" s="40" t="str">
        <f>IF(A117="","",SETTINGS!$B$8)</f>
        <v/>
      </c>
      <c r="S117" s="38"/>
    </row>
    <row r="118" spans="1:19" ht="14.45" customHeight="1">
      <c r="A118" s="38"/>
      <c r="B118" s="38"/>
      <c r="C118" s="38"/>
      <c r="D118" s="38"/>
      <c r="E118" s="38"/>
      <c r="F118" s="38"/>
      <c r="G118" s="39"/>
      <c r="H118" s="39"/>
      <c r="I118" s="39"/>
      <c r="J118" s="39"/>
      <c r="K118" s="39"/>
      <c r="L118" s="39"/>
      <c r="M118" s="40">
        <f t="shared" si="4"/>
        <v>0</v>
      </c>
      <c r="N118" s="40" t="e">
        <f>IF(M118="","",M118*SETTINGS!$B$9)</f>
        <v>#VALUE!</v>
      </c>
      <c r="O118" s="40" t="e">
        <f>IF(M118="","",M118*SETTINGS!$B$10)</f>
        <v>#VALUE!</v>
      </c>
      <c r="P118" s="40" t="str">
        <f>IF(A118="","",SETTINGS!$B$6)</f>
        <v/>
      </c>
      <c r="Q118" s="40" t="str">
        <f>IF(A118="","",SETTINGS!$B$7)</f>
        <v/>
      </c>
      <c r="R118" s="40" t="str">
        <f>IF(A118="","",SETTINGS!$B$8)</f>
        <v/>
      </c>
      <c r="S118" s="38"/>
    </row>
    <row r="119" spans="1:19" ht="14.45" customHeight="1">
      <c r="A119" s="38"/>
      <c r="B119" s="38"/>
      <c r="C119" s="38"/>
      <c r="D119" s="38"/>
      <c r="E119" s="38"/>
      <c r="F119" s="38"/>
      <c r="G119" s="39"/>
      <c r="H119" s="39"/>
      <c r="I119" s="39"/>
      <c r="J119" s="39"/>
      <c r="K119" s="39"/>
      <c r="L119" s="39"/>
      <c r="M119" s="40">
        <f t="shared" si="4"/>
        <v>0</v>
      </c>
      <c r="N119" s="40" t="e">
        <f>IF(M119="","",M119*SETTINGS!$B$9)</f>
        <v>#VALUE!</v>
      </c>
      <c r="O119" s="40" t="e">
        <f>IF(M119="","",M119*SETTINGS!$B$10)</f>
        <v>#VALUE!</v>
      </c>
      <c r="P119" s="40" t="str">
        <f>IF(A119="","",SETTINGS!$B$6)</f>
        <v/>
      </c>
      <c r="Q119" s="40" t="str">
        <f>IF(A119="","",SETTINGS!$B$7)</f>
        <v/>
      </c>
      <c r="R119" s="40" t="str">
        <f>IF(A119="","",SETTINGS!$B$8)</f>
        <v/>
      </c>
      <c r="S119" s="38"/>
    </row>
    <row r="120" spans="1:19" ht="14.45" customHeight="1">
      <c r="A120" s="38"/>
      <c r="B120" s="38"/>
      <c r="C120" s="38"/>
      <c r="D120" s="38"/>
      <c r="E120" s="38"/>
      <c r="F120" s="38"/>
      <c r="G120" s="39"/>
      <c r="H120" s="39"/>
      <c r="I120" s="39"/>
      <c r="J120" s="39"/>
      <c r="K120" s="39"/>
      <c r="L120" s="39"/>
      <c r="M120" s="40">
        <f t="shared" si="4"/>
        <v>0</v>
      </c>
      <c r="N120" s="40" t="e">
        <f>IF(M120="","",M120*SETTINGS!$B$9)</f>
        <v>#VALUE!</v>
      </c>
      <c r="O120" s="40" t="e">
        <f>IF(M120="","",M120*SETTINGS!$B$10)</f>
        <v>#VALUE!</v>
      </c>
      <c r="P120" s="40" t="str">
        <f>IF(A120="","",SETTINGS!$B$6)</f>
        <v/>
      </c>
      <c r="Q120" s="40" t="str">
        <f>IF(A120="","",SETTINGS!$B$7)</f>
        <v/>
      </c>
      <c r="R120" s="40" t="str">
        <f>IF(A120="","",SETTINGS!$B$8)</f>
        <v/>
      </c>
      <c r="S120" s="38"/>
    </row>
    <row r="121" spans="1:19" ht="14.45" customHeight="1">
      <c r="A121" s="38"/>
      <c r="B121" s="38"/>
      <c r="C121" s="38"/>
      <c r="D121" s="38"/>
      <c r="E121" s="38"/>
      <c r="F121" s="38"/>
      <c r="G121" s="39"/>
      <c r="H121" s="39"/>
      <c r="I121" s="39"/>
      <c r="J121" s="39"/>
      <c r="K121" s="39"/>
      <c r="L121" s="39"/>
      <c r="M121" s="40">
        <f t="shared" si="4"/>
        <v>0</v>
      </c>
      <c r="N121" s="40" t="e">
        <f>IF(M121="","",M121*SETTINGS!$B$9)</f>
        <v>#VALUE!</v>
      </c>
      <c r="O121" s="40" t="e">
        <f>IF(M121="","",M121*SETTINGS!$B$10)</f>
        <v>#VALUE!</v>
      </c>
      <c r="P121" s="40" t="str">
        <f>IF(A121="","",SETTINGS!$B$6)</f>
        <v/>
      </c>
      <c r="Q121" s="40" t="str">
        <f>IF(A121="","",SETTINGS!$B$7)</f>
        <v/>
      </c>
      <c r="R121" s="40" t="str">
        <f>IF(A121="","",SETTINGS!$B$8)</f>
        <v/>
      </c>
      <c r="S121" s="38"/>
    </row>
    <row r="122" spans="1:19" ht="14.45" customHeight="1">
      <c r="A122" s="38"/>
      <c r="B122" s="38"/>
      <c r="C122" s="38"/>
      <c r="D122" s="38"/>
      <c r="E122" s="38"/>
      <c r="F122" s="38"/>
      <c r="G122" s="39"/>
      <c r="H122" s="39"/>
      <c r="I122" s="39"/>
      <c r="J122" s="39"/>
      <c r="K122" s="39"/>
      <c r="L122" s="39"/>
      <c r="M122" s="40">
        <f t="shared" si="4"/>
        <v>0</v>
      </c>
      <c r="N122" s="40" t="e">
        <f>IF(M122="","",M122*SETTINGS!$B$9)</f>
        <v>#VALUE!</v>
      </c>
      <c r="O122" s="40" t="e">
        <f>IF(M122="","",M122*SETTINGS!$B$10)</f>
        <v>#VALUE!</v>
      </c>
      <c r="P122" s="40" t="str">
        <f>IF(A122="","",SETTINGS!$B$6)</f>
        <v/>
      </c>
      <c r="Q122" s="40" t="str">
        <f>IF(A122="","",SETTINGS!$B$7)</f>
        <v/>
      </c>
      <c r="R122" s="40" t="str">
        <f>IF(A122="","",SETTINGS!$B$8)</f>
        <v/>
      </c>
      <c r="S122" s="38"/>
    </row>
    <row r="123" spans="1:19" ht="14.45" customHeight="1">
      <c r="A123" s="38"/>
      <c r="B123" s="38"/>
      <c r="C123" s="38"/>
      <c r="D123" s="38"/>
      <c r="E123" s="38"/>
      <c r="F123" s="38"/>
      <c r="G123" s="39"/>
      <c r="H123" s="39"/>
      <c r="I123" s="39"/>
      <c r="J123" s="39"/>
      <c r="K123" s="39"/>
      <c r="L123" s="39"/>
      <c r="M123" s="40">
        <f t="shared" si="4"/>
        <v>0</v>
      </c>
      <c r="N123" s="40" t="e">
        <f>IF(M123="","",M123*SETTINGS!$B$9)</f>
        <v>#VALUE!</v>
      </c>
      <c r="O123" s="40" t="e">
        <f>IF(M123="","",M123*SETTINGS!$B$10)</f>
        <v>#VALUE!</v>
      </c>
      <c r="P123" s="40" t="str">
        <f>IF(A123="","",SETTINGS!$B$6)</f>
        <v/>
      </c>
      <c r="Q123" s="40" t="str">
        <f>IF(A123="","",SETTINGS!$B$7)</f>
        <v/>
      </c>
      <c r="R123" s="40" t="str">
        <f>IF(A123="","",SETTINGS!$B$8)</f>
        <v/>
      </c>
      <c r="S123" s="38"/>
    </row>
    <row r="124" spans="1:19" ht="14.45" customHeight="1">
      <c r="A124" s="38"/>
      <c r="B124" s="38"/>
      <c r="C124" s="38"/>
      <c r="D124" s="38"/>
      <c r="E124" s="38"/>
      <c r="F124" s="38"/>
      <c r="G124" s="39"/>
      <c r="H124" s="39"/>
      <c r="I124" s="39"/>
      <c r="J124" s="39"/>
      <c r="K124" s="39"/>
      <c r="L124" s="39"/>
      <c r="M124" s="40">
        <f t="shared" si="4"/>
        <v>0</v>
      </c>
      <c r="N124" s="40" t="e">
        <f>IF(M124="","",M124*SETTINGS!$B$9)</f>
        <v>#VALUE!</v>
      </c>
      <c r="O124" s="40" t="e">
        <f>IF(M124="","",M124*SETTINGS!$B$10)</f>
        <v>#VALUE!</v>
      </c>
      <c r="P124" s="40" t="str">
        <f>IF(A124="","",SETTINGS!$B$6)</f>
        <v/>
      </c>
      <c r="Q124" s="40" t="str">
        <f>IF(A124="","",SETTINGS!$B$7)</f>
        <v/>
      </c>
      <c r="R124" s="40" t="str">
        <f>IF(A124="","",SETTINGS!$B$8)</f>
        <v/>
      </c>
      <c r="S124" s="38"/>
    </row>
    <row r="125" spans="1:19" ht="14.45" customHeight="1">
      <c r="A125" s="38"/>
      <c r="B125" s="38"/>
      <c r="C125" s="38"/>
      <c r="D125" s="38"/>
      <c r="E125" s="38"/>
      <c r="F125" s="38"/>
      <c r="G125" s="39"/>
      <c r="H125" s="39"/>
      <c r="I125" s="39"/>
      <c r="J125" s="39"/>
      <c r="K125" s="39"/>
      <c r="L125" s="39"/>
      <c r="M125" s="40">
        <f t="shared" si="4"/>
        <v>0</v>
      </c>
      <c r="N125" s="40" t="e">
        <f>IF(M125="","",M125*SETTINGS!$B$9)</f>
        <v>#VALUE!</v>
      </c>
      <c r="O125" s="40" t="e">
        <f>IF(M125="","",M125*SETTINGS!$B$10)</f>
        <v>#VALUE!</v>
      </c>
      <c r="P125" s="40" t="str">
        <f>IF(A125="","",SETTINGS!$B$6)</f>
        <v/>
      </c>
      <c r="Q125" s="40" t="str">
        <f>IF(A125="","",SETTINGS!$B$7)</f>
        <v/>
      </c>
      <c r="R125" s="40" t="str">
        <f>IF(A125="","",SETTINGS!$B$8)</f>
        <v/>
      </c>
      <c r="S125" s="38"/>
    </row>
    <row r="126" spans="1:19" ht="14.45" customHeight="1">
      <c r="A126" s="38"/>
      <c r="B126" s="38"/>
      <c r="C126" s="38"/>
      <c r="D126" s="38"/>
      <c r="E126" s="38"/>
      <c r="F126" s="38"/>
      <c r="G126" s="39"/>
      <c r="H126" s="39"/>
      <c r="I126" s="39"/>
      <c r="J126" s="39"/>
      <c r="K126" s="39"/>
      <c r="L126" s="39"/>
      <c r="M126" s="40">
        <f t="shared" si="4"/>
        <v>0</v>
      </c>
      <c r="N126" s="40" t="e">
        <f>IF(M126="","",M126*SETTINGS!$B$9)</f>
        <v>#VALUE!</v>
      </c>
      <c r="O126" s="40" t="e">
        <f>IF(M126="","",M126*SETTINGS!$B$10)</f>
        <v>#VALUE!</v>
      </c>
      <c r="P126" s="40" t="str">
        <f>IF(A126="","",SETTINGS!$B$6)</f>
        <v/>
      </c>
      <c r="Q126" s="40" t="str">
        <f>IF(A126="","",SETTINGS!$B$7)</f>
        <v/>
      </c>
      <c r="R126" s="40" t="str">
        <f>IF(A126="","",SETTINGS!$B$8)</f>
        <v/>
      </c>
      <c r="S126" s="38"/>
    </row>
    <row r="127" spans="1:19" ht="14.45" customHeight="1">
      <c r="A127" s="38"/>
      <c r="B127" s="38"/>
      <c r="C127" s="38"/>
      <c r="D127" s="38"/>
      <c r="E127" s="38"/>
      <c r="F127" s="38"/>
      <c r="G127" s="39"/>
      <c r="H127" s="39"/>
      <c r="I127" s="39"/>
      <c r="J127" s="39"/>
      <c r="K127" s="39"/>
      <c r="L127" s="39"/>
      <c r="M127" s="40">
        <f t="shared" si="4"/>
        <v>0</v>
      </c>
      <c r="N127" s="40" t="e">
        <f>IF(M127="","",M127*SETTINGS!$B$9)</f>
        <v>#VALUE!</v>
      </c>
      <c r="O127" s="40" t="e">
        <f>IF(M127="","",M127*SETTINGS!$B$10)</f>
        <v>#VALUE!</v>
      </c>
      <c r="P127" s="40" t="str">
        <f>IF(A127="","",SETTINGS!$B$6)</f>
        <v/>
      </c>
      <c r="Q127" s="40" t="str">
        <f>IF(A127="","",SETTINGS!$B$7)</f>
        <v/>
      </c>
      <c r="R127" s="40" t="str">
        <f>IF(A127="","",SETTINGS!$B$8)</f>
        <v/>
      </c>
      <c r="S127" s="38"/>
    </row>
    <row r="128" spans="1:19" ht="14.45" customHeight="1">
      <c r="A128" s="38"/>
      <c r="B128" s="38"/>
      <c r="C128" s="38"/>
      <c r="D128" s="38"/>
      <c r="E128" s="38"/>
      <c r="F128" s="38"/>
      <c r="G128" s="39"/>
      <c r="H128" s="39"/>
      <c r="I128" s="39"/>
      <c r="J128" s="39"/>
      <c r="K128" s="39"/>
      <c r="L128" s="39"/>
      <c r="M128" s="40">
        <f t="shared" si="4"/>
        <v>0</v>
      </c>
      <c r="N128" s="40" t="e">
        <f>IF(M128="","",M128*SETTINGS!$B$9)</f>
        <v>#VALUE!</v>
      </c>
      <c r="O128" s="40" t="e">
        <f>IF(M128="","",M128*SETTINGS!$B$10)</f>
        <v>#VALUE!</v>
      </c>
      <c r="P128" s="40" t="str">
        <f>IF(A128="","",SETTINGS!$B$6)</f>
        <v/>
      </c>
      <c r="Q128" s="40" t="str">
        <f>IF(A128="","",SETTINGS!$B$7)</f>
        <v/>
      </c>
      <c r="R128" s="40" t="str">
        <f>IF(A128="","",SETTINGS!$B$8)</f>
        <v/>
      </c>
      <c r="S128" s="38"/>
    </row>
    <row r="129" spans="1:19" ht="14.45" customHeight="1">
      <c r="A129" s="38"/>
      <c r="B129" s="38"/>
      <c r="C129" s="38"/>
      <c r="D129" s="38"/>
      <c r="E129" s="38"/>
      <c r="F129" s="38"/>
      <c r="G129" s="39"/>
      <c r="H129" s="39"/>
      <c r="I129" s="39"/>
      <c r="J129" s="39"/>
      <c r="K129" s="39"/>
      <c r="L129" s="39"/>
      <c r="M129" s="40">
        <f t="shared" si="4"/>
        <v>0</v>
      </c>
      <c r="N129" s="40" t="e">
        <f>IF(M129="","",M129*SETTINGS!$B$9)</f>
        <v>#VALUE!</v>
      </c>
      <c r="O129" s="40" t="e">
        <f>IF(M129="","",M129*SETTINGS!$B$10)</f>
        <v>#VALUE!</v>
      </c>
      <c r="P129" s="40" t="str">
        <f>IF(A129="","",SETTINGS!$B$6)</f>
        <v/>
      </c>
      <c r="Q129" s="40" t="str">
        <f>IF(A129="","",SETTINGS!$B$7)</f>
        <v/>
      </c>
      <c r="R129" s="40" t="str">
        <f>IF(A129="","",SETTINGS!$B$8)</f>
        <v/>
      </c>
      <c r="S129" s="38"/>
    </row>
    <row r="130" spans="1:19" ht="14.45" customHeight="1">
      <c r="A130" s="38"/>
      <c r="B130" s="38"/>
      <c r="C130" s="38"/>
      <c r="D130" s="38"/>
      <c r="E130" s="38"/>
      <c r="F130" s="38"/>
      <c r="G130" s="39"/>
      <c r="H130" s="39"/>
      <c r="I130" s="39"/>
      <c r="J130" s="39"/>
      <c r="K130" s="39"/>
      <c r="L130" s="39"/>
      <c r="M130" s="40">
        <f t="shared" si="4"/>
        <v>0</v>
      </c>
      <c r="N130" s="40" t="e">
        <f>IF(M130="","",M130*SETTINGS!$B$9)</f>
        <v>#VALUE!</v>
      </c>
      <c r="O130" s="40" t="e">
        <f>IF(M130="","",M130*SETTINGS!$B$10)</f>
        <v>#VALUE!</v>
      </c>
      <c r="P130" s="40" t="str">
        <f>IF(A130="","",SETTINGS!$B$6)</f>
        <v/>
      </c>
      <c r="Q130" s="40" t="str">
        <f>IF(A130="","",SETTINGS!$B$7)</f>
        <v/>
      </c>
      <c r="R130" s="40" t="str">
        <f>IF(A130="","",SETTINGS!$B$8)</f>
        <v/>
      </c>
      <c r="S130" s="38"/>
    </row>
    <row r="131" spans="1:19" ht="14.45" customHeight="1">
      <c r="A131" s="38"/>
      <c r="B131" s="38"/>
      <c r="C131" s="38"/>
      <c r="D131" s="38"/>
      <c r="E131" s="38"/>
      <c r="F131" s="38"/>
      <c r="G131" s="39"/>
      <c r="H131" s="39"/>
      <c r="I131" s="39"/>
      <c r="J131" s="39"/>
      <c r="K131" s="39"/>
      <c r="L131" s="39"/>
      <c r="M131" s="40">
        <f t="shared" si="4"/>
        <v>0</v>
      </c>
      <c r="N131" s="40" t="e">
        <f>IF(M131="","",M131*SETTINGS!$B$9)</f>
        <v>#VALUE!</v>
      </c>
      <c r="O131" s="40" t="e">
        <f>IF(M131="","",M131*SETTINGS!$B$10)</f>
        <v>#VALUE!</v>
      </c>
      <c r="P131" s="40" t="str">
        <f>IF(A131="","",SETTINGS!$B$6)</f>
        <v/>
      </c>
      <c r="Q131" s="40" t="str">
        <f>IF(A131="","",SETTINGS!$B$7)</f>
        <v/>
      </c>
      <c r="R131" s="40" t="str">
        <f>IF(A131="","",SETTINGS!$B$8)</f>
        <v/>
      </c>
      <c r="S131" s="38"/>
    </row>
    <row r="132" spans="1:19" ht="14.45" customHeight="1">
      <c r="A132" s="38"/>
      <c r="B132" s="38"/>
      <c r="C132" s="38"/>
      <c r="D132" s="38"/>
      <c r="E132" s="38"/>
      <c r="F132" s="38"/>
      <c r="G132" s="39"/>
      <c r="H132" s="39"/>
      <c r="I132" s="39"/>
      <c r="J132" s="39"/>
      <c r="K132" s="39"/>
      <c r="L132" s="39"/>
      <c r="M132" s="40">
        <f t="shared" si="4"/>
        <v>0</v>
      </c>
      <c r="N132" s="40" t="e">
        <f>IF(M132="","",M132*SETTINGS!$B$9)</f>
        <v>#VALUE!</v>
      </c>
      <c r="O132" s="40" t="e">
        <f>IF(M132="","",M132*SETTINGS!$B$10)</f>
        <v>#VALUE!</v>
      </c>
      <c r="P132" s="40" t="str">
        <f>IF(A132="","",SETTINGS!$B$6)</f>
        <v/>
      </c>
      <c r="Q132" s="40" t="str">
        <f>IF(A132="","",SETTINGS!$B$7)</f>
        <v/>
      </c>
      <c r="R132" s="40" t="str">
        <f>IF(A132="","",SETTINGS!$B$8)</f>
        <v/>
      </c>
      <c r="S132" s="38"/>
    </row>
    <row r="133" spans="1:19" ht="14.45" customHeight="1">
      <c r="A133" s="38"/>
      <c r="B133" s="38"/>
      <c r="C133" s="38"/>
      <c r="D133" s="38"/>
      <c r="E133" s="38"/>
      <c r="F133" s="38"/>
      <c r="G133" s="39"/>
      <c r="H133" s="39"/>
      <c r="I133" s="39"/>
      <c r="J133" s="39"/>
      <c r="K133" s="39"/>
      <c r="L133" s="39"/>
      <c r="M133" s="40">
        <f t="shared" si="4"/>
        <v>0</v>
      </c>
      <c r="N133" s="40" t="e">
        <f>IF(M133="","",M133*SETTINGS!$B$9)</f>
        <v>#VALUE!</v>
      </c>
      <c r="O133" s="40" t="e">
        <f>IF(M133="","",M133*SETTINGS!$B$10)</f>
        <v>#VALUE!</v>
      </c>
      <c r="P133" s="40" t="str">
        <f>IF(A133="","",SETTINGS!$B$6)</f>
        <v/>
      </c>
      <c r="Q133" s="40" t="str">
        <f>IF(A133="","",SETTINGS!$B$7)</f>
        <v/>
      </c>
      <c r="R133" s="40" t="str">
        <f>IF(A133="","",SETTINGS!$B$8)</f>
        <v/>
      </c>
      <c r="S133" s="38"/>
    </row>
    <row r="134" spans="1:19" ht="14.45" customHeight="1">
      <c r="A134" s="38"/>
      <c r="B134" s="38"/>
      <c r="C134" s="38"/>
      <c r="D134" s="38"/>
      <c r="E134" s="38"/>
      <c r="F134" s="38"/>
      <c r="G134" s="39"/>
      <c r="H134" s="39"/>
      <c r="I134" s="39"/>
      <c r="J134" s="39"/>
      <c r="K134" s="39"/>
      <c r="L134" s="39"/>
      <c r="M134" s="40">
        <f t="shared" si="4"/>
        <v>0</v>
      </c>
      <c r="N134" s="40" t="e">
        <f>IF(M134="","",M134*SETTINGS!$B$9)</f>
        <v>#VALUE!</v>
      </c>
      <c r="O134" s="40" t="e">
        <f>IF(M134="","",M134*SETTINGS!$B$10)</f>
        <v>#VALUE!</v>
      </c>
      <c r="P134" s="40" t="str">
        <f>IF(A134="","",SETTINGS!$B$6)</f>
        <v/>
      </c>
      <c r="Q134" s="40" t="str">
        <f>IF(A134="","",SETTINGS!$B$7)</f>
        <v/>
      </c>
      <c r="R134" s="40" t="str">
        <f>IF(A134="","",SETTINGS!$B$8)</f>
        <v/>
      </c>
      <c r="S134" s="38"/>
    </row>
    <row r="135" spans="1:19" ht="14.45" customHeight="1">
      <c r="A135" s="38"/>
      <c r="B135" s="38"/>
      <c r="C135" s="38"/>
      <c r="D135" s="38"/>
      <c r="E135" s="38"/>
      <c r="F135" s="38"/>
      <c r="G135" s="39"/>
      <c r="H135" s="39"/>
      <c r="I135" s="39"/>
      <c r="J135" s="39"/>
      <c r="K135" s="39"/>
      <c r="L135" s="39"/>
      <c r="M135" s="40">
        <f t="shared" si="4"/>
        <v>0</v>
      </c>
      <c r="N135" s="40" t="e">
        <f>IF(M135="","",M135*SETTINGS!$B$9)</f>
        <v>#VALUE!</v>
      </c>
      <c r="O135" s="40" t="e">
        <f>IF(M135="","",M135*SETTINGS!$B$10)</f>
        <v>#VALUE!</v>
      </c>
      <c r="P135" s="40" t="str">
        <f>IF(A135="","",SETTINGS!$B$6)</f>
        <v/>
      </c>
      <c r="Q135" s="40" t="str">
        <f>IF(A135="","",SETTINGS!$B$7)</f>
        <v/>
      </c>
      <c r="R135" s="40" t="str">
        <f>IF(A135="","",SETTINGS!$B$8)</f>
        <v/>
      </c>
      <c r="S135" s="38"/>
    </row>
    <row r="136" spans="1:19" ht="14.45" customHeight="1">
      <c r="A136" s="38"/>
      <c r="B136" s="38"/>
      <c r="C136" s="38"/>
      <c r="D136" s="38"/>
      <c r="E136" s="38"/>
      <c r="F136" s="38"/>
      <c r="G136" s="39"/>
      <c r="H136" s="39"/>
      <c r="I136" s="39"/>
      <c r="J136" s="39"/>
      <c r="K136" s="39"/>
      <c r="L136" s="39"/>
      <c r="M136" s="40">
        <f t="shared" si="4"/>
        <v>0</v>
      </c>
      <c r="N136" s="40" t="e">
        <f>IF(M136="","",M136*SETTINGS!$B$9)</f>
        <v>#VALUE!</v>
      </c>
      <c r="O136" s="40" t="e">
        <f>IF(M136="","",M136*SETTINGS!$B$10)</f>
        <v>#VALUE!</v>
      </c>
      <c r="P136" s="40" t="str">
        <f>IF(A136="","",SETTINGS!$B$6)</f>
        <v/>
      </c>
      <c r="Q136" s="40" t="str">
        <f>IF(A136="","",SETTINGS!$B$7)</f>
        <v/>
      </c>
      <c r="R136" s="40" t="str">
        <f>IF(A136="","",SETTINGS!$B$8)</f>
        <v/>
      </c>
      <c r="S136" s="38"/>
    </row>
    <row r="137" spans="1:19" ht="14.45" customHeight="1">
      <c r="A137" s="38"/>
      <c r="B137" s="38"/>
      <c r="C137" s="38"/>
      <c r="D137" s="38"/>
      <c r="E137" s="38"/>
      <c r="F137" s="38"/>
      <c r="G137" s="39"/>
      <c r="H137" s="39"/>
      <c r="I137" s="39"/>
      <c r="J137" s="39"/>
      <c r="K137" s="39"/>
      <c r="L137" s="39"/>
      <c r="M137" s="40">
        <f t="shared" si="4"/>
        <v>0</v>
      </c>
      <c r="N137" s="40" t="e">
        <f>IF(M137="","",M137*SETTINGS!$B$9)</f>
        <v>#VALUE!</v>
      </c>
      <c r="O137" s="40" t="e">
        <f>IF(M137="","",M137*SETTINGS!$B$10)</f>
        <v>#VALUE!</v>
      </c>
      <c r="P137" s="40" t="str">
        <f>IF(A137="","",SETTINGS!$B$6)</f>
        <v/>
      </c>
      <c r="Q137" s="40" t="str">
        <f>IF(A137="","",SETTINGS!$B$7)</f>
        <v/>
      </c>
      <c r="R137" s="40" t="str">
        <f>IF(A137="","",SETTINGS!$B$8)</f>
        <v/>
      </c>
      <c r="S137" s="38"/>
    </row>
    <row r="138" spans="1:19" ht="14.45" customHeight="1">
      <c r="A138" s="38"/>
      <c r="B138" s="38"/>
      <c r="C138" s="38"/>
      <c r="D138" s="38"/>
      <c r="E138" s="38"/>
      <c r="F138" s="38"/>
      <c r="G138" s="39"/>
      <c r="H138" s="39"/>
      <c r="I138" s="39"/>
      <c r="J138" s="39"/>
      <c r="K138" s="39"/>
      <c r="L138" s="39"/>
      <c r="M138" s="40">
        <f t="shared" si="4"/>
        <v>0</v>
      </c>
      <c r="N138" s="40" t="e">
        <f>IF(M138="","",M138*SETTINGS!$B$9)</f>
        <v>#VALUE!</v>
      </c>
      <c r="O138" s="40" t="e">
        <f>IF(M138="","",M138*SETTINGS!$B$10)</f>
        <v>#VALUE!</v>
      </c>
      <c r="P138" s="40" t="str">
        <f>IF(A138="","",SETTINGS!$B$6)</f>
        <v/>
      </c>
      <c r="Q138" s="40" t="str">
        <f>IF(A138="","",SETTINGS!$B$7)</f>
        <v/>
      </c>
      <c r="R138" s="40" t="str">
        <f>IF(A138="","",SETTINGS!$B$8)</f>
        <v/>
      </c>
      <c r="S138" s="38"/>
    </row>
    <row r="139" spans="1:19" ht="14.45" customHeight="1">
      <c r="A139" s="38"/>
      <c r="B139" s="38"/>
      <c r="C139" s="38"/>
      <c r="D139" s="38"/>
      <c r="E139" s="38"/>
      <c r="F139" s="38"/>
      <c r="G139" s="39"/>
      <c r="H139" s="39"/>
      <c r="I139" s="39"/>
      <c r="J139" s="39"/>
      <c r="K139" s="39"/>
      <c r="L139" s="39"/>
      <c r="M139" s="40">
        <f t="shared" si="4"/>
        <v>0</v>
      </c>
      <c r="N139" s="40" t="e">
        <f>IF(M139="","",M139*SETTINGS!$B$9)</f>
        <v>#VALUE!</v>
      </c>
      <c r="O139" s="40" t="e">
        <f>IF(M139="","",M139*SETTINGS!$B$10)</f>
        <v>#VALUE!</v>
      </c>
      <c r="P139" s="40" t="str">
        <f>IF(A139="","",SETTINGS!$B$6)</f>
        <v/>
      </c>
      <c r="Q139" s="40" t="str">
        <f>IF(A139="","",SETTINGS!$B$7)</f>
        <v/>
      </c>
      <c r="R139" s="40" t="str">
        <f>IF(A139="","",SETTINGS!$B$8)</f>
        <v/>
      </c>
      <c r="S139" s="38"/>
    </row>
    <row r="140" spans="1:19" ht="14.45" customHeight="1">
      <c r="A140" s="38"/>
      <c r="B140" s="38"/>
      <c r="C140" s="38"/>
      <c r="D140" s="38"/>
      <c r="E140" s="38"/>
      <c r="F140" s="38"/>
      <c r="G140" s="39"/>
      <c r="H140" s="39"/>
      <c r="I140" s="39"/>
      <c r="J140" s="39"/>
      <c r="K140" s="39"/>
      <c r="L140" s="39"/>
      <c r="M140" s="40">
        <f t="shared" si="4"/>
        <v>0</v>
      </c>
      <c r="N140" s="40" t="e">
        <f>IF(M140="","",M140*SETTINGS!$B$9)</f>
        <v>#VALUE!</v>
      </c>
      <c r="O140" s="40" t="e">
        <f>IF(M140="","",M140*SETTINGS!$B$10)</f>
        <v>#VALUE!</v>
      </c>
      <c r="P140" s="40" t="str">
        <f>IF(A140="","",SETTINGS!$B$6)</f>
        <v/>
      </c>
      <c r="Q140" s="40" t="str">
        <f>IF(A140="","",SETTINGS!$B$7)</f>
        <v/>
      </c>
      <c r="R140" s="40" t="str">
        <f>IF(A140="","",SETTINGS!$B$8)</f>
        <v/>
      </c>
      <c r="S140" s="38"/>
    </row>
    <row r="141" spans="1:19" ht="14.45" customHeight="1">
      <c r="A141" s="38"/>
      <c r="B141" s="38"/>
      <c r="C141" s="38"/>
      <c r="D141" s="38"/>
      <c r="E141" s="38"/>
      <c r="F141" s="38"/>
      <c r="G141" s="39"/>
      <c r="H141" s="39"/>
      <c r="I141" s="39"/>
      <c r="J141" s="39"/>
      <c r="K141" s="39"/>
      <c r="L141" s="39"/>
      <c r="M141" s="40">
        <f t="shared" si="4"/>
        <v>0</v>
      </c>
      <c r="N141" s="40" t="e">
        <f>IF(M141="","",M141*SETTINGS!$B$9)</f>
        <v>#VALUE!</v>
      </c>
      <c r="O141" s="40" t="e">
        <f>IF(M141="","",M141*SETTINGS!$B$10)</f>
        <v>#VALUE!</v>
      </c>
      <c r="P141" s="40" t="str">
        <f>IF(A141="","",SETTINGS!$B$6)</f>
        <v/>
      </c>
      <c r="Q141" s="40" t="str">
        <f>IF(A141="","",SETTINGS!$B$7)</f>
        <v/>
      </c>
      <c r="R141" s="40" t="str">
        <f>IF(A141="","",SETTINGS!$B$8)</f>
        <v/>
      </c>
      <c r="S141" s="38"/>
    </row>
    <row r="142" spans="1:19" ht="14.45" customHeight="1">
      <c r="A142" s="38"/>
      <c r="B142" s="38"/>
      <c r="C142" s="38"/>
      <c r="D142" s="38"/>
      <c r="E142" s="38"/>
      <c r="F142" s="38"/>
      <c r="G142" s="39"/>
      <c r="H142" s="39"/>
      <c r="I142" s="39"/>
      <c r="J142" s="39"/>
      <c r="K142" s="39"/>
      <c r="L142" s="39"/>
      <c r="M142" s="40">
        <f t="shared" si="4"/>
        <v>0</v>
      </c>
      <c r="N142" s="40" t="e">
        <f>IF(M142="","",M142*SETTINGS!$B$9)</f>
        <v>#VALUE!</v>
      </c>
      <c r="O142" s="40" t="e">
        <f>IF(M142="","",M142*SETTINGS!$B$10)</f>
        <v>#VALUE!</v>
      </c>
      <c r="P142" s="40" t="str">
        <f>IF(A142="","",SETTINGS!$B$6)</f>
        <v/>
      </c>
      <c r="Q142" s="40" t="str">
        <f>IF(A142="","",SETTINGS!$B$7)</f>
        <v/>
      </c>
      <c r="R142" s="40" t="str">
        <f>IF(A142="","",SETTINGS!$B$8)</f>
        <v/>
      </c>
      <c r="S142" s="38"/>
    </row>
    <row r="143" spans="1:19" ht="14.45" customHeight="1">
      <c r="A143" s="38"/>
      <c r="B143" s="38"/>
      <c r="C143" s="38"/>
      <c r="D143" s="38"/>
      <c r="E143" s="38"/>
      <c r="F143" s="38"/>
      <c r="G143" s="39"/>
      <c r="H143" s="39"/>
      <c r="I143" s="39"/>
      <c r="J143" s="39"/>
      <c r="K143" s="39"/>
      <c r="L143" s="39"/>
      <c r="M143" s="40">
        <f t="shared" si="4"/>
        <v>0</v>
      </c>
      <c r="N143" s="40" t="e">
        <f>IF(M143="","",M143*SETTINGS!$B$9)</f>
        <v>#VALUE!</v>
      </c>
      <c r="O143" s="40" t="e">
        <f>IF(M143="","",M143*SETTINGS!$B$10)</f>
        <v>#VALUE!</v>
      </c>
      <c r="P143" s="40" t="str">
        <f>IF(A143="","",SETTINGS!$B$6)</f>
        <v/>
      </c>
      <c r="Q143" s="40" t="str">
        <f>IF(A143="","",SETTINGS!$B$7)</f>
        <v/>
      </c>
      <c r="R143" s="40" t="str">
        <f>IF(A143="","",SETTINGS!$B$8)</f>
        <v/>
      </c>
      <c r="S143" s="38"/>
    </row>
    <row r="144" spans="1:19" ht="14.45" customHeight="1">
      <c r="A144" s="38"/>
      <c r="B144" s="38"/>
      <c r="C144" s="38"/>
      <c r="D144" s="38"/>
      <c r="E144" s="38"/>
      <c r="F144" s="38"/>
      <c r="G144" s="39"/>
      <c r="H144" s="39"/>
      <c r="I144" s="39"/>
      <c r="J144" s="39"/>
      <c r="K144" s="39"/>
      <c r="L144" s="39"/>
      <c r="M144" s="40">
        <f t="shared" si="4"/>
        <v>0</v>
      </c>
      <c r="N144" s="40" t="e">
        <f>IF(M144="","",M144*SETTINGS!$B$9)</f>
        <v>#VALUE!</v>
      </c>
      <c r="O144" s="40" t="e">
        <f>IF(M144="","",M144*SETTINGS!$B$10)</f>
        <v>#VALUE!</v>
      </c>
      <c r="P144" s="40" t="str">
        <f>IF(A144="","",SETTINGS!$B$6)</f>
        <v/>
      </c>
      <c r="Q144" s="40" t="str">
        <f>IF(A144="","",SETTINGS!$B$7)</f>
        <v/>
      </c>
      <c r="R144" s="40" t="str">
        <f>IF(A144="","",SETTINGS!$B$8)</f>
        <v/>
      </c>
      <c r="S144" s="38"/>
    </row>
    <row r="145" spans="1:19" ht="14.45" customHeight="1">
      <c r="A145" s="38"/>
      <c r="B145" s="38"/>
      <c r="C145" s="38"/>
      <c r="D145" s="38"/>
      <c r="E145" s="38"/>
      <c r="F145" s="38"/>
      <c r="G145" s="39"/>
      <c r="H145" s="39"/>
      <c r="I145" s="39"/>
      <c r="J145" s="39"/>
      <c r="K145" s="39"/>
      <c r="L145" s="39"/>
      <c r="M145" s="40">
        <f t="shared" si="4"/>
        <v>0</v>
      </c>
      <c r="N145" s="40" t="e">
        <f>IF(M145="","",M145*SETTINGS!$B$9)</f>
        <v>#VALUE!</v>
      </c>
      <c r="O145" s="40" t="e">
        <f>IF(M145="","",M145*SETTINGS!$B$10)</f>
        <v>#VALUE!</v>
      </c>
      <c r="P145" s="40" t="str">
        <f>IF(A145="","",SETTINGS!$B$6)</f>
        <v/>
      </c>
      <c r="Q145" s="40" t="str">
        <f>IF(A145="","",SETTINGS!$B$7)</f>
        <v/>
      </c>
      <c r="R145" s="40" t="str">
        <f>IF(A145="","",SETTINGS!$B$8)</f>
        <v/>
      </c>
      <c r="S145" s="38"/>
    </row>
    <row r="146" spans="1:19" ht="14.45" customHeight="1">
      <c r="A146" s="38"/>
      <c r="B146" s="38"/>
      <c r="C146" s="38"/>
      <c r="D146" s="38"/>
      <c r="E146" s="38"/>
      <c r="F146" s="38"/>
      <c r="G146" s="39"/>
      <c r="H146" s="39"/>
      <c r="I146" s="39"/>
      <c r="J146" s="39"/>
      <c r="K146" s="39"/>
      <c r="L146" s="39"/>
      <c r="M146" s="40">
        <f t="shared" si="4"/>
        <v>0</v>
      </c>
      <c r="N146" s="40" t="e">
        <f>IF(M146="","",M146*SETTINGS!$B$9)</f>
        <v>#VALUE!</v>
      </c>
      <c r="O146" s="40" t="e">
        <f>IF(M146="","",M146*SETTINGS!$B$10)</f>
        <v>#VALUE!</v>
      </c>
      <c r="P146" s="40" t="str">
        <f>IF(A146="","",SETTINGS!$B$6)</f>
        <v/>
      </c>
      <c r="Q146" s="40" t="str">
        <f>IF(A146="","",SETTINGS!$B$7)</f>
        <v/>
      </c>
      <c r="R146" s="40" t="str">
        <f>IF(A146="","",SETTINGS!$B$8)</f>
        <v/>
      </c>
      <c r="S146" s="38"/>
    </row>
    <row r="147" spans="1:19" ht="14.45" customHeight="1">
      <c r="A147" s="38"/>
      <c r="B147" s="38"/>
      <c r="C147" s="38"/>
      <c r="D147" s="38"/>
      <c r="E147" s="38"/>
      <c r="F147" s="38"/>
      <c r="G147" s="39"/>
      <c r="H147" s="39"/>
      <c r="I147" s="39"/>
      <c r="J147" s="39"/>
      <c r="K147" s="39"/>
      <c r="L147" s="39"/>
      <c r="M147" s="40">
        <f t="shared" si="4"/>
        <v>0</v>
      </c>
      <c r="N147" s="40" t="e">
        <f>IF(M147="","",M147*SETTINGS!$B$9)</f>
        <v>#VALUE!</v>
      </c>
      <c r="O147" s="40" t="e">
        <f>IF(M147="","",M147*SETTINGS!$B$10)</f>
        <v>#VALUE!</v>
      </c>
      <c r="P147" s="40" t="str">
        <f>IF(A147="","",SETTINGS!$B$6)</f>
        <v/>
      </c>
      <c r="Q147" s="40" t="str">
        <f>IF(A147="","",SETTINGS!$B$7)</f>
        <v/>
      </c>
      <c r="R147" s="40" t="str">
        <f>IF(A147="","",SETTINGS!$B$8)</f>
        <v/>
      </c>
      <c r="S147" s="38"/>
    </row>
    <row r="148" spans="1:19" ht="14.45" customHeight="1">
      <c r="A148" s="38"/>
      <c r="B148" s="38"/>
      <c r="C148" s="38"/>
      <c r="D148" s="38"/>
      <c r="E148" s="38"/>
      <c r="F148" s="38"/>
      <c r="G148" s="39"/>
      <c r="H148" s="39"/>
      <c r="I148" s="39"/>
      <c r="J148" s="39"/>
      <c r="K148" s="39"/>
      <c r="L148" s="39"/>
      <c r="M148" s="40">
        <f t="shared" si="4"/>
        <v>0</v>
      </c>
      <c r="N148" s="40" t="e">
        <f>IF(M148="","",M148*SETTINGS!$B$9)</f>
        <v>#VALUE!</v>
      </c>
      <c r="O148" s="40" t="e">
        <f>IF(M148="","",M148*SETTINGS!$B$10)</f>
        <v>#VALUE!</v>
      </c>
      <c r="P148" s="40" t="str">
        <f>IF(A148="","",SETTINGS!$B$6)</f>
        <v/>
      </c>
      <c r="Q148" s="40" t="str">
        <f>IF(A148="","",SETTINGS!$B$7)</f>
        <v/>
      </c>
      <c r="R148" s="40" t="str">
        <f>IF(A148="","",SETTINGS!$B$8)</f>
        <v/>
      </c>
      <c r="S148" s="38"/>
    </row>
    <row r="149" spans="1:19" ht="14.45" customHeight="1">
      <c r="A149" s="38"/>
      <c r="B149" s="38"/>
      <c r="C149" s="38"/>
      <c r="D149" s="38"/>
      <c r="E149" s="38"/>
      <c r="F149" s="38"/>
      <c r="G149" s="39"/>
      <c r="H149" s="39"/>
      <c r="I149" s="39"/>
      <c r="J149" s="39"/>
      <c r="K149" s="39"/>
      <c r="L149" s="39"/>
      <c r="M149" s="40">
        <f t="shared" si="4"/>
        <v>0</v>
      </c>
      <c r="N149" s="40" t="e">
        <f>IF(M149="","",M149*SETTINGS!$B$9)</f>
        <v>#VALUE!</v>
      </c>
      <c r="O149" s="40" t="e">
        <f>IF(M149="","",M149*SETTINGS!$B$10)</f>
        <v>#VALUE!</v>
      </c>
      <c r="P149" s="40" t="str">
        <f>IF(A149="","",SETTINGS!$B$6)</f>
        <v/>
      </c>
      <c r="Q149" s="40" t="str">
        <f>IF(A149="","",SETTINGS!$B$7)</f>
        <v/>
      </c>
      <c r="R149" s="40" t="str">
        <f>IF(A149="","",SETTINGS!$B$8)</f>
        <v/>
      </c>
      <c r="S149" s="38"/>
    </row>
    <row r="150" spans="1:19" ht="14.45" customHeight="1">
      <c r="A150" s="38"/>
      <c r="B150" s="38"/>
      <c r="C150" s="38"/>
      <c r="D150" s="38"/>
      <c r="E150" s="38"/>
      <c r="F150" s="38"/>
      <c r="G150" s="39"/>
      <c r="H150" s="39"/>
      <c r="I150" s="39"/>
      <c r="J150" s="39"/>
      <c r="K150" s="39"/>
      <c r="L150" s="39"/>
      <c r="M150" s="40">
        <f t="shared" si="4"/>
        <v>0</v>
      </c>
      <c r="N150" s="40" t="e">
        <f>IF(M150="","",M150*SETTINGS!$B$9)</f>
        <v>#VALUE!</v>
      </c>
      <c r="O150" s="40" t="e">
        <f>IF(M150="","",M150*SETTINGS!$B$10)</f>
        <v>#VALUE!</v>
      </c>
      <c r="P150" s="40" t="str">
        <f>IF(A150="","",SETTINGS!$B$6)</f>
        <v/>
      </c>
      <c r="Q150" s="40" t="str">
        <f>IF(A150="","",SETTINGS!$B$7)</f>
        <v/>
      </c>
      <c r="R150" s="40" t="str">
        <f>IF(A150="","",SETTINGS!$B$8)</f>
        <v/>
      </c>
      <c r="S150" s="38"/>
    </row>
    <row r="151" spans="1:19" ht="14.45" customHeight="1">
      <c r="A151" s="38"/>
      <c r="B151" s="38"/>
      <c r="C151" s="38"/>
      <c r="D151" s="38"/>
      <c r="E151" s="38"/>
      <c r="F151" s="38"/>
      <c r="G151" s="39"/>
      <c r="H151" s="39"/>
      <c r="I151" s="39"/>
      <c r="J151" s="39"/>
      <c r="K151" s="39"/>
      <c r="L151" s="39"/>
      <c r="M151" s="40">
        <f t="shared" si="4"/>
        <v>0</v>
      </c>
      <c r="N151" s="40" t="e">
        <f>IF(M151="","",M151*SETTINGS!$B$9)</f>
        <v>#VALUE!</v>
      </c>
      <c r="O151" s="40" t="e">
        <f>IF(M151="","",M151*SETTINGS!$B$10)</f>
        <v>#VALUE!</v>
      </c>
      <c r="P151" s="40" t="str">
        <f>IF(A151="","",SETTINGS!$B$6)</f>
        <v/>
      </c>
      <c r="Q151" s="40" t="str">
        <f>IF(A151="","",SETTINGS!$B$7)</f>
        <v/>
      </c>
      <c r="R151" s="40" t="str">
        <f>IF(A151="","",SETTINGS!$B$8)</f>
        <v/>
      </c>
      <c r="S151" s="38"/>
    </row>
    <row r="152" spans="1:19" ht="14.45" customHeight="1">
      <c r="A152" s="38"/>
      <c r="B152" s="38"/>
      <c r="C152" s="38"/>
      <c r="D152" s="38"/>
      <c r="E152" s="38"/>
      <c r="F152" s="38"/>
      <c r="G152" s="39"/>
      <c r="H152" s="39"/>
      <c r="I152" s="39"/>
      <c r="J152" s="39"/>
      <c r="K152" s="39"/>
      <c r="L152" s="39"/>
      <c r="M152" s="40">
        <f t="shared" si="4"/>
        <v>0</v>
      </c>
      <c r="N152" s="40" t="e">
        <f>IF(M152="","",M152*SETTINGS!$B$9)</f>
        <v>#VALUE!</v>
      </c>
      <c r="O152" s="40" t="e">
        <f>IF(M152="","",M152*SETTINGS!$B$10)</f>
        <v>#VALUE!</v>
      </c>
      <c r="P152" s="40" t="str">
        <f>IF(A152="","",SETTINGS!$B$6)</f>
        <v/>
      </c>
      <c r="Q152" s="40" t="str">
        <f>IF(A152="","",SETTINGS!$B$7)</f>
        <v/>
      </c>
      <c r="R152" s="40" t="str">
        <f>IF(A152="","",SETTINGS!$B$8)</f>
        <v/>
      </c>
      <c r="S152" s="38"/>
    </row>
    <row r="153" spans="1:19" ht="14.45" customHeight="1">
      <c r="A153" s="38"/>
      <c r="B153" s="38"/>
      <c r="C153" s="38"/>
      <c r="D153" s="38"/>
      <c r="E153" s="38"/>
      <c r="F153" s="38"/>
      <c r="G153" s="39"/>
      <c r="H153" s="39"/>
      <c r="I153" s="39"/>
      <c r="J153" s="39"/>
      <c r="K153" s="39"/>
      <c r="L153" s="39"/>
      <c r="M153" s="40">
        <f t="shared" si="4"/>
        <v>0</v>
      </c>
      <c r="N153" s="40" t="e">
        <f>IF(M153="","",M153*SETTINGS!$B$9)</f>
        <v>#VALUE!</v>
      </c>
      <c r="O153" s="40" t="e">
        <f>IF(M153="","",M153*SETTINGS!$B$10)</f>
        <v>#VALUE!</v>
      </c>
      <c r="P153" s="40" t="str">
        <f>IF(A153="","",SETTINGS!$B$6)</f>
        <v/>
      </c>
      <c r="Q153" s="40" t="str">
        <f>IF(A153="","",SETTINGS!$B$7)</f>
        <v/>
      </c>
      <c r="R153" s="40" t="str">
        <f>IF(A153="","",SETTINGS!$B$8)</f>
        <v/>
      </c>
      <c r="S153" s="38"/>
    </row>
    <row r="154" spans="1:19" ht="14.45" customHeight="1">
      <c r="A154" s="38"/>
      <c r="B154" s="38"/>
      <c r="C154" s="38"/>
      <c r="D154" s="38"/>
      <c r="E154" s="38"/>
      <c r="F154" s="38"/>
      <c r="G154" s="39"/>
      <c r="H154" s="39"/>
      <c r="I154" s="39"/>
      <c r="J154" s="39"/>
      <c r="K154" s="39"/>
      <c r="L154" s="39"/>
      <c r="M154" s="40">
        <f t="shared" si="4"/>
        <v>0</v>
      </c>
      <c r="N154" s="40" t="e">
        <f>IF(M154="","",M154*SETTINGS!$B$9)</f>
        <v>#VALUE!</v>
      </c>
      <c r="O154" s="40" t="e">
        <f>IF(M154="","",M154*SETTINGS!$B$10)</f>
        <v>#VALUE!</v>
      </c>
      <c r="P154" s="40" t="str">
        <f>IF(A154="","",SETTINGS!$B$6)</f>
        <v/>
      </c>
      <c r="Q154" s="40" t="str">
        <f>IF(A154="","",SETTINGS!$B$7)</f>
        <v/>
      </c>
      <c r="R154" s="40" t="str">
        <f>IF(A154="","",SETTINGS!$B$8)</f>
        <v/>
      </c>
      <c r="S154" s="38"/>
    </row>
    <row r="155" spans="1:19" ht="14.45" customHeight="1">
      <c r="A155" s="38"/>
      <c r="B155" s="38"/>
      <c r="C155" s="38"/>
      <c r="D155" s="38"/>
      <c r="E155" s="38"/>
      <c r="F155" s="38"/>
      <c r="G155" s="39"/>
      <c r="H155" s="39"/>
      <c r="I155" s="39"/>
      <c r="J155" s="39"/>
      <c r="K155" s="39"/>
      <c r="L155" s="39"/>
      <c r="M155" s="40">
        <f t="shared" si="4"/>
        <v>0</v>
      </c>
      <c r="N155" s="40" t="e">
        <f>IF(M155="","",M155*SETTINGS!$B$9)</f>
        <v>#VALUE!</v>
      </c>
      <c r="O155" s="40" t="e">
        <f>IF(M155="","",M155*SETTINGS!$B$10)</f>
        <v>#VALUE!</v>
      </c>
      <c r="P155" s="40" t="str">
        <f>IF(A155="","",SETTINGS!$B$6)</f>
        <v/>
      </c>
      <c r="Q155" s="40" t="str">
        <f>IF(A155="","",SETTINGS!$B$7)</f>
        <v/>
      </c>
      <c r="R155" s="40" t="str">
        <f>IF(A155="","",SETTINGS!$B$8)</f>
        <v/>
      </c>
      <c r="S155" s="38"/>
    </row>
    <row r="156" spans="1:19" ht="14.45" customHeight="1">
      <c r="A156" s="38"/>
      <c r="B156" s="38"/>
      <c r="C156" s="38"/>
      <c r="D156" s="38"/>
      <c r="E156" s="38"/>
      <c r="F156" s="38"/>
      <c r="G156" s="39"/>
      <c r="H156" s="39"/>
      <c r="I156" s="39"/>
      <c r="J156" s="39"/>
      <c r="K156" s="39"/>
      <c r="L156" s="39"/>
      <c r="M156" s="40">
        <f t="shared" si="4"/>
        <v>0</v>
      </c>
      <c r="N156" s="40" t="e">
        <f>IF(M156="","",M156*SETTINGS!$B$9)</f>
        <v>#VALUE!</v>
      </c>
      <c r="O156" s="40" t="e">
        <f>IF(M156="","",M156*SETTINGS!$B$10)</f>
        <v>#VALUE!</v>
      </c>
      <c r="P156" s="40" t="str">
        <f>IF(A156="","",SETTINGS!$B$6)</f>
        <v/>
      </c>
      <c r="Q156" s="40" t="str">
        <f>IF(A156="","",SETTINGS!$B$7)</f>
        <v/>
      </c>
      <c r="R156" s="40" t="str">
        <f>IF(A156="","",SETTINGS!$B$8)</f>
        <v/>
      </c>
      <c r="S156" s="38"/>
    </row>
    <row r="157" spans="1:19" ht="14.45" customHeight="1">
      <c r="A157" s="38"/>
      <c r="B157" s="38"/>
      <c r="C157" s="38"/>
      <c r="D157" s="38"/>
      <c r="E157" s="38"/>
      <c r="F157" s="38"/>
      <c r="G157" s="39"/>
      <c r="H157" s="39"/>
      <c r="I157" s="39"/>
      <c r="J157" s="39"/>
      <c r="K157" s="39"/>
      <c r="L157" s="39"/>
      <c r="M157" s="40">
        <f t="shared" si="4"/>
        <v>0</v>
      </c>
      <c r="N157" s="40" t="e">
        <f>IF(M157="","",M157*SETTINGS!$B$9)</f>
        <v>#VALUE!</v>
      </c>
      <c r="O157" s="40" t="e">
        <f>IF(M157="","",M157*SETTINGS!$B$10)</f>
        <v>#VALUE!</v>
      </c>
      <c r="P157" s="40" t="str">
        <f>IF(A157="","",SETTINGS!$B$6)</f>
        <v/>
      </c>
      <c r="Q157" s="40" t="str">
        <f>IF(A157="","",SETTINGS!$B$7)</f>
        <v/>
      </c>
      <c r="R157" s="40" t="str">
        <f>IF(A157="","",SETTINGS!$B$8)</f>
        <v/>
      </c>
      <c r="S157" s="38"/>
    </row>
    <row r="158" spans="1:19" ht="14.45" customHeight="1">
      <c r="A158" s="38"/>
      <c r="B158" s="38"/>
      <c r="C158" s="38"/>
      <c r="D158" s="38"/>
      <c r="E158" s="38"/>
      <c r="F158" s="38"/>
      <c r="G158" s="39"/>
      <c r="H158" s="39"/>
      <c r="I158" s="39"/>
      <c r="J158" s="39"/>
      <c r="K158" s="39"/>
      <c r="L158" s="39"/>
      <c r="M158" s="40">
        <f t="shared" si="4"/>
        <v>0</v>
      </c>
      <c r="N158" s="40" t="e">
        <f>IF(M158="","",M158*SETTINGS!$B$9)</f>
        <v>#VALUE!</v>
      </c>
      <c r="O158" s="40" t="e">
        <f>IF(M158="","",M158*SETTINGS!$B$10)</f>
        <v>#VALUE!</v>
      </c>
      <c r="P158" s="40" t="str">
        <f>IF(A158="","",SETTINGS!$B$6)</f>
        <v/>
      </c>
      <c r="Q158" s="40" t="str">
        <f>IF(A158="","",SETTINGS!$B$7)</f>
        <v/>
      </c>
      <c r="R158" s="40" t="str">
        <f>IF(A158="","",SETTINGS!$B$8)</f>
        <v/>
      </c>
      <c r="S158" s="38"/>
    </row>
    <row r="159" spans="1:19" ht="14.45" customHeight="1">
      <c r="A159" s="38"/>
      <c r="B159" s="38"/>
      <c r="C159" s="38"/>
      <c r="D159" s="38"/>
      <c r="E159" s="38"/>
      <c r="F159" s="38"/>
      <c r="G159" s="39"/>
      <c r="H159" s="39"/>
      <c r="I159" s="39"/>
      <c r="J159" s="39"/>
      <c r="K159" s="39"/>
      <c r="L159" s="39"/>
      <c r="M159" s="40">
        <f t="shared" si="4"/>
        <v>0</v>
      </c>
      <c r="N159" s="40" t="e">
        <f>IF(M159="","",M159*SETTINGS!$B$9)</f>
        <v>#VALUE!</v>
      </c>
      <c r="O159" s="40" t="e">
        <f>IF(M159="","",M159*SETTINGS!$B$10)</f>
        <v>#VALUE!</v>
      </c>
      <c r="P159" s="40" t="str">
        <f>IF(A159="","",SETTINGS!$B$6)</f>
        <v/>
      </c>
      <c r="Q159" s="40" t="str">
        <f>IF(A159="","",SETTINGS!$B$7)</f>
        <v/>
      </c>
      <c r="R159" s="40" t="str">
        <f>IF(A159="","",SETTINGS!$B$8)</f>
        <v/>
      </c>
      <c r="S159" s="38"/>
    </row>
    <row r="160" spans="1:19" ht="14.45" customHeight="1">
      <c r="A160" s="38"/>
      <c r="B160" s="38"/>
      <c r="C160" s="38"/>
      <c r="D160" s="38"/>
      <c r="E160" s="38"/>
      <c r="F160" s="38"/>
      <c r="G160" s="39"/>
      <c r="H160" s="39"/>
      <c r="I160" s="39"/>
      <c r="J160" s="39"/>
      <c r="K160" s="39"/>
      <c r="L160" s="39"/>
      <c r="M160" s="40">
        <f t="shared" si="4"/>
        <v>0</v>
      </c>
      <c r="N160" s="40" t="e">
        <f>IF(M160="","",M160*SETTINGS!$B$9)</f>
        <v>#VALUE!</v>
      </c>
      <c r="O160" s="40" t="e">
        <f>IF(M160="","",M160*SETTINGS!$B$10)</f>
        <v>#VALUE!</v>
      </c>
      <c r="P160" s="40" t="str">
        <f>IF(A160="","",SETTINGS!$B$6)</f>
        <v/>
      </c>
      <c r="Q160" s="40" t="str">
        <f>IF(A160="","",SETTINGS!$B$7)</f>
        <v/>
      </c>
      <c r="R160" s="40" t="str">
        <f>IF(A160="","",SETTINGS!$B$8)</f>
        <v/>
      </c>
      <c r="S160" s="38"/>
    </row>
    <row r="161" spans="1:19" ht="14.45" customHeight="1">
      <c r="A161" s="38"/>
      <c r="B161" s="38"/>
      <c r="C161" s="38"/>
      <c r="D161" s="38"/>
      <c r="E161" s="38"/>
      <c r="F161" s="38"/>
      <c r="G161" s="39"/>
      <c r="H161" s="39"/>
      <c r="I161" s="39"/>
      <c r="J161" s="39"/>
      <c r="K161" s="39"/>
      <c r="L161" s="39"/>
      <c r="M161" s="40">
        <f t="shared" si="4"/>
        <v>0</v>
      </c>
      <c r="N161" s="40" t="e">
        <f>IF(M161="","",M161*SETTINGS!$B$9)</f>
        <v>#VALUE!</v>
      </c>
      <c r="O161" s="40" t="e">
        <f>IF(M161="","",M161*SETTINGS!$B$10)</f>
        <v>#VALUE!</v>
      </c>
      <c r="P161" s="40" t="str">
        <f>IF(A161="","",SETTINGS!$B$6)</f>
        <v/>
      </c>
      <c r="Q161" s="40" t="str">
        <f>IF(A161="","",SETTINGS!$B$7)</f>
        <v/>
      </c>
      <c r="R161" s="40" t="str">
        <f>IF(A161="","",SETTINGS!$B$8)</f>
        <v/>
      </c>
      <c r="S161" s="38"/>
    </row>
    <row r="162" spans="1:19" ht="14.45" customHeight="1">
      <c r="A162" s="38"/>
      <c r="B162" s="38"/>
      <c r="C162" s="38"/>
      <c r="D162" s="38"/>
      <c r="E162" s="38"/>
      <c r="F162" s="38"/>
      <c r="G162" s="39"/>
      <c r="H162" s="39"/>
      <c r="I162" s="39"/>
      <c r="J162" s="39"/>
      <c r="K162" s="39"/>
      <c r="L162" s="39"/>
      <c r="M162" s="40">
        <f t="shared" si="4"/>
        <v>0</v>
      </c>
      <c r="N162" s="40" t="e">
        <f>IF(M162="","",M162*SETTINGS!$B$9)</f>
        <v>#VALUE!</v>
      </c>
      <c r="O162" s="40" t="e">
        <f>IF(M162="","",M162*SETTINGS!$B$10)</f>
        <v>#VALUE!</v>
      </c>
      <c r="P162" s="40" t="str">
        <f>IF(A162="","",SETTINGS!$B$6)</f>
        <v/>
      </c>
      <c r="Q162" s="40" t="str">
        <f>IF(A162="","",SETTINGS!$B$7)</f>
        <v/>
      </c>
      <c r="R162" s="40" t="str">
        <f>IF(A162="","",SETTINGS!$B$8)</f>
        <v/>
      </c>
      <c r="S162" s="38"/>
    </row>
    <row r="163" spans="1:19" ht="14.45" customHeight="1">
      <c r="A163" s="38"/>
      <c r="B163" s="38"/>
      <c r="C163" s="38"/>
      <c r="D163" s="38"/>
      <c r="E163" s="38"/>
      <c r="F163" s="38"/>
      <c r="G163" s="39"/>
      <c r="H163" s="39"/>
      <c r="I163" s="39"/>
      <c r="J163" s="39"/>
      <c r="K163" s="39"/>
      <c r="L163" s="39"/>
      <c r="M163" s="40">
        <f t="shared" si="4"/>
        <v>0</v>
      </c>
      <c r="N163" s="40" t="e">
        <f>IF(M163="","",M163*SETTINGS!$B$9)</f>
        <v>#VALUE!</v>
      </c>
      <c r="O163" s="40" t="e">
        <f>IF(M163="","",M163*SETTINGS!$B$10)</f>
        <v>#VALUE!</v>
      </c>
      <c r="P163" s="40" t="str">
        <f>IF(A163="","",SETTINGS!$B$6)</f>
        <v/>
      </c>
      <c r="Q163" s="40" t="str">
        <f>IF(A163="","",SETTINGS!$B$7)</f>
        <v/>
      </c>
      <c r="R163" s="40" t="str">
        <f>IF(A163="","",SETTINGS!$B$8)</f>
        <v/>
      </c>
      <c r="S163" s="38"/>
    </row>
    <row r="164" spans="1:19" ht="14.45" customHeight="1">
      <c r="A164" s="38"/>
      <c r="B164" s="38"/>
      <c r="C164" s="38"/>
      <c r="D164" s="38"/>
      <c r="E164" s="38"/>
      <c r="F164" s="38"/>
      <c r="G164" s="39"/>
      <c r="H164" s="39"/>
      <c r="I164" s="39"/>
      <c r="J164" s="39"/>
      <c r="K164" s="39"/>
      <c r="L164" s="39"/>
      <c r="M164" s="40">
        <f t="shared" si="4"/>
        <v>0</v>
      </c>
      <c r="N164" s="40" t="e">
        <f>IF(M164="","",M164*SETTINGS!$B$9)</f>
        <v>#VALUE!</v>
      </c>
      <c r="O164" s="40" t="e">
        <f>IF(M164="","",M164*SETTINGS!$B$10)</f>
        <v>#VALUE!</v>
      </c>
      <c r="P164" s="40" t="str">
        <f>IF(A164="","",SETTINGS!$B$6)</f>
        <v/>
      </c>
      <c r="Q164" s="40" t="str">
        <f>IF(A164="","",SETTINGS!$B$7)</f>
        <v/>
      </c>
      <c r="R164" s="40" t="str">
        <f>IF(A164="","",SETTINGS!$B$8)</f>
        <v/>
      </c>
      <c r="S164" s="38"/>
    </row>
    <row r="165" spans="1:19" ht="14.45" customHeight="1">
      <c r="A165" s="38"/>
      <c r="B165" s="38"/>
      <c r="C165" s="38"/>
      <c r="D165" s="38"/>
      <c r="E165" s="38"/>
      <c r="F165" s="38"/>
      <c r="G165" s="39"/>
      <c r="H165" s="39"/>
      <c r="I165" s="39"/>
      <c r="J165" s="39"/>
      <c r="K165" s="39"/>
      <c r="L165" s="39"/>
      <c r="M165" s="40">
        <f t="shared" si="4"/>
        <v>0</v>
      </c>
      <c r="N165" s="40" t="e">
        <f>IF(M165="","",M165*SETTINGS!$B$9)</f>
        <v>#VALUE!</v>
      </c>
      <c r="O165" s="40" t="e">
        <f>IF(M165="","",M165*SETTINGS!$B$10)</f>
        <v>#VALUE!</v>
      </c>
      <c r="P165" s="40" t="str">
        <f>IF(A165="","",SETTINGS!$B$6)</f>
        <v/>
      </c>
      <c r="Q165" s="40" t="str">
        <f>IF(A165="","",SETTINGS!$B$7)</f>
        <v/>
      </c>
      <c r="R165" s="40" t="str">
        <f>IF(A165="","",SETTINGS!$B$8)</f>
        <v/>
      </c>
      <c r="S165" s="38"/>
    </row>
    <row r="166" spans="1:19" ht="14.45" customHeight="1">
      <c r="A166" s="38"/>
      <c r="B166" s="38"/>
      <c r="C166" s="38"/>
      <c r="D166" s="38"/>
      <c r="E166" s="38"/>
      <c r="F166" s="38"/>
      <c r="G166" s="39"/>
      <c r="H166" s="39"/>
      <c r="I166" s="39"/>
      <c r="J166" s="39"/>
      <c r="K166" s="39"/>
      <c r="L166" s="39"/>
      <c r="M166" s="40">
        <f t="shared" si="4"/>
        <v>0</v>
      </c>
      <c r="N166" s="40" t="e">
        <f>IF(M166="","",M166*SETTINGS!$B$9)</f>
        <v>#VALUE!</v>
      </c>
      <c r="O166" s="40" t="e">
        <f>IF(M166="","",M166*SETTINGS!$B$10)</f>
        <v>#VALUE!</v>
      </c>
      <c r="P166" s="40" t="str">
        <f>IF(A166="","",SETTINGS!$B$6)</f>
        <v/>
      </c>
      <c r="Q166" s="40" t="str">
        <f>IF(A166="","",SETTINGS!$B$7)</f>
        <v/>
      </c>
      <c r="R166" s="40" t="str">
        <f>IF(A166="","",SETTINGS!$B$8)</f>
        <v/>
      </c>
      <c r="S166" s="38"/>
    </row>
    <row r="167" spans="1:19" ht="14.45" customHeight="1">
      <c r="A167" s="38"/>
      <c r="B167" s="38"/>
      <c r="C167" s="38"/>
      <c r="D167" s="38"/>
      <c r="E167" s="38"/>
      <c r="F167" s="38"/>
      <c r="G167" s="39"/>
      <c r="H167" s="39"/>
      <c r="I167" s="39"/>
      <c r="J167" s="39"/>
      <c r="K167" s="39"/>
      <c r="L167" s="39"/>
      <c r="M167" s="40">
        <f t="shared" si="4"/>
        <v>0</v>
      </c>
      <c r="N167" s="40" t="e">
        <f>IF(M167="","",M167*SETTINGS!$B$9)</f>
        <v>#VALUE!</v>
      </c>
      <c r="O167" s="40" t="e">
        <f>IF(M167="","",M167*SETTINGS!$B$10)</f>
        <v>#VALUE!</v>
      </c>
      <c r="P167" s="40" t="str">
        <f>IF(A167="","",SETTINGS!$B$6)</f>
        <v/>
      </c>
      <c r="Q167" s="40" t="str">
        <f>IF(A167="","",SETTINGS!$B$7)</f>
        <v/>
      </c>
      <c r="R167" s="40" t="str">
        <f>IF(A167="","",SETTINGS!$B$8)</f>
        <v/>
      </c>
      <c r="S167" s="38"/>
    </row>
    <row r="168" spans="1:19" ht="14.45" customHeight="1">
      <c r="A168" s="38"/>
      <c r="B168" s="38"/>
      <c r="C168" s="38"/>
      <c r="D168" s="38"/>
      <c r="E168" s="38"/>
      <c r="F168" s="38"/>
      <c r="G168" s="39"/>
      <c r="H168" s="39"/>
      <c r="I168" s="39"/>
      <c r="J168" s="39"/>
      <c r="K168" s="39"/>
      <c r="L168" s="39"/>
      <c r="M168" s="40">
        <f t="shared" si="4"/>
        <v>0</v>
      </c>
      <c r="N168" s="40" t="e">
        <f>IF(M168="","",M168*SETTINGS!$B$9)</f>
        <v>#VALUE!</v>
      </c>
      <c r="O168" s="40" t="e">
        <f>IF(M168="","",M168*SETTINGS!$B$10)</f>
        <v>#VALUE!</v>
      </c>
      <c r="P168" s="40" t="str">
        <f>IF(A168="","",SETTINGS!$B$6)</f>
        <v/>
      </c>
      <c r="Q168" s="40" t="str">
        <f>IF(A168="","",SETTINGS!$B$7)</f>
        <v/>
      </c>
      <c r="R168" s="40" t="str">
        <f>IF(A168="","",SETTINGS!$B$8)</f>
        <v/>
      </c>
      <c r="S168" s="38"/>
    </row>
    <row r="169" spans="1:19" ht="14.45" customHeight="1">
      <c r="A169" s="38"/>
      <c r="B169" s="38"/>
      <c r="C169" s="38"/>
      <c r="D169" s="38"/>
      <c r="E169" s="38"/>
      <c r="F169" s="38"/>
      <c r="G169" s="39"/>
      <c r="H169" s="39"/>
      <c r="I169" s="39"/>
      <c r="J169" s="39"/>
      <c r="K169" s="39"/>
      <c r="L169" s="39"/>
      <c r="M169" s="40">
        <f t="shared" si="4"/>
        <v>0</v>
      </c>
      <c r="N169" s="40" t="e">
        <f>IF(M169="","",M169*SETTINGS!$B$9)</f>
        <v>#VALUE!</v>
      </c>
      <c r="O169" s="40" t="e">
        <f>IF(M169="","",M169*SETTINGS!$B$10)</f>
        <v>#VALUE!</v>
      </c>
      <c r="P169" s="40" t="str">
        <f>IF(A169="","",SETTINGS!$B$6)</f>
        <v/>
      </c>
      <c r="Q169" s="40" t="str">
        <f>IF(A169="","",SETTINGS!$B$7)</f>
        <v/>
      </c>
      <c r="R169" s="40" t="str">
        <f>IF(A169="","",SETTINGS!$B$8)</f>
        <v/>
      </c>
      <c r="S169" s="38"/>
    </row>
    <row r="170" spans="1:19" ht="14.45" customHeight="1">
      <c r="A170" s="38"/>
      <c r="B170" s="38"/>
      <c r="C170" s="38"/>
      <c r="D170" s="38"/>
      <c r="E170" s="38"/>
      <c r="F170" s="38"/>
      <c r="G170" s="39"/>
      <c r="H170" s="39"/>
      <c r="I170" s="39"/>
      <c r="J170" s="39"/>
      <c r="K170" s="39"/>
      <c r="L170" s="39"/>
      <c r="M170" s="40">
        <f t="shared" si="4"/>
        <v>0</v>
      </c>
      <c r="N170" s="40" t="e">
        <f>IF(M170="","",M170*SETTINGS!$B$9)</f>
        <v>#VALUE!</v>
      </c>
      <c r="O170" s="40" t="e">
        <f>IF(M170="","",M170*SETTINGS!$B$10)</f>
        <v>#VALUE!</v>
      </c>
      <c r="P170" s="40" t="str">
        <f>IF(A170="","",SETTINGS!$B$6)</f>
        <v/>
      </c>
      <c r="Q170" s="40" t="str">
        <f>IF(A170="","",SETTINGS!$B$7)</f>
        <v/>
      </c>
      <c r="R170" s="40" t="str">
        <f>IF(A170="","",SETTINGS!$B$8)</f>
        <v/>
      </c>
      <c r="S170" s="38"/>
    </row>
    <row r="171" spans="1:19" ht="14.45" customHeight="1">
      <c r="A171" s="38"/>
      <c r="B171" s="38"/>
      <c r="C171" s="38"/>
      <c r="D171" s="38"/>
      <c r="E171" s="38"/>
      <c r="F171" s="38"/>
      <c r="G171" s="39"/>
      <c r="H171" s="39"/>
      <c r="I171" s="39"/>
      <c r="J171" s="39"/>
      <c r="K171" s="39"/>
      <c r="L171" s="39"/>
      <c r="M171" s="40">
        <f t="shared" si="4"/>
        <v>0</v>
      </c>
      <c r="N171" s="40" t="e">
        <f>IF(M171="","",M171*SETTINGS!$B$9)</f>
        <v>#VALUE!</v>
      </c>
      <c r="O171" s="40" t="e">
        <f>IF(M171="","",M171*SETTINGS!$B$10)</f>
        <v>#VALUE!</v>
      </c>
      <c r="P171" s="40" t="str">
        <f>IF(A171="","",SETTINGS!$B$6)</f>
        <v/>
      </c>
      <c r="Q171" s="40" t="str">
        <f>IF(A171="","",SETTINGS!$B$7)</f>
        <v/>
      </c>
      <c r="R171" s="40" t="str">
        <f>IF(A171="","",SETTINGS!$B$8)</f>
        <v/>
      </c>
      <c r="S171" s="38"/>
    </row>
    <row r="172" spans="1:19" ht="14.45" customHeight="1">
      <c r="A172" s="38"/>
      <c r="B172" s="38"/>
      <c r="C172" s="38"/>
      <c r="D172" s="38"/>
      <c r="E172" s="38"/>
      <c r="F172" s="38"/>
      <c r="G172" s="39"/>
      <c r="H172" s="39"/>
      <c r="I172" s="39"/>
      <c r="J172" s="39"/>
      <c r="K172" s="39"/>
      <c r="L172" s="39"/>
      <c r="M172" s="40">
        <f t="shared" si="4"/>
        <v>0</v>
      </c>
      <c r="N172" s="40" t="e">
        <f>IF(M172="","",M172*SETTINGS!$B$9)</f>
        <v>#VALUE!</v>
      </c>
      <c r="O172" s="40" t="e">
        <f>IF(M172="","",M172*SETTINGS!$B$10)</f>
        <v>#VALUE!</v>
      </c>
      <c r="P172" s="40" t="str">
        <f>IF(A172="","",SETTINGS!$B$6)</f>
        <v/>
      </c>
      <c r="Q172" s="40" t="str">
        <f>IF(A172="","",SETTINGS!$B$7)</f>
        <v/>
      </c>
      <c r="R172" s="40" t="str">
        <f>IF(A172="","",SETTINGS!$B$8)</f>
        <v/>
      </c>
      <c r="S172" s="38"/>
    </row>
    <row r="173" spans="1:19" ht="14.45" customHeight="1">
      <c r="A173" s="38"/>
      <c r="B173" s="38"/>
      <c r="C173" s="38"/>
      <c r="D173" s="38"/>
      <c r="E173" s="38"/>
      <c r="F173" s="38"/>
      <c r="G173" s="39"/>
      <c r="H173" s="39"/>
      <c r="I173" s="39"/>
      <c r="J173" s="39"/>
      <c r="K173" s="39"/>
      <c r="L173" s="39"/>
      <c r="M173" s="40">
        <f t="shared" si="4"/>
        <v>0</v>
      </c>
      <c r="N173" s="40" t="e">
        <f>IF(M173="","",M173*SETTINGS!$B$9)</f>
        <v>#VALUE!</v>
      </c>
      <c r="O173" s="40" t="e">
        <f>IF(M173="","",M173*SETTINGS!$B$10)</f>
        <v>#VALUE!</v>
      </c>
      <c r="P173" s="40" t="str">
        <f>IF(A173="","",SETTINGS!$B$6)</f>
        <v/>
      </c>
      <c r="Q173" s="40" t="str">
        <f>IF(A173="","",SETTINGS!$B$7)</f>
        <v/>
      </c>
      <c r="R173" s="40" t="str">
        <f>IF(A173="","",SETTINGS!$B$8)</f>
        <v/>
      </c>
      <c r="S173" s="38"/>
    </row>
    <row r="174" spans="1:19" ht="14.45" customHeight="1">
      <c r="A174" s="38"/>
      <c r="B174" s="38"/>
      <c r="C174" s="38"/>
      <c r="D174" s="38"/>
      <c r="E174" s="38"/>
      <c r="F174" s="38"/>
      <c r="G174" s="39"/>
      <c r="H174" s="39"/>
      <c r="I174" s="39"/>
      <c r="J174" s="39"/>
      <c r="K174" s="39"/>
      <c r="L174" s="39"/>
      <c r="M174" s="40">
        <f t="shared" si="4"/>
        <v>0</v>
      </c>
      <c r="N174" s="40" t="e">
        <f>IF(M174="","",M174*SETTINGS!$B$9)</f>
        <v>#VALUE!</v>
      </c>
      <c r="O174" s="40" t="e">
        <f>IF(M174="","",M174*SETTINGS!$B$10)</f>
        <v>#VALUE!</v>
      </c>
      <c r="P174" s="40" t="str">
        <f>IF(A174="","",SETTINGS!$B$6)</f>
        <v/>
      </c>
      <c r="Q174" s="40" t="str">
        <f>IF(A174="","",SETTINGS!$B$7)</f>
        <v/>
      </c>
      <c r="R174" s="40" t="str">
        <f>IF(A174="","",SETTINGS!$B$8)</f>
        <v/>
      </c>
      <c r="S174" s="38"/>
    </row>
    <row r="175" spans="1:19" ht="14.45" customHeight="1">
      <c r="A175" s="38"/>
      <c r="B175" s="38"/>
      <c r="C175" s="38"/>
      <c r="D175" s="38"/>
      <c r="E175" s="38"/>
      <c r="F175" s="38"/>
      <c r="G175" s="39"/>
      <c r="H175" s="39"/>
      <c r="I175" s="39"/>
      <c r="J175" s="39"/>
      <c r="K175" s="39"/>
      <c r="L175" s="39"/>
      <c r="M175" s="40">
        <f t="shared" si="4"/>
        <v>0</v>
      </c>
      <c r="N175" s="40" t="e">
        <f>IF(M175="","",M175*SETTINGS!$B$9)</f>
        <v>#VALUE!</v>
      </c>
      <c r="O175" s="40" t="e">
        <f>IF(M175="","",M175*SETTINGS!$B$10)</f>
        <v>#VALUE!</v>
      </c>
      <c r="P175" s="40" t="str">
        <f>IF(A175="","",SETTINGS!$B$6)</f>
        <v/>
      </c>
      <c r="Q175" s="40" t="str">
        <f>IF(A175="","",SETTINGS!$B$7)</f>
        <v/>
      </c>
      <c r="R175" s="40" t="str">
        <f>IF(A175="","",SETTINGS!$B$8)</f>
        <v/>
      </c>
      <c r="S175" s="38"/>
    </row>
    <row r="176" spans="1:19" ht="14.45" customHeight="1">
      <c r="A176" s="38"/>
      <c r="B176" s="38"/>
      <c r="C176" s="38"/>
      <c r="D176" s="38"/>
      <c r="E176" s="38"/>
      <c r="F176" s="38"/>
      <c r="G176" s="39"/>
      <c r="H176" s="39"/>
      <c r="I176" s="39"/>
      <c r="J176" s="39"/>
      <c r="K176" s="39"/>
      <c r="L176" s="39"/>
      <c r="M176" s="40">
        <f t="shared" si="4"/>
        <v>0</v>
      </c>
      <c r="N176" s="40" t="e">
        <f>IF(M176="","",M176*SETTINGS!$B$9)</f>
        <v>#VALUE!</v>
      </c>
      <c r="O176" s="40" t="e">
        <f>IF(M176="","",M176*SETTINGS!$B$10)</f>
        <v>#VALUE!</v>
      </c>
      <c r="P176" s="40" t="str">
        <f>IF(A176="","",SETTINGS!$B$6)</f>
        <v/>
      </c>
      <c r="Q176" s="40" t="str">
        <f>IF(A176="","",SETTINGS!$B$7)</f>
        <v/>
      </c>
      <c r="R176" s="40" t="str">
        <f>IF(A176="","",SETTINGS!$B$8)</f>
        <v/>
      </c>
      <c r="S176" s="38"/>
    </row>
    <row r="177" spans="1:19" ht="14.45" customHeight="1">
      <c r="A177" s="38"/>
      <c r="B177" s="38"/>
      <c r="C177" s="38"/>
      <c r="D177" s="38"/>
      <c r="E177" s="38"/>
      <c r="F177" s="38"/>
      <c r="G177" s="39"/>
      <c r="H177" s="39"/>
      <c r="I177" s="39"/>
      <c r="J177" s="39"/>
      <c r="K177" s="39"/>
      <c r="L177" s="39"/>
      <c r="M177" s="40">
        <f t="shared" si="4"/>
        <v>0</v>
      </c>
      <c r="N177" s="40" t="e">
        <f>IF(M177="","",M177*SETTINGS!$B$9)</f>
        <v>#VALUE!</v>
      </c>
      <c r="O177" s="40" t="e">
        <f>IF(M177="","",M177*SETTINGS!$B$10)</f>
        <v>#VALUE!</v>
      </c>
      <c r="P177" s="40" t="str">
        <f>IF(A177="","",SETTINGS!$B$6)</f>
        <v/>
      </c>
      <c r="Q177" s="40" t="str">
        <f>IF(A177="","",SETTINGS!$B$7)</f>
        <v/>
      </c>
      <c r="R177" s="40" t="str">
        <f>IF(A177="","",SETTINGS!$B$8)</f>
        <v/>
      </c>
      <c r="S177" s="38"/>
    </row>
    <row r="178" spans="1:19" ht="14.45" customHeight="1">
      <c r="A178" s="38"/>
      <c r="B178" s="38"/>
      <c r="C178" s="38"/>
      <c r="D178" s="38"/>
      <c r="E178" s="38"/>
      <c r="F178" s="38"/>
      <c r="G178" s="39"/>
      <c r="H178" s="39"/>
      <c r="I178" s="39"/>
      <c r="J178" s="39"/>
      <c r="K178" s="39"/>
      <c r="L178" s="39"/>
      <c r="M178" s="40">
        <f t="shared" si="4"/>
        <v>0</v>
      </c>
      <c r="N178" s="40" t="e">
        <f>IF(M178="","",M178*SETTINGS!$B$9)</f>
        <v>#VALUE!</v>
      </c>
      <c r="O178" s="40" t="e">
        <f>IF(M178="","",M178*SETTINGS!$B$10)</f>
        <v>#VALUE!</v>
      </c>
      <c r="P178" s="40" t="str">
        <f>IF(A178="","",SETTINGS!$B$6)</f>
        <v/>
      </c>
      <c r="Q178" s="40" t="str">
        <f>IF(A178="","",SETTINGS!$B$7)</f>
        <v/>
      </c>
      <c r="R178" s="40" t="str">
        <f>IF(A178="","",SETTINGS!$B$8)</f>
        <v/>
      </c>
      <c r="S178" s="38"/>
    </row>
    <row r="179" spans="1:19" ht="14.45" customHeight="1">
      <c r="A179" s="38"/>
      <c r="B179" s="38"/>
      <c r="C179" s="38"/>
      <c r="D179" s="38"/>
      <c r="E179" s="38"/>
      <c r="F179" s="38"/>
      <c r="G179" s="39"/>
      <c r="H179" s="39"/>
      <c r="I179" s="39"/>
      <c r="J179" s="39"/>
      <c r="K179" s="39"/>
      <c r="L179" s="39"/>
      <c r="M179" s="40">
        <f t="shared" si="4"/>
        <v>0</v>
      </c>
      <c r="N179" s="40" t="e">
        <f>IF(M179="","",M179*SETTINGS!$B$9)</f>
        <v>#VALUE!</v>
      </c>
      <c r="O179" s="40" t="e">
        <f>IF(M179="","",M179*SETTINGS!$B$10)</f>
        <v>#VALUE!</v>
      </c>
      <c r="P179" s="40" t="str">
        <f>IF(A179="","",SETTINGS!$B$6)</f>
        <v/>
      </c>
      <c r="Q179" s="40" t="str">
        <f>IF(A179="","",SETTINGS!$B$7)</f>
        <v/>
      </c>
      <c r="R179" s="40" t="str">
        <f>IF(A179="","",SETTINGS!$B$8)</f>
        <v/>
      </c>
      <c r="S179" s="38"/>
    </row>
    <row r="180" spans="1:19" ht="14.45" customHeight="1">
      <c r="A180" s="38"/>
      <c r="B180" s="38"/>
      <c r="C180" s="38"/>
      <c r="D180" s="38"/>
      <c r="E180" s="38"/>
      <c r="F180" s="38"/>
      <c r="G180" s="39"/>
      <c r="H180" s="39"/>
      <c r="I180" s="39"/>
      <c r="J180" s="39"/>
      <c r="K180" s="39"/>
      <c r="L180" s="39"/>
      <c r="M180" s="40">
        <f t="shared" si="4"/>
        <v>0</v>
      </c>
      <c r="N180" s="40" t="e">
        <f>IF(M180="","",M180*SETTINGS!$B$9)</f>
        <v>#VALUE!</v>
      </c>
      <c r="O180" s="40" t="e">
        <f>IF(M180="","",M180*SETTINGS!$B$10)</f>
        <v>#VALUE!</v>
      </c>
      <c r="P180" s="40" t="str">
        <f>IF(A180="","",SETTINGS!$B$6)</f>
        <v/>
      </c>
      <c r="Q180" s="40" t="str">
        <f>IF(A180="","",SETTINGS!$B$7)</f>
        <v/>
      </c>
      <c r="R180" s="40" t="str">
        <f>IF(A180="","",SETTINGS!$B$8)</f>
        <v/>
      </c>
      <c r="S180" s="38"/>
    </row>
    <row r="181" spans="1:19" ht="14.45" customHeight="1">
      <c r="A181" s="38"/>
      <c r="B181" s="38"/>
      <c r="C181" s="38"/>
      <c r="D181" s="38"/>
      <c r="E181" s="38"/>
      <c r="F181" s="38"/>
      <c r="G181" s="39"/>
      <c r="H181" s="39"/>
      <c r="I181" s="39"/>
      <c r="J181" s="39"/>
      <c r="K181" s="39"/>
      <c r="L181" s="39"/>
      <c r="M181" s="40">
        <f t="shared" si="4"/>
        <v>0</v>
      </c>
      <c r="N181" s="40" t="e">
        <f>IF(M181="","",M181*SETTINGS!$B$9)</f>
        <v>#VALUE!</v>
      </c>
      <c r="O181" s="40" t="e">
        <f>IF(M181="","",M181*SETTINGS!$B$10)</f>
        <v>#VALUE!</v>
      </c>
      <c r="P181" s="40" t="str">
        <f>IF(A181="","",SETTINGS!$B$6)</f>
        <v/>
      </c>
      <c r="Q181" s="40" t="str">
        <f>IF(A181="","",SETTINGS!$B$7)</f>
        <v/>
      </c>
      <c r="R181" s="40" t="str">
        <f>IF(A181="","",SETTINGS!$B$8)</f>
        <v/>
      </c>
      <c r="S181" s="38"/>
    </row>
    <row r="182" spans="1:19" ht="14.45" customHeight="1">
      <c r="A182" s="38"/>
      <c r="B182" s="38"/>
      <c r="C182" s="38"/>
      <c r="D182" s="38"/>
      <c r="E182" s="38"/>
      <c r="F182" s="38"/>
      <c r="G182" s="39"/>
      <c r="H182" s="39"/>
      <c r="I182" s="39"/>
      <c r="J182" s="39"/>
      <c r="K182" s="39"/>
      <c r="L182" s="39"/>
      <c r="M182" s="40">
        <f t="shared" si="4"/>
        <v>0</v>
      </c>
      <c r="N182" s="40" t="e">
        <f>IF(M182="","",M182*SETTINGS!$B$9)</f>
        <v>#VALUE!</v>
      </c>
      <c r="O182" s="40" t="e">
        <f>IF(M182="","",M182*SETTINGS!$B$10)</f>
        <v>#VALUE!</v>
      </c>
      <c r="P182" s="40" t="str">
        <f>IF(A182="","",SETTINGS!$B$6)</f>
        <v/>
      </c>
      <c r="Q182" s="40" t="str">
        <f>IF(A182="","",SETTINGS!$B$7)</f>
        <v/>
      </c>
      <c r="R182" s="40" t="str">
        <f>IF(A182="","",SETTINGS!$B$8)</f>
        <v/>
      </c>
      <c r="S182" s="38"/>
    </row>
    <row r="183" spans="1:19" ht="14.45" customHeight="1">
      <c r="A183" s="38"/>
      <c r="B183" s="38"/>
      <c r="C183" s="38"/>
      <c r="D183" s="38"/>
      <c r="E183" s="38"/>
      <c r="F183" s="38"/>
      <c r="G183" s="39"/>
      <c r="H183" s="39"/>
      <c r="I183" s="39"/>
      <c r="J183" s="39"/>
      <c r="K183" s="39"/>
      <c r="L183" s="39"/>
      <c r="M183" s="40">
        <f t="shared" si="4"/>
        <v>0</v>
      </c>
      <c r="N183" s="40" t="e">
        <f>IF(M183="","",M183*SETTINGS!$B$9)</f>
        <v>#VALUE!</v>
      </c>
      <c r="O183" s="40" t="e">
        <f>IF(M183="","",M183*SETTINGS!$B$10)</f>
        <v>#VALUE!</v>
      </c>
      <c r="P183" s="40" t="str">
        <f>IF(A183="","",SETTINGS!$B$6)</f>
        <v/>
      </c>
      <c r="Q183" s="40" t="str">
        <f>IF(A183="","",SETTINGS!$B$7)</f>
        <v/>
      </c>
      <c r="R183" s="40" t="str">
        <f>IF(A183="","",SETTINGS!$B$8)</f>
        <v/>
      </c>
      <c r="S183" s="38"/>
    </row>
    <row r="184" spans="1:19" ht="14.45" customHeight="1">
      <c r="A184" s="38"/>
      <c r="B184" s="38"/>
      <c r="C184" s="38"/>
      <c r="D184" s="38"/>
      <c r="E184" s="38"/>
      <c r="F184" s="38"/>
      <c r="G184" s="39"/>
      <c r="H184" s="39"/>
      <c r="I184" s="39"/>
      <c r="J184" s="39"/>
      <c r="K184" s="39"/>
      <c r="L184" s="39"/>
      <c r="M184" s="40">
        <f t="shared" si="4"/>
        <v>0</v>
      </c>
      <c r="N184" s="40" t="e">
        <f>IF(M184="","",M184*SETTINGS!$B$9)</f>
        <v>#VALUE!</v>
      </c>
      <c r="O184" s="40" t="e">
        <f>IF(M184="","",M184*SETTINGS!$B$10)</f>
        <v>#VALUE!</v>
      </c>
      <c r="P184" s="40" t="str">
        <f>IF(A184="","",SETTINGS!$B$6)</f>
        <v/>
      </c>
      <c r="Q184" s="40" t="str">
        <f>IF(A184="","",SETTINGS!$B$7)</f>
        <v/>
      </c>
      <c r="R184" s="40" t="str">
        <f>IF(A184="","",SETTINGS!$B$8)</f>
        <v/>
      </c>
      <c r="S184" s="38"/>
    </row>
    <row r="185" spans="1:19" ht="14.45" customHeight="1">
      <c r="A185" s="38"/>
      <c r="B185" s="38"/>
      <c r="C185" s="38"/>
      <c r="D185" s="38"/>
      <c r="E185" s="38"/>
      <c r="F185" s="38"/>
      <c r="G185" s="39"/>
      <c r="H185" s="39"/>
      <c r="I185" s="39"/>
      <c r="J185" s="39"/>
      <c r="K185" s="39"/>
      <c r="L185" s="39"/>
      <c r="M185" s="40">
        <f t="shared" si="4"/>
        <v>0</v>
      </c>
      <c r="N185" s="40" t="e">
        <f>IF(M185="","",M185*SETTINGS!$B$9)</f>
        <v>#VALUE!</v>
      </c>
      <c r="O185" s="40" t="e">
        <f>IF(M185="","",M185*SETTINGS!$B$10)</f>
        <v>#VALUE!</v>
      </c>
      <c r="P185" s="40" t="str">
        <f>IF(A185="","",SETTINGS!$B$6)</f>
        <v/>
      </c>
      <c r="Q185" s="40" t="str">
        <f>IF(A185="","",SETTINGS!$B$7)</f>
        <v/>
      </c>
      <c r="R185" s="40" t="str">
        <f>IF(A185="","",SETTINGS!$B$8)</f>
        <v/>
      </c>
      <c r="S185" s="38"/>
    </row>
    <row r="186" spans="1:19" ht="14.45" customHeight="1">
      <c r="A186" s="38"/>
      <c r="B186" s="38"/>
      <c r="C186" s="38"/>
      <c r="D186" s="38"/>
      <c r="E186" s="38"/>
      <c r="F186" s="38"/>
      <c r="G186" s="39"/>
      <c r="H186" s="39"/>
      <c r="I186" s="39"/>
      <c r="J186" s="39"/>
      <c r="K186" s="39"/>
      <c r="L186" s="39"/>
      <c r="M186" s="40">
        <f t="shared" si="4"/>
        <v>0</v>
      </c>
      <c r="N186" s="40" t="e">
        <f>IF(M186="","",M186*SETTINGS!$B$9)</f>
        <v>#VALUE!</v>
      </c>
      <c r="O186" s="40" t="e">
        <f>IF(M186="","",M186*SETTINGS!$B$10)</f>
        <v>#VALUE!</v>
      </c>
      <c r="P186" s="40" t="str">
        <f>IF(A186="","",SETTINGS!$B$6)</f>
        <v/>
      </c>
      <c r="Q186" s="40" t="str">
        <f>IF(A186="","",SETTINGS!$B$7)</f>
        <v/>
      </c>
      <c r="R186" s="40" t="str">
        <f>IF(A186="","",SETTINGS!$B$8)</f>
        <v/>
      </c>
      <c r="S186" s="38"/>
    </row>
    <row r="187" spans="1:19" ht="14.45" customHeight="1">
      <c r="A187" s="38"/>
      <c r="B187" s="38"/>
      <c r="C187" s="38"/>
      <c r="D187" s="38"/>
      <c r="E187" s="38"/>
      <c r="F187" s="38"/>
      <c r="G187" s="39"/>
      <c r="H187" s="39"/>
      <c r="I187" s="39"/>
      <c r="J187" s="39"/>
      <c r="K187" s="39"/>
      <c r="L187" s="39"/>
      <c r="M187" s="40">
        <f t="shared" si="4"/>
        <v>0</v>
      </c>
      <c r="N187" s="40" t="e">
        <f>IF(M187="","",M187*SETTINGS!$B$9)</f>
        <v>#VALUE!</v>
      </c>
      <c r="O187" s="40" t="e">
        <f>IF(M187="","",M187*SETTINGS!$B$10)</f>
        <v>#VALUE!</v>
      </c>
      <c r="P187" s="40" t="str">
        <f>IF(A187="","",SETTINGS!$B$6)</f>
        <v/>
      </c>
      <c r="Q187" s="40" t="str">
        <f>IF(A187="","",SETTINGS!$B$7)</f>
        <v/>
      </c>
      <c r="R187" s="40" t="str">
        <f>IF(A187="","",SETTINGS!$B$8)</f>
        <v/>
      </c>
      <c r="S187" s="38"/>
    </row>
    <row r="188" spans="1:19" ht="14.45" customHeight="1">
      <c r="A188" s="38"/>
      <c r="B188" s="38"/>
      <c r="C188" s="38"/>
      <c r="D188" s="38"/>
      <c r="E188" s="38"/>
      <c r="F188" s="38"/>
      <c r="G188" s="39"/>
      <c r="H188" s="39"/>
      <c r="I188" s="39"/>
      <c r="J188" s="39"/>
      <c r="K188" s="39"/>
      <c r="L188" s="39"/>
      <c r="M188" s="40">
        <f t="shared" si="4"/>
        <v>0</v>
      </c>
      <c r="N188" s="40" t="e">
        <f>IF(M188="","",M188*SETTINGS!$B$9)</f>
        <v>#VALUE!</v>
      </c>
      <c r="O188" s="40" t="e">
        <f>IF(M188="","",M188*SETTINGS!$B$10)</f>
        <v>#VALUE!</v>
      </c>
      <c r="P188" s="40" t="str">
        <f>IF(A188="","",SETTINGS!$B$6)</f>
        <v/>
      </c>
      <c r="Q188" s="40" t="str">
        <f>IF(A188="","",SETTINGS!$B$7)</f>
        <v/>
      </c>
      <c r="R188" s="40" t="str">
        <f>IF(A188="","",SETTINGS!$B$8)</f>
        <v/>
      </c>
      <c r="S188" s="38"/>
    </row>
    <row r="189" spans="1:19" ht="14.45" customHeight="1">
      <c r="A189" s="38"/>
      <c r="B189" s="38"/>
      <c r="C189" s="38"/>
      <c r="D189" s="38"/>
      <c r="E189" s="38"/>
      <c r="F189" s="38"/>
      <c r="G189" s="39"/>
      <c r="H189" s="39"/>
      <c r="I189" s="39"/>
      <c r="J189" s="39"/>
      <c r="K189" s="39"/>
      <c r="L189" s="39"/>
      <c r="M189" s="40">
        <f t="shared" si="4"/>
        <v>0</v>
      </c>
      <c r="N189" s="40" t="e">
        <f>IF(M189="","",M189*SETTINGS!$B$9)</f>
        <v>#VALUE!</v>
      </c>
      <c r="O189" s="40" t="e">
        <f>IF(M189="","",M189*SETTINGS!$B$10)</f>
        <v>#VALUE!</v>
      </c>
      <c r="P189" s="40" t="str">
        <f>IF(A189="","",SETTINGS!$B$6)</f>
        <v/>
      </c>
      <c r="Q189" s="40" t="str">
        <f>IF(A189="","",SETTINGS!$B$7)</f>
        <v/>
      </c>
      <c r="R189" s="40" t="str">
        <f>IF(A189="","",SETTINGS!$B$8)</f>
        <v/>
      </c>
      <c r="S189" s="38"/>
    </row>
    <row r="190" spans="1:19" ht="14.45" customHeight="1">
      <c r="A190" s="38"/>
      <c r="B190" s="38"/>
      <c r="C190" s="38"/>
      <c r="D190" s="38"/>
      <c r="E190" s="38"/>
      <c r="F190" s="38"/>
      <c r="G190" s="39"/>
      <c r="H190" s="39"/>
      <c r="I190" s="39"/>
      <c r="J190" s="39"/>
      <c r="K190" s="39"/>
      <c r="L190" s="39"/>
      <c r="M190" s="40">
        <f t="shared" si="4"/>
        <v>0</v>
      </c>
      <c r="N190" s="40" t="e">
        <f>IF(M190="","",M190*SETTINGS!$B$9)</f>
        <v>#VALUE!</v>
      </c>
      <c r="O190" s="40" t="e">
        <f>IF(M190="","",M190*SETTINGS!$B$10)</f>
        <v>#VALUE!</v>
      </c>
      <c r="P190" s="40" t="str">
        <f>IF(A190="","",SETTINGS!$B$6)</f>
        <v/>
      </c>
      <c r="Q190" s="40" t="str">
        <f>IF(A190="","",SETTINGS!$B$7)</f>
        <v/>
      </c>
      <c r="R190" s="40" t="str">
        <f>IF(A190="","",SETTINGS!$B$8)</f>
        <v/>
      </c>
      <c r="S190" s="38"/>
    </row>
    <row r="191" spans="1:19" ht="14.45" customHeight="1">
      <c r="A191" s="38"/>
      <c r="B191" s="38"/>
      <c r="C191" s="38"/>
      <c r="D191" s="38"/>
      <c r="E191" s="38"/>
      <c r="F191" s="38"/>
      <c r="G191" s="39"/>
      <c r="H191" s="39"/>
      <c r="I191" s="39"/>
      <c r="J191" s="39"/>
      <c r="K191" s="39"/>
      <c r="L191" s="39"/>
      <c r="M191" s="40">
        <f t="shared" si="4"/>
        <v>0</v>
      </c>
      <c r="N191" s="40" t="e">
        <f>IF(M191="","",M191*SETTINGS!$B$9)</f>
        <v>#VALUE!</v>
      </c>
      <c r="O191" s="40" t="e">
        <f>IF(M191="","",M191*SETTINGS!$B$10)</f>
        <v>#VALUE!</v>
      </c>
      <c r="P191" s="40" t="str">
        <f>IF(A191="","",SETTINGS!$B$6)</f>
        <v/>
      </c>
      <c r="Q191" s="40" t="str">
        <f>IF(A191="","",SETTINGS!$B$7)</f>
        <v/>
      </c>
      <c r="R191" s="40" t="str">
        <f>IF(A191="","",SETTINGS!$B$8)</f>
        <v/>
      </c>
      <c r="S191" s="38"/>
    </row>
    <row r="192" spans="1:19" ht="14.45" customHeight="1">
      <c r="A192" s="38"/>
      <c r="B192" s="38"/>
      <c r="C192" s="38"/>
      <c r="D192" s="38"/>
      <c r="E192" s="38"/>
      <c r="F192" s="38"/>
      <c r="G192" s="39"/>
      <c r="H192" s="39"/>
      <c r="I192" s="39"/>
      <c r="J192" s="39"/>
      <c r="K192" s="39"/>
      <c r="L192" s="39"/>
      <c r="M192" s="40">
        <f t="shared" si="4"/>
        <v>0</v>
      </c>
      <c r="N192" s="40" t="e">
        <f>IF(M192="","",M192*SETTINGS!$B$9)</f>
        <v>#VALUE!</v>
      </c>
      <c r="O192" s="40" t="e">
        <f>IF(M192="","",M192*SETTINGS!$B$10)</f>
        <v>#VALUE!</v>
      </c>
      <c r="P192" s="40" t="str">
        <f>IF(A192="","",SETTINGS!$B$6)</f>
        <v/>
      </c>
      <c r="Q192" s="40" t="str">
        <f>IF(A192="","",SETTINGS!$B$7)</f>
        <v/>
      </c>
      <c r="R192" s="40" t="str">
        <f>IF(A192="","",SETTINGS!$B$8)</f>
        <v/>
      </c>
      <c r="S192" s="38"/>
    </row>
    <row r="193" spans="1:19" ht="14.45" customHeight="1">
      <c r="A193" s="38"/>
      <c r="B193" s="38"/>
      <c r="C193" s="38"/>
      <c r="D193" s="38"/>
      <c r="E193" s="38"/>
      <c r="F193" s="38"/>
      <c r="G193" s="39"/>
      <c r="H193" s="39"/>
      <c r="I193" s="39"/>
      <c r="J193" s="39"/>
      <c r="K193" s="39"/>
      <c r="L193" s="39"/>
      <c r="M193" s="40">
        <f t="shared" si="4"/>
        <v>0</v>
      </c>
      <c r="N193" s="40" t="e">
        <f>IF(M193="","",M193*SETTINGS!$B$9)</f>
        <v>#VALUE!</v>
      </c>
      <c r="O193" s="40" t="e">
        <f>IF(M193="","",M193*SETTINGS!$B$10)</f>
        <v>#VALUE!</v>
      </c>
      <c r="P193" s="40" t="str">
        <f>IF(A193="","",SETTINGS!$B$6)</f>
        <v/>
      </c>
      <c r="Q193" s="40" t="str">
        <f>IF(A193="","",SETTINGS!$B$7)</f>
        <v/>
      </c>
      <c r="R193" s="40" t="str">
        <f>IF(A193="","",SETTINGS!$B$8)</f>
        <v/>
      </c>
      <c r="S193" s="38"/>
    </row>
    <row r="194" spans="1:19" ht="14.45" customHeight="1">
      <c r="A194" s="38"/>
      <c r="B194" s="38"/>
      <c r="C194" s="38"/>
      <c r="D194" s="38"/>
      <c r="E194" s="38"/>
      <c r="F194" s="38"/>
      <c r="G194" s="39"/>
      <c r="H194" s="39"/>
      <c r="I194" s="39"/>
      <c r="J194" s="39"/>
      <c r="K194" s="39"/>
      <c r="L194" s="39"/>
      <c r="M194" s="40">
        <f t="shared" si="4"/>
        <v>0</v>
      </c>
      <c r="N194" s="40" t="e">
        <f>IF(M194="","",M194*SETTINGS!$B$9)</f>
        <v>#VALUE!</v>
      </c>
      <c r="O194" s="40" t="e">
        <f>IF(M194="","",M194*SETTINGS!$B$10)</f>
        <v>#VALUE!</v>
      </c>
      <c r="P194" s="40" t="str">
        <f>IF(A194="","",SETTINGS!$B$6)</f>
        <v/>
      </c>
      <c r="Q194" s="40" t="str">
        <f>IF(A194="","",SETTINGS!$B$7)</f>
        <v/>
      </c>
      <c r="R194" s="40" t="str">
        <f>IF(A194="","",SETTINGS!$B$8)</f>
        <v/>
      </c>
      <c r="S194" s="38"/>
    </row>
    <row r="195" spans="1:19" ht="14.45" customHeight="1">
      <c r="A195" s="38"/>
      <c r="B195" s="38"/>
      <c r="C195" s="38"/>
      <c r="D195" s="38"/>
      <c r="E195" s="38"/>
      <c r="F195" s="38"/>
      <c r="G195" s="39"/>
      <c r="H195" s="39"/>
      <c r="I195" s="39"/>
      <c r="J195" s="39"/>
      <c r="K195" s="39"/>
      <c r="L195" s="39"/>
      <c r="M195" s="40">
        <f t="shared" si="4"/>
        <v>0</v>
      </c>
      <c r="N195" s="40" t="e">
        <f>IF(M195="","",M195*SETTINGS!$B$9)</f>
        <v>#VALUE!</v>
      </c>
      <c r="O195" s="40" t="e">
        <f>IF(M195="","",M195*SETTINGS!$B$10)</f>
        <v>#VALUE!</v>
      </c>
      <c r="P195" s="40" t="str">
        <f>IF(A195="","",SETTINGS!$B$6)</f>
        <v/>
      </c>
      <c r="Q195" s="40" t="str">
        <f>IF(A195="","",SETTINGS!$B$7)</f>
        <v/>
      </c>
      <c r="R195" s="40" t="str">
        <f>IF(A195="","",SETTINGS!$B$8)</f>
        <v/>
      </c>
      <c r="S195" s="38"/>
    </row>
    <row r="196" spans="1:19" ht="14.45" customHeight="1">
      <c r="A196" s="38"/>
      <c r="B196" s="38"/>
      <c r="C196" s="38"/>
      <c r="D196" s="38"/>
      <c r="E196" s="38"/>
      <c r="F196" s="38"/>
      <c r="G196" s="39"/>
      <c r="H196" s="39"/>
      <c r="I196" s="39"/>
      <c r="J196" s="39"/>
      <c r="K196" s="39"/>
      <c r="L196" s="39"/>
      <c r="M196" s="40">
        <f t="shared" si="4"/>
        <v>0</v>
      </c>
      <c r="N196" s="40" t="e">
        <f>IF(M196="","",M196*SETTINGS!$B$9)</f>
        <v>#VALUE!</v>
      </c>
      <c r="O196" s="40" t="e">
        <f>IF(M196="","",M196*SETTINGS!$B$10)</f>
        <v>#VALUE!</v>
      </c>
      <c r="P196" s="40" t="str">
        <f>IF(A196="","",SETTINGS!$B$6)</f>
        <v/>
      </c>
      <c r="Q196" s="40" t="str">
        <f>IF(A196="","",SETTINGS!$B$7)</f>
        <v/>
      </c>
      <c r="R196" s="40" t="str">
        <f>IF(A196="","",SETTINGS!$B$8)</f>
        <v/>
      </c>
      <c r="S196" s="38"/>
    </row>
    <row r="197" spans="1:19" ht="14.45" customHeight="1">
      <c r="A197" s="38"/>
      <c r="B197" s="38"/>
      <c r="C197" s="38"/>
      <c r="D197" s="38"/>
      <c r="E197" s="38"/>
      <c r="F197" s="38"/>
      <c r="G197" s="39"/>
      <c r="H197" s="39"/>
      <c r="I197" s="39"/>
      <c r="J197" s="39"/>
      <c r="K197" s="39"/>
      <c r="L197" s="39"/>
      <c r="M197" s="40">
        <f t="shared" si="4"/>
        <v>0</v>
      </c>
      <c r="N197" s="40" t="e">
        <f>IF(M197="","",M197*SETTINGS!$B$9)</f>
        <v>#VALUE!</v>
      </c>
      <c r="O197" s="40" t="e">
        <f>IF(M197="","",M197*SETTINGS!$B$10)</f>
        <v>#VALUE!</v>
      </c>
      <c r="P197" s="40" t="str">
        <f>IF(A197="","",SETTINGS!$B$6)</f>
        <v/>
      </c>
      <c r="Q197" s="40" t="str">
        <f>IF(A197="","",SETTINGS!$B$7)</f>
        <v/>
      </c>
      <c r="R197" s="40" t="str">
        <f>IF(A197="","",SETTINGS!$B$8)</f>
        <v/>
      </c>
      <c r="S197" s="38"/>
    </row>
    <row r="198" spans="1:19" ht="14.45" customHeight="1">
      <c r="A198" s="38"/>
      <c r="B198" s="38"/>
      <c r="C198" s="38"/>
      <c r="D198" s="38"/>
      <c r="E198" s="38"/>
      <c r="F198" s="38"/>
      <c r="G198" s="39"/>
      <c r="H198" s="39"/>
      <c r="I198" s="39"/>
      <c r="J198" s="39"/>
      <c r="K198" s="39"/>
      <c r="L198" s="39"/>
      <c r="M198" s="40">
        <f t="shared" si="4"/>
        <v>0</v>
      </c>
      <c r="N198" s="40" t="e">
        <f>IF(M198="","",M198*SETTINGS!$B$9)</f>
        <v>#VALUE!</v>
      </c>
      <c r="O198" s="40" t="e">
        <f>IF(M198="","",M198*SETTINGS!$B$10)</f>
        <v>#VALUE!</v>
      </c>
      <c r="P198" s="40" t="str">
        <f>IF(A198="","",SETTINGS!$B$6)</f>
        <v/>
      </c>
      <c r="Q198" s="40" t="str">
        <f>IF(A198="","",SETTINGS!$B$7)</f>
        <v/>
      </c>
      <c r="R198" s="40" t="str">
        <f>IF(A198="","",SETTINGS!$B$8)</f>
        <v/>
      </c>
      <c r="S198" s="38"/>
    </row>
    <row r="199" spans="1:19" ht="14.45" customHeight="1">
      <c r="A199" s="38"/>
      <c r="B199" s="38"/>
      <c r="C199" s="38"/>
      <c r="D199" s="38"/>
      <c r="E199" s="38"/>
      <c r="F199" s="38"/>
      <c r="G199" s="39"/>
      <c r="H199" s="39"/>
      <c r="I199" s="39"/>
      <c r="J199" s="39"/>
      <c r="K199" s="39"/>
      <c r="L199" s="39"/>
      <c r="M199" s="40">
        <f t="shared" si="4"/>
        <v>0</v>
      </c>
      <c r="N199" s="40" t="e">
        <f>IF(M199="","",M199*SETTINGS!$B$9)</f>
        <v>#VALUE!</v>
      </c>
      <c r="O199" s="40" t="e">
        <f>IF(M199="","",M199*SETTINGS!$B$10)</f>
        <v>#VALUE!</v>
      </c>
      <c r="P199" s="40" t="str">
        <f>IF(A199="","",SETTINGS!$B$6)</f>
        <v/>
      </c>
      <c r="Q199" s="40" t="str">
        <f>IF(A199="","",SETTINGS!$B$7)</f>
        <v/>
      </c>
      <c r="R199" s="40" t="str">
        <f>IF(A199="","",SETTINGS!$B$8)</f>
        <v/>
      </c>
      <c r="S199" s="38"/>
    </row>
    <row r="200" spans="1:19" ht="14.45" customHeight="1">
      <c r="A200" s="38"/>
      <c r="B200" s="38"/>
      <c r="C200" s="38"/>
      <c r="D200" s="38"/>
      <c r="E200" s="38"/>
      <c r="F200" s="38"/>
      <c r="G200" s="39"/>
      <c r="H200" s="39"/>
      <c r="I200" s="39"/>
      <c r="J200" s="39"/>
      <c r="K200" s="39"/>
      <c r="L200" s="39"/>
      <c r="M200" s="40">
        <f t="shared" si="4"/>
        <v>0</v>
      </c>
      <c r="N200" s="40" t="e">
        <f>IF(M200="","",M200*SETTINGS!$B$9)</f>
        <v>#VALUE!</v>
      </c>
      <c r="O200" s="40" t="e">
        <f>IF(M200="","",M200*SETTINGS!$B$10)</f>
        <v>#VALUE!</v>
      </c>
      <c r="P200" s="40" t="str">
        <f>IF(A200="","",SETTINGS!$B$6)</f>
        <v/>
      </c>
      <c r="Q200" s="40" t="str">
        <f>IF(A200="","",SETTINGS!$B$7)</f>
        <v/>
      </c>
      <c r="R200" s="40" t="str">
        <f>IF(A200="","",SETTINGS!$B$8)</f>
        <v/>
      </c>
      <c r="S200" s="38"/>
    </row>
    <row r="201" spans="1:19" ht="14.45" customHeight="1">
      <c r="A201" s="38"/>
      <c r="B201" s="38"/>
      <c r="C201" s="38"/>
      <c r="D201" s="38"/>
      <c r="E201" s="38"/>
      <c r="F201" s="38"/>
      <c r="G201" s="39"/>
      <c r="H201" s="39"/>
      <c r="I201" s="39"/>
      <c r="J201" s="39"/>
      <c r="K201" s="39"/>
      <c r="L201" s="39"/>
      <c r="M201" s="40">
        <f t="shared" si="4"/>
        <v>0</v>
      </c>
      <c r="N201" s="40" t="e">
        <f>IF(M201="","",M201*SETTINGS!$B$9)</f>
        <v>#VALUE!</v>
      </c>
      <c r="O201" s="40" t="e">
        <f>IF(M201="","",M201*SETTINGS!$B$10)</f>
        <v>#VALUE!</v>
      </c>
      <c r="P201" s="40" t="str">
        <f>IF(A201="","",SETTINGS!$B$6)</f>
        <v/>
      </c>
      <c r="Q201" s="40" t="str">
        <f>IF(A201="","",SETTINGS!$B$7)</f>
        <v/>
      </c>
      <c r="R201" s="40" t="str">
        <f>IF(A201="","",SETTINGS!$B$8)</f>
        <v/>
      </c>
      <c r="S201" s="38"/>
    </row>
    <row r="202" spans="1:19" ht="14.45" customHeight="1">
      <c r="A202" s="38"/>
      <c r="B202" s="38"/>
      <c r="C202" s="38"/>
      <c r="D202" s="38"/>
      <c r="E202" s="38"/>
      <c r="F202" s="38"/>
      <c r="G202" s="39"/>
      <c r="H202" s="39"/>
      <c r="I202" s="39"/>
      <c r="J202" s="39"/>
      <c r="K202" s="39"/>
      <c r="L202" s="39"/>
      <c r="M202" s="40">
        <f t="shared" si="4"/>
        <v>0</v>
      </c>
      <c r="N202" s="40" t="e">
        <f>IF(M202="","",M202*SETTINGS!$B$9)</f>
        <v>#VALUE!</v>
      </c>
      <c r="O202" s="40" t="e">
        <f>IF(M202="","",M202*SETTINGS!$B$10)</f>
        <v>#VALUE!</v>
      </c>
      <c r="P202" s="40" t="str">
        <f>IF(A202="","",SETTINGS!$B$6)</f>
        <v/>
      </c>
      <c r="Q202" s="40" t="str">
        <f>IF(A202="","",SETTINGS!$B$7)</f>
        <v/>
      </c>
      <c r="R202" s="40" t="str">
        <f>IF(A202="","",SETTINGS!$B$8)</f>
        <v/>
      </c>
      <c r="S202" s="38"/>
    </row>
    <row r="203" spans="1:19" ht="14.45" customHeight="1">
      <c r="A203" s="38"/>
      <c r="B203" s="38"/>
      <c r="C203" s="38"/>
      <c r="D203" s="38"/>
      <c r="E203" s="38"/>
      <c r="F203" s="38"/>
      <c r="G203" s="39"/>
      <c r="H203" s="39"/>
      <c r="I203" s="39"/>
      <c r="J203" s="39"/>
      <c r="K203" s="39"/>
      <c r="L203" s="39"/>
      <c r="M203" s="40">
        <f t="shared" si="4"/>
        <v>0</v>
      </c>
      <c r="N203" s="40" t="e">
        <f>IF(M203="","",M203*SETTINGS!$B$9)</f>
        <v>#VALUE!</v>
      </c>
      <c r="O203" s="40" t="e">
        <f>IF(M203="","",M203*SETTINGS!$B$10)</f>
        <v>#VALUE!</v>
      </c>
      <c r="P203" s="40" t="str">
        <f>IF(A203="","",SETTINGS!$B$6)</f>
        <v/>
      </c>
      <c r="Q203" s="40" t="str">
        <f>IF(A203="","",SETTINGS!$B$7)</f>
        <v/>
      </c>
      <c r="R203" s="40" t="str">
        <f>IF(A203="","",SETTINGS!$B$8)</f>
        <v/>
      </c>
      <c r="S203" s="38"/>
    </row>
    <row r="204" spans="1:19" ht="14.45" customHeight="1">
      <c r="A204" s="38"/>
      <c r="B204" s="38"/>
      <c r="C204" s="38"/>
      <c r="D204" s="38"/>
      <c r="E204" s="38"/>
      <c r="F204" s="38"/>
      <c r="G204" s="39"/>
      <c r="H204" s="39"/>
      <c r="I204" s="39"/>
      <c r="J204" s="39"/>
      <c r="K204" s="39"/>
      <c r="L204" s="39"/>
      <c r="M204" s="40">
        <f t="shared" si="4"/>
        <v>0</v>
      </c>
      <c r="N204" s="40" t="e">
        <f>IF(M204="","",M204*SETTINGS!$B$9)</f>
        <v>#VALUE!</v>
      </c>
      <c r="O204" s="40" t="e">
        <f>IF(M204="","",M204*SETTINGS!$B$10)</f>
        <v>#VALUE!</v>
      </c>
      <c r="P204" s="40" t="str">
        <f>IF(A204="","",SETTINGS!$B$6)</f>
        <v/>
      </c>
      <c r="Q204" s="40" t="str">
        <f>IF(A204="","",SETTINGS!$B$7)</f>
        <v/>
      </c>
      <c r="R204" s="40" t="str">
        <f>IF(A204="","",SETTINGS!$B$8)</f>
        <v/>
      </c>
      <c r="S204" s="38"/>
    </row>
    <row r="205" spans="1:19" ht="14.45" customHeight="1">
      <c r="A205" s="38"/>
      <c r="B205" s="38"/>
      <c r="C205" s="38"/>
      <c r="D205" s="38"/>
      <c r="E205" s="38"/>
      <c r="F205" s="38"/>
      <c r="G205" s="39"/>
      <c r="H205" s="39"/>
      <c r="I205" s="39"/>
      <c r="J205" s="39"/>
      <c r="K205" s="39"/>
      <c r="L205" s="39"/>
      <c r="M205" s="40">
        <f t="shared" si="4"/>
        <v>0</v>
      </c>
      <c r="N205" s="40" t="e">
        <f>IF(M205="","",M205*SETTINGS!$B$9)</f>
        <v>#VALUE!</v>
      </c>
      <c r="O205" s="40" t="e">
        <f>IF(M205="","",M205*SETTINGS!$B$10)</f>
        <v>#VALUE!</v>
      </c>
      <c r="P205" s="40" t="str">
        <f>IF(A205="","",SETTINGS!$B$6)</f>
        <v/>
      </c>
      <c r="Q205" s="40" t="str">
        <f>IF(A205="","",SETTINGS!$B$7)</f>
        <v/>
      </c>
      <c r="R205" s="40" t="str">
        <f>IF(A205="","",SETTINGS!$B$8)</f>
        <v/>
      </c>
      <c r="S205" s="38"/>
    </row>
    <row r="206" spans="1:19" ht="14.45" customHeight="1">
      <c r="A206" s="38"/>
      <c r="B206" s="38"/>
      <c r="C206" s="38"/>
      <c r="D206" s="38"/>
      <c r="E206" s="38"/>
      <c r="F206" s="38"/>
      <c r="G206" s="39"/>
      <c r="H206" s="39"/>
      <c r="I206" s="39"/>
      <c r="J206" s="39"/>
      <c r="K206" s="39"/>
      <c r="L206" s="39"/>
      <c r="M206" s="40">
        <f t="shared" si="4"/>
        <v>0</v>
      </c>
      <c r="N206" s="40" t="e">
        <f>IF(M206="","",M206*SETTINGS!$B$9)</f>
        <v>#VALUE!</v>
      </c>
      <c r="O206" s="40" t="e">
        <f>IF(M206="","",M206*SETTINGS!$B$10)</f>
        <v>#VALUE!</v>
      </c>
      <c r="P206" s="40" t="str">
        <f>IF(A206="","",SETTINGS!$B$6)</f>
        <v/>
      </c>
      <c r="Q206" s="40" t="str">
        <f>IF(A206="","",SETTINGS!$B$7)</f>
        <v/>
      </c>
      <c r="R206" s="40" t="str">
        <f>IF(A206="","",SETTINGS!$B$8)</f>
        <v/>
      </c>
      <c r="S206" s="38"/>
    </row>
    <row r="207" spans="1:19" ht="14.45" customHeight="1">
      <c r="A207" s="38"/>
      <c r="B207" s="38"/>
      <c r="C207" s="38"/>
      <c r="D207" s="38"/>
      <c r="E207" s="38"/>
      <c r="F207" s="38"/>
      <c r="G207" s="39"/>
      <c r="H207" s="39"/>
      <c r="I207" s="39"/>
      <c r="J207" s="39"/>
      <c r="K207" s="39"/>
      <c r="L207" s="39"/>
      <c r="M207" s="40">
        <f t="shared" si="4"/>
        <v>0</v>
      </c>
      <c r="N207" s="40" t="e">
        <f>IF(M207="","",M207*SETTINGS!$B$9)</f>
        <v>#VALUE!</v>
      </c>
      <c r="O207" s="40" t="e">
        <f>IF(M207="","",M207*SETTINGS!$B$10)</f>
        <v>#VALUE!</v>
      </c>
      <c r="P207" s="40" t="str">
        <f>IF(A207="","",SETTINGS!$B$6)</f>
        <v/>
      </c>
      <c r="Q207" s="40" t="str">
        <f>IF(A207="","",SETTINGS!$B$7)</f>
        <v/>
      </c>
      <c r="R207" s="40" t="str">
        <f>IF(A207="","",SETTINGS!$B$8)</f>
        <v/>
      </c>
      <c r="S207" s="38"/>
    </row>
    <row r="208" spans="1:19" ht="14.45" customHeight="1">
      <c r="A208" s="38"/>
      <c r="B208" s="38"/>
      <c r="C208" s="38"/>
      <c r="D208" s="38"/>
      <c r="E208" s="38"/>
      <c r="F208" s="38"/>
      <c r="G208" s="39"/>
      <c r="H208" s="39"/>
      <c r="I208" s="39"/>
      <c r="J208" s="39"/>
      <c r="K208" s="39"/>
      <c r="L208" s="39"/>
      <c r="M208" s="40">
        <f t="shared" si="4"/>
        <v>0</v>
      </c>
      <c r="N208" s="40" t="e">
        <f>IF(M208="","",M208*SETTINGS!$B$9)</f>
        <v>#VALUE!</v>
      </c>
      <c r="O208" s="40" t="e">
        <f>IF(M208="","",M208*SETTINGS!$B$10)</f>
        <v>#VALUE!</v>
      </c>
      <c r="P208" s="40" t="str">
        <f>IF(A208="","",SETTINGS!$B$6)</f>
        <v/>
      </c>
      <c r="Q208" s="40" t="str">
        <f>IF(A208="","",SETTINGS!$B$7)</f>
        <v/>
      </c>
      <c r="R208" s="40" t="str">
        <f>IF(A208="","",SETTINGS!$B$8)</f>
        <v/>
      </c>
      <c r="S208" s="38"/>
    </row>
    <row r="209" spans="1:19" ht="14.45" customHeight="1">
      <c r="A209" s="38"/>
      <c r="B209" s="38"/>
      <c r="C209" s="38"/>
      <c r="D209" s="38"/>
      <c r="E209" s="38"/>
      <c r="F209" s="38"/>
      <c r="G209" s="39"/>
      <c r="H209" s="39"/>
      <c r="I209" s="39"/>
      <c r="J209" s="39"/>
      <c r="K209" s="39"/>
      <c r="L209" s="39"/>
      <c r="M209" s="40">
        <f t="shared" si="4"/>
        <v>0</v>
      </c>
      <c r="N209" s="40" t="e">
        <f>IF(M209="","",M209*SETTINGS!$B$9)</f>
        <v>#VALUE!</v>
      </c>
      <c r="O209" s="40" t="e">
        <f>IF(M209="","",M209*SETTINGS!$B$10)</f>
        <v>#VALUE!</v>
      </c>
      <c r="P209" s="40" t="str">
        <f>IF(A209="","",SETTINGS!$B$6)</f>
        <v/>
      </c>
      <c r="Q209" s="40" t="str">
        <f>IF(A209="","",SETTINGS!$B$7)</f>
        <v/>
      </c>
      <c r="R209" s="40" t="str">
        <f>IF(A209="","",SETTINGS!$B$8)</f>
        <v/>
      </c>
      <c r="S209" s="38"/>
    </row>
    <row r="210" spans="1:19" ht="14.45" customHeight="1">
      <c r="A210" s="38"/>
      <c r="B210" s="38"/>
      <c r="C210" s="38"/>
      <c r="D210" s="38"/>
      <c r="E210" s="38"/>
      <c r="F210" s="38"/>
      <c r="G210" s="39"/>
      <c r="H210" s="39"/>
      <c r="I210" s="39"/>
      <c r="J210" s="39"/>
      <c r="K210" s="39"/>
      <c r="L210" s="39"/>
      <c r="M210" s="40">
        <f t="shared" si="4"/>
        <v>0</v>
      </c>
      <c r="N210" s="40" t="e">
        <f>IF(M210="","",M210*SETTINGS!$B$9)</f>
        <v>#VALUE!</v>
      </c>
      <c r="O210" s="40" t="e">
        <f>IF(M210="","",M210*SETTINGS!$B$10)</f>
        <v>#VALUE!</v>
      </c>
      <c r="P210" s="40" t="str">
        <f>IF(A210="","",SETTINGS!$B$6)</f>
        <v/>
      </c>
      <c r="Q210" s="40" t="str">
        <f>IF(A210="","",SETTINGS!$B$7)</f>
        <v/>
      </c>
      <c r="R210" s="40" t="str">
        <f>IF(A210="","",SETTINGS!$B$8)</f>
        <v/>
      </c>
      <c r="S210" s="38"/>
    </row>
    <row r="211" spans="1:19" ht="14.45" customHeight="1">
      <c r="A211" s="38"/>
      <c r="B211" s="38"/>
      <c r="C211" s="38"/>
      <c r="D211" s="38"/>
      <c r="E211" s="38"/>
      <c r="F211" s="38"/>
      <c r="G211" s="39"/>
      <c r="H211" s="39"/>
      <c r="I211" s="39"/>
      <c r="J211" s="39"/>
      <c r="K211" s="39"/>
      <c r="L211" s="39"/>
      <c r="M211" s="40">
        <f t="shared" si="4"/>
        <v>0</v>
      </c>
      <c r="N211" s="40" t="e">
        <f>IF(M211="","",M211*SETTINGS!$B$9)</f>
        <v>#VALUE!</v>
      </c>
      <c r="O211" s="40" t="e">
        <f>IF(M211="","",M211*SETTINGS!$B$10)</f>
        <v>#VALUE!</v>
      </c>
      <c r="P211" s="40" t="str">
        <f>IF(A211="","",SETTINGS!$B$6)</f>
        <v/>
      </c>
      <c r="Q211" s="40" t="str">
        <f>IF(A211="","",SETTINGS!$B$7)</f>
        <v/>
      </c>
      <c r="R211" s="40" t="str">
        <f>IF(A211="","",SETTINGS!$B$8)</f>
        <v/>
      </c>
      <c r="S211" s="38"/>
    </row>
    <row r="212" spans="1:19" ht="14.45" customHeight="1">
      <c r="A212" s="38"/>
      <c r="B212" s="38"/>
      <c r="C212" s="38"/>
      <c r="D212" s="38"/>
      <c r="E212" s="38"/>
      <c r="F212" s="38"/>
      <c r="G212" s="39"/>
      <c r="H212" s="39"/>
      <c r="I212" s="39"/>
      <c r="J212" s="39"/>
      <c r="K212" s="39"/>
      <c r="L212" s="39"/>
      <c r="M212" s="40">
        <f t="shared" si="4"/>
        <v>0</v>
      </c>
      <c r="N212" s="40" t="e">
        <f>IF(M212="","",M212*SETTINGS!$B$9)</f>
        <v>#VALUE!</v>
      </c>
      <c r="O212" s="40" t="e">
        <f>IF(M212="","",M212*SETTINGS!$B$10)</f>
        <v>#VALUE!</v>
      </c>
      <c r="P212" s="40" t="str">
        <f>IF(A212="","",SETTINGS!$B$6)</f>
        <v/>
      </c>
      <c r="Q212" s="40" t="str">
        <f>IF(A212="","",SETTINGS!$B$7)</f>
        <v/>
      </c>
      <c r="R212" s="40" t="str">
        <f>IF(A212="","",SETTINGS!$B$8)</f>
        <v/>
      </c>
      <c r="S212" s="38"/>
    </row>
    <row r="213" spans="1:19" ht="14.45" customHeight="1">
      <c r="A213" s="38"/>
      <c r="B213" s="38"/>
      <c r="C213" s="38"/>
      <c r="D213" s="38"/>
      <c r="E213" s="38"/>
      <c r="F213" s="38"/>
      <c r="G213" s="39"/>
      <c r="H213" s="39"/>
      <c r="I213" s="39"/>
      <c r="J213" s="39"/>
      <c r="K213" s="39"/>
      <c r="L213" s="39"/>
      <c r="M213" s="40">
        <f t="shared" si="4"/>
        <v>0</v>
      </c>
      <c r="N213" s="40" t="e">
        <f>IF(M213="","",M213*SETTINGS!$B$9)</f>
        <v>#VALUE!</v>
      </c>
      <c r="O213" s="40" t="e">
        <f>IF(M213="","",M213*SETTINGS!$B$10)</f>
        <v>#VALUE!</v>
      </c>
      <c r="P213" s="40" t="str">
        <f>IF(A213="","",SETTINGS!$B$6)</f>
        <v/>
      </c>
      <c r="Q213" s="40" t="str">
        <f>IF(A213="","",SETTINGS!$B$7)</f>
        <v/>
      </c>
      <c r="R213" s="40" t="str">
        <f>IF(A213="","",SETTINGS!$B$8)</f>
        <v/>
      </c>
      <c r="S213" s="38"/>
    </row>
    <row r="214" spans="1:19" ht="14.45" customHeight="1">
      <c r="A214" s="38"/>
      <c r="B214" s="38"/>
      <c r="C214" s="38"/>
      <c r="D214" s="38"/>
      <c r="E214" s="38"/>
      <c r="F214" s="38"/>
      <c r="G214" s="39"/>
      <c r="H214" s="39"/>
      <c r="I214" s="39"/>
      <c r="J214" s="39"/>
      <c r="K214" s="39"/>
      <c r="L214" s="39"/>
      <c r="M214" s="40">
        <f t="shared" si="4"/>
        <v>0</v>
      </c>
      <c r="N214" s="40" t="e">
        <f>IF(M214="","",M214*SETTINGS!$B$9)</f>
        <v>#VALUE!</v>
      </c>
      <c r="O214" s="40" t="e">
        <f>IF(M214="","",M214*SETTINGS!$B$10)</f>
        <v>#VALUE!</v>
      </c>
      <c r="P214" s="40" t="str">
        <f>IF(A214="","",SETTINGS!$B$6)</f>
        <v/>
      </c>
      <c r="Q214" s="40" t="str">
        <f>IF(A214="","",SETTINGS!$B$7)</f>
        <v/>
      </c>
      <c r="R214" s="40" t="str">
        <f>IF(A214="","",SETTINGS!$B$8)</f>
        <v/>
      </c>
      <c r="S214" s="38"/>
    </row>
    <row r="215" spans="1:19" ht="14.45" customHeight="1">
      <c r="A215" s="38"/>
      <c r="B215" s="38"/>
      <c r="C215" s="38"/>
      <c r="D215" s="38"/>
      <c r="E215" s="38"/>
      <c r="F215" s="38"/>
      <c r="G215" s="39"/>
      <c r="H215" s="39"/>
      <c r="I215" s="39"/>
      <c r="J215" s="39"/>
      <c r="K215" s="39"/>
      <c r="L215" s="39"/>
      <c r="M215" s="40">
        <f t="shared" si="4"/>
        <v>0</v>
      </c>
      <c r="N215" s="40" t="e">
        <f>IF(M215="","",M215*SETTINGS!$B$9)</f>
        <v>#VALUE!</v>
      </c>
      <c r="O215" s="40" t="e">
        <f>IF(M215="","",M215*SETTINGS!$B$10)</f>
        <v>#VALUE!</v>
      </c>
      <c r="P215" s="40" t="str">
        <f>IF(A215="","",SETTINGS!$B$6)</f>
        <v/>
      </c>
      <c r="Q215" s="40" t="str">
        <f>IF(A215="","",SETTINGS!$B$7)</f>
        <v/>
      </c>
      <c r="R215" s="40" t="str">
        <f>IF(A215="","",SETTINGS!$B$8)</f>
        <v/>
      </c>
      <c r="S215" s="38"/>
    </row>
    <row r="216" spans="1:19" ht="14.45" customHeight="1">
      <c r="A216" s="38"/>
      <c r="B216" s="38"/>
      <c r="C216" s="38"/>
      <c r="D216" s="38"/>
      <c r="E216" s="38"/>
      <c r="F216" s="38"/>
      <c r="G216" s="39"/>
      <c r="H216" s="39"/>
      <c r="I216" s="39"/>
      <c r="J216" s="39"/>
      <c r="K216" s="39"/>
      <c r="L216" s="39"/>
      <c r="M216" s="40">
        <f t="shared" si="4"/>
        <v>0</v>
      </c>
      <c r="N216" s="40" t="e">
        <f>IF(M216="","",M216*SETTINGS!$B$9)</f>
        <v>#VALUE!</v>
      </c>
      <c r="O216" s="40" t="e">
        <f>IF(M216="","",M216*SETTINGS!$B$10)</f>
        <v>#VALUE!</v>
      </c>
      <c r="P216" s="40" t="str">
        <f>IF(A216="","",SETTINGS!$B$6)</f>
        <v/>
      </c>
      <c r="Q216" s="40" t="str">
        <f>IF(A216="","",SETTINGS!$B$7)</f>
        <v/>
      </c>
      <c r="R216" s="40" t="str">
        <f>IF(A216="","",SETTINGS!$B$8)</f>
        <v/>
      </c>
      <c r="S216" s="38"/>
    </row>
    <row r="217" spans="1:19" ht="14.45" customHeight="1">
      <c r="A217" s="38"/>
      <c r="B217" s="38"/>
      <c r="C217" s="38"/>
      <c r="D217" s="38"/>
      <c r="E217" s="38"/>
      <c r="F217" s="38"/>
      <c r="G217" s="39"/>
      <c r="H217" s="39"/>
      <c r="I217" s="39"/>
      <c r="J217" s="39"/>
      <c r="K217" s="39"/>
      <c r="L217" s="39"/>
      <c r="M217" s="40">
        <f t="shared" si="4"/>
        <v>0</v>
      </c>
      <c r="N217" s="40" t="e">
        <f>IF(M217="","",M217*SETTINGS!$B$9)</f>
        <v>#VALUE!</v>
      </c>
      <c r="O217" s="40" t="e">
        <f>IF(M217="","",M217*SETTINGS!$B$10)</f>
        <v>#VALUE!</v>
      </c>
      <c r="P217" s="40" t="str">
        <f>IF(A217="","",SETTINGS!$B$6)</f>
        <v/>
      </c>
      <c r="Q217" s="40" t="str">
        <f>IF(A217="","",SETTINGS!$B$7)</f>
        <v/>
      </c>
      <c r="R217" s="40" t="str">
        <f>IF(A217="","",SETTINGS!$B$8)</f>
        <v/>
      </c>
      <c r="S217" s="38"/>
    </row>
    <row r="218" spans="1:19" ht="14.45" customHeight="1">
      <c r="A218" s="38"/>
      <c r="B218" s="38"/>
      <c r="C218" s="38"/>
      <c r="D218" s="38"/>
      <c r="E218" s="38"/>
      <c r="F218" s="38"/>
      <c r="G218" s="39"/>
      <c r="H218" s="39"/>
      <c r="I218" s="39"/>
      <c r="J218" s="39"/>
      <c r="K218" s="39"/>
      <c r="L218" s="39"/>
      <c r="M218" s="40">
        <f t="shared" si="4"/>
        <v>0</v>
      </c>
      <c r="N218" s="40" t="e">
        <f>IF(M218="","",M218*SETTINGS!$B$9)</f>
        <v>#VALUE!</v>
      </c>
      <c r="O218" s="40" t="e">
        <f>IF(M218="","",M218*SETTINGS!$B$10)</f>
        <v>#VALUE!</v>
      </c>
      <c r="P218" s="40" t="str">
        <f>IF(A218="","",SETTINGS!$B$6)</f>
        <v/>
      </c>
      <c r="Q218" s="40" t="str">
        <f>IF(A218="","",SETTINGS!$B$7)</f>
        <v/>
      </c>
      <c r="R218" s="40" t="str">
        <f>IF(A218="","",SETTINGS!$B$8)</f>
        <v/>
      </c>
      <c r="S218" s="38"/>
    </row>
    <row r="219" spans="1:19" ht="14.45" customHeight="1">
      <c r="A219" s="38"/>
      <c r="B219" s="38"/>
      <c r="C219" s="38"/>
      <c r="D219" s="38"/>
      <c r="E219" s="38"/>
      <c r="F219" s="38"/>
      <c r="G219" s="39"/>
      <c r="H219" s="39"/>
      <c r="I219" s="39"/>
      <c r="J219" s="39"/>
      <c r="K219" s="39"/>
      <c r="L219" s="39"/>
      <c r="M219" s="40">
        <f t="shared" si="4"/>
        <v>0</v>
      </c>
      <c r="N219" s="40" t="e">
        <f>IF(M219="","",M219*SETTINGS!$B$9)</f>
        <v>#VALUE!</v>
      </c>
      <c r="O219" s="40" t="e">
        <f>IF(M219="","",M219*SETTINGS!$B$10)</f>
        <v>#VALUE!</v>
      </c>
      <c r="P219" s="40" t="str">
        <f>IF(A219="","",SETTINGS!$B$6)</f>
        <v/>
      </c>
      <c r="Q219" s="40" t="str">
        <f>IF(A219="","",SETTINGS!$B$7)</f>
        <v/>
      </c>
      <c r="R219" s="40" t="str">
        <f>IF(A219="","",SETTINGS!$B$8)</f>
        <v/>
      </c>
      <c r="S219" s="38"/>
    </row>
    <row r="220" spans="1:19" ht="14.45" customHeight="1">
      <c r="A220" s="38"/>
      <c r="B220" s="38"/>
      <c r="C220" s="38"/>
      <c r="D220" s="38"/>
      <c r="E220" s="38"/>
      <c r="F220" s="38"/>
      <c r="G220" s="39"/>
      <c r="H220" s="39"/>
      <c r="I220" s="39"/>
      <c r="J220" s="39"/>
      <c r="K220" s="39"/>
      <c r="L220" s="39"/>
      <c r="M220" s="40">
        <f t="shared" si="4"/>
        <v>0</v>
      </c>
      <c r="N220" s="40" t="e">
        <f>IF(M220="","",M220*SETTINGS!$B$9)</f>
        <v>#VALUE!</v>
      </c>
      <c r="O220" s="40" t="e">
        <f>IF(M220="","",M220*SETTINGS!$B$10)</f>
        <v>#VALUE!</v>
      </c>
      <c r="P220" s="40" t="str">
        <f>IF(A220="","",SETTINGS!$B$6)</f>
        <v/>
      </c>
      <c r="Q220" s="40" t="str">
        <f>IF(A220="","",SETTINGS!$B$7)</f>
        <v/>
      </c>
      <c r="R220" s="40" t="str">
        <f>IF(A220="","",SETTINGS!$B$8)</f>
        <v/>
      </c>
      <c r="S220" s="38"/>
    </row>
    <row r="221" spans="1:19" ht="14.45" customHeight="1">
      <c r="A221" s="38"/>
      <c r="B221" s="38"/>
      <c r="C221" s="38"/>
      <c r="D221" s="38"/>
      <c r="E221" s="38"/>
      <c r="F221" s="38"/>
      <c r="G221" s="39"/>
      <c r="H221" s="39"/>
      <c r="I221" s="39"/>
      <c r="J221" s="39"/>
      <c r="K221" s="39"/>
      <c r="L221" s="39"/>
      <c r="M221" s="40">
        <f t="shared" si="4"/>
        <v>0</v>
      </c>
      <c r="N221" s="40" t="e">
        <f>IF(M221="","",M221*SETTINGS!$B$9)</f>
        <v>#VALUE!</v>
      </c>
      <c r="O221" s="40" t="e">
        <f>IF(M221="","",M221*SETTINGS!$B$10)</f>
        <v>#VALUE!</v>
      </c>
      <c r="P221" s="40" t="str">
        <f>IF(A221="","",SETTINGS!$B$6)</f>
        <v/>
      </c>
      <c r="Q221" s="40" t="str">
        <f>IF(A221="","",SETTINGS!$B$7)</f>
        <v/>
      </c>
      <c r="R221" s="40" t="str">
        <f>IF(A221="","",SETTINGS!$B$8)</f>
        <v/>
      </c>
      <c r="S221" s="38"/>
    </row>
    <row r="222" spans="1:19" ht="14.45" customHeight="1">
      <c r="A222" s="38"/>
      <c r="B222" s="38"/>
      <c r="C222" s="38"/>
      <c r="D222" s="38"/>
      <c r="E222" s="38"/>
      <c r="F222" s="38"/>
      <c r="G222" s="39"/>
      <c r="H222" s="39"/>
      <c r="I222" s="39"/>
      <c r="J222" s="39"/>
      <c r="K222" s="39"/>
      <c r="L222" s="39"/>
      <c r="M222" s="40">
        <f t="shared" si="4"/>
        <v>0</v>
      </c>
      <c r="N222" s="40" t="e">
        <f>IF(M222="","",M222*SETTINGS!$B$9)</f>
        <v>#VALUE!</v>
      </c>
      <c r="O222" s="40" t="e">
        <f>IF(M222="","",M222*SETTINGS!$B$10)</f>
        <v>#VALUE!</v>
      </c>
      <c r="P222" s="40" t="str">
        <f>IF(A222="","",SETTINGS!$B$6)</f>
        <v/>
      </c>
      <c r="Q222" s="40" t="str">
        <f>IF(A222="","",SETTINGS!$B$7)</f>
        <v/>
      </c>
      <c r="R222" s="40" t="str">
        <f>IF(A222="","",SETTINGS!$B$8)</f>
        <v/>
      </c>
      <c r="S222" s="38"/>
    </row>
    <row r="223" spans="1:19" ht="14.45" customHeight="1">
      <c r="A223" s="38"/>
      <c r="B223" s="38"/>
      <c r="C223" s="38"/>
      <c r="D223" s="38"/>
      <c r="E223" s="38"/>
      <c r="F223" s="38"/>
      <c r="G223" s="39"/>
      <c r="H223" s="39"/>
      <c r="I223" s="39"/>
      <c r="J223" s="39"/>
      <c r="K223" s="39"/>
      <c r="L223" s="39"/>
      <c r="M223" s="40">
        <f t="shared" si="4"/>
        <v>0</v>
      </c>
      <c r="N223" s="40" t="e">
        <f>IF(M223="","",M223*SETTINGS!$B$9)</f>
        <v>#VALUE!</v>
      </c>
      <c r="O223" s="40" t="e">
        <f>IF(M223="","",M223*SETTINGS!$B$10)</f>
        <v>#VALUE!</v>
      </c>
      <c r="P223" s="40" t="str">
        <f>IF(A223="","",SETTINGS!$B$6)</f>
        <v/>
      </c>
      <c r="Q223" s="40" t="str">
        <f>IF(A223="","",SETTINGS!$B$7)</f>
        <v/>
      </c>
      <c r="R223" s="40" t="str">
        <f>IF(A223="","",SETTINGS!$B$8)</f>
        <v/>
      </c>
      <c r="S223" s="38"/>
    </row>
    <row r="224" spans="1:19" ht="14.45" customHeight="1">
      <c r="A224" s="38"/>
      <c r="B224" s="38"/>
      <c r="C224" s="38"/>
      <c r="D224" s="38"/>
      <c r="E224" s="38"/>
      <c r="F224" s="38"/>
      <c r="G224" s="39"/>
      <c r="H224" s="39"/>
      <c r="I224" s="39"/>
      <c r="J224" s="39"/>
      <c r="K224" s="39"/>
      <c r="L224" s="39"/>
      <c r="M224" s="40">
        <f t="shared" si="4"/>
        <v>0</v>
      </c>
      <c r="N224" s="40" t="e">
        <f>IF(M224="","",M224*SETTINGS!$B$9)</f>
        <v>#VALUE!</v>
      </c>
      <c r="O224" s="40" t="e">
        <f>IF(M224="","",M224*SETTINGS!$B$10)</f>
        <v>#VALUE!</v>
      </c>
      <c r="P224" s="40" t="str">
        <f>IF(A224="","",SETTINGS!$B$6)</f>
        <v/>
      </c>
      <c r="Q224" s="40" t="str">
        <f>IF(A224="","",SETTINGS!$B$7)</f>
        <v/>
      </c>
      <c r="R224" s="40" t="str">
        <f>IF(A224="","",SETTINGS!$B$8)</f>
        <v/>
      </c>
      <c r="S224" s="38"/>
    </row>
    <row r="225" spans="1:19" ht="14.45" customHeight="1">
      <c r="A225" s="38"/>
      <c r="B225" s="38"/>
      <c r="C225" s="38"/>
      <c r="D225" s="38"/>
      <c r="E225" s="38"/>
      <c r="F225" s="38"/>
      <c r="G225" s="39"/>
      <c r="H225" s="39"/>
      <c r="I225" s="39"/>
      <c r="J225" s="39"/>
      <c r="K225" s="39"/>
      <c r="L225" s="39"/>
      <c r="M225" s="40">
        <f t="shared" si="4"/>
        <v>0</v>
      </c>
      <c r="N225" s="40" t="e">
        <f>IF(M225="","",M225*SETTINGS!$B$9)</f>
        <v>#VALUE!</v>
      </c>
      <c r="O225" s="40" t="e">
        <f>IF(M225="","",M225*SETTINGS!$B$10)</f>
        <v>#VALUE!</v>
      </c>
      <c r="P225" s="40" t="str">
        <f>IF(A225="","",SETTINGS!$B$6)</f>
        <v/>
      </c>
      <c r="Q225" s="40" t="str">
        <f>IF(A225="","",SETTINGS!$B$7)</f>
        <v/>
      </c>
      <c r="R225" s="40" t="str">
        <f>IF(A225="","",SETTINGS!$B$8)</f>
        <v/>
      </c>
      <c r="S225" s="38"/>
    </row>
    <row r="226" spans="1:19" ht="14.45" customHeight="1">
      <c r="A226" s="38"/>
      <c r="B226" s="38"/>
      <c r="C226" s="38"/>
      <c r="D226" s="38"/>
      <c r="E226" s="38"/>
      <c r="F226" s="38"/>
      <c r="G226" s="39"/>
      <c r="H226" s="39"/>
      <c r="I226" s="39"/>
      <c r="J226" s="39"/>
      <c r="K226" s="39"/>
      <c r="L226" s="39"/>
      <c r="M226" s="40">
        <f t="shared" si="4"/>
        <v>0</v>
      </c>
      <c r="N226" s="40" t="e">
        <f>IF(M226="","",M226*SETTINGS!$B$9)</f>
        <v>#VALUE!</v>
      </c>
      <c r="O226" s="40" t="e">
        <f>IF(M226="","",M226*SETTINGS!$B$10)</f>
        <v>#VALUE!</v>
      </c>
      <c r="P226" s="40" t="str">
        <f>IF(A226="","",SETTINGS!$B$6)</f>
        <v/>
      </c>
      <c r="Q226" s="40" t="str">
        <f>IF(A226="","",SETTINGS!$B$7)</f>
        <v/>
      </c>
      <c r="R226" s="40" t="str">
        <f>IF(A226="","",SETTINGS!$B$8)</f>
        <v/>
      </c>
      <c r="S226" s="38"/>
    </row>
    <row r="227" spans="1:19" ht="14.45" customHeight="1">
      <c r="A227" s="38"/>
      <c r="B227" s="38"/>
      <c r="C227" s="38"/>
      <c r="D227" s="38"/>
      <c r="E227" s="38"/>
      <c r="F227" s="38"/>
      <c r="G227" s="39"/>
      <c r="H227" s="39"/>
      <c r="I227" s="39"/>
      <c r="J227" s="39"/>
      <c r="K227" s="39"/>
      <c r="L227" s="39"/>
      <c r="M227" s="40">
        <f t="shared" si="4"/>
        <v>0</v>
      </c>
      <c r="N227" s="40" t="e">
        <f>IF(M227="","",M227*SETTINGS!$B$9)</f>
        <v>#VALUE!</v>
      </c>
      <c r="O227" s="40" t="e">
        <f>IF(M227="","",M227*SETTINGS!$B$10)</f>
        <v>#VALUE!</v>
      </c>
      <c r="P227" s="40" t="str">
        <f>IF(A227="","",SETTINGS!$B$6)</f>
        <v/>
      </c>
      <c r="Q227" s="40" t="str">
        <f>IF(A227="","",SETTINGS!$B$7)</f>
        <v/>
      </c>
      <c r="R227" s="40" t="str">
        <f>IF(A227="","",SETTINGS!$B$8)</f>
        <v/>
      </c>
      <c r="S227" s="38"/>
    </row>
    <row r="228" spans="1:19" ht="14.45" customHeight="1">
      <c r="A228" s="38"/>
      <c r="B228" s="38"/>
      <c r="C228" s="38"/>
      <c r="D228" s="38"/>
      <c r="E228" s="38"/>
      <c r="F228" s="38"/>
      <c r="G228" s="39"/>
      <c r="H228" s="39"/>
      <c r="I228" s="39"/>
      <c r="J228" s="39"/>
      <c r="K228" s="39"/>
      <c r="L228" s="39"/>
      <c r="M228" s="40">
        <f t="shared" si="4"/>
        <v>0</v>
      </c>
      <c r="N228" s="40" t="e">
        <f>IF(M228="","",M228*SETTINGS!$B$9)</f>
        <v>#VALUE!</v>
      </c>
      <c r="O228" s="40" t="e">
        <f>IF(M228="","",M228*SETTINGS!$B$10)</f>
        <v>#VALUE!</v>
      </c>
      <c r="P228" s="40" t="str">
        <f>IF(A228="","",SETTINGS!$B$6)</f>
        <v/>
      </c>
      <c r="Q228" s="40" t="str">
        <f>IF(A228="","",SETTINGS!$B$7)</f>
        <v/>
      </c>
      <c r="R228" s="40" t="str">
        <f>IF(A228="","",SETTINGS!$B$8)</f>
        <v/>
      </c>
      <c r="S228" s="38"/>
    </row>
    <row r="229" spans="1:19" ht="14.45" customHeight="1">
      <c r="A229" s="38"/>
      <c r="B229" s="38"/>
      <c r="C229" s="38"/>
      <c r="D229" s="38"/>
      <c r="E229" s="38"/>
      <c r="F229" s="38"/>
      <c r="G229" s="39"/>
      <c r="H229" s="39"/>
      <c r="I229" s="39"/>
      <c r="J229" s="39"/>
      <c r="K229" s="39"/>
      <c r="L229" s="39"/>
      <c r="M229" s="40">
        <f t="shared" si="4"/>
        <v>0</v>
      </c>
      <c r="N229" s="40" t="e">
        <f>IF(M229="","",M229*SETTINGS!$B$9)</f>
        <v>#VALUE!</v>
      </c>
      <c r="O229" s="40" t="e">
        <f>IF(M229="","",M229*SETTINGS!$B$10)</f>
        <v>#VALUE!</v>
      </c>
      <c r="P229" s="40" t="str">
        <f>IF(A229="","",SETTINGS!$B$6)</f>
        <v/>
      </c>
      <c r="Q229" s="40" t="str">
        <f>IF(A229="","",SETTINGS!$B$7)</f>
        <v/>
      </c>
      <c r="R229" s="40" t="str">
        <f>IF(A229="","",SETTINGS!$B$8)</f>
        <v/>
      </c>
      <c r="S229" s="38"/>
    </row>
    <row r="230" spans="1:19" ht="14.45" customHeight="1">
      <c r="A230" s="38"/>
      <c r="B230" s="38"/>
      <c r="C230" s="38"/>
      <c r="D230" s="38"/>
      <c r="E230" s="38"/>
      <c r="F230" s="38"/>
      <c r="G230" s="39"/>
      <c r="H230" s="39"/>
      <c r="I230" s="39"/>
      <c r="J230" s="39"/>
      <c r="K230" s="39"/>
      <c r="L230" s="39"/>
      <c r="M230" s="40">
        <f t="shared" si="4"/>
        <v>0</v>
      </c>
      <c r="N230" s="40" t="e">
        <f>IF(M230="","",M230*SETTINGS!$B$9)</f>
        <v>#VALUE!</v>
      </c>
      <c r="O230" s="40" t="e">
        <f>IF(M230="","",M230*SETTINGS!$B$10)</f>
        <v>#VALUE!</v>
      </c>
      <c r="P230" s="40" t="str">
        <f>IF(A230="","",SETTINGS!$B$6)</f>
        <v/>
      </c>
      <c r="Q230" s="40" t="str">
        <f>IF(A230="","",SETTINGS!$B$7)</f>
        <v/>
      </c>
      <c r="R230" s="40" t="str">
        <f>IF(A230="","",SETTINGS!$B$8)</f>
        <v/>
      </c>
      <c r="S230" s="38"/>
    </row>
    <row r="231" spans="1:19" ht="14.45" customHeight="1">
      <c r="A231" s="38"/>
      <c r="B231" s="38"/>
      <c r="C231" s="38"/>
      <c r="D231" s="38"/>
      <c r="E231" s="38"/>
      <c r="F231" s="38"/>
      <c r="G231" s="39"/>
      <c r="H231" s="39"/>
      <c r="I231" s="39"/>
      <c r="J231" s="39"/>
      <c r="K231" s="39"/>
      <c r="L231" s="39"/>
      <c r="M231" s="40">
        <f t="shared" si="4"/>
        <v>0</v>
      </c>
      <c r="N231" s="40" t="e">
        <f>IF(M231="","",M231*SETTINGS!$B$9)</f>
        <v>#VALUE!</v>
      </c>
      <c r="O231" s="40" t="e">
        <f>IF(M231="","",M231*SETTINGS!$B$10)</f>
        <v>#VALUE!</v>
      </c>
      <c r="P231" s="40" t="str">
        <f>IF(A231="","",SETTINGS!$B$6)</f>
        <v/>
      </c>
      <c r="Q231" s="40" t="str">
        <f>IF(A231="","",SETTINGS!$B$7)</f>
        <v/>
      </c>
      <c r="R231" s="40" t="str">
        <f>IF(A231="","",SETTINGS!$B$8)</f>
        <v/>
      </c>
      <c r="S231" s="38"/>
    </row>
    <row r="232" spans="1:19" ht="14.45" customHeight="1">
      <c r="A232" s="38"/>
      <c r="B232" s="38"/>
      <c r="C232" s="38"/>
      <c r="D232" s="38"/>
      <c r="E232" s="38"/>
      <c r="F232" s="38"/>
      <c r="G232" s="39"/>
      <c r="H232" s="39"/>
      <c r="I232" s="39"/>
      <c r="J232" s="39"/>
      <c r="K232" s="39"/>
      <c r="L232" s="39"/>
      <c r="M232" s="40">
        <f t="shared" si="4"/>
        <v>0</v>
      </c>
      <c r="N232" s="40" t="e">
        <f>IF(M232="","",M232*SETTINGS!$B$9)</f>
        <v>#VALUE!</v>
      </c>
      <c r="O232" s="40" t="e">
        <f>IF(M232="","",M232*SETTINGS!$B$10)</f>
        <v>#VALUE!</v>
      </c>
      <c r="P232" s="40" t="str">
        <f>IF(A232="","",SETTINGS!$B$6)</f>
        <v/>
      </c>
      <c r="Q232" s="40" t="str">
        <f>IF(A232="","",SETTINGS!$B$7)</f>
        <v/>
      </c>
      <c r="R232" s="40" t="str">
        <f>IF(A232="","",SETTINGS!$B$8)</f>
        <v/>
      </c>
      <c r="S232" s="38"/>
    </row>
    <row r="233" spans="1:19" ht="14.45" customHeight="1">
      <c r="A233" s="38"/>
      <c r="B233" s="38"/>
      <c r="C233" s="38"/>
      <c r="D233" s="38"/>
      <c r="E233" s="38"/>
      <c r="F233" s="38"/>
      <c r="G233" s="39"/>
      <c r="H233" s="39"/>
      <c r="I233" s="39"/>
      <c r="J233" s="39"/>
      <c r="K233" s="39"/>
      <c r="L233" s="39"/>
      <c r="M233" s="40">
        <f t="shared" si="4"/>
        <v>0</v>
      </c>
      <c r="N233" s="40" t="e">
        <f>IF(M233="","",M233*SETTINGS!$B$9)</f>
        <v>#VALUE!</v>
      </c>
      <c r="O233" s="40" t="e">
        <f>IF(M233="","",M233*SETTINGS!$B$10)</f>
        <v>#VALUE!</v>
      </c>
      <c r="P233" s="40" t="str">
        <f>IF(A233="","",SETTINGS!$B$6)</f>
        <v/>
      </c>
      <c r="Q233" s="40" t="str">
        <f>IF(A233="","",SETTINGS!$B$7)</f>
        <v/>
      </c>
      <c r="R233" s="40" t="str">
        <f>IF(A233="","",SETTINGS!$B$8)</f>
        <v/>
      </c>
      <c r="S233" s="38"/>
    </row>
    <row r="234" spans="1:19" ht="14.45" customHeight="1">
      <c r="A234" s="38"/>
      <c r="B234" s="38"/>
      <c r="C234" s="38"/>
      <c r="D234" s="38"/>
      <c r="E234" s="38"/>
      <c r="F234" s="38"/>
      <c r="G234" s="39"/>
      <c r="H234" s="39"/>
      <c r="I234" s="39"/>
      <c r="J234" s="39"/>
      <c r="K234" s="39"/>
      <c r="L234" s="39"/>
      <c r="M234" s="40">
        <f t="shared" si="4"/>
        <v>0</v>
      </c>
      <c r="N234" s="40" t="e">
        <f>IF(M234="","",M234*SETTINGS!$B$9)</f>
        <v>#VALUE!</v>
      </c>
      <c r="O234" s="40" t="e">
        <f>IF(M234="","",M234*SETTINGS!$B$10)</f>
        <v>#VALUE!</v>
      </c>
      <c r="P234" s="40" t="str">
        <f>IF(A234="","",SETTINGS!$B$6)</f>
        <v/>
      </c>
      <c r="Q234" s="40" t="str">
        <f>IF(A234="","",SETTINGS!$B$7)</f>
        <v/>
      </c>
      <c r="R234" s="40" t="str">
        <f>IF(A234="","",SETTINGS!$B$8)</f>
        <v/>
      </c>
      <c r="S234" s="38"/>
    </row>
    <row r="235" spans="1:19" ht="14.45" customHeight="1">
      <c r="A235" s="38"/>
      <c r="B235" s="38"/>
      <c r="C235" s="38"/>
      <c r="D235" s="38"/>
      <c r="E235" s="38"/>
      <c r="F235" s="38"/>
      <c r="G235" s="39"/>
      <c r="H235" s="39"/>
      <c r="I235" s="39"/>
      <c r="J235" s="39"/>
      <c r="K235" s="39"/>
      <c r="L235" s="39"/>
      <c r="M235" s="40">
        <f t="shared" si="4"/>
        <v>0</v>
      </c>
      <c r="N235" s="40" t="e">
        <f>IF(M235="","",M235*SETTINGS!$B$9)</f>
        <v>#VALUE!</v>
      </c>
      <c r="O235" s="40" t="e">
        <f>IF(M235="","",M235*SETTINGS!$B$10)</f>
        <v>#VALUE!</v>
      </c>
      <c r="P235" s="40" t="str">
        <f>IF(A235="","",SETTINGS!$B$6)</f>
        <v/>
      </c>
      <c r="Q235" s="40" t="str">
        <f>IF(A235="","",SETTINGS!$B$7)</f>
        <v/>
      </c>
      <c r="R235" s="40" t="str">
        <f>IF(A235="","",SETTINGS!$B$8)</f>
        <v/>
      </c>
      <c r="S235" s="38"/>
    </row>
    <row r="236" spans="1:19" ht="14.45" customHeight="1">
      <c r="A236" s="38"/>
      <c r="B236" s="38"/>
      <c r="C236" s="38"/>
      <c r="D236" s="38"/>
      <c r="E236" s="38"/>
      <c r="F236" s="38"/>
      <c r="G236" s="39"/>
      <c r="H236" s="39"/>
      <c r="I236" s="39"/>
      <c r="J236" s="39"/>
      <c r="K236" s="39"/>
      <c r="L236" s="39"/>
      <c r="M236" s="40">
        <f t="shared" si="4"/>
        <v>0</v>
      </c>
      <c r="N236" s="40" t="e">
        <f>IF(M236="","",M236*SETTINGS!$B$9)</f>
        <v>#VALUE!</v>
      </c>
      <c r="O236" s="40" t="e">
        <f>IF(M236="","",M236*SETTINGS!$B$10)</f>
        <v>#VALUE!</v>
      </c>
      <c r="P236" s="40" t="str">
        <f>IF(A236="","",SETTINGS!$B$6)</f>
        <v/>
      </c>
      <c r="Q236" s="40" t="str">
        <f>IF(A236="","",SETTINGS!$B$7)</f>
        <v/>
      </c>
      <c r="R236" s="40" t="str">
        <f>IF(A236="","",SETTINGS!$B$8)</f>
        <v/>
      </c>
      <c r="S236" s="38"/>
    </row>
    <row r="237" spans="1:19" ht="14.45" customHeight="1">
      <c r="A237" s="38"/>
      <c r="B237" s="38"/>
      <c r="C237" s="38"/>
      <c r="D237" s="38"/>
      <c r="E237" s="38"/>
      <c r="F237" s="38"/>
      <c r="G237" s="39"/>
      <c r="H237" s="39"/>
      <c r="I237" s="39"/>
      <c r="J237" s="39"/>
      <c r="K237" s="39"/>
      <c r="L237" s="39"/>
      <c r="M237" s="40">
        <f t="shared" si="4"/>
        <v>0</v>
      </c>
      <c r="N237" s="40" t="e">
        <f>IF(M237="","",M237*SETTINGS!$B$9)</f>
        <v>#VALUE!</v>
      </c>
      <c r="O237" s="40" t="e">
        <f>IF(M237="","",M237*SETTINGS!$B$10)</f>
        <v>#VALUE!</v>
      </c>
      <c r="P237" s="40" t="str">
        <f>IF(A237="","",SETTINGS!$B$6)</f>
        <v/>
      </c>
      <c r="Q237" s="40" t="str">
        <f>IF(A237="","",SETTINGS!$B$7)</f>
        <v/>
      </c>
      <c r="R237" s="40" t="str">
        <f>IF(A237="","",SETTINGS!$B$8)</f>
        <v/>
      </c>
      <c r="S237" s="38"/>
    </row>
    <row r="238" spans="1:19" ht="14.45" customHeight="1">
      <c r="A238" s="38"/>
      <c r="B238" s="38"/>
      <c r="C238" s="38"/>
      <c r="D238" s="38"/>
      <c r="E238" s="38"/>
      <c r="F238" s="38"/>
      <c r="G238" s="39"/>
      <c r="H238" s="39"/>
      <c r="I238" s="39"/>
      <c r="J238" s="39"/>
      <c r="K238" s="39"/>
      <c r="L238" s="39"/>
      <c r="M238" s="40">
        <f t="shared" si="4"/>
        <v>0</v>
      </c>
      <c r="N238" s="40" t="e">
        <f>IF(M238="","",M238*SETTINGS!$B$9)</f>
        <v>#VALUE!</v>
      </c>
      <c r="O238" s="40" t="e">
        <f>IF(M238="","",M238*SETTINGS!$B$10)</f>
        <v>#VALUE!</v>
      </c>
      <c r="P238" s="40" t="str">
        <f>IF(A238="","",SETTINGS!$B$6)</f>
        <v/>
      </c>
      <c r="Q238" s="40" t="str">
        <f>IF(A238="","",SETTINGS!$B$7)</f>
        <v/>
      </c>
      <c r="R238" s="40" t="str">
        <f>IF(A238="","",SETTINGS!$B$8)</f>
        <v/>
      </c>
      <c r="S238" s="38"/>
    </row>
    <row r="239" spans="1:19" ht="14.45" customHeight="1">
      <c r="A239" s="38"/>
      <c r="B239" s="38"/>
      <c r="C239" s="38"/>
      <c r="D239" s="38"/>
      <c r="E239" s="38"/>
      <c r="F239" s="38"/>
      <c r="G239" s="39"/>
      <c r="H239" s="39"/>
      <c r="I239" s="39"/>
      <c r="J239" s="39"/>
      <c r="K239" s="39"/>
      <c r="L239" s="39"/>
      <c r="M239" s="40">
        <f t="shared" si="4"/>
        <v>0</v>
      </c>
      <c r="N239" s="40" t="e">
        <f>IF(M239="","",M239*SETTINGS!$B$9)</f>
        <v>#VALUE!</v>
      </c>
      <c r="O239" s="40" t="e">
        <f>IF(M239="","",M239*SETTINGS!$B$10)</f>
        <v>#VALUE!</v>
      </c>
      <c r="P239" s="40" t="str">
        <f>IF(A239="","",SETTINGS!$B$6)</f>
        <v/>
      </c>
      <c r="Q239" s="40" t="str">
        <f>IF(A239="","",SETTINGS!$B$7)</f>
        <v/>
      </c>
      <c r="R239" s="40" t="str">
        <f>IF(A239="","",SETTINGS!$B$8)</f>
        <v/>
      </c>
      <c r="S239" s="38"/>
    </row>
    <row r="240" spans="1:19" ht="14.45" customHeight="1">
      <c r="A240" s="38"/>
      <c r="B240" s="38"/>
      <c r="C240" s="38"/>
      <c r="D240" s="38"/>
      <c r="E240" s="38"/>
      <c r="F240" s="38"/>
      <c r="G240" s="39"/>
      <c r="H240" s="39"/>
      <c r="I240" s="39"/>
      <c r="J240" s="39"/>
      <c r="K240" s="39"/>
      <c r="L240" s="39"/>
      <c r="M240" s="40">
        <f t="shared" si="4"/>
        <v>0</v>
      </c>
      <c r="N240" s="40" t="e">
        <f>IF(M240="","",M240*SETTINGS!$B$9)</f>
        <v>#VALUE!</v>
      </c>
      <c r="O240" s="40" t="e">
        <f>IF(M240="","",M240*SETTINGS!$B$10)</f>
        <v>#VALUE!</v>
      </c>
      <c r="P240" s="40" t="str">
        <f>IF(A240="","",SETTINGS!$B$6)</f>
        <v/>
      </c>
      <c r="Q240" s="40" t="str">
        <f>IF(A240="","",SETTINGS!$B$7)</f>
        <v/>
      </c>
      <c r="R240" s="40" t="str">
        <f>IF(A240="","",SETTINGS!$B$8)</f>
        <v/>
      </c>
      <c r="S240" s="38"/>
    </row>
    <row r="241" spans="1:19" ht="14.45" customHeight="1">
      <c r="A241" s="38"/>
      <c r="B241" s="38"/>
      <c r="C241" s="38"/>
      <c r="D241" s="38"/>
      <c r="E241" s="38"/>
      <c r="F241" s="38"/>
      <c r="G241" s="39"/>
      <c r="H241" s="39"/>
      <c r="I241" s="39"/>
      <c r="J241" s="39"/>
      <c r="K241" s="39"/>
      <c r="L241" s="39"/>
      <c r="M241" s="40">
        <f t="shared" si="4"/>
        <v>0</v>
      </c>
      <c r="N241" s="40" t="e">
        <f>IF(M241="","",M241*SETTINGS!$B$9)</f>
        <v>#VALUE!</v>
      </c>
      <c r="O241" s="40" t="e">
        <f>IF(M241="","",M241*SETTINGS!$B$10)</f>
        <v>#VALUE!</v>
      </c>
      <c r="P241" s="40" t="str">
        <f>IF(A241="","",SETTINGS!$B$6)</f>
        <v/>
      </c>
      <c r="Q241" s="40" t="str">
        <f>IF(A241="","",SETTINGS!$B$7)</f>
        <v/>
      </c>
      <c r="R241" s="40" t="str">
        <f>IF(A241="","",SETTINGS!$B$8)</f>
        <v/>
      </c>
      <c r="S241" s="38"/>
    </row>
    <row r="242" spans="1:19" ht="14.45" customHeight="1">
      <c r="A242" s="38"/>
      <c r="B242" s="38"/>
      <c r="C242" s="38"/>
      <c r="D242" s="38"/>
      <c r="E242" s="38"/>
      <c r="F242" s="38"/>
      <c r="G242" s="39"/>
      <c r="H242" s="39"/>
      <c r="I242" s="39"/>
      <c r="J242" s="39"/>
      <c r="K242" s="39"/>
      <c r="L242" s="39"/>
      <c r="M242" s="40">
        <f t="shared" si="4"/>
        <v>0</v>
      </c>
      <c r="N242" s="40" t="e">
        <f>IF(M242="","",M242*SETTINGS!$B$9)</f>
        <v>#VALUE!</v>
      </c>
      <c r="O242" s="40" t="e">
        <f>IF(M242="","",M242*SETTINGS!$B$10)</f>
        <v>#VALUE!</v>
      </c>
      <c r="P242" s="40" t="str">
        <f>IF(A242="","",SETTINGS!$B$6)</f>
        <v/>
      </c>
      <c r="Q242" s="40" t="str">
        <f>IF(A242="","",SETTINGS!$B$7)</f>
        <v/>
      </c>
      <c r="R242" s="40" t="str">
        <f>IF(A242="","",SETTINGS!$B$8)</f>
        <v/>
      </c>
      <c r="S242" s="38"/>
    </row>
    <row r="243" spans="1:19" ht="14.45" customHeight="1">
      <c r="A243" s="38"/>
      <c r="B243" s="38"/>
      <c r="C243" s="38"/>
      <c r="D243" s="38"/>
      <c r="E243" s="38"/>
      <c r="F243" s="38"/>
      <c r="G243" s="39"/>
      <c r="H243" s="39"/>
      <c r="I243" s="39"/>
      <c r="J243" s="39"/>
      <c r="K243" s="39"/>
      <c r="L243" s="39"/>
      <c r="M243" s="40">
        <f t="shared" si="4"/>
        <v>0</v>
      </c>
      <c r="N243" s="40" t="e">
        <f>IF(M243="","",M243*SETTINGS!$B$9)</f>
        <v>#VALUE!</v>
      </c>
      <c r="O243" s="40" t="e">
        <f>IF(M243="","",M243*SETTINGS!$B$10)</f>
        <v>#VALUE!</v>
      </c>
      <c r="P243" s="40" t="str">
        <f>IF(A243="","",SETTINGS!$B$6)</f>
        <v/>
      </c>
      <c r="Q243" s="40" t="str">
        <f>IF(A243="","",SETTINGS!$B$7)</f>
        <v/>
      </c>
      <c r="R243" s="40" t="str">
        <f>IF(A243="","",SETTINGS!$B$8)</f>
        <v/>
      </c>
      <c r="S243" s="38"/>
    </row>
    <row r="244" spans="1:19" ht="14.45" customHeight="1">
      <c r="A244" s="38"/>
      <c r="B244" s="38"/>
      <c r="C244" s="38"/>
      <c r="D244" s="38"/>
      <c r="E244" s="38"/>
      <c r="F244" s="38"/>
      <c r="G244" s="39"/>
      <c r="H244" s="39"/>
      <c r="I244" s="39"/>
      <c r="J244" s="39"/>
      <c r="K244" s="39"/>
      <c r="L244" s="39"/>
      <c r="M244" s="40">
        <f t="shared" si="4"/>
        <v>0</v>
      </c>
      <c r="N244" s="40" t="e">
        <f>IF(M244="","",M244*SETTINGS!$B$9)</f>
        <v>#VALUE!</v>
      </c>
      <c r="O244" s="40" t="e">
        <f>IF(M244="","",M244*SETTINGS!$B$10)</f>
        <v>#VALUE!</v>
      </c>
      <c r="P244" s="40" t="str">
        <f>IF(A244="","",SETTINGS!$B$6)</f>
        <v/>
      </c>
      <c r="Q244" s="40" t="str">
        <f>IF(A244="","",SETTINGS!$B$7)</f>
        <v/>
      </c>
      <c r="R244" s="40" t="str">
        <f>IF(A244="","",SETTINGS!$B$8)</f>
        <v/>
      </c>
      <c r="S244" s="38"/>
    </row>
    <row r="245" spans="1:19" ht="14.45" customHeight="1">
      <c r="A245" s="38"/>
      <c r="B245" s="38"/>
      <c r="C245" s="38"/>
      <c r="D245" s="38"/>
      <c r="E245" s="38"/>
      <c r="F245" s="38"/>
      <c r="G245" s="39"/>
      <c r="H245" s="39"/>
      <c r="I245" s="39"/>
      <c r="J245" s="39"/>
      <c r="K245" s="39"/>
      <c r="L245" s="39"/>
      <c r="M245" s="40">
        <f t="shared" si="4"/>
        <v>0</v>
      </c>
      <c r="N245" s="40" t="e">
        <f>IF(M245="","",M245*SETTINGS!$B$9)</f>
        <v>#VALUE!</v>
      </c>
      <c r="O245" s="40" t="e">
        <f>IF(M245="","",M245*SETTINGS!$B$10)</f>
        <v>#VALUE!</v>
      </c>
      <c r="P245" s="40" t="str">
        <f>IF(A245="","",SETTINGS!$B$6)</f>
        <v/>
      </c>
      <c r="Q245" s="40" t="str">
        <f>IF(A245="","",SETTINGS!$B$7)</f>
        <v/>
      </c>
      <c r="R245" s="40" t="str">
        <f>IF(A245="","",SETTINGS!$B$8)</f>
        <v/>
      </c>
      <c r="S245" s="38"/>
    </row>
    <row r="246" spans="1:19" ht="14.45" customHeight="1">
      <c r="A246" s="38"/>
      <c r="B246" s="38"/>
      <c r="C246" s="38"/>
      <c r="D246" s="38"/>
      <c r="E246" s="38"/>
      <c r="F246" s="38"/>
      <c r="G246" s="39"/>
      <c r="H246" s="39"/>
      <c r="I246" s="39"/>
      <c r="J246" s="39"/>
      <c r="K246" s="39"/>
      <c r="L246" s="39"/>
      <c r="M246" s="40">
        <f t="shared" si="4"/>
        <v>0</v>
      </c>
      <c r="N246" s="40" t="e">
        <f>IF(M246="","",M246*SETTINGS!$B$9)</f>
        <v>#VALUE!</v>
      </c>
      <c r="O246" s="40" t="e">
        <f>IF(M246="","",M246*SETTINGS!$B$10)</f>
        <v>#VALUE!</v>
      </c>
      <c r="P246" s="40" t="str">
        <f>IF(A246="","",SETTINGS!$B$6)</f>
        <v/>
      </c>
      <c r="Q246" s="40" t="str">
        <f>IF(A246="","",SETTINGS!$B$7)</f>
        <v/>
      </c>
      <c r="R246" s="40" t="str">
        <f>IF(A246="","",SETTINGS!$B$8)</f>
        <v/>
      </c>
      <c r="S246" s="38"/>
    </row>
    <row r="247" spans="1:19" ht="14.45" customHeight="1">
      <c r="A247" s="38"/>
      <c r="B247" s="38"/>
      <c r="C247" s="38"/>
      <c r="D247" s="38"/>
      <c r="E247" s="38"/>
      <c r="F247" s="38"/>
      <c r="G247" s="39"/>
      <c r="H247" s="39"/>
      <c r="I247" s="39"/>
      <c r="J247" s="39"/>
      <c r="K247" s="39"/>
      <c r="L247" s="39"/>
      <c r="M247" s="40">
        <f t="shared" si="4"/>
        <v>0</v>
      </c>
      <c r="N247" s="40" t="e">
        <f>IF(M247="","",M247*SETTINGS!$B$9)</f>
        <v>#VALUE!</v>
      </c>
      <c r="O247" s="40" t="e">
        <f>IF(M247="","",M247*SETTINGS!$B$10)</f>
        <v>#VALUE!</v>
      </c>
      <c r="P247" s="40" t="str">
        <f>IF(A247="","",SETTINGS!$B$6)</f>
        <v/>
      </c>
      <c r="Q247" s="40" t="str">
        <f>IF(A247="","",SETTINGS!$B$7)</f>
        <v/>
      </c>
      <c r="R247" s="40" t="str">
        <f>IF(A247="","",SETTINGS!$B$8)</f>
        <v/>
      </c>
      <c r="S247" s="38"/>
    </row>
    <row r="248" spans="1:19" ht="14.45" customHeight="1">
      <c r="A248" s="38"/>
      <c r="B248" s="38"/>
      <c r="C248" s="38"/>
      <c r="D248" s="38"/>
      <c r="E248" s="38"/>
      <c r="F248" s="38"/>
      <c r="G248" s="39"/>
      <c r="H248" s="39"/>
      <c r="I248" s="39"/>
      <c r="J248" s="39"/>
      <c r="K248" s="39"/>
      <c r="L248" s="39"/>
      <c r="M248" s="40">
        <f t="shared" si="4"/>
        <v>0</v>
      </c>
      <c r="N248" s="40" t="e">
        <f>IF(M248="","",M248*SETTINGS!$B$9)</f>
        <v>#VALUE!</v>
      </c>
      <c r="O248" s="40" t="e">
        <f>IF(M248="","",M248*SETTINGS!$B$10)</f>
        <v>#VALUE!</v>
      </c>
      <c r="P248" s="40" t="str">
        <f>IF(A248="","",SETTINGS!$B$6)</f>
        <v/>
      </c>
      <c r="Q248" s="40" t="str">
        <f>IF(A248="","",SETTINGS!$B$7)</f>
        <v/>
      </c>
      <c r="R248" s="40" t="str">
        <f>IF(A248="","",SETTINGS!$B$8)</f>
        <v/>
      </c>
      <c r="S248" s="38"/>
    </row>
    <row r="249" spans="1:19" ht="14.45" customHeight="1">
      <c r="A249" s="38"/>
      <c r="B249" s="38"/>
      <c r="C249" s="38"/>
      <c r="D249" s="38"/>
      <c r="E249" s="38"/>
      <c r="F249" s="38"/>
      <c r="G249" s="39"/>
      <c r="H249" s="39"/>
      <c r="I249" s="39"/>
      <c r="J249" s="39"/>
      <c r="K249" s="39"/>
      <c r="L249" s="39"/>
      <c r="M249" s="40">
        <f t="shared" si="4"/>
        <v>0</v>
      </c>
      <c r="N249" s="40" t="e">
        <f>IF(M249="","",M249*SETTINGS!$B$9)</f>
        <v>#VALUE!</v>
      </c>
      <c r="O249" s="40" t="e">
        <f>IF(M249="","",M249*SETTINGS!$B$10)</f>
        <v>#VALUE!</v>
      </c>
      <c r="P249" s="40" t="str">
        <f>IF(A249="","",SETTINGS!$B$6)</f>
        <v/>
      </c>
      <c r="Q249" s="40" t="str">
        <f>IF(A249="","",SETTINGS!$B$7)</f>
        <v/>
      </c>
      <c r="R249" s="40" t="str">
        <f>IF(A249="","",SETTINGS!$B$8)</f>
        <v/>
      </c>
      <c r="S249" s="38"/>
    </row>
    <row r="250" spans="1:19" ht="14.45" customHeight="1">
      <c r="A250" s="38"/>
      <c r="B250" s="38"/>
      <c r="C250" s="38"/>
      <c r="D250" s="38"/>
      <c r="E250" s="38"/>
      <c r="F250" s="38"/>
      <c r="G250" s="39"/>
      <c r="H250" s="39"/>
      <c r="I250" s="39"/>
      <c r="J250" s="39"/>
      <c r="K250" s="39"/>
      <c r="L250" s="39"/>
      <c r="M250" s="40">
        <f t="shared" si="4"/>
        <v>0</v>
      </c>
      <c r="N250" s="40" t="e">
        <f>IF(M250="","",M250*SETTINGS!$B$9)</f>
        <v>#VALUE!</v>
      </c>
      <c r="O250" s="40" t="e">
        <f>IF(M250="","",M250*SETTINGS!$B$10)</f>
        <v>#VALUE!</v>
      </c>
      <c r="P250" s="40" t="str">
        <f>IF(A250="","",SETTINGS!$B$6)</f>
        <v/>
      </c>
      <c r="Q250" s="40" t="str">
        <f>IF(A250="","",SETTINGS!$B$7)</f>
        <v/>
      </c>
      <c r="R250" s="40" t="str">
        <f>IF(A250="","",SETTINGS!$B$8)</f>
        <v/>
      </c>
      <c r="S250" s="38"/>
    </row>
    <row r="251" spans="1:19" ht="14.45" customHeight="1">
      <c r="A251" s="38"/>
      <c r="B251" s="38"/>
      <c r="C251" s="38"/>
      <c r="D251" s="38"/>
      <c r="E251" s="38"/>
      <c r="F251" s="38"/>
      <c r="G251" s="39"/>
      <c r="H251" s="39"/>
      <c r="I251" s="39"/>
      <c r="J251" s="39"/>
      <c r="K251" s="39"/>
      <c r="L251" s="39"/>
      <c r="M251" s="40">
        <f t="shared" si="4"/>
        <v>0</v>
      </c>
      <c r="N251" s="40" t="e">
        <f>IF(M251="","",M251*SETTINGS!$B$9)</f>
        <v>#VALUE!</v>
      </c>
      <c r="O251" s="40" t="e">
        <f>IF(M251="","",M251*SETTINGS!$B$10)</f>
        <v>#VALUE!</v>
      </c>
      <c r="P251" s="40" t="str">
        <f>IF(A251="","",SETTINGS!$B$6)</f>
        <v/>
      </c>
      <c r="Q251" s="40" t="str">
        <f>IF(A251="","",SETTINGS!$B$7)</f>
        <v/>
      </c>
      <c r="R251" s="40" t="str">
        <f>IF(A251="","",SETTINGS!$B$8)</f>
        <v/>
      </c>
      <c r="S251" s="38"/>
    </row>
    <row r="252" spans="1:19" ht="14.45" customHeight="1">
      <c r="A252" s="38"/>
      <c r="B252" s="38"/>
      <c r="C252" s="38"/>
      <c r="D252" s="38"/>
      <c r="E252" s="38"/>
      <c r="F252" s="38"/>
      <c r="G252" s="39"/>
      <c r="H252" s="39"/>
      <c r="I252" s="39"/>
      <c r="J252" s="39"/>
      <c r="K252" s="39"/>
      <c r="L252" s="39"/>
      <c r="M252" s="40">
        <f t="shared" si="4"/>
        <v>0</v>
      </c>
      <c r="N252" s="40" t="e">
        <f>IF(M252="","",M252*SETTINGS!$B$9)</f>
        <v>#VALUE!</v>
      </c>
      <c r="O252" s="40" t="e">
        <f>IF(M252="","",M252*SETTINGS!$B$10)</f>
        <v>#VALUE!</v>
      </c>
      <c r="P252" s="40" t="str">
        <f>IF(A252="","",SETTINGS!$B$6)</f>
        <v/>
      </c>
      <c r="Q252" s="40" t="str">
        <f>IF(A252="","",SETTINGS!$B$7)</f>
        <v/>
      </c>
      <c r="R252" s="40" t="str">
        <f>IF(A252="","",SETTINGS!$B$8)</f>
        <v/>
      </c>
      <c r="S252" s="38"/>
    </row>
    <row r="253" spans="1:19" ht="14.45" customHeight="1">
      <c r="A253" s="38"/>
      <c r="B253" s="38"/>
      <c r="C253" s="38"/>
      <c r="D253" s="38"/>
      <c r="E253" s="38"/>
      <c r="F253" s="38"/>
      <c r="G253" s="39"/>
      <c r="H253" s="39"/>
      <c r="I253" s="39"/>
      <c r="J253" s="39"/>
      <c r="K253" s="39"/>
      <c r="L253" s="39"/>
      <c r="M253" s="40">
        <f t="shared" si="4"/>
        <v>0</v>
      </c>
      <c r="N253" s="40" t="e">
        <f>IF(M253="","",M253*SETTINGS!$B$9)</f>
        <v>#VALUE!</v>
      </c>
      <c r="O253" s="40" t="e">
        <f>IF(M253="","",M253*SETTINGS!$B$10)</f>
        <v>#VALUE!</v>
      </c>
      <c r="P253" s="40" t="str">
        <f>IF(A253="","",SETTINGS!$B$6)</f>
        <v/>
      </c>
      <c r="Q253" s="40" t="str">
        <f>IF(A253="","",SETTINGS!$B$7)</f>
        <v/>
      </c>
      <c r="R253" s="40" t="str">
        <f>IF(A253="","",SETTINGS!$B$8)</f>
        <v/>
      </c>
      <c r="S253" s="38"/>
    </row>
    <row r="254" spans="1:19" ht="14.45" customHeight="1">
      <c r="A254" s="38"/>
      <c r="B254" s="38"/>
      <c r="C254" s="38"/>
      <c r="D254" s="38"/>
      <c r="E254" s="38"/>
      <c r="F254" s="38"/>
      <c r="G254" s="39"/>
      <c r="H254" s="39"/>
      <c r="I254" s="39"/>
      <c r="J254" s="39"/>
      <c r="K254" s="39"/>
      <c r="L254" s="39"/>
      <c r="M254" s="40">
        <f t="shared" si="4"/>
        <v>0</v>
      </c>
      <c r="N254" s="40" t="e">
        <f>IF(M254="","",M254*SETTINGS!$B$9)</f>
        <v>#VALUE!</v>
      </c>
      <c r="O254" s="40" t="e">
        <f>IF(M254="","",M254*SETTINGS!$B$10)</f>
        <v>#VALUE!</v>
      </c>
      <c r="P254" s="40" t="str">
        <f>IF(A254="","",SETTINGS!$B$6)</f>
        <v/>
      </c>
      <c r="Q254" s="40" t="str">
        <f>IF(A254="","",SETTINGS!$B$7)</f>
        <v/>
      </c>
      <c r="R254" s="40" t="str">
        <f>IF(A254="","",SETTINGS!$B$8)</f>
        <v/>
      </c>
      <c r="S254" s="38"/>
    </row>
    <row r="255" spans="1:19" ht="14.45" customHeight="1">
      <c r="A255" s="38"/>
      <c r="B255" s="38"/>
      <c r="C255" s="38"/>
      <c r="D255" s="38"/>
      <c r="E255" s="38"/>
      <c r="F255" s="38"/>
      <c r="G255" s="39"/>
      <c r="H255" s="39"/>
      <c r="I255" s="39"/>
      <c r="J255" s="39"/>
      <c r="K255" s="39"/>
      <c r="L255" s="39"/>
      <c r="M255" s="40">
        <f t="shared" si="4"/>
        <v>0</v>
      </c>
      <c r="N255" s="40" t="e">
        <f>IF(M255="","",M255*SETTINGS!$B$9)</f>
        <v>#VALUE!</v>
      </c>
      <c r="O255" s="40" t="e">
        <f>IF(M255="","",M255*SETTINGS!$B$10)</f>
        <v>#VALUE!</v>
      </c>
      <c r="P255" s="40" t="str">
        <f>IF(A255="","",SETTINGS!$B$6)</f>
        <v/>
      </c>
      <c r="Q255" s="40" t="str">
        <f>IF(A255="","",SETTINGS!$B$7)</f>
        <v/>
      </c>
      <c r="R255" s="40" t="str">
        <f>IF(A255="","",SETTINGS!$B$8)</f>
        <v/>
      </c>
      <c r="S255" s="38"/>
    </row>
    <row r="256" spans="1:19" ht="14.45" customHeight="1">
      <c r="A256" s="38"/>
      <c r="B256" s="38"/>
      <c r="C256" s="38"/>
      <c r="D256" s="38"/>
      <c r="E256" s="38"/>
      <c r="F256" s="38"/>
      <c r="G256" s="39"/>
      <c r="H256" s="39"/>
      <c r="I256" s="39"/>
      <c r="J256" s="39"/>
      <c r="K256" s="39"/>
      <c r="L256" s="39"/>
      <c r="M256" s="40">
        <f t="shared" si="4"/>
        <v>0</v>
      </c>
      <c r="N256" s="40" t="e">
        <f>IF(M256="","",M256*SETTINGS!$B$9)</f>
        <v>#VALUE!</v>
      </c>
      <c r="O256" s="40" t="e">
        <f>IF(M256="","",M256*SETTINGS!$B$10)</f>
        <v>#VALUE!</v>
      </c>
      <c r="P256" s="40" t="str">
        <f>IF(A256="","",SETTINGS!$B$6)</f>
        <v/>
      </c>
      <c r="Q256" s="40" t="str">
        <f>IF(A256="","",SETTINGS!$B$7)</f>
        <v/>
      </c>
      <c r="R256" s="40" t="str">
        <f>IF(A256="","",SETTINGS!$B$8)</f>
        <v/>
      </c>
      <c r="S256" s="38"/>
    </row>
    <row r="257" spans="1:19" ht="14.45" customHeight="1">
      <c r="A257" s="38"/>
      <c r="B257" s="38"/>
      <c r="C257" s="38"/>
      <c r="D257" s="38"/>
      <c r="E257" s="38"/>
      <c r="F257" s="38"/>
      <c r="G257" s="39"/>
      <c r="H257" s="39"/>
      <c r="I257" s="39"/>
      <c r="J257" s="39"/>
      <c r="K257" s="39"/>
      <c r="L257" s="39"/>
      <c r="M257" s="40">
        <f t="shared" si="4"/>
        <v>0</v>
      </c>
      <c r="N257" s="40" t="e">
        <f>IF(M257="","",M257*SETTINGS!$B$9)</f>
        <v>#VALUE!</v>
      </c>
      <c r="O257" s="40" t="e">
        <f>IF(M257="","",M257*SETTINGS!$B$10)</f>
        <v>#VALUE!</v>
      </c>
      <c r="P257" s="40" t="str">
        <f>IF(A257="","",SETTINGS!$B$6)</f>
        <v/>
      </c>
      <c r="Q257" s="40" t="str">
        <f>IF(A257="","",SETTINGS!$B$7)</f>
        <v/>
      </c>
      <c r="R257" s="40" t="str">
        <f>IF(A257="","",SETTINGS!$B$8)</f>
        <v/>
      </c>
      <c r="S257" s="38"/>
    </row>
    <row r="258" spans="1:19" ht="14.45" customHeight="1">
      <c r="A258" s="38"/>
      <c r="B258" s="38"/>
      <c r="C258" s="38"/>
      <c r="D258" s="38"/>
      <c r="E258" s="38"/>
      <c r="F258" s="38"/>
      <c r="G258" s="39"/>
      <c r="H258" s="39"/>
      <c r="I258" s="39"/>
      <c r="J258" s="39"/>
      <c r="K258" s="39"/>
      <c r="L258" s="39"/>
      <c r="M258" s="40">
        <f t="shared" si="4"/>
        <v>0</v>
      </c>
      <c r="N258" s="40" t="e">
        <f>IF(M258="","",M258*SETTINGS!$B$9)</f>
        <v>#VALUE!</v>
      </c>
      <c r="O258" s="40" t="e">
        <f>IF(M258="","",M258*SETTINGS!$B$10)</f>
        <v>#VALUE!</v>
      </c>
      <c r="P258" s="40" t="str">
        <f>IF(A258="","",SETTINGS!$B$6)</f>
        <v/>
      </c>
      <c r="Q258" s="40" t="str">
        <f>IF(A258="","",SETTINGS!$B$7)</f>
        <v/>
      </c>
      <c r="R258" s="40" t="str">
        <f>IF(A258="","",SETTINGS!$B$8)</f>
        <v/>
      </c>
      <c r="S258" s="38"/>
    </row>
    <row r="259" spans="1:19" ht="14.45" customHeight="1">
      <c r="A259" s="38"/>
      <c r="B259" s="38"/>
      <c r="C259" s="38"/>
      <c r="D259" s="38"/>
      <c r="E259" s="38"/>
      <c r="F259" s="38"/>
      <c r="G259" s="39"/>
      <c r="H259" s="39"/>
      <c r="I259" s="39"/>
      <c r="J259" s="39"/>
      <c r="K259" s="39"/>
      <c r="L259" s="39"/>
      <c r="M259" s="40">
        <f t="shared" si="4"/>
        <v>0</v>
      </c>
      <c r="N259" s="40" t="e">
        <f>IF(M259="","",M259*SETTINGS!$B$9)</f>
        <v>#VALUE!</v>
      </c>
      <c r="O259" s="40" t="e">
        <f>IF(M259="","",M259*SETTINGS!$B$10)</f>
        <v>#VALUE!</v>
      </c>
      <c r="P259" s="40" t="str">
        <f>IF(A259="","",SETTINGS!$B$6)</f>
        <v/>
      </c>
      <c r="Q259" s="40" t="str">
        <f>IF(A259="","",SETTINGS!$B$7)</f>
        <v/>
      </c>
      <c r="R259" s="40" t="str">
        <f>IF(A259="","",SETTINGS!$B$8)</f>
        <v/>
      </c>
      <c r="S259" s="38"/>
    </row>
    <row r="260" spans="1:19" ht="14.45" customHeight="1">
      <c r="A260" s="38"/>
      <c r="B260" s="38"/>
      <c r="C260" s="38"/>
      <c r="D260" s="38"/>
      <c r="E260" s="38"/>
      <c r="F260" s="38"/>
      <c r="G260" s="39"/>
      <c r="H260" s="39"/>
      <c r="I260" s="39"/>
      <c r="J260" s="39"/>
      <c r="K260" s="39"/>
      <c r="L260" s="39"/>
      <c r="M260" s="40">
        <f t="shared" si="4"/>
        <v>0</v>
      </c>
      <c r="N260" s="40" t="e">
        <f>IF(M260="","",M260*SETTINGS!$B$9)</f>
        <v>#VALUE!</v>
      </c>
      <c r="O260" s="40" t="e">
        <f>IF(M260="","",M260*SETTINGS!$B$10)</f>
        <v>#VALUE!</v>
      </c>
      <c r="P260" s="40" t="str">
        <f>IF(A260="","",SETTINGS!$B$6)</f>
        <v/>
      </c>
      <c r="Q260" s="40" t="str">
        <f>IF(A260="","",SETTINGS!$B$7)</f>
        <v/>
      </c>
      <c r="R260" s="40" t="str">
        <f>IF(A260="","",SETTINGS!$B$8)</f>
        <v/>
      </c>
      <c r="S260" s="38"/>
    </row>
    <row r="261" spans="1:19" ht="14.45" customHeight="1">
      <c r="A261" s="38"/>
      <c r="B261" s="38"/>
      <c r="C261" s="38"/>
      <c r="D261" s="38"/>
      <c r="E261" s="38"/>
      <c r="F261" s="38"/>
      <c r="G261" s="39"/>
      <c r="H261" s="39"/>
      <c r="I261" s="39"/>
      <c r="J261" s="39"/>
      <c r="K261" s="39"/>
      <c r="L261" s="39"/>
      <c r="M261" s="40">
        <f t="shared" si="4"/>
        <v>0</v>
      </c>
      <c r="N261" s="40" t="e">
        <f>IF(M261="","",M261*SETTINGS!$B$9)</f>
        <v>#VALUE!</v>
      </c>
      <c r="O261" s="40" t="e">
        <f>IF(M261="","",M261*SETTINGS!$B$10)</f>
        <v>#VALUE!</v>
      </c>
      <c r="P261" s="40" t="str">
        <f>IF(A261="","",SETTINGS!$B$6)</f>
        <v/>
      </c>
      <c r="Q261" s="40" t="str">
        <f>IF(A261="","",SETTINGS!$B$7)</f>
        <v/>
      </c>
      <c r="R261" s="40" t="str">
        <f>IF(A261="","",SETTINGS!$B$8)</f>
        <v/>
      </c>
      <c r="S261" s="38"/>
    </row>
    <row r="262" spans="1:19" ht="14.45" customHeight="1">
      <c r="A262" s="38"/>
      <c r="B262" s="38"/>
      <c r="C262" s="38"/>
      <c r="D262" s="38"/>
      <c r="E262" s="38"/>
      <c r="F262" s="38"/>
      <c r="G262" s="39"/>
      <c r="H262" s="39"/>
      <c r="I262" s="39"/>
      <c r="J262" s="39"/>
      <c r="K262" s="39"/>
      <c r="L262" s="39"/>
      <c r="M262" s="40">
        <f t="shared" si="4"/>
        <v>0</v>
      </c>
      <c r="N262" s="40" t="e">
        <f>IF(M262="","",M262*SETTINGS!$B$9)</f>
        <v>#VALUE!</v>
      </c>
      <c r="O262" s="40" t="e">
        <f>IF(M262="","",M262*SETTINGS!$B$10)</f>
        <v>#VALUE!</v>
      </c>
      <c r="P262" s="40" t="str">
        <f>IF(A262="","",SETTINGS!$B$6)</f>
        <v/>
      </c>
      <c r="Q262" s="40" t="str">
        <f>IF(A262="","",SETTINGS!$B$7)</f>
        <v/>
      </c>
      <c r="R262" s="40" t="str">
        <f>IF(A262="","",SETTINGS!$B$8)</f>
        <v/>
      </c>
      <c r="S262" s="38"/>
    </row>
    <row r="263" spans="1:19" ht="14.45" customHeight="1">
      <c r="A263" s="38"/>
      <c r="B263" s="38"/>
      <c r="C263" s="38"/>
      <c r="D263" s="38"/>
      <c r="E263" s="38"/>
      <c r="F263" s="38"/>
      <c r="G263" s="39"/>
      <c r="H263" s="39"/>
      <c r="I263" s="39"/>
      <c r="J263" s="39"/>
      <c r="K263" s="39"/>
      <c r="L263" s="39"/>
      <c r="M263" s="40">
        <f t="shared" si="4"/>
        <v>0</v>
      </c>
      <c r="N263" s="40" t="e">
        <f>IF(M263="","",M263*SETTINGS!$B$9)</f>
        <v>#VALUE!</v>
      </c>
      <c r="O263" s="40" t="e">
        <f>IF(M263="","",M263*SETTINGS!$B$10)</f>
        <v>#VALUE!</v>
      </c>
      <c r="P263" s="40" t="str">
        <f>IF(A263="","",SETTINGS!$B$6)</f>
        <v/>
      </c>
      <c r="Q263" s="40" t="str">
        <f>IF(A263="","",SETTINGS!$B$7)</f>
        <v/>
      </c>
      <c r="R263" s="40" t="str">
        <f>IF(A263="","",SETTINGS!$B$8)</f>
        <v/>
      </c>
      <c r="S263" s="38"/>
    </row>
    <row r="264" spans="1:19" ht="14.45" customHeight="1">
      <c r="A264" s="38"/>
      <c r="B264" s="38"/>
      <c r="C264" s="38"/>
      <c r="D264" s="38"/>
      <c r="E264" s="38"/>
      <c r="F264" s="38"/>
      <c r="G264" s="39"/>
      <c r="H264" s="39"/>
      <c r="I264" s="39"/>
      <c r="J264" s="39"/>
      <c r="K264" s="39"/>
      <c r="L264" s="39"/>
      <c r="M264" s="40">
        <f t="shared" si="4"/>
        <v>0</v>
      </c>
      <c r="N264" s="40" t="e">
        <f>IF(M264="","",M264*SETTINGS!$B$9)</f>
        <v>#VALUE!</v>
      </c>
      <c r="O264" s="40" t="e">
        <f>IF(M264="","",M264*SETTINGS!$B$10)</f>
        <v>#VALUE!</v>
      </c>
      <c r="P264" s="40" t="str">
        <f>IF(A264="","",SETTINGS!$B$6)</f>
        <v/>
      </c>
      <c r="Q264" s="40" t="str">
        <f>IF(A264="","",SETTINGS!$B$7)</f>
        <v/>
      </c>
      <c r="R264" s="40" t="str">
        <f>IF(A264="","",SETTINGS!$B$8)</f>
        <v/>
      </c>
      <c r="S264" s="38"/>
    </row>
    <row r="265" spans="1:19" ht="14.45" customHeight="1">
      <c r="A265" s="38"/>
      <c r="B265" s="38"/>
      <c r="C265" s="38"/>
      <c r="D265" s="38"/>
      <c r="E265" s="38"/>
      <c r="F265" s="38"/>
      <c r="G265" s="39"/>
      <c r="H265" s="39"/>
      <c r="I265" s="39"/>
      <c r="J265" s="39"/>
      <c r="K265" s="39"/>
      <c r="L265" s="39"/>
      <c r="M265" s="40">
        <f t="shared" si="4"/>
        <v>0</v>
      </c>
      <c r="N265" s="40" t="e">
        <f>IF(M265="","",M265*SETTINGS!$B$9)</f>
        <v>#VALUE!</v>
      </c>
      <c r="O265" s="40" t="e">
        <f>IF(M265="","",M265*SETTINGS!$B$10)</f>
        <v>#VALUE!</v>
      </c>
      <c r="P265" s="40" t="str">
        <f>IF(A265="","",SETTINGS!$B$6)</f>
        <v/>
      </c>
      <c r="Q265" s="40" t="str">
        <f>IF(A265="","",SETTINGS!$B$7)</f>
        <v/>
      </c>
      <c r="R265" s="40" t="str">
        <f>IF(A265="","",SETTINGS!$B$8)</f>
        <v/>
      </c>
      <c r="S265" s="38"/>
    </row>
    <row r="266" spans="1:19" ht="14.45" customHeight="1">
      <c r="A266" s="38"/>
      <c r="B266" s="38"/>
      <c r="C266" s="38"/>
      <c r="D266" s="38"/>
      <c r="E266" s="38"/>
      <c r="F266" s="38"/>
      <c r="G266" s="39"/>
      <c r="H266" s="39"/>
      <c r="I266" s="39"/>
      <c r="J266" s="39"/>
      <c r="K266" s="39"/>
      <c r="L266" s="39"/>
      <c r="M266" s="40">
        <f t="shared" si="4"/>
        <v>0</v>
      </c>
      <c r="N266" s="40" t="e">
        <f>IF(M266="","",M266*SETTINGS!$B$9)</f>
        <v>#VALUE!</v>
      </c>
      <c r="O266" s="40" t="e">
        <f>IF(M266="","",M266*SETTINGS!$B$10)</f>
        <v>#VALUE!</v>
      </c>
      <c r="P266" s="40" t="str">
        <f>IF(A266="","",SETTINGS!$B$6)</f>
        <v/>
      </c>
      <c r="Q266" s="40" t="str">
        <f>IF(A266="","",SETTINGS!$B$7)</f>
        <v/>
      </c>
      <c r="R266" s="40" t="str">
        <f>IF(A266="","",SETTINGS!$B$8)</f>
        <v/>
      </c>
      <c r="S266" s="38"/>
    </row>
    <row r="267" spans="1:19" ht="14.45" customHeight="1">
      <c r="A267" s="38"/>
      <c r="B267" s="38"/>
      <c r="C267" s="38"/>
      <c r="D267" s="38"/>
      <c r="E267" s="38"/>
      <c r="F267" s="38"/>
      <c r="G267" s="39"/>
      <c r="H267" s="39"/>
      <c r="I267" s="39"/>
      <c r="J267" s="39"/>
      <c r="K267" s="39"/>
      <c r="L267" s="39"/>
      <c r="M267" s="40">
        <f t="shared" si="4"/>
        <v>0</v>
      </c>
      <c r="N267" s="40" t="e">
        <f>IF(M267="","",M267*SETTINGS!$B$9)</f>
        <v>#VALUE!</v>
      </c>
      <c r="O267" s="40" t="e">
        <f>IF(M267="","",M267*SETTINGS!$B$10)</f>
        <v>#VALUE!</v>
      </c>
      <c r="P267" s="40" t="str">
        <f>IF(A267="","",SETTINGS!$B$6)</f>
        <v/>
      </c>
      <c r="Q267" s="40" t="str">
        <f>IF(A267="","",SETTINGS!$B$7)</f>
        <v/>
      </c>
      <c r="R267" s="40" t="str">
        <f>IF(A267="","",SETTINGS!$B$8)</f>
        <v/>
      </c>
      <c r="S267" s="38"/>
    </row>
    <row r="268" spans="1:19" ht="14.45" customHeight="1">
      <c r="A268" s="38"/>
      <c r="B268" s="38"/>
      <c r="C268" s="38"/>
      <c r="D268" s="38"/>
      <c r="E268" s="38"/>
      <c r="F268" s="38"/>
      <c r="G268" s="39"/>
      <c r="H268" s="39"/>
      <c r="I268" s="39"/>
      <c r="J268" s="39"/>
      <c r="K268" s="39"/>
      <c r="L268" s="39"/>
      <c r="M268" s="40">
        <f t="shared" si="4"/>
        <v>0</v>
      </c>
      <c r="N268" s="40" t="e">
        <f>IF(M268="","",M268*SETTINGS!$B$9)</f>
        <v>#VALUE!</v>
      </c>
      <c r="O268" s="40" t="e">
        <f>IF(M268="","",M268*SETTINGS!$B$10)</f>
        <v>#VALUE!</v>
      </c>
      <c r="P268" s="40" t="str">
        <f>IF(A268="","",SETTINGS!$B$6)</f>
        <v/>
      </c>
      <c r="Q268" s="40" t="str">
        <f>IF(A268="","",SETTINGS!$B$7)</f>
        <v/>
      </c>
      <c r="R268" s="40" t="str">
        <f>IF(A268="","",SETTINGS!$B$8)</f>
        <v/>
      </c>
      <c r="S268" s="38"/>
    </row>
    <row r="269" spans="1:19" ht="14.45" customHeight="1">
      <c r="A269" s="38"/>
      <c r="B269" s="38"/>
      <c r="C269" s="38"/>
      <c r="D269" s="38"/>
      <c r="E269" s="38"/>
      <c r="F269" s="38"/>
      <c r="G269" s="39"/>
      <c r="H269" s="39"/>
      <c r="I269" s="39"/>
      <c r="J269" s="39"/>
      <c r="K269" s="39"/>
      <c r="L269" s="39"/>
      <c r="M269" s="40">
        <f t="shared" si="4"/>
        <v>0</v>
      </c>
      <c r="N269" s="40" t="e">
        <f>IF(M269="","",M269*SETTINGS!$B$9)</f>
        <v>#VALUE!</v>
      </c>
      <c r="O269" s="40" t="e">
        <f>IF(M269="","",M269*SETTINGS!$B$10)</f>
        <v>#VALUE!</v>
      </c>
      <c r="P269" s="40" t="str">
        <f>IF(A269="","",SETTINGS!$B$6)</f>
        <v/>
      </c>
      <c r="Q269" s="40" t="str">
        <f>IF(A269="","",SETTINGS!$B$7)</f>
        <v/>
      </c>
      <c r="R269" s="40" t="str">
        <f>IF(A269="","",SETTINGS!$B$8)</f>
        <v/>
      </c>
      <c r="S269" s="38"/>
    </row>
    <row r="270" spans="1:19" ht="14.45" customHeight="1">
      <c r="A270" s="38"/>
      <c r="B270" s="38"/>
      <c r="C270" s="38"/>
      <c r="D270" s="38"/>
      <c r="E270" s="38"/>
      <c r="F270" s="38"/>
      <c r="G270" s="39"/>
      <c r="H270" s="39"/>
      <c r="I270" s="39"/>
      <c r="J270" s="39"/>
      <c r="K270" s="39"/>
      <c r="L270" s="39"/>
      <c r="M270" s="40">
        <f t="shared" si="4"/>
        <v>0</v>
      </c>
      <c r="N270" s="40" t="e">
        <f>IF(M270="","",M270*SETTINGS!$B$9)</f>
        <v>#VALUE!</v>
      </c>
      <c r="O270" s="40" t="e">
        <f>IF(M270="","",M270*SETTINGS!$B$10)</f>
        <v>#VALUE!</v>
      </c>
      <c r="P270" s="40" t="str">
        <f>IF(A270="","",SETTINGS!$B$6)</f>
        <v/>
      </c>
      <c r="Q270" s="40" t="str">
        <f>IF(A270="","",SETTINGS!$B$7)</f>
        <v/>
      </c>
      <c r="R270" s="40" t="str">
        <f>IF(A270="","",SETTINGS!$B$8)</f>
        <v/>
      </c>
      <c r="S270" s="38"/>
    </row>
    <row r="271" spans="1:19" ht="14.45" customHeight="1">
      <c r="A271" s="38"/>
      <c r="B271" s="38"/>
      <c r="C271" s="38"/>
      <c r="D271" s="38"/>
      <c r="E271" s="38"/>
      <c r="F271" s="38"/>
      <c r="G271" s="39"/>
      <c r="H271" s="39"/>
      <c r="I271" s="39"/>
      <c r="J271" s="39"/>
      <c r="K271" s="39"/>
      <c r="L271" s="39"/>
      <c r="M271" s="40">
        <f t="shared" si="4"/>
        <v>0</v>
      </c>
      <c r="N271" s="40" t="e">
        <f>IF(M271="","",M271*SETTINGS!$B$9)</f>
        <v>#VALUE!</v>
      </c>
      <c r="O271" s="40" t="e">
        <f>IF(M271="","",M271*SETTINGS!$B$10)</f>
        <v>#VALUE!</v>
      </c>
      <c r="P271" s="40" t="str">
        <f>IF(A271="","",SETTINGS!$B$6)</f>
        <v/>
      </c>
      <c r="Q271" s="40" t="str">
        <f>IF(A271="","",SETTINGS!$B$7)</f>
        <v/>
      </c>
      <c r="R271" s="40" t="str">
        <f>IF(A271="","",SETTINGS!$B$8)</f>
        <v/>
      </c>
      <c r="S271" s="38"/>
    </row>
    <row r="272" spans="1:19" ht="14.45" customHeight="1">
      <c r="A272" s="38"/>
      <c r="B272" s="38"/>
      <c r="C272" s="38"/>
      <c r="D272" s="38"/>
      <c r="E272" s="38"/>
      <c r="F272" s="38"/>
      <c r="G272" s="39"/>
      <c r="H272" s="39"/>
      <c r="I272" s="39"/>
      <c r="J272" s="39"/>
      <c r="K272" s="39"/>
      <c r="L272" s="39"/>
      <c r="M272" s="40">
        <f t="shared" si="4"/>
        <v>0</v>
      </c>
      <c r="N272" s="40" t="e">
        <f>IF(M272="","",M272*SETTINGS!$B$9)</f>
        <v>#VALUE!</v>
      </c>
      <c r="O272" s="40" t="e">
        <f>IF(M272="","",M272*SETTINGS!$B$10)</f>
        <v>#VALUE!</v>
      </c>
      <c r="P272" s="40" t="str">
        <f>IF(A272="","",SETTINGS!$B$6)</f>
        <v/>
      </c>
      <c r="Q272" s="40" t="str">
        <f>IF(A272="","",SETTINGS!$B$7)</f>
        <v/>
      </c>
      <c r="R272" s="40" t="str">
        <f>IF(A272="","",SETTINGS!$B$8)</f>
        <v/>
      </c>
      <c r="S272" s="38"/>
    </row>
    <row r="273" spans="1:19" ht="14.45" customHeight="1">
      <c r="A273" s="38"/>
      <c r="B273" s="38"/>
      <c r="C273" s="38"/>
      <c r="D273" s="38"/>
      <c r="E273" s="38"/>
      <c r="F273" s="38"/>
      <c r="G273" s="39"/>
      <c r="H273" s="39"/>
      <c r="I273" s="39"/>
      <c r="J273" s="39"/>
      <c r="K273" s="39"/>
      <c r="L273" s="39"/>
      <c r="M273" s="40">
        <f t="shared" si="4"/>
        <v>0</v>
      </c>
      <c r="N273" s="40" t="e">
        <f>IF(M273="","",M273*SETTINGS!$B$9)</f>
        <v>#VALUE!</v>
      </c>
      <c r="O273" s="40" t="e">
        <f>IF(M273="","",M273*SETTINGS!$B$10)</f>
        <v>#VALUE!</v>
      </c>
      <c r="P273" s="40" t="str">
        <f>IF(A273="","",SETTINGS!$B$6)</f>
        <v/>
      </c>
      <c r="Q273" s="40" t="str">
        <f>IF(A273="","",SETTINGS!$B$7)</f>
        <v/>
      </c>
      <c r="R273" s="40" t="str">
        <f>IF(A273="","",SETTINGS!$B$8)</f>
        <v/>
      </c>
      <c r="S273" s="38"/>
    </row>
    <row r="274" spans="1:19" ht="14.45" customHeight="1">
      <c r="A274" s="38"/>
      <c r="B274" s="38"/>
      <c r="C274" s="38"/>
      <c r="D274" s="38"/>
      <c r="E274" s="38"/>
      <c r="F274" s="38"/>
      <c r="G274" s="39"/>
      <c r="H274" s="39"/>
      <c r="I274" s="39"/>
      <c r="J274" s="39"/>
      <c r="K274" s="39"/>
      <c r="L274" s="39"/>
      <c r="M274" s="40">
        <f t="shared" si="4"/>
        <v>0</v>
      </c>
      <c r="N274" s="40" t="e">
        <f>IF(M274="","",M274*SETTINGS!$B$9)</f>
        <v>#VALUE!</v>
      </c>
      <c r="O274" s="40" t="e">
        <f>IF(M274="","",M274*SETTINGS!$B$10)</f>
        <v>#VALUE!</v>
      </c>
      <c r="P274" s="40" t="str">
        <f>IF(A274="","",SETTINGS!$B$6)</f>
        <v/>
      </c>
      <c r="Q274" s="40" t="str">
        <f>IF(A274="","",SETTINGS!$B$7)</f>
        <v/>
      </c>
      <c r="R274" s="40" t="str">
        <f>IF(A274="","",SETTINGS!$B$8)</f>
        <v/>
      </c>
      <c r="S274" s="38"/>
    </row>
    <row r="275" spans="1:19" ht="14.45" customHeight="1">
      <c r="A275" s="38"/>
      <c r="B275" s="38"/>
      <c r="C275" s="38"/>
      <c r="D275" s="38"/>
      <c r="E275" s="38"/>
      <c r="F275" s="38"/>
      <c r="G275" s="39"/>
      <c r="H275" s="39"/>
      <c r="I275" s="39"/>
      <c r="J275" s="39"/>
      <c r="K275" s="39"/>
      <c r="L275" s="39"/>
      <c r="M275" s="40">
        <f t="shared" si="4"/>
        <v>0</v>
      </c>
      <c r="N275" s="40" t="e">
        <f>IF(M275="","",M275*SETTINGS!$B$9)</f>
        <v>#VALUE!</v>
      </c>
      <c r="O275" s="40" t="e">
        <f>IF(M275="","",M275*SETTINGS!$B$10)</f>
        <v>#VALUE!</v>
      </c>
      <c r="P275" s="40" t="str">
        <f>IF(A275="","",SETTINGS!$B$6)</f>
        <v/>
      </c>
      <c r="Q275" s="40" t="str">
        <f>IF(A275="","",SETTINGS!$B$7)</f>
        <v/>
      </c>
      <c r="R275" s="40" t="str">
        <f>IF(A275="","",SETTINGS!$B$8)</f>
        <v/>
      </c>
      <c r="S275" s="38"/>
    </row>
    <row r="276" spans="1:19" ht="14.45" customHeight="1">
      <c r="A276" s="38"/>
      <c r="B276" s="38"/>
      <c r="C276" s="38"/>
      <c r="D276" s="38"/>
      <c r="E276" s="38"/>
      <c r="F276" s="38"/>
      <c r="G276" s="39"/>
      <c r="H276" s="39"/>
      <c r="I276" s="39"/>
      <c r="J276" s="39"/>
      <c r="K276" s="39"/>
      <c r="L276" s="39"/>
      <c r="M276" s="40">
        <f t="shared" si="4"/>
        <v>0</v>
      </c>
      <c r="N276" s="40" t="e">
        <f>IF(M276="","",M276*SETTINGS!$B$9)</f>
        <v>#VALUE!</v>
      </c>
      <c r="O276" s="40" t="e">
        <f>IF(M276="","",M276*SETTINGS!$B$10)</f>
        <v>#VALUE!</v>
      </c>
      <c r="P276" s="40" t="str">
        <f>IF(A276="","",SETTINGS!$B$6)</f>
        <v/>
      </c>
      <c r="Q276" s="40" t="str">
        <f>IF(A276="","",SETTINGS!$B$7)</f>
        <v/>
      </c>
      <c r="R276" s="40" t="str">
        <f>IF(A276="","",SETTINGS!$B$8)</f>
        <v/>
      </c>
      <c r="S276" s="38"/>
    </row>
    <row r="277" spans="1:19" ht="14.45" customHeight="1">
      <c r="A277" s="38"/>
      <c r="B277" s="38"/>
      <c r="C277" s="38"/>
      <c r="D277" s="38"/>
      <c r="E277" s="38"/>
      <c r="F277" s="38"/>
      <c r="G277" s="39"/>
      <c r="H277" s="39"/>
      <c r="I277" s="39"/>
      <c r="J277" s="39"/>
      <c r="K277" s="39"/>
      <c r="L277" s="39"/>
      <c r="M277" s="40">
        <f t="shared" si="4"/>
        <v>0</v>
      </c>
      <c r="N277" s="40" t="e">
        <f>IF(M277="","",M277*SETTINGS!$B$9)</f>
        <v>#VALUE!</v>
      </c>
      <c r="O277" s="40" t="e">
        <f>IF(M277="","",M277*SETTINGS!$B$10)</f>
        <v>#VALUE!</v>
      </c>
      <c r="P277" s="40" t="str">
        <f>IF(A277="","",SETTINGS!$B$6)</f>
        <v/>
      </c>
      <c r="Q277" s="40" t="str">
        <f>IF(A277="","",SETTINGS!$B$7)</f>
        <v/>
      </c>
      <c r="R277" s="40" t="str">
        <f>IF(A277="","",SETTINGS!$B$8)</f>
        <v/>
      </c>
      <c r="S277" s="38"/>
    </row>
    <row r="278" spans="1:19" ht="14.45" customHeight="1">
      <c r="A278" s="38"/>
      <c r="B278" s="38"/>
      <c r="C278" s="38"/>
      <c r="D278" s="38"/>
      <c r="E278" s="38"/>
      <c r="F278" s="38"/>
      <c r="G278" s="39"/>
      <c r="H278" s="39"/>
      <c r="I278" s="39"/>
      <c r="J278" s="39"/>
      <c r="K278" s="39"/>
      <c r="L278" s="39"/>
      <c r="M278" s="40">
        <f t="shared" si="4"/>
        <v>0</v>
      </c>
      <c r="N278" s="40" t="e">
        <f>IF(M278="","",M278*SETTINGS!$B$9)</f>
        <v>#VALUE!</v>
      </c>
      <c r="O278" s="40" t="e">
        <f>IF(M278="","",M278*SETTINGS!$B$10)</f>
        <v>#VALUE!</v>
      </c>
      <c r="P278" s="40" t="str">
        <f>IF(A278="","",SETTINGS!$B$6)</f>
        <v/>
      </c>
      <c r="Q278" s="40" t="str">
        <f>IF(A278="","",SETTINGS!$B$7)</f>
        <v/>
      </c>
      <c r="R278" s="40" t="str">
        <f>IF(A278="","",SETTINGS!$B$8)</f>
        <v/>
      </c>
      <c r="S278" s="38"/>
    </row>
    <row r="279" spans="1:19" ht="14.45" customHeight="1">
      <c r="A279" s="38"/>
      <c r="B279" s="38"/>
      <c r="C279" s="38"/>
      <c r="D279" s="38"/>
      <c r="E279" s="38"/>
      <c r="F279" s="38"/>
      <c r="G279" s="39"/>
      <c r="H279" s="39"/>
      <c r="I279" s="39"/>
      <c r="J279" s="39"/>
      <c r="K279" s="39"/>
      <c r="L279" s="39"/>
      <c r="M279" s="40">
        <f t="shared" si="4"/>
        <v>0</v>
      </c>
      <c r="N279" s="40" t="e">
        <f>IF(M279="","",M279*SETTINGS!$B$9)</f>
        <v>#VALUE!</v>
      </c>
      <c r="O279" s="40" t="e">
        <f>IF(M279="","",M279*SETTINGS!$B$10)</f>
        <v>#VALUE!</v>
      </c>
      <c r="P279" s="40" t="str">
        <f>IF(A279="","",SETTINGS!$B$6)</f>
        <v/>
      </c>
      <c r="Q279" s="40" t="str">
        <f>IF(A279="","",SETTINGS!$B$7)</f>
        <v/>
      </c>
      <c r="R279" s="40" t="str">
        <f>IF(A279="","",SETTINGS!$B$8)</f>
        <v/>
      </c>
      <c r="S279" s="38"/>
    </row>
    <row r="280" spans="1:19" ht="14.45" customHeight="1">
      <c r="A280" s="38"/>
      <c r="B280" s="38"/>
      <c r="C280" s="38"/>
      <c r="D280" s="38"/>
      <c r="E280" s="38"/>
      <c r="F280" s="38"/>
      <c r="G280" s="39"/>
      <c r="H280" s="39"/>
      <c r="I280" s="39"/>
      <c r="J280" s="39"/>
      <c r="K280" s="39"/>
      <c r="L280" s="39"/>
      <c r="M280" s="40">
        <f t="shared" si="4"/>
        <v>0</v>
      </c>
      <c r="N280" s="40" t="e">
        <f>IF(M280="","",M280*SETTINGS!$B$9)</f>
        <v>#VALUE!</v>
      </c>
      <c r="O280" s="40" t="e">
        <f>IF(M280="","",M280*SETTINGS!$B$10)</f>
        <v>#VALUE!</v>
      </c>
      <c r="P280" s="40" t="str">
        <f>IF(A280="","",SETTINGS!$B$6)</f>
        <v/>
      </c>
      <c r="Q280" s="40" t="str">
        <f>IF(A280="","",SETTINGS!$B$7)</f>
        <v/>
      </c>
      <c r="R280" s="40" t="str">
        <f>IF(A280="","",SETTINGS!$B$8)</f>
        <v/>
      </c>
      <c r="S280" s="38"/>
    </row>
    <row r="281" spans="1:19" ht="14.45" customHeight="1">
      <c r="A281" s="38"/>
      <c r="B281" s="38"/>
      <c r="C281" s="38"/>
      <c r="D281" s="38"/>
      <c r="E281" s="38"/>
      <c r="F281" s="38"/>
      <c r="G281" s="39"/>
      <c r="H281" s="39"/>
      <c r="I281" s="39"/>
      <c r="J281" s="39"/>
      <c r="K281" s="39"/>
      <c r="L281" s="39"/>
      <c r="M281" s="40">
        <f t="shared" si="4"/>
        <v>0</v>
      </c>
      <c r="N281" s="40" t="e">
        <f>IF(M281="","",M281*SETTINGS!$B$9)</f>
        <v>#VALUE!</v>
      </c>
      <c r="O281" s="40" t="e">
        <f>IF(M281="","",M281*SETTINGS!$B$10)</f>
        <v>#VALUE!</v>
      </c>
      <c r="P281" s="40" t="str">
        <f>IF(A281="","",SETTINGS!$B$6)</f>
        <v/>
      </c>
      <c r="Q281" s="40" t="str">
        <f>IF(A281="","",SETTINGS!$B$7)</f>
        <v/>
      </c>
      <c r="R281" s="40" t="str">
        <f>IF(A281="","",SETTINGS!$B$8)</f>
        <v/>
      </c>
      <c r="S281" s="38"/>
    </row>
    <row r="282" spans="1:19" ht="14.45" customHeight="1">
      <c r="A282" s="38"/>
      <c r="B282" s="38"/>
      <c r="C282" s="38"/>
      <c r="D282" s="38"/>
      <c r="E282" s="38"/>
      <c r="F282" s="38"/>
      <c r="G282" s="39"/>
      <c r="H282" s="39"/>
      <c r="I282" s="39"/>
      <c r="J282" s="39"/>
      <c r="K282" s="39"/>
      <c r="L282" s="39"/>
      <c r="M282" s="40">
        <f t="shared" si="4"/>
        <v>0</v>
      </c>
      <c r="N282" s="40" t="e">
        <f>IF(M282="","",M282*SETTINGS!$B$9)</f>
        <v>#VALUE!</v>
      </c>
      <c r="O282" s="40" t="e">
        <f>IF(M282="","",M282*SETTINGS!$B$10)</f>
        <v>#VALUE!</v>
      </c>
      <c r="P282" s="40" t="str">
        <f>IF(A282="","",SETTINGS!$B$6)</f>
        <v/>
      </c>
      <c r="Q282" s="40" t="str">
        <f>IF(A282="","",SETTINGS!$B$7)</f>
        <v/>
      </c>
      <c r="R282" s="40" t="str">
        <f>IF(A282="","",SETTINGS!$B$8)</f>
        <v/>
      </c>
      <c r="S282" s="38"/>
    </row>
    <row r="283" spans="1:19" ht="14.45" customHeight="1">
      <c r="A283" s="38"/>
      <c r="B283" s="38"/>
      <c r="C283" s="38"/>
      <c r="D283" s="38"/>
      <c r="E283" s="38"/>
      <c r="F283" s="38"/>
      <c r="G283" s="39"/>
      <c r="H283" s="39"/>
      <c r="I283" s="39"/>
      <c r="J283" s="39"/>
      <c r="K283" s="39"/>
      <c r="L283" s="39"/>
      <c r="M283" s="40">
        <f t="shared" si="4"/>
        <v>0</v>
      </c>
      <c r="N283" s="40" t="e">
        <f>IF(M283="","",M283*SETTINGS!$B$9)</f>
        <v>#VALUE!</v>
      </c>
      <c r="O283" s="40" t="e">
        <f>IF(M283="","",M283*SETTINGS!$B$10)</f>
        <v>#VALUE!</v>
      </c>
      <c r="P283" s="40" t="str">
        <f>IF(A283="","",SETTINGS!$B$6)</f>
        <v/>
      </c>
      <c r="Q283" s="40" t="str">
        <f>IF(A283="","",SETTINGS!$B$7)</f>
        <v/>
      </c>
      <c r="R283" s="40" t="str">
        <f>IF(A283="","",SETTINGS!$B$8)</f>
        <v/>
      </c>
      <c r="S283" s="38"/>
    </row>
    <row r="284" spans="1:19" ht="14.45" customHeight="1">
      <c r="A284" s="38"/>
      <c r="B284" s="38"/>
      <c r="C284" s="38"/>
      <c r="D284" s="38"/>
      <c r="E284" s="38"/>
      <c r="F284" s="38"/>
      <c r="G284" s="39"/>
      <c r="H284" s="39"/>
      <c r="I284" s="39"/>
      <c r="J284" s="39"/>
      <c r="K284" s="39"/>
      <c r="L284" s="39"/>
      <c r="M284" s="40">
        <f t="shared" si="4"/>
        <v>0</v>
      </c>
      <c r="N284" s="40" t="e">
        <f>IF(M284="","",M284*SETTINGS!$B$9)</f>
        <v>#VALUE!</v>
      </c>
      <c r="O284" s="40" t="e">
        <f>IF(M284="","",M284*SETTINGS!$B$10)</f>
        <v>#VALUE!</v>
      </c>
      <c r="P284" s="40" t="str">
        <f>IF(A284="","",SETTINGS!$B$6)</f>
        <v/>
      </c>
      <c r="Q284" s="40" t="str">
        <f>IF(A284="","",SETTINGS!$B$7)</f>
        <v/>
      </c>
      <c r="R284" s="40" t="str">
        <f>IF(A284="","",SETTINGS!$B$8)</f>
        <v/>
      </c>
      <c r="S284" s="38"/>
    </row>
    <row r="285" spans="1:19" ht="14.45" customHeight="1">
      <c r="A285" s="38"/>
      <c r="B285" s="38"/>
      <c r="C285" s="38"/>
      <c r="D285" s="38"/>
      <c r="E285" s="38"/>
      <c r="F285" s="38"/>
      <c r="G285" s="39"/>
      <c r="H285" s="39"/>
      <c r="I285" s="39"/>
      <c r="J285" s="39"/>
      <c r="K285" s="39"/>
      <c r="L285" s="39"/>
      <c r="M285" s="40">
        <f t="shared" si="4"/>
        <v>0</v>
      </c>
      <c r="N285" s="40" t="e">
        <f>IF(M285="","",M285*SETTINGS!$B$9)</f>
        <v>#VALUE!</v>
      </c>
      <c r="O285" s="40" t="e">
        <f>IF(M285="","",M285*SETTINGS!$B$10)</f>
        <v>#VALUE!</v>
      </c>
      <c r="P285" s="40" t="str">
        <f>IF(A285="","",SETTINGS!$B$6)</f>
        <v/>
      </c>
      <c r="Q285" s="40" t="str">
        <f>IF(A285="","",SETTINGS!$B$7)</f>
        <v/>
      </c>
      <c r="R285" s="40" t="str">
        <f>IF(A285="","",SETTINGS!$B$8)</f>
        <v/>
      </c>
      <c r="S285" s="38"/>
    </row>
    <row r="286" spans="1:19" ht="14.45" customHeight="1">
      <c r="A286" s="38"/>
      <c r="B286" s="38"/>
      <c r="C286" s="38"/>
      <c r="D286" s="38"/>
      <c r="E286" s="38"/>
      <c r="F286" s="38"/>
      <c r="G286" s="39"/>
      <c r="H286" s="39"/>
      <c r="I286" s="39"/>
      <c r="J286" s="39"/>
      <c r="K286" s="39"/>
      <c r="L286" s="39"/>
      <c r="M286" s="40">
        <f t="shared" si="4"/>
        <v>0</v>
      </c>
      <c r="N286" s="40" t="e">
        <f>IF(M286="","",M286*SETTINGS!$B$9)</f>
        <v>#VALUE!</v>
      </c>
      <c r="O286" s="40" t="e">
        <f>IF(M286="","",M286*SETTINGS!$B$10)</f>
        <v>#VALUE!</v>
      </c>
      <c r="P286" s="40" t="str">
        <f>IF(A286="","",SETTINGS!$B$6)</f>
        <v/>
      </c>
      <c r="Q286" s="40" t="str">
        <f>IF(A286="","",SETTINGS!$B$7)</f>
        <v/>
      </c>
      <c r="R286" s="40" t="str">
        <f>IF(A286="","",SETTINGS!$B$8)</f>
        <v/>
      </c>
      <c r="S286" s="38"/>
    </row>
    <row r="287" spans="1:19" ht="14.45" customHeight="1">
      <c r="A287" s="38"/>
      <c r="B287" s="38"/>
      <c r="C287" s="38"/>
      <c r="D287" s="38"/>
      <c r="E287" s="38"/>
      <c r="F287" s="38"/>
      <c r="G287" s="39"/>
      <c r="H287" s="39"/>
      <c r="I287" s="39"/>
      <c r="J287" s="39"/>
      <c r="K287" s="39"/>
      <c r="L287" s="39"/>
      <c r="M287" s="40">
        <f t="shared" si="4"/>
        <v>0</v>
      </c>
      <c r="N287" s="40" t="e">
        <f>IF(M287="","",M287*SETTINGS!$B$9)</f>
        <v>#VALUE!</v>
      </c>
      <c r="O287" s="40" t="e">
        <f>IF(M287="","",M287*SETTINGS!$B$10)</f>
        <v>#VALUE!</v>
      </c>
      <c r="P287" s="40" t="str">
        <f>IF(A287="","",SETTINGS!$B$6)</f>
        <v/>
      </c>
      <c r="Q287" s="40" t="str">
        <f>IF(A287="","",SETTINGS!$B$7)</f>
        <v/>
      </c>
      <c r="R287" s="40" t="str">
        <f>IF(A287="","",SETTINGS!$B$8)</f>
        <v/>
      </c>
      <c r="S287" s="38"/>
    </row>
    <row r="288" spans="1:19" ht="14.45" customHeight="1">
      <c r="A288" s="38"/>
      <c r="B288" s="38"/>
      <c r="C288" s="38"/>
      <c r="D288" s="38"/>
      <c r="E288" s="38"/>
      <c r="F288" s="38"/>
      <c r="G288" s="39"/>
      <c r="H288" s="39"/>
      <c r="I288" s="39"/>
      <c r="J288" s="39"/>
      <c r="K288" s="39"/>
      <c r="L288" s="39"/>
      <c r="M288" s="40">
        <f t="shared" si="4"/>
        <v>0</v>
      </c>
      <c r="N288" s="40" t="e">
        <f>IF(M288="","",M288*SETTINGS!$B$9)</f>
        <v>#VALUE!</v>
      </c>
      <c r="O288" s="40" t="e">
        <f>IF(M288="","",M288*SETTINGS!$B$10)</f>
        <v>#VALUE!</v>
      </c>
      <c r="P288" s="40" t="str">
        <f>IF(A288="","",SETTINGS!$B$6)</f>
        <v/>
      </c>
      <c r="Q288" s="40" t="str">
        <f>IF(A288="","",SETTINGS!$B$7)</f>
        <v/>
      </c>
      <c r="R288" s="40" t="str">
        <f>IF(A288="","",SETTINGS!$B$8)</f>
        <v/>
      </c>
      <c r="S288" s="38"/>
    </row>
    <row r="289" spans="1:19" ht="14.45" customHeight="1">
      <c r="A289" s="38"/>
      <c r="B289" s="38"/>
      <c r="C289" s="38"/>
      <c r="D289" s="38"/>
      <c r="E289" s="38"/>
      <c r="F289" s="38"/>
      <c r="G289" s="39"/>
      <c r="H289" s="39"/>
      <c r="I289" s="39"/>
      <c r="J289" s="39"/>
      <c r="K289" s="39"/>
      <c r="L289" s="39"/>
      <c r="M289" s="40">
        <f t="shared" si="4"/>
        <v>0</v>
      </c>
      <c r="N289" s="40" t="e">
        <f>IF(M289="","",M289*SETTINGS!$B$9)</f>
        <v>#VALUE!</v>
      </c>
      <c r="O289" s="40" t="e">
        <f>IF(M289="","",M289*SETTINGS!$B$10)</f>
        <v>#VALUE!</v>
      </c>
      <c r="P289" s="40" t="str">
        <f>IF(A289="","",SETTINGS!$B$6)</f>
        <v/>
      </c>
      <c r="Q289" s="40" t="str">
        <f>IF(A289="","",SETTINGS!$B$7)</f>
        <v/>
      </c>
      <c r="R289" s="40" t="str">
        <f>IF(A289="","",SETTINGS!$B$8)</f>
        <v/>
      </c>
      <c r="S289" s="38"/>
    </row>
    <row r="290" spans="1:19" ht="14.45" customHeight="1">
      <c r="A290" s="38"/>
      <c r="B290" s="38"/>
      <c r="C290" s="38"/>
      <c r="D290" s="38"/>
      <c r="E290" s="38"/>
      <c r="F290" s="38"/>
      <c r="G290" s="39"/>
      <c r="H290" s="39"/>
      <c r="I290" s="39"/>
      <c r="J290" s="39"/>
      <c r="K290" s="39"/>
      <c r="L290" s="39"/>
      <c r="M290" s="40">
        <f t="shared" si="4"/>
        <v>0</v>
      </c>
      <c r="N290" s="40" t="e">
        <f>IF(M290="","",M290*SETTINGS!$B$9)</f>
        <v>#VALUE!</v>
      </c>
      <c r="O290" s="40" t="e">
        <f>IF(M290="","",M290*SETTINGS!$B$10)</f>
        <v>#VALUE!</v>
      </c>
      <c r="P290" s="40" t="str">
        <f>IF(A290="","",SETTINGS!$B$6)</f>
        <v/>
      </c>
      <c r="Q290" s="40" t="str">
        <f>IF(A290="","",SETTINGS!$B$7)</f>
        <v/>
      </c>
      <c r="R290" s="40" t="str">
        <f>IF(A290="","",SETTINGS!$B$8)</f>
        <v/>
      </c>
      <c r="S290" s="38"/>
    </row>
    <row r="291" spans="1:19" ht="14.45" customHeight="1">
      <c r="A291" s="38"/>
      <c r="B291" s="38"/>
      <c r="C291" s="38"/>
      <c r="D291" s="38"/>
      <c r="E291" s="38"/>
      <c r="F291" s="38"/>
      <c r="G291" s="39"/>
      <c r="H291" s="39"/>
      <c r="I291" s="39"/>
      <c r="J291" s="39"/>
      <c r="K291" s="39"/>
      <c r="L291" s="39"/>
      <c r="M291" s="40">
        <f t="shared" si="4"/>
        <v>0</v>
      </c>
      <c r="N291" s="40" t="e">
        <f>IF(M291="","",M291*SETTINGS!$B$9)</f>
        <v>#VALUE!</v>
      </c>
      <c r="O291" s="40" t="e">
        <f>IF(M291="","",M291*SETTINGS!$B$10)</f>
        <v>#VALUE!</v>
      </c>
      <c r="P291" s="40" t="str">
        <f>IF(A291="","",SETTINGS!$B$6)</f>
        <v/>
      </c>
      <c r="Q291" s="40" t="str">
        <f>IF(A291="","",SETTINGS!$B$7)</f>
        <v/>
      </c>
      <c r="R291" s="40" t="str">
        <f>IF(A291="","",SETTINGS!$B$8)</f>
        <v/>
      </c>
      <c r="S291" s="38"/>
    </row>
    <row r="292" spans="1:19" ht="14.45" customHeight="1">
      <c r="A292" s="38"/>
      <c r="B292" s="38"/>
      <c r="C292" s="38"/>
      <c r="D292" s="38"/>
      <c r="E292" s="38"/>
      <c r="F292" s="38"/>
      <c r="G292" s="39"/>
      <c r="H292" s="39"/>
      <c r="I292" s="39"/>
      <c r="J292" s="39"/>
      <c r="K292" s="39"/>
      <c r="L292" s="39"/>
      <c r="M292" s="40">
        <f t="shared" si="4"/>
        <v>0</v>
      </c>
      <c r="N292" s="40" t="e">
        <f>IF(M292="","",M292*SETTINGS!$B$9)</f>
        <v>#VALUE!</v>
      </c>
      <c r="O292" s="40" t="e">
        <f>IF(M292="","",M292*SETTINGS!$B$10)</f>
        <v>#VALUE!</v>
      </c>
      <c r="P292" s="40" t="str">
        <f>IF(A292="","",SETTINGS!$B$6)</f>
        <v/>
      </c>
      <c r="Q292" s="40" t="str">
        <f>IF(A292="","",SETTINGS!$B$7)</f>
        <v/>
      </c>
      <c r="R292" s="40" t="str">
        <f>IF(A292="","",SETTINGS!$B$8)</f>
        <v/>
      </c>
      <c r="S292" s="38"/>
    </row>
    <row r="293" spans="1:19" ht="14.45" customHeight="1">
      <c r="A293" s="38"/>
      <c r="B293" s="38"/>
      <c r="C293" s="38"/>
      <c r="D293" s="38"/>
      <c r="E293" s="38"/>
      <c r="F293" s="38"/>
      <c r="G293" s="39"/>
      <c r="H293" s="39"/>
      <c r="I293" s="39"/>
      <c r="J293" s="39"/>
      <c r="K293" s="39"/>
      <c r="L293" s="39"/>
      <c r="M293" s="40">
        <f t="shared" si="4"/>
        <v>0</v>
      </c>
      <c r="N293" s="40" t="e">
        <f>IF(M293="","",M293*SETTINGS!$B$9)</f>
        <v>#VALUE!</v>
      </c>
      <c r="O293" s="40" t="e">
        <f>IF(M293="","",M293*SETTINGS!$B$10)</f>
        <v>#VALUE!</v>
      </c>
      <c r="P293" s="40" t="str">
        <f>IF(A293="","",SETTINGS!$B$6)</f>
        <v/>
      </c>
      <c r="Q293" s="40" t="str">
        <f>IF(A293="","",SETTINGS!$B$7)</f>
        <v/>
      </c>
      <c r="R293" s="40" t="str">
        <f>IF(A293="","",SETTINGS!$B$8)</f>
        <v/>
      </c>
      <c r="S293" s="38"/>
    </row>
    <row r="294" spans="1:19" ht="14.45" customHeight="1">
      <c r="A294" s="38"/>
      <c r="B294" s="38"/>
      <c r="C294" s="38"/>
      <c r="D294" s="38"/>
      <c r="E294" s="38"/>
      <c r="F294" s="38"/>
      <c r="G294" s="39"/>
      <c r="H294" s="39"/>
      <c r="I294" s="39"/>
      <c r="J294" s="39"/>
      <c r="K294" s="39"/>
      <c r="L294" s="39"/>
      <c r="M294" s="40">
        <f t="shared" si="4"/>
        <v>0</v>
      </c>
      <c r="N294" s="40" t="e">
        <f>IF(M294="","",M294*SETTINGS!$B$9)</f>
        <v>#VALUE!</v>
      </c>
      <c r="O294" s="40" t="e">
        <f>IF(M294="","",M294*SETTINGS!$B$10)</f>
        <v>#VALUE!</v>
      </c>
      <c r="P294" s="40" t="str">
        <f>IF(A294="","",SETTINGS!$B$6)</f>
        <v/>
      </c>
      <c r="Q294" s="40" t="str">
        <f>IF(A294="","",SETTINGS!$B$7)</f>
        <v/>
      </c>
      <c r="R294" s="40" t="str">
        <f>IF(A294="","",SETTINGS!$B$8)</f>
        <v/>
      </c>
      <c r="S294" s="38"/>
    </row>
    <row r="295" spans="1:19" ht="14.45" customHeight="1">
      <c r="A295" s="38"/>
      <c r="B295" s="38"/>
      <c r="C295" s="38"/>
      <c r="D295" s="38"/>
      <c r="E295" s="38"/>
      <c r="F295" s="38"/>
      <c r="G295" s="39"/>
      <c r="H295" s="39"/>
      <c r="I295" s="39"/>
      <c r="J295" s="39"/>
      <c r="K295" s="39"/>
      <c r="L295" s="39"/>
      <c r="M295" s="40">
        <f t="shared" si="4"/>
        <v>0</v>
      </c>
      <c r="N295" s="40" t="e">
        <f>IF(M295="","",M295*SETTINGS!$B$9)</f>
        <v>#VALUE!</v>
      </c>
      <c r="O295" s="40" t="e">
        <f>IF(M295="","",M295*SETTINGS!$B$10)</f>
        <v>#VALUE!</v>
      </c>
      <c r="P295" s="40" t="str">
        <f>IF(A295="","",SETTINGS!$B$6)</f>
        <v/>
      </c>
      <c r="Q295" s="40" t="str">
        <f>IF(A295="","",SETTINGS!$B$7)</f>
        <v/>
      </c>
      <c r="R295" s="40" t="str">
        <f>IF(A295="","",SETTINGS!$B$8)</f>
        <v/>
      </c>
      <c r="S295" s="38"/>
    </row>
    <row r="296" spans="1:19" ht="14.45" customHeight="1">
      <c r="A296" s="38"/>
      <c r="B296" s="38"/>
      <c r="C296" s="38"/>
      <c r="D296" s="38"/>
      <c r="E296" s="38"/>
      <c r="F296" s="38"/>
      <c r="G296" s="39"/>
      <c r="H296" s="39"/>
      <c r="I296" s="39"/>
      <c r="J296" s="39"/>
      <c r="K296" s="39"/>
      <c r="L296" s="39"/>
      <c r="M296" s="40">
        <f t="shared" si="4"/>
        <v>0</v>
      </c>
      <c r="N296" s="40" t="e">
        <f>IF(M296="","",M296*SETTINGS!$B$9)</f>
        <v>#VALUE!</v>
      </c>
      <c r="O296" s="40" t="e">
        <f>IF(M296="","",M296*SETTINGS!$B$10)</f>
        <v>#VALUE!</v>
      </c>
      <c r="P296" s="40" t="str">
        <f>IF(A296="","",SETTINGS!$B$6)</f>
        <v/>
      </c>
      <c r="Q296" s="40" t="str">
        <f>IF(A296="","",SETTINGS!$B$7)</f>
        <v/>
      </c>
      <c r="R296" s="40" t="str">
        <f>IF(A296="","",SETTINGS!$B$8)</f>
        <v/>
      </c>
      <c r="S296" s="38"/>
    </row>
    <row r="297" spans="1:19" ht="14.45" customHeight="1">
      <c r="A297" s="38"/>
      <c r="B297" s="38"/>
      <c r="C297" s="38"/>
      <c r="D297" s="38"/>
      <c r="E297" s="38"/>
      <c r="F297" s="38"/>
      <c r="G297" s="39"/>
      <c r="H297" s="39"/>
      <c r="I297" s="39"/>
      <c r="J297" s="39"/>
      <c r="K297" s="39"/>
      <c r="L297" s="39"/>
      <c r="M297" s="40">
        <f t="shared" si="4"/>
        <v>0</v>
      </c>
      <c r="N297" s="40" t="e">
        <f>IF(M297="","",M297*SETTINGS!$B$9)</f>
        <v>#VALUE!</v>
      </c>
      <c r="O297" s="40" t="e">
        <f>IF(M297="","",M297*SETTINGS!$B$10)</f>
        <v>#VALUE!</v>
      </c>
      <c r="P297" s="40" t="str">
        <f>IF(A297="","",SETTINGS!$B$6)</f>
        <v/>
      </c>
      <c r="Q297" s="40" t="str">
        <f>IF(A297="","",SETTINGS!$B$7)</f>
        <v/>
      </c>
      <c r="R297" s="40" t="str">
        <f>IF(A297="","",SETTINGS!$B$8)</f>
        <v/>
      </c>
      <c r="S297" s="38"/>
    </row>
    <row r="298" spans="1:19" ht="14.45" customHeight="1">
      <c r="A298" s="38"/>
      <c r="B298" s="38"/>
      <c r="C298" s="38"/>
      <c r="D298" s="38"/>
      <c r="E298" s="38"/>
      <c r="F298" s="38"/>
      <c r="G298" s="39"/>
      <c r="H298" s="39"/>
      <c r="I298" s="39"/>
      <c r="J298" s="39"/>
      <c r="K298" s="39"/>
      <c r="L298" s="39"/>
      <c r="M298" s="40">
        <f t="shared" si="4"/>
        <v>0</v>
      </c>
      <c r="N298" s="40" t="e">
        <f>IF(M298="","",M298*SETTINGS!$B$9)</f>
        <v>#VALUE!</v>
      </c>
      <c r="O298" s="40" t="e">
        <f>IF(M298="","",M298*SETTINGS!$B$10)</f>
        <v>#VALUE!</v>
      </c>
      <c r="P298" s="40" t="str">
        <f>IF(A298="","",SETTINGS!$B$6)</f>
        <v/>
      </c>
      <c r="Q298" s="40" t="str">
        <f>IF(A298="","",SETTINGS!$B$7)</f>
        <v/>
      </c>
      <c r="R298" s="40" t="str">
        <f>IF(A298="","",SETTINGS!$B$8)</f>
        <v/>
      </c>
      <c r="S298" s="38"/>
    </row>
    <row r="299" spans="1:19" ht="14.45" customHeight="1">
      <c r="A299" s="38"/>
      <c r="B299" s="38"/>
      <c r="C299" s="38"/>
      <c r="D299" s="38"/>
      <c r="E299" s="38"/>
      <c r="F299" s="38"/>
      <c r="G299" s="39"/>
      <c r="H299" s="39"/>
      <c r="I299" s="39"/>
      <c r="J299" s="39"/>
      <c r="K299" s="39"/>
      <c r="L299" s="39"/>
      <c r="M299" s="40">
        <f t="shared" si="4"/>
        <v>0</v>
      </c>
      <c r="N299" s="40" t="e">
        <f>IF(M299="","",M299*SETTINGS!$B$9)</f>
        <v>#VALUE!</v>
      </c>
      <c r="O299" s="40" t="e">
        <f>IF(M299="","",M299*SETTINGS!$B$10)</f>
        <v>#VALUE!</v>
      </c>
      <c r="P299" s="40" t="str">
        <f>IF(A299="","",SETTINGS!$B$6)</f>
        <v/>
      </c>
      <c r="Q299" s="40" t="str">
        <f>IF(A299="","",SETTINGS!$B$7)</f>
        <v/>
      </c>
      <c r="R299" s="40" t="str">
        <f>IF(A299="","",SETTINGS!$B$8)</f>
        <v/>
      </c>
      <c r="S299" s="38"/>
    </row>
    <row r="300" spans="1:19" ht="14.45" customHeight="1">
      <c r="A300" s="38"/>
      <c r="B300" s="38"/>
      <c r="C300" s="38"/>
      <c r="D300" s="38"/>
      <c r="E300" s="38"/>
      <c r="F300" s="38"/>
      <c r="G300" s="39"/>
      <c r="H300" s="39"/>
      <c r="I300" s="39"/>
      <c r="J300" s="39"/>
      <c r="K300" s="39"/>
      <c r="L300" s="39"/>
      <c r="M300" s="40">
        <f t="shared" si="4"/>
        <v>0</v>
      </c>
      <c r="N300" s="40" t="e">
        <f>IF(M300="","",M300*SETTINGS!$B$9)</f>
        <v>#VALUE!</v>
      </c>
      <c r="O300" s="40" t="e">
        <f>IF(M300="","",M300*SETTINGS!$B$10)</f>
        <v>#VALUE!</v>
      </c>
      <c r="P300" s="40" t="str">
        <f>IF(A300="","",SETTINGS!$B$6)</f>
        <v/>
      </c>
      <c r="Q300" s="40" t="str">
        <f>IF(A300="","",SETTINGS!$B$7)</f>
        <v/>
      </c>
      <c r="R300" s="40" t="str">
        <f>IF(A300="","",SETTINGS!$B$8)</f>
        <v/>
      </c>
      <c r="S300" s="38"/>
    </row>
    <row r="301" spans="1:19" ht="14.45" customHeight="1">
      <c r="A301" s="38"/>
      <c r="B301" s="38"/>
      <c r="C301" s="38"/>
      <c r="D301" s="38"/>
      <c r="E301" s="38"/>
      <c r="F301" s="38"/>
      <c r="G301" s="39"/>
      <c r="H301" s="39"/>
      <c r="I301" s="39"/>
      <c r="J301" s="39"/>
      <c r="K301" s="39"/>
      <c r="L301" s="39"/>
      <c r="M301" s="40">
        <f t="shared" si="4"/>
        <v>0</v>
      </c>
      <c r="N301" s="40" t="e">
        <f>IF(M301="","",M301*SETTINGS!$B$9)</f>
        <v>#VALUE!</v>
      </c>
      <c r="O301" s="40" t="e">
        <f>IF(M301="","",M301*SETTINGS!$B$10)</f>
        <v>#VALUE!</v>
      </c>
      <c r="P301" s="40" t="str">
        <f>IF(A301="","",SETTINGS!$B$6)</f>
        <v/>
      </c>
      <c r="Q301" s="40" t="str">
        <f>IF(A301="","",SETTINGS!$B$7)</f>
        <v/>
      </c>
      <c r="R301" s="40" t="str">
        <f>IF(A301="","",SETTINGS!$B$8)</f>
        <v/>
      </c>
      <c r="S301" s="38"/>
    </row>
    <row r="302" spans="1:19" ht="14.45" customHeight="1">
      <c r="A302" s="38"/>
      <c r="B302" s="38"/>
      <c r="C302" s="38"/>
      <c r="D302" s="38"/>
      <c r="E302" s="38"/>
      <c r="F302" s="38"/>
      <c r="G302" s="39"/>
      <c r="H302" s="39"/>
      <c r="I302" s="39"/>
      <c r="J302" s="39"/>
      <c r="K302" s="39"/>
      <c r="L302" s="39"/>
      <c r="M302" s="40">
        <f t="shared" si="4"/>
        <v>0</v>
      </c>
      <c r="N302" s="40" t="e">
        <f>IF(M302="","",M302*SETTINGS!$B$9)</f>
        <v>#VALUE!</v>
      </c>
      <c r="O302" s="40" t="e">
        <f>IF(M302="","",M302*SETTINGS!$B$10)</f>
        <v>#VALUE!</v>
      </c>
      <c r="P302" s="40" t="str">
        <f>IF(A302="","",SETTINGS!$B$6)</f>
        <v/>
      </c>
      <c r="Q302" s="40" t="str">
        <f>IF(A302="","",SETTINGS!$B$7)</f>
        <v/>
      </c>
      <c r="R302" s="40" t="str">
        <f>IF(A302="","",SETTINGS!$B$8)</f>
        <v/>
      </c>
      <c r="S302" s="38"/>
    </row>
    <row r="303" spans="1:19" ht="14.45" customHeight="1">
      <c r="A303" s="38"/>
      <c r="B303" s="38"/>
      <c r="C303" s="38"/>
      <c r="D303" s="38"/>
      <c r="E303" s="38"/>
      <c r="F303" s="38"/>
      <c r="G303" s="39"/>
      <c r="H303" s="39"/>
      <c r="I303" s="39"/>
      <c r="J303" s="39"/>
      <c r="K303" s="39"/>
      <c r="L303" s="39"/>
      <c r="M303" s="40">
        <f t="shared" si="4"/>
        <v>0</v>
      </c>
      <c r="N303" s="40" t="e">
        <f>IF(M303="","",M303*SETTINGS!$B$9)</f>
        <v>#VALUE!</v>
      </c>
      <c r="O303" s="40" t="e">
        <f>IF(M303="","",M303*SETTINGS!$B$10)</f>
        <v>#VALUE!</v>
      </c>
      <c r="P303" s="40" t="str">
        <f>IF(A303="","",SETTINGS!$B$6)</f>
        <v/>
      </c>
      <c r="Q303" s="40" t="str">
        <f>IF(A303="","",SETTINGS!$B$7)</f>
        <v/>
      </c>
      <c r="R303" s="40" t="str">
        <f>IF(A303="","",SETTINGS!$B$8)</f>
        <v/>
      </c>
      <c r="S303" s="38"/>
    </row>
    <row r="304" spans="1:19" ht="14.45" customHeight="1">
      <c r="A304" s="38"/>
      <c r="B304" s="38"/>
      <c r="C304" s="38"/>
      <c r="D304" s="38"/>
      <c r="E304" s="38"/>
      <c r="F304" s="38"/>
      <c r="G304" s="39"/>
      <c r="H304" s="39"/>
      <c r="I304" s="39"/>
      <c r="J304" s="39"/>
      <c r="K304" s="39"/>
      <c r="L304" s="39"/>
      <c r="M304" s="40">
        <f t="shared" si="4"/>
        <v>0</v>
      </c>
      <c r="N304" s="40" t="e">
        <f>IF(M304="","",M304*SETTINGS!$B$9)</f>
        <v>#VALUE!</v>
      </c>
      <c r="O304" s="40" t="e">
        <f>IF(M304="","",M304*SETTINGS!$B$10)</f>
        <v>#VALUE!</v>
      </c>
      <c r="P304" s="40" t="str">
        <f>IF(A304="","",SETTINGS!$B$6)</f>
        <v/>
      </c>
      <c r="Q304" s="40" t="str">
        <f>IF(A304="","",SETTINGS!$B$7)</f>
        <v/>
      </c>
      <c r="R304" s="40" t="str">
        <f>IF(A304="","",SETTINGS!$B$8)</f>
        <v/>
      </c>
      <c r="S304" s="38"/>
    </row>
    <row r="305" spans="1:19" ht="14.45" customHeight="1">
      <c r="A305" s="38"/>
      <c r="B305" s="38"/>
      <c r="C305" s="38"/>
      <c r="D305" s="38"/>
      <c r="E305" s="38"/>
      <c r="F305" s="38"/>
      <c r="G305" s="39"/>
      <c r="H305" s="39"/>
      <c r="I305" s="39"/>
      <c r="J305" s="39"/>
      <c r="K305" s="39"/>
      <c r="L305" s="39"/>
      <c r="M305" s="40">
        <f t="shared" si="4"/>
        <v>0</v>
      </c>
      <c r="N305" s="40" t="e">
        <f>IF(M305="","",M305*SETTINGS!$B$9)</f>
        <v>#VALUE!</v>
      </c>
      <c r="O305" s="40" t="e">
        <f>IF(M305="","",M305*SETTINGS!$B$10)</f>
        <v>#VALUE!</v>
      </c>
      <c r="P305" s="40" t="str">
        <f>IF(A305="","",SETTINGS!$B$6)</f>
        <v/>
      </c>
      <c r="Q305" s="40" t="str">
        <f>IF(A305="","",SETTINGS!$B$7)</f>
        <v/>
      </c>
      <c r="R305" s="40" t="str">
        <f>IF(A305="","",SETTINGS!$B$8)</f>
        <v/>
      </c>
      <c r="S305" s="38"/>
    </row>
    <row r="306" spans="1:19" ht="14.45" customHeight="1">
      <c r="A306" s="38"/>
      <c r="B306" s="38"/>
      <c r="C306" s="38"/>
      <c r="D306" s="38"/>
      <c r="E306" s="38"/>
      <c r="F306" s="38"/>
      <c r="G306" s="39"/>
      <c r="H306" s="39"/>
      <c r="I306" s="39"/>
      <c r="J306" s="39"/>
      <c r="K306" s="39"/>
      <c r="L306" s="39"/>
      <c r="M306" s="40">
        <f t="shared" si="4"/>
        <v>0</v>
      </c>
      <c r="N306" s="40" t="e">
        <f>IF(M306="","",M306*SETTINGS!$B$9)</f>
        <v>#VALUE!</v>
      </c>
      <c r="O306" s="40" t="e">
        <f>IF(M306="","",M306*SETTINGS!$B$10)</f>
        <v>#VALUE!</v>
      </c>
      <c r="P306" s="40" t="str">
        <f>IF(A306="","",SETTINGS!$B$6)</f>
        <v/>
      </c>
      <c r="Q306" s="40" t="str">
        <f>IF(A306="","",SETTINGS!$B$7)</f>
        <v/>
      </c>
      <c r="R306" s="40" t="str">
        <f>IF(A306="","",SETTINGS!$B$8)</f>
        <v/>
      </c>
      <c r="S306" s="38"/>
    </row>
    <row r="307" spans="1:19" ht="14.45" customHeight="1">
      <c r="A307" s="38"/>
      <c r="B307" s="38"/>
      <c r="C307" s="38"/>
      <c r="D307" s="38"/>
      <c r="E307" s="38"/>
      <c r="F307" s="38"/>
      <c r="G307" s="39"/>
      <c r="H307" s="39"/>
      <c r="I307" s="39"/>
      <c r="J307" s="39"/>
      <c r="K307" s="39"/>
      <c r="L307" s="39"/>
      <c r="M307" s="40">
        <f t="shared" si="4"/>
        <v>0</v>
      </c>
      <c r="N307" s="40" t="e">
        <f>IF(M307="","",M307*SETTINGS!$B$9)</f>
        <v>#VALUE!</v>
      </c>
      <c r="O307" s="40" t="e">
        <f>IF(M307="","",M307*SETTINGS!$B$10)</f>
        <v>#VALUE!</v>
      </c>
      <c r="P307" s="40" t="str">
        <f>IF(A307="","",SETTINGS!$B$6)</f>
        <v/>
      </c>
      <c r="Q307" s="40" t="str">
        <f>IF(A307="","",SETTINGS!$B$7)</f>
        <v/>
      </c>
      <c r="R307" s="40" t="str">
        <f>IF(A307="","",SETTINGS!$B$8)</f>
        <v/>
      </c>
      <c r="S307" s="38"/>
    </row>
    <row r="308" spans="1:19" ht="14.45" customHeight="1">
      <c r="A308" s="38"/>
      <c r="B308" s="38"/>
      <c r="C308" s="38"/>
      <c r="D308" s="38"/>
      <c r="E308" s="38"/>
      <c r="F308" s="38"/>
      <c r="G308" s="39"/>
      <c r="H308" s="39"/>
      <c r="I308" s="39"/>
      <c r="J308" s="39"/>
      <c r="K308" s="39"/>
      <c r="L308" s="39"/>
      <c r="M308" s="40">
        <f t="shared" si="4"/>
        <v>0</v>
      </c>
      <c r="N308" s="40" t="e">
        <f>IF(M308="","",M308*SETTINGS!$B$9)</f>
        <v>#VALUE!</v>
      </c>
      <c r="O308" s="40" t="e">
        <f>IF(M308="","",M308*SETTINGS!$B$10)</f>
        <v>#VALUE!</v>
      </c>
      <c r="P308" s="40" t="str">
        <f>IF(A308="","",SETTINGS!$B$6)</f>
        <v/>
      </c>
      <c r="Q308" s="40" t="str">
        <f>IF(A308="","",SETTINGS!$B$7)</f>
        <v/>
      </c>
      <c r="R308" s="40" t="str">
        <f>IF(A308="","",SETTINGS!$B$8)</f>
        <v/>
      </c>
      <c r="S308" s="38"/>
    </row>
    <row r="309" spans="1:19" ht="14.45" customHeight="1">
      <c r="A309" s="38"/>
      <c r="B309" s="38"/>
      <c r="C309" s="38"/>
      <c r="D309" s="38"/>
      <c r="E309" s="38"/>
      <c r="F309" s="38"/>
      <c r="G309" s="39"/>
      <c r="H309" s="39"/>
      <c r="I309" s="39"/>
      <c r="J309" s="39"/>
      <c r="K309" s="39"/>
      <c r="L309" s="39"/>
      <c r="M309" s="40">
        <f t="shared" si="4"/>
        <v>0</v>
      </c>
      <c r="N309" s="40" t="e">
        <f>IF(M309="","",M309*SETTINGS!$B$9)</f>
        <v>#VALUE!</v>
      </c>
      <c r="O309" s="40" t="e">
        <f>IF(M309="","",M309*SETTINGS!$B$10)</f>
        <v>#VALUE!</v>
      </c>
      <c r="P309" s="40" t="str">
        <f>IF(A309="","",SETTINGS!$B$6)</f>
        <v/>
      </c>
      <c r="Q309" s="40" t="str">
        <f>IF(A309="","",SETTINGS!$B$7)</f>
        <v/>
      </c>
      <c r="R309" s="40" t="str">
        <f>IF(A309="","",SETTINGS!$B$8)</f>
        <v/>
      </c>
      <c r="S309" s="38"/>
    </row>
    <row r="310" spans="1:19" ht="14.45" customHeight="1">
      <c r="A310" s="38"/>
      <c r="B310" s="38"/>
      <c r="C310" s="38"/>
      <c r="D310" s="38"/>
      <c r="E310" s="38"/>
      <c r="F310" s="38"/>
      <c r="G310" s="39"/>
      <c r="H310" s="39"/>
      <c r="I310" s="39"/>
      <c r="J310" s="39"/>
      <c r="K310" s="39"/>
      <c r="L310" s="39"/>
      <c r="M310" s="40">
        <f t="shared" si="4"/>
        <v>0</v>
      </c>
      <c r="N310" s="40" t="e">
        <f>IF(M310="","",M310*SETTINGS!$B$9)</f>
        <v>#VALUE!</v>
      </c>
      <c r="O310" s="40" t="e">
        <f>IF(M310="","",M310*SETTINGS!$B$10)</f>
        <v>#VALUE!</v>
      </c>
      <c r="P310" s="40" t="str">
        <f>IF(A310="","",SETTINGS!$B$6)</f>
        <v/>
      </c>
      <c r="Q310" s="40" t="str">
        <f>IF(A310="","",SETTINGS!$B$7)</f>
        <v/>
      </c>
      <c r="R310" s="40" t="str">
        <f>IF(A310="","",SETTINGS!$B$8)</f>
        <v/>
      </c>
      <c r="S310" s="38"/>
    </row>
    <row r="311" spans="1:19" ht="14.45" customHeight="1">
      <c r="A311" s="38"/>
      <c r="B311" s="38"/>
      <c r="C311" s="38"/>
      <c r="D311" s="38"/>
      <c r="E311" s="38"/>
      <c r="F311" s="38"/>
      <c r="G311" s="39"/>
      <c r="H311" s="39"/>
      <c r="I311" s="39"/>
      <c r="J311" s="39"/>
      <c r="K311" s="39"/>
      <c r="L311" s="39"/>
      <c r="M311" s="40">
        <f t="shared" si="4"/>
        <v>0</v>
      </c>
      <c r="N311" s="40" t="e">
        <f>IF(M311="","",M311*SETTINGS!$B$9)</f>
        <v>#VALUE!</v>
      </c>
      <c r="O311" s="40" t="e">
        <f>IF(M311="","",M311*SETTINGS!$B$10)</f>
        <v>#VALUE!</v>
      </c>
      <c r="P311" s="40" t="str">
        <f>IF(A311="","",SETTINGS!$B$6)</f>
        <v/>
      </c>
      <c r="Q311" s="40" t="str">
        <f>IF(A311="","",SETTINGS!$B$7)</f>
        <v/>
      </c>
      <c r="R311" s="40" t="str">
        <f>IF(A311="","",SETTINGS!$B$8)</f>
        <v/>
      </c>
      <c r="S311" s="38"/>
    </row>
    <row r="312" spans="1:19" ht="14.45" customHeight="1">
      <c r="A312" s="38"/>
      <c r="B312" s="38"/>
      <c r="C312" s="38"/>
      <c r="D312" s="38"/>
      <c r="E312" s="38"/>
      <c r="F312" s="38"/>
      <c r="G312" s="39"/>
      <c r="H312" s="39"/>
      <c r="I312" s="39"/>
      <c r="J312" s="39"/>
      <c r="K312" s="39"/>
      <c r="L312" s="39"/>
      <c r="M312" s="40">
        <f t="shared" si="4"/>
        <v>0</v>
      </c>
      <c r="N312" s="40" t="e">
        <f>IF(M312="","",M312*SETTINGS!$B$9)</f>
        <v>#VALUE!</v>
      </c>
      <c r="O312" s="40" t="e">
        <f>IF(M312="","",M312*SETTINGS!$B$10)</f>
        <v>#VALUE!</v>
      </c>
      <c r="P312" s="40" t="str">
        <f>IF(A312="","",SETTINGS!$B$6)</f>
        <v/>
      </c>
      <c r="Q312" s="40" t="str">
        <f>IF(A312="","",SETTINGS!$B$7)</f>
        <v/>
      </c>
      <c r="R312" s="40" t="str">
        <f>IF(A312="","",SETTINGS!$B$8)</f>
        <v/>
      </c>
      <c r="S312" s="38"/>
    </row>
    <row r="313" spans="1:19" ht="14.45" customHeight="1">
      <c r="A313" s="38"/>
      <c r="B313" s="38"/>
      <c r="C313" s="38"/>
      <c r="D313" s="38"/>
      <c r="E313" s="38"/>
      <c r="F313" s="38"/>
      <c r="G313" s="39"/>
      <c r="H313" s="39"/>
      <c r="I313" s="39"/>
      <c r="J313" s="39"/>
      <c r="K313" s="39"/>
      <c r="L313" s="39"/>
      <c r="M313" s="40">
        <f t="shared" si="4"/>
        <v>0</v>
      </c>
      <c r="N313" s="40" t="e">
        <f>IF(M313="","",M313*SETTINGS!$B$9)</f>
        <v>#VALUE!</v>
      </c>
      <c r="O313" s="40" t="e">
        <f>IF(M313="","",M313*SETTINGS!$B$10)</f>
        <v>#VALUE!</v>
      </c>
      <c r="P313" s="40" t="str">
        <f>IF(A313="","",SETTINGS!$B$6)</f>
        <v/>
      </c>
      <c r="Q313" s="40" t="str">
        <f>IF(A313="","",SETTINGS!$B$7)</f>
        <v/>
      </c>
      <c r="R313" s="40" t="str">
        <f>IF(A313="","",SETTINGS!$B$8)</f>
        <v/>
      </c>
      <c r="S313" s="38"/>
    </row>
    <row r="314" spans="1:19" ht="14.45" customHeight="1">
      <c r="A314" s="38"/>
      <c r="B314" s="38"/>
      <c r="C314" s="38"/>
      <c r="D314" s="38"/>
      <c r="E314" s="38"/>
      <c r="F314" s="38"/>
      <c r="G314" s="39"/>
      <c r="H314" s="39"/>
      <c r="I314" s="39"/>
      <c r="J314" s="39"/>
      <c r="K314" s="39"/>
      <c r="L314" s="39"/>
      <c r="M314" s="40">
        <f t="shared" si="4"/>
        <v>0</v>
      </c>
      <c r="N314" s="40" t="e">
        <f>IF(M314="","",M314*SETTINGS!$B$9)</f>
        <v>#VALUE!</v>
      </c>
      <c r="O314" s="40" t="e">
        <f>IF(M314="","",M314*SETTINGS!$B$10)</f>
        <v>#VALUE!</v>
      </c>
      <c r="P314" s="40" t="str">
        <f>IF(A314="","",SETTINGS!$B$6)</f>
        <v/>
      </c>
      <c r="Q314" s="40" t="str">
        <f>IF(A314="","",SETTINGS!$B$7)</f>
        <v/>
      </c>
      <c r="R314" s="40" t="str">
        <f>IF(A314="","",SETTINGS!$B$8)</f>
        <v/>
      </c>
      <c r="S314" s="38"/>
    </row>
    <row r="315" spans="1:19" ht="14.45" customHeight="1">
      <c r="A315" s="38"/>
      <c r="B315" s="38"/>
      <c r="C315" s="38"/>
      <c r="D315" s="38"/>
      <c r="E315" s="38"/>
      <c r="F315" s="38"/>
      <c r="G315" s="39"/>
      <c r="H315" s="39"/>
      <c r="I315" s="39"/>
      <c r="J315" s="39"/>
      <c r="K315" s="39"/>
      <c r="L315" s="39"/>
      <c r="M315" s="40">
        <f t="shared" si="4"/>
        <v>0</v>
      </c>
      <c r="N315" s="40" t="e">
        <f>IF(M315="","",M315*SETTINGS!$B$9)</f>
        <v>#VALUE!</v>
      </c>
      <c r="O315" s="40" t="e">
        <f>IF(M315="","",M315*SETTINGS!$B$10)</f>
        <v>#VALUE!</v>
      </c>
      <c r="P315" s="40" t="str">
        <f>IF(A315="","",SETTINGS!$B$6)</f>
        <v/>
      </c>
      <c r="Q315" s="40" t="str">
        <f>IF(A315="","",SETTINGS!$B$7)</f>
        <v/>
      </c>
      <c r="R315" s="40" t="str">
        <f>IF(A315="","",SETTINGS!$B$8)</f>
        <v/>
      </c>
      <c r="S315" s="38"/>
    </row>
    <row r="316" spans="1:19" ht="14.45" customHeight="1">
      <c r="A316" s="38"/>
      <c r="B316" s="38"/>
      <c r="C316" s="38"/>
      <c r="D316" s="38"/>
      <c r="E316" s="38"/>
      <c r="F316" s="38"/>
      <c r="G316" s="39"/>
      <c r="H316" s="39"/>
      <c r="I316" s="39"/>
      <c r="J316" s="39"/>
      <c r="K316" s="39"/>
      <c r="L316" s="39"/>
      <c r="M316" s="40">
        <f t="shared" si="4"/>
        <v>0</v>
      </c>
      <c r="N316" s="40" t="e">
        <f>IF(M316="","",M316*SETTINGS!$B$9)</f>
        <v>#VALUE!</v>
      </c>
      <c r="O316" s="40" t="e">
        <f>IF(M316="","",M316*SETTINGS!$B$10)</f>
        <v>#VALUE!</v>
      </c>
      <c r="P316" s="40" t="str">
        <f>IF(A316="","",SETTINGS!$B$6)</f>
        <v/>
      </c>
      <c r="Q316" s="40" t="str">
        <f>IF(A316="","",SETTINGS!$B$7)</f>
        <v/>
      </c>
      <c r="R316" s="40" t="str">
        <f>IF(A316="","",SETTINGS!$B$8)</f>
        <v/>
      </c>
      <c r="S316" s="38"/>
    </row>
    <row r="317" spans="1:19" ht="14.45" customHeight="1">
      <c r="A317" s="38"/>
      <c r="B317" s="38"/>
      <c r="C317" s="38"/>
      <c r="D317" s="38"/>
      <c r="E317" s="38"/>
      <c r="F317" s="38"/>
      <c r="G317" s="39"/>
      <c r="H317" s="39"/>
      <c r="I317" s="39"/>
      <c r="J317" s="39"/>
      <c r="K317" s="39"/>
      <c r="L317" s="39"/>
      <c r="M317" s="40">
        <f t="shared" si="4"/>
        <v>0</v>
      </c>
      <c r="N317" s="40" t="e">
        <f>IF(M317="","",M317*SETTINGS!$B$9)</f>
        <v>#VALUE!</v>
      </c>
      <c r="O317" s="40" t="e">
        <f>IF(M317="","",M317*SETTINGS!$B$10)</f>
        <v>#VALUE!</v>
      </c>
      <c r="P317" s="40" t="str">
        <f>IF(A317="","",SETTINGS!$B$6)</f>
        <v/>
      </c>
      <c r="Q317" s="40" t="str">
        <f>IF(A317="","",SETTINGS!$B$7)</f>
        <v/>
      </c>
      <c r="R317" s="40" t="str">
        <f>IF(A317="","",SETTINGS!$B$8)</f>
        <v/>
      </c>
      <c r="S317" s="38"/>
    </row>
    <row r="318" spans="1:19" ht="14.45" customHeight="1">
      <c r="A318" s="38"/>
      <c r="B318" s="38"/>
      <c r="C318" s="38"/>
      <c r="D318" s="38"/>
      <c r="E318" s="38"/>
      <c r="F318" s="38"/>
      <c r="G318" s="39"/>
      <c r="H318" s="39"/>
      <c r="I318" s="39"/>
      <c r="J318" s="39"/>
      <c r="K318" s="39"/>
      <c r="L318" s="39"/>
      <c r="M318" s="40">
        <f t="shared" si="4"/>
        <v>0</v>
      </c>
      <c r="N318" s="40" t="e">
        <f>IF(M318="","",M318*SETTINGS!$B$9)</f>
        <v>#VALUE!</v>
      </c>
      <c r="O318" s="40" t="e">
        <f>IF(M318="","",M318*SETTINGS!$B$10)</f>
        <v>#VALUE!</v>
      </c>
      <c r="P318" s="40" t="str">
        <f>IF(A318="","",SETTINGS!$B$6)</f>
        <v/>
      </c>
      <c r="Q318" s="40" t="str">
        <f>IF(A318="","",SETTINGS!$B$7)</f>
        <v/>
      </c>
      <c r="R318" s="40" t="str">
        <f>IF(A318="","",SETTINGS!$B$8)</f>
        <v/>
      </c>
      <c r="S318" s="38"/>
    </row>
    <row r="319" spans="1:19" ht="14.45" customHeight="1">
      <c r="A319" s="38"/>
      <c r="B319" s="38"/>
      <c r="C319" s="38"/>
      <c r="D319" s="38"/>
      <c r="E319" s="38"/>
      <c r="F319" s="38"/>
      <c r="G319" s="39"/>
      <c r="H319" s="39"/>
      <c r="I319" s="39"/>
      <c r="J319" s="39"/>
      <c r="K319" s="39"/>
      <c r="L319" s="39"/>
      <c r="M319" s="40">
        <f t="shared" si="4"/>
        <v>0</v>
      </c>
      <c r="N319" s="40" t="e">
        <f>IF(M319="","",M319*SETTINGS!$B$9)</f>
        <v>#VALUE!</v>
      </c>
      <c r="O319" s="40" t="e">
        <f>IF(M319="","",M319*SETTINGS!$B$10)</f>
        <v>#VALUE!</v>
      </c>
      <c r="P319" s="40" t="str">
        <f>IF(A319="","",SETTINGS!$B$6)</f>
        <v/>
      </c>
      <c r="Q319" s="40" t="str">
        <f>IF(A319="","",SETTINGS!$B$7)</f>
        <v/>
      </c>
      <c r="R319" s="40" t="str">
        <f>IF(A319="","",SETTINGS!$B$8)</f>
        <v/>
      </c>
      <c r="S319" s="38"/>
    </row>
    <row r="320" spans="1:19" ht="14.45" customHeight="1">
      <c r="A320" s="38"/>
      <c r="B320" s="38"/>
      <c r="C320" s="38"/>
      <c r="D320" s="38"/>
      <c r="E320" s="38"/>
      <c r="F320" s="38"/>
      <c r="G320" s="39"/>
      <c r="H320" s="39"/>
      <c r="I320" s="39"/>
      <c r="J320" s="39"/>
      <c r="K320" s="39"/>
      <c r="L320" s="39"/>
      <c r="M320" s="40">
        <f t="shared" si="4"/>
        <v>0</v>
      </c>
      <c r="N320" s="40" t="e">
        <f>IF(M320="","",M320*SETTINGS!$B$9)</f>
        <v>#VALUE!</v>
      </c>
      <c r="O320" s="40" t="e">
        <f>IF(M320="","",M320*SETTINGS!$B$10)</f>
        <v>#VALUE!</v>
      </c>
      <c r="P320" s="40" t="str">
        <f>IF(A320="","",SETTINGS!$B$6)</f>
        <v/>
      </c>
      <c r="Q320" s="40" t="str">
        <f>IF(A320="","",SETTINGS!$B$7)</f>
        <v/>
      </c>
      <c r="R320" s="40" t="str">
        <f>IF(A320="","",SETTINGS!$B$8)</f>
        <v/>
      </c>
      <c r="S320" s="38"/>
    </row>
    <row r="321" spans="1:19" ht="14.45" customHeight="1">
      <c r="A321" s="38"/>
      <c r="B321" s="38"/>
      <c r="C321" s="38"/>
      <c r="D321" s="38"/>
      <c r="E321" s="38"/>
      <c r="F321" s="38"/>
      <c r="G321" s="39"/>
      <c r="H321" s="39"/>
      <c r="I321" s="39"/>
      <c r="J321" s="39"/>
      <c r="K321" s="39"/>
      <c r="L321" s="39"/>
      <c r="M321" s="40">
        <f t="shared" si="4"/>
        <v>0</v>
      </c>
      <c r="N321" s="40" t="e">
        <f>IF(M321="","",M321*SETTINGS!$B$9)</f>
        <v>#VALUE!</v>
      </c>
      <c r="O321" s="40" t="e">
        <f>IF(M321="","",M321*SETTINGS!$B$10)</f>
        <v>#VALUE!</v>
      </c>
      <c r="P321" s="40" t="str">
        <f>IF(A321="","",SETTINGS!$B$6)</f>
        <v/>
      </c>
      <c r="Q321" s="40" t="str">
        <f>IF(A321="","",SETTINGS!$B$7)</f>
        <v/>
      </c>
      <c r="R321" s="40" t="str">
        <f>IF(A321="","",SETTINGS!$B$8)</f>
        <v/>
      </c>
      <c r="S321" s="38"/>
    </row>
    <row r="322" spans="1:19" ht="14.45" customHeight="1">
      <c r="A322" s="38"/>
      <c r="B322" s="38"/>
      <c r="C322" s="38"/>
      <c r="D322" s="38"/>
      <c r="E322" s="38"/>
      <c r="F322" s="38"/>
      <c r="G322" s="39"/>
      <c r="H322" s="39"/>
      <c r="I322" s="39"/>
      <c r="J322" s="39"/>
      <c r="K322" s="39"/>
      <c r="L322" s="39"/>
      <c r="M322" s="40">
        <f t="shared" si="4"/>
        <v>0</v>
      </c>
      <c r="N322" s="40" t="e">
        <f>IF(M322="","",M322*SETTINGS!$B$9)</f>
        <v>#VALUE!</v>
      </c>
      <c r="O322" s="40" t="e">
        <f>IF(M322="","",M322*SETTINGS!$B$10)</f>
        <v>#VALUE!</v>
      </c>
      <c r="P322" s="40" t="str">
        <f>IF(A322="","",SETTINGS!$B$6)</f>
        <v/>
      </c>
      <c r="Q322" s="40" t="str">
        <f>IF(A322="","",SETTINGS!$B$7)</f>
        <v/>
      </c>
      <c r="R322" s="40" t="str">
        <f>IF(A322="","",SETTINGS!$B$8)</f>
        <v/>
      </c>
      <c r="S322" s="38"/>
    </row>
    <row r="323" spans="1:19" ht="14.45" customHeight="1">
      <c r="A323" s="38"/>
      <c r="B323" s="38"/>
      <c r="C323" s="38"/>
      <c r="D323" s="38"/>
      <c r="E323" s="38"/>
      <c r="F323" s="38"/>
      <c r="G323" s="39"/>
      <c r="H323" s="39"/>
      <c r="I323" s="39"/>
      <c r="J323" s="39"/>
      <c r="K323" s="39"/>
      <c r="L323" s="39"/>
      <c r="M323" s="40">
        <f t="shared" si="4"/>
        <v>0</v>
      </c>
      <c r="N323" s="40" t="e">
        <f>IF(M323="","",M323*SETTINGS!$B$9)</f>
        <v>#VALUE!</v>
      </c>
      <c r="O323" s="40" t="e">
        <f>IF(M323="","",M323*SETTINGS!$B$10)</f>
        <v>#VALUE!</v>
      </c>
      <c r="P323" s="40" t="str">
        <f>IF(A323="","",SETTINGS!$B$6)</f>
        <v/>
      </c>
      <c r="Q323" s="40" t="str">
        <f>IF(A323="","",SETTINGS!$B$7)</f>
        <v/>
      </c>
      <c r="R323" s="40" t="str">
        <f>IF(A323="","",SETTINGS!$B$8)</f>
        <v/>
      </c>
      <c r="S323" s="38"/>
    </row>
    <row r="324" spans="1:19" ht="14.45" customHeight="1">
      <c r="A324" s="38"/>
      <c r="B324" s="38"/>
      <c r="C324" s="38"/>
      <c r="D324" s="38"/>
      <c r="E324" s="38"/>
      <c r="F324" s="38"/>
      <c r="G324" s="39"/>
      <c r="H324" s="39"/>
      <c r="I324" s="39"/>
      <c r="J324" s="39"/>
      <c r="K324" s="39"/>
      <c r="L324" s="39"/>
      <c r="M324" s="40">
        <f t="shared" si="4"/>
        <v>0</v>
      </c>
      <c r="N324" s="40" t="e">
        <f>IF(M324="","",M324*SETTINGS!$B$9)</f>
        <v>#VALUE!</v>
      </c>
      <c r="O324" s="40" t="e">
        <f>IF(M324="","",M324*SETTINGS!$B$10)</f>
        <v>#VALUE!</v>
      </c>
      <c r="P324" s="40" t="str">
        <f>IF(A324="","",SETTINGS!$B$6)</f>
        <v/>
      </c>
      <c r="Q324" s="40" t="str">
        <f>IF(A324="","",SETTINGS!$B$7)</f>
        <v/>
      </c>
      <c r="R324" s="40" t="str">
        <f>IF(A324="","",SETTINGS!$B$8)</f>
        <v/>
      </c>
      <c r="S324" s="38"/>
    </row>
    <row r="325" spans="1:19" ht="14.45" customHeight="1">
      <c r="A325" s="38"/>
      <c r="B325" s="38"/>
      <c r="C325" s="38"/>
      <c r="D325" s="38"/>
      <c r="E325" s="38"/>
      <c r="F325" s="38"/>
      <c r="G325" s="39"/>
      <c r="H325" s="39"/>
      <c r="I325" s="39"/>
      <c r="J325" s="39"/>
      <c r="K325" s="39"/>
      <c r="L325" s="39"/>
      <c r="M325" s="40">
        <f t="shared" si="4"/>
        <v>0</v>
      </c>
      <c r="N325" s="40" t="e">
        <f>IF(M325="","",M325*SETTINGS!$B$9)</f>
        <v>#VALUE!</v>
      </c>
      <c r="O325" s="40" t="e">
        <f>IF(M325="","",M325*SETTINGS!$B$10)</f>
        <v>#VALUE!</v>
      </c>
      <c r="P325" s="40" t="str">
        <f>IF(A325="","",SETTINGS!$B$6)</f>
        <v/>
      </c>
      <c r="Q325" s="40" t="str">
        <f>IF(A325="","",SETTINGS!$B$7)</f>
        <v/>
      </c>
      <c r="R325" s="40" t="str">
        <f>IF(A325="","",SETTINGS!$B$8)</f>
        <v/>
      </c>
      <c r="S325" s="38"/>
    </row>
    <row r="326" spans="1:19" ht="14.45" customHeight="1">
      <c r="A326" s="38"/>
      <c r="B326" s="38"/>
      <c r="C326" s="38"/>
      <c r="D326" s="38"/>
      <c r="E326" s="38"/>
      <c r="F326" s="38"/>
      <c r="G326" s="39"/>
      <c r="H326" s="39"/>
      <c r="I326" s="39"/>
      <c r="J326" s="39"/>
      <c r="K326" s="39"/>
      <c r="L326" s="39"/>
      <c r="M326" s="40">
        <f t="shared" si="4"/>
        <v>0</v>
      </c>
      <c r="N326" s="40" t="e">
        <f>IF(M326="","",M326*SETTINGS!$B$9)</f>
        <v>#VALUE!</v>
      </c>
      <c r="O326" s="40" t="e">
        <f>IF(M326="","",M326*SETTINGS!$B$10)</f>
        <v>#VALUE!</v>
      </c>
      <c r="P326" s="40" t="str">
        <f>IF(A326="","",SETTINGS!$B$6)</f>
        <v/>
      </c>
      <c r="Q326" s="40" t="str">
        <f>IF(A326="","",SETTINGS!$B$7)</f>
        <v/>
      </c>
      <c r="R326" s="40" t="str">
        <f>IF(A326="","",SETTINGS!$B$8)</f>
        <v/>
      </c>
      <c r="S326" s="38"/>
    </row>
    <row r="327" spans="1:19" ht="14.45" customHeight="1">
      <c r="A327" s="38"/>
      <c r="B327" s="38"/>
      <c r="C327" s="38"/>
      <c r="D327" s="38"/>
      <c r="E327" s="38"/>
      <c r="F327" s="38"/>
      <c r="G327" s="39"/>
      <c r="H327" s="39"/>
      <c r="I327" s="39"/>
      <c r="J327" s="39"/>
      <c r="K327" s="39"/>
      <c r="L327" s="39"/>
      <c r="M327" s="40">
        <f t="shared" si="4"/>
        <v>0</v>
      </c>
      <c r="N327" s="40" t="e">
        <f>IF(M327="","",M327*SETTINGS!$B$9)</f>
        <v>#VALUE!</v>
      </c>
      <c r="O327" s="40" t="e">
        <f>IF(M327="","",M327*SETTINGS!$B$10)</f>
        <v>#VALUE!</v>
      </c>
      <c r="P327" s="40" t="str">
        <f>IF(A327="","",SETTINGS!$B$6)</f>
        <v/>
      </c>
      <c r="Q327" s="40" t="str">
        <f>IF(A327="","",SETTINGS!$B$7)</f>
        <v/>
      </c>
      <c r="R327" s="40" t="str">
        <f>IF(A327="","",SETTINGS!$B$8)</f>
        <v/>
      </c>
      <c r="S327" s="38"/>
    </row>
    <row r="328" spans="1:19" ht="14.45" customHeight="1">
      <c r="A328" s="38"/>
      <c r="B328" s="38"/>
      <c r="C328" s="38"/>
      <c r="D328" s="38"/>
      <c r="E328" s="38"/>
      <c r="F328" s="38"/>
      <c r="G328" s="39"/>
      <c r="H328" s="39"/>
      <c r="I328" s="39"/>
      <c r="J328" s="39"/>
      <c r="K328" s="39"/>
      <c r="L328" s="39"/>
      <c r="M328" s="40">
        <f t="shared" si="4"/>
        <v>0</v>
      </c>
      <c r="N328" s="40" t="e">
        <f>IF(M328="","",M328*SETTINGS!$B$9)</f>
        <v>#VALUE!</v>
      </c>
      <c r="O328" s="40" t="e">
        <f>IF(M328="","",M328*SETTINGS!$B$10)</f>
        <v>#VALUE!</v>
      </c>
      <c r="P328" s="40" t="str">
        <f>IF(A328="","",SETTINGS!$B$6)</f>
        <v/>
      </c>
      <c r="Q328" s="40" t="str">
        <f>IF(A328="","",SETTINGS!$B$7)</f>
        <v/>
      </c>
      <c r="R328" s="40" t="str">
        <f>IF(A328="","",SETTINGS!$B$8)</f>
        <v/>
      </c>
      <c r="S328" s="38"/>
    </row>
    <row r="329" spans="1:19" ht="14.45" customHeight="1">
      <c r="A329" s="38"/>
      <c r="B329" s="38"/>
      <c r="C329" s="38"/>
      <c r="D329" s="38"/>
      <c r="E329" s="38"/>
      <c r="F329" s="38"/>
      <c r="G329" s="39"/>
      <c r="H329" s="39"/>
      <c r="I329" s="39"/>
      <c r="J329" s="39"/>
      <c r="K329" s="39"/>
      <c r="L329" s="39"/>
      <c r="M329" s="40">
        <f t="shared" si="4"/>
        <v>0</v>
      </c>
      <c r="N329" s="40" t="e">
        <f>IF(M329="","",M329*SETTINGS!$B$9)</f>
        <v>#VALUE!</v>
      </c>
      <c r="O329" s="40" t="e">
        <f>IF(M329="","",M329*SETTINGS!$B$10)</f>
        <v>#VALUE!</v>
      </c>
      <c r="P329" s="40" t="str">
        <f>IF(A329="","",SETTINGS!$B$6)</f>
        <v/>
      </c>
      <c r="Q329" s="40" t="str">
        <f>IF(A329="","",SETTINGS!$B$7)</f>
        <v/>
      </c>
      <c r="R329" s="40" t="str">
        <f>IF(A329="","",SETTINGS!$B$8)</f>
        <v/>
      </c>
      <c r="S329" s="38"/>
    </row>
    <row r="330" spans="1:19" ht="14.45" customHeight="1">
      <c r="A330" s="38"/>
      <c r="B330" s="38"/>
      <c r="C330" s="38"/>
      <c r="D330" s="38"/>
      <c r="E330" s="38"/>
      <c r="F330" s="38"/>
      <c r="G330" s="39"/>
      <c r="H330" s="39"/>
      <c r="I330" s="39"/>
      <c r="J330" s="39"/>
      <c r="K330" s="39"/>
      <c r="L330" s="39"/>
      <c r="M330" s="40">
        <f t="shared" si="4"/>
        <v>0</v>
      </c>
      <c r="N330" s="40" t="e">
        <f>IF(M330="","",M330*SETTINGS!$B$9)</f>
        <v>#VALUE!</v>
      </c>
      <c r="O330" s="40" t="e">
        <f>IF(M330="","",M330*SETTINGS!$B$10)</f>
        <v>#VALUE!</v>
      </c>
      <c r="P330" s="40" t="str">
        <f>IF(A330="","",SETTINGS!$B$6)</f>
        <v/>
      </c>
      <c r="Q330" s="40" t="str">
        <f>IF(A330="","",SETTINGS!$B$7)</f>
        <v/>
      </c>
      <c r="R330" s="40" t="str">
        <f>IF(A330="","",SETTINGS!$B$8)</f>
        <v/>
      </c>
      <c r="S330" s="38"/>
    </row>
    <row r="331" spans="1:19" ht="14.45" customHeight="1">
      <c r="A331" s="38"/>
      <c r="B331" s="38"/>
      <c r="C331" s="38"/>
      <c r="D331" s="38"/>
      <c r="E331" s="38"/>
      <c r="F331" s="38"/>
      <c r="G331" s="39"/>
      <c r="H331" s="39"/>
      <c r="I331" s="39"/>
      <c r="J331" s="39"/>
      <c r="K331" s="39"/>
      <c r="L331" s="39"/>
      <c r="M331" s="40">
        <f t="shared" si="4"/>
        <v>0</v>
      </c>
      <c r="N331" s="40" t="e">
        <f>IF(M331="","",M331*SETTINGS!$B$9)</f>
        <v>#VALUE!</v>
      </c>
      <c r="O331" s="40" t="e">
        <f>IF(M331="","",M331*SETTINGS!$B$10)</f>
        <v>#VALUE!</v>
      </c>
      <c r="P331" s="40" t="str">
        <f>IF(A331="","",SETTINGS!$B$6)</f>
        <v/>
      </c>
      <c r="Q331" s="40" t="str">
        <f>IF(A331="","",SETTINGS!$B$7)</f>
        <v/>
      </c>
      <c r="R331" s="40" t="str">
        <f>IF(A331="","",SETTINGS!$B$8)</f>
        <v/>
      </c>
      <c r="S331" s="38"/>
    </row>
    <row r="332" spans="1:19" ht="14.45" customHeight="1">
      <c r="A332" s="38"/>
      <c r="B332" s="38"/>
      <c r="C332" s="38"/>
      <c r="D332" s="38"/>
      <c r="E332" s="38"/>
      <c r="F332" s="38"/>
      <c r="G332" s="39"/>
      <c r="H332" s="39"/>
      <c r="I332" s="39"/>
      <c r="J332" s="39"/>
      <c r="K332" s="39"/>
      <c r="L332" s="39"/>
      <c r="M332" s="40">
        <f t="shared" si="4"/>
        <v>0</v>
      </c>
      <c r="N332" s="40" t="e">
        <f>IF(M332="","",M332*SETTINGS!$B$9)</f>
        <v>#VALUE!</v>
      </c>
      <c r="O332" s="40" t="e">
        <f>IF(M332="","",M332*SETTINGS!$B$10)</f>
        <v>#VALUE!</v>
      </c>
      <c r="P332" s="40" t="str">
        <f>IF(A332="","",SETTINGS!$B$6)</f>
        <v/>
      </c>
      <c r="Q332" s="40" t="str">
        <f>IF(A332="","",SETTINGS!$B$7)</f>
        <v/>
      </c>
      <c r="R332" s="40" t="str">
        <f>IF(A332="","",SETTINGS!$B$8)</f>
        <v/>
      </c>
      <c r="S332" s="38"/>
    </row>
    <row r="333" spans="1:19" ht="14.45" customHeight="1">
      <c r="A333" s="38"/>
      <c r="B333" s="38"/>
      <c r="C333" s="38"/>
      <c r="D333" s="38"/>
      <c r="E333" s="38"/>
      <c r="F333" s="38"/>
      <c r="G333" s="39"/>
      <c r="H333" s="39"/>
      <c r="I333" s="39"/>
      <c r="J333" s="39"/>
      <c r="K333" s="39"/>
      <c r="L333" s="39"/>
      <c r="M333" s="40">
        <f t="shared" si="4"/>
        <v>0</v>
      </c>
      <c r="N333" s="40" t="e">
        <f>IF(M333="","",M333*SETTINGS!$B$9)</f>
        <v>#VALUE!</v>
      </c>
      <c r="O333" s="40" t="e">
        <f>IF(M333="","",M333*SETTINGS!$B$10)</f>
        <v>#VALUE!</v>
      </c>
      <c r="P333" s="40" t="str">
        <f>IF(A333="","",SETTINGS!$B$6)</f>
        <v/>
      </c>
      <c r="Q333" s="40" t="str">
        <f>IF(A333="","",SETTINGS!$B$7)</f>
        <v/>
      </c>
      <c r="R333" s="40" t="str">
        <f>IF(A333="","",SETTINGS!$B$8)</f>
        <v/>
      </c>
      <c r="S333" s="38"/>
    </row>
    <row r="334" spans="1:19" ht="14.45" customHeight="1">
      <c r="A334" s="38"/>
      <c r="B334" s="38"/>
      <c r="C334" s="38"/>
      <c r="D334" s="38"/>
      <c r="E334" s="38"/>
      <c r="F334" s="38"/>
      <c r="G334" s="39"/>
      <c r="H334" s="39"/>
      <c r="I334" s="39"/>
      <c r="J334" s="39"/>
      <c r="K334" s="39"/>
      <c r="L334" s="39"/>
      <c r="M334" s="40">
        <f t="shared" si="4"/>
        <v>0</v>
      </c>
      <c r="N334" s="40" t="e">
        <f>IF(M334="","",M334*SETTINGS!$B$9)</f>
        <v>#VALUE!</v>
      </c>
      <c r="O334" s="40" t="e">
        <f>IF(M334="","",M334*SETTINGS!$B$10)</f>
        <v>#VALUE!</v>
      </c>
      <c r="P334" s="40" t="str">
        <f>IF(A334="","",SETTINGS!$B$6)</f>
        <v/>
      </c>
      <c r="Q334" s="40" t="str">
        <f>IF(A334="","",SETTINGS!$B$7)</f>
        <v/>
      </c>
      <c r="R334" s="40" t="str">
        <f>IF(A334="","",SETTINGS!$B$8)</f>
        <v/>
      </c>
      <c r="S334" s="38"/>
    </row>
    <row r="335" spans="1:19" ht="14.45" customHeight="1">
      <c r="A335" s="38"/>
      <c r="B335" s="38"/>
      <c r="C335" s="38"/>
      <c r="D335" s="38"/>
      <c r="E335" s="38"/>
      <c r="F335" s="38"/>
      <c r="G335" s="39"/>
      <c r="H335" s="39"/>
      <c r="I335" s="39"/>
      <c r="J335" s="39"/>
      <c r="K335" s="39"/>
      <c r="L335" s="39"/>
      <c r="M335" s="40">
        <f t="shared" si="4"/>
        <v>0</v>
      </c>
      <c r="N335" s="40" t="e">
        <f>IF(M335="","",M335*SETTINGS!$B$9)</f>
        <v>#VALUE!</v>
      </c>
      <c r="O335" s="40" t="e">
        <f>IF(M335="","",M335*SETTINGS!$B$10)</f>
        <v>#VALUE!</v>
      </c>
      <c r="P335" s="40" t="str">
        <f>IF(A335="","",SETTINGS!$B$6)</f>
        <v/>
      </c>
      <c r="Q335" s="40" t="str">
        <f>IF(A335="","",SETTINGS!$B$7)</f>
        <v/>
      </c>
      <c r="R335" s="40" t="str">
        <f>IF(A335="","",SETTINGS!$B$8)</f>
        <v/>
      </c>
      <c r="S335" s="38"/>
    </row>
    <row r="336" spans="1:19" ht="14.45" customHeight="1">
      <c r="A336" s="38"/>
      <c r="B336" s="38"/>
      <c r="C336" s="38"/>
      <c r="D336" s="38"/>
      <c r="E336" s="38"/>
      <c r="F336" s="38"/>
      <c r="G336" s="39"/>
      <c r="H336" s="39"/>
      <c r="I336" s="39"/>
      <c r="J336" s="39"/>
      <c r="K336" s="39"/>
      <c r="L336" s="39"/>
      <c r="M336" s="40">
        <f t="shared" si="4"/>
        <v>0</v>
      </c>
      <c r="N336" s="40" t="e">
        <f>IF(M336="","",M336*SETTINGS!$B$9)</f>
        <v>#VALUE!</v>
      </c>
      <c r="O336" s="40" t="e">
        <f>IF(M336="","",M336*SETTINGS!$B$10)</f>
        <v>#VALUE!</v>
      </c>
      <c r="P336" s="40" t="str">
        <f>IF(A336="","",SETTINGS!$B$6)</f>
        <v/>
      </c>
      <c r="Q336" s="40" t="str">
        <f>IF(A336="","",SETTINGS!$B$7)</f>
        <v/>
      </c>
      <c r="R336" s="40" t="str">
        <f>IF(A336="","",SETTINGS!$B$8)</f>
        <v/>
      </c>
      <c r="S336" s="38"/>
    </row>
    <row r="337" spans="1:19" ht="14.45" customHeight="1">
      <c r="A337" s="38"/>
      <c r="B337" s="38"/>
      <c r="C337" s="38"/>
      <c r="D337" s="38"/>
      <c r="E337" s="38"/>
      <c r="F337" s="38"/>
      <c r="G337" s="39"/>
      <c r="H337" s="39"/>
      <c r="I337" s="39"/>
      <c r="J337" s="39"/>
      <c r="K337" s="39"/>
      <c r="L337" s="39"/>
      <c r="M337" s="40">
        <f t="shared" si="4"/>
        <v>0</v>
      </c>
      <c r="N337" s="40" t="e">
        <f>IF(M337="","",M337*SETTINGS!$B$9)</f>
        <v>#VALUE!</v>
      </c>
      <c r="O337" s="40" t="e">
        <f>IF(M337="","",M337*SETTINGS!$B$10)</f>
        <v>#VALUE!</v>
      </c>
      <c r="P337" s="40" t="str">
        <f>IF(A337="","",SETTINGS!$B$6)</f>
        <v/>
      </c>
      <c r="Q337" s="40" t="str">
        <f>IF(A337="","",SETTINGS!$B$7)</f>
        <v/>
      </c>
      <c r="R337" s="40" t="str">
        <f>IF(A337="","",SETTINGS!$B$8)</f>
        <v/>
      </c>
      <c r="S337" s="38"/>
    </row>
    <row r="338" spans="1:19" ht="14.45" customHeight="1">
      <c r="A338" s="38"/>
      <c r="B338" s="38"/>
      <c r="C338" s="38"/>
      <c r="D338" s="38"/>
      <c r="E338" s="38"/>
      <c r="F338" s="38"/>
      <c r="G338" s="39"/>
      <c r="H338" s="39"/>
      <c r="I338" s="39"/>
      <c r="J338" s="39"/>
      <c r="K338" s="39"/>
      <c r="L338" s="39"/>
      <c r="M338" s="40">
        <f t="shared" si="4"/>
        <v>0</v>
      </c>
      <c r="N338" s="40" t="e">
        <f>IF(M338="","",M338*SETTINGS!$B$9)</f>
        <v>#VALUE!</v>
      </c>
      <c r="O338" s="40" t="e">
        <f>IF(M338="","",M338*SETTINGS!$B$10)</f>
        <v>#VALUE!</v>
      </c>
      <c r="P338" s="40" t="str">
        <f>IF(A338="","",SETTINGS!$B$6)</f>
        <v/>
      </c>
      <c r="Q338" s="40" t="str">
        <f>IF(A338="","",SETTINGS!$B$7)</f>
        <v/>
      </c>
      <c r="R338" s="40" t="str">
        <f>IF(A338="","",SETTINGS!$B$8)</f>
        <v/>
      </c>
      <c r="S338" s="38"/>
    </row>
    <row r="339" spans="1:19" ht="14.45" customHeight="1">
      <c r="A339" s="38"/>
      <c r="B339" s="38"/>
      <c r="C339" s="38"/>
      <c r="D339" s="38"/>
      <c r="E339" s="38"/>
      <c r="F339" s="38"/>
      <c r="G339" s="39"/>
      <c r="H339" s="39"/>
      <c r="I339" s="39"/>
      <c r="J339" s="39"/>
      <c r="K339" s="39"/>
      <c r="L339" s="39"/>
      <c r="M339" s="40">
        <f t="shared" si="4"/>
        <v>0</v>
      </c>
      <c r="N339" s="40" t="e">
        <f>IF(M339="","",M339*SETTINGS!$B$9)</f>
        <v>#VALUE!</v>
      </c>
      <c r="O339" s="40" t="e">
        <f>IF(M339="","",M339*SETTINGS!$B$10)</f>
        <v>#VALUE!</v>
      </c>
      <c r="P339" s="40" t="str">
        <f>IF(A339="","",SETTINGS!$B$6)</f>
        <v/>
      </c>
      <c r="Q339" s="40" t="str">
        <f>IF(A339="","",SETTINGS!$B$7)</f>
        <v/>
      </c>
      <c r="R339" s="40" t="str">
        <f>IF(A339="","",SETTINGS!$B$8)</f>
        <v/>
      </c>
      <c r="S339" s="38"/>
    </row>
    <row r="340" spans="1:19" ht="14.45" customHeight="1">
      <c r="A340" s="38"/>
      <c r="B340" s="38"/>
      <c r="C340" s="38"/>
      <c r="D340" s="38"/>
      <c r="E340" s="38"/>
      <c r="F340" s="38"/>
      <c r="G340" s="39"/>
      <c r="H340" s="39"/>
      <c r="I340" s="39"/>
      <c r="J340" s="39"/>
      <c r="K340" s="39"/>
      <c r="L340" s="39"/>
      <c r="M340" s="40">
        <f t="shared" si="4"/>
        <v>0</v>
      </c>
      <c r="N340" s="40" t="e">
        <f>IF(M340="","",M340*SETTINGS!$B$9)</f>
        <v>#VALUE!</v>
      </c>
      <c r="O340" s="40" t="e">
        <f>IF(M340="","",M340*SETTINGS!$B$10)</f>
        <v>#VALUE!</v>
      </c>
      <c r="P340" s="40" t="str">
        <f>IF(A340="","",SETTINGS!$B$6)</f>
        <v/>
      </c>
      <c r="Q340" s="40" t="str">
        <f>IF(A340="","",SETTINGS!$B$7)</f>
        <v/>
      </c>
      <c r="R340" s="40" t="str">
        <f>IF(A340="","",SETTINGS!$B$8)</f>
        <v/>
      </c>
      <c r="S340" s="38"/>
    </row>
    <row r="341" spans="1:19" ht="14.45" customHeight="1">
      <c r="A341" s="38"/>
      <c r="B341" s="38"/>
      <c r="C341" s="38"/>
      <c r="D341" s="38"/>
      <c r="E341" s="38"/>
      <c r="F341" s="38"/>
      <c r="G341" s="39"/>
      <c r="H341" s="39"/>
      <c r="I341" s="39"/>
      <c r="J341" s="39"/>
      <c r="K341" s="39"/>
      <c r="L341" s="39"/>
      <c r="M341" s="40">
        <f t="shared" si="4"/>
        <v>0</v>
      </c>
      <c r="N341" s="40" t="e">
        <f>IF(M341="","",M341*SETTINGS!$B$9)</f>
        <v>#VALUE!</v>
      </c>
      <c r="O341" s="40" t="e">
        <f>IF(M341="","",M341*SETTINGS!$B$10)</f>
        <v>#VALUE!</v>
      </c>
      <c r="P341" s="40" t="str">
        <f>IF(A341="","",SETTINGS!$B$6)</f>
        <v/>
      </c>
      <c r="Q341" s="40" t="str">
        <f>IF(A341="","",SETTINGS!$B$7)</f>
        <v/>
      </c>
      <c r="R341" s="40" t="str">
        <f>IF(A341="","",SETTINGS!$B$8)</f>
        <v/>
      </c>
      <c r="S341" s="38"/>
    </row>
    <row r="342" spans="1:19" ht="14.45" customHeight="1">
      <c r="A342" s="38"/>
      <c r="B342" s="38"/>
      <c r="C342" s="38"/>
      <c r="D342" s="38"/>
      <c r="E342" s="38"/>
      <c r="F342" s="38"/>
      <c r="G342" s="39"/>
      <c r="H342" s="39"/>
      <c r="I342" s="39"/>
      <c r="J342" s="39"/>
      <c r="K342" s="39"/>
      <c r="L342" s="39"/>
      <c r="M342" s="40">
        <f t="shared" si="4"/>
        <v>0</v>
      </c>
      <c r="N342" s="40" t="e">
        <f>IF(M342="","",M342*SETTINGS!$B$9)</f>
        <v>#VALUE!</v>
      </c>
      <c r="O342" s="40" t="e">
        <f>IF(M342="","",M342*SETTINGS!$B$10)</f>
        <v>#VALUE!</v>
      </c>
      <c r="P342" s="40" t="str">
        <f>IF(A342="","",SETTINGS!$B$6)</f>
        <v/>
      </c>
      <c r="Q342" s="40" t="str">
        <f>IF(A342="","",SETTINGS!$B$7)</f>
        <v/>
      </c>
      <c r="R342" s="40" t="str">
        <f>IF(A342="","",SETTINGS!$B$8)</f>
        <v/>
      </c>
      <c r="S342" s="38"/>
    </row>
    <row r="343" spans="1:19" ht="14.45" customHeight="1">
      <c r="A343" s="38"/>
      <c r="B343" s="38"/>
      <c r="C343" s="38"/>
      <c r="D343" s="38"/>
      <c r="E343" s="38"/>
      <c r="F343" s="38"/>
      <c r="G343" s="39"/>
      <c r="H343" s="39"/>
      <c r="I343" s="39"/>
      <c r="J343" s="39"/>
      <c r="K343" s="39"/>
      <c r="L343" s="39"/>
      <c r="M343" s="40">
        <f t="shared" si="4"/>
        <v>0</v>
      </c>
      <c r="N343" s="40" t="e">
        <f>IF(M343="","",M343*SETTINGS!$B$9)</f>
        <v>#VALUE!</v>
      </c>
      <c r="O343" s="40" t="e">
        <f>IF(M343="","",M343*SETTINGS!$B$10)</f>
        <v>#VALUE!</v>
      </c>
      <c r="P343" s="40" t="str">
        <f>IF(A343="","",SETTINGS!$B$6)</f>
        <v/>
      </c>
      <c r="Q343" s="40" t="str">
        <f>IF(A343="","",SETTINGS!$B$7)</f>
        <v/>
      </c>
      <c r="R343" s="40" t="str">
        <f>IF(A343="","",SETTINGS!$B$8)</f>
        <v/>
      </c>
      <c r="S343" s="38"/>
    </row>
    <row r="344" spans="1:19" ht="14.45" customHeight="1">
      <c r="A344" s="38"/>
      <c r="B344" s="38"/>
      <c r="C344" s="38"/>
      <c r="D344" s="38"/>
      <c r="E344" s="38"/>
      <c r="F344" s="38"/>
      <c r="G344" s="39"/>
      <c r="H344" s="39"/>
      <c r="I344" s="39"/>
      <c r="J344" s="39"/>
      <c r="K344" s="39"/>
      <c r="L344" s="39"/>
      <c r="M344" s="40">
        <f t="shared" si="4"/>
        <v>0</v>
      </c>
      <c r="N344" s="40" t="e">
        <f>IF(M344="","",M344*SETTINGS!$B$9)</f>
        <v>#VALUE!</v>
      </c>
      <c r="O344" s="40" t="e">
        <f>IF(M344="","",M344*SETTINGS!$B$10)</f>
        <v>#VALUE!</v>
      </c>
      <c r="P344" s="40" t="str">
        <f>IF(A344="","",SETTINGS!$B$6)</f>
        <v/>
      </c>
      <c r="Q344" s="40" t="str">
        <f>IF(A344="","",SETTINGS!$B$7)</f>
        <v/>
      </c>
      <c r="R344" s="40" t="str">
        <f>IF(A344="","",SETTINGS!$B$8)</f>
        <v/>
      </c>
      <c r="S344" s="38"/>
    </row>
    <row r="345" spans="1:19" ht="14.45" customHeight="1">
      <c r="A345" s="38"/>
      <c r="B345" s="38"/>
      <c r="C345" s="38"/>
      <c r="D345" s="38"/>
      <c r="E345" s="38"/>
      <c r="F345" s="38"/>
      <c r="G345" s="39"/>
      <c r="H345" s="39"/>
      <c r="I345" s="39"/>
      <c r="J345" s="39"/>
      <c r="K345" s="39"/>
      <c r="L345" s="39"/>
      <c r="M345" s="40">
        <f t="shared" si="4"/>
        <v>0</v>
      </c>
      <c r="N345" s="40" t="e">
        <f>IF(M345="","",M345*SETTINGS!$B$9)</f>
        <v>#VALUE!</v>
      </c>
      <c r="O345" s="40" t="e">
        <f>IF(M345="","",M345*SETTINGS!$B$10)</f>
        <v>#VALUE!</v>
      </c>
      <c r="P345" s="40" t="str">
        <f>IF(A345="","",SETTINGS!$B$6)</f>
        <v/>
      </c>
      <c r="Q345" s="40" t="str">
        <f>IF(A345="","",SETTINGS!$B$7)</f>
        <v/>
      </c>
      <c r="R345" s="40" t="str">
        <f>IF(A345="","",SETTINGS!$B$8)</f>
        <v/>
      </c>
      <c r="S345" s="38"/>
    </row>
    <row r="346" spans="1:19" ht="14.45" customHeight="1">
      <c r="A346" s="38"/>
      <c r="B346" s="38"/>
      <c r="C346" s="38"/>
      <c r="D346" s="38"/>
      <c r="E346" s="38"/>
      <c r="F346" s="38"/>
      <c r="G346" s="39"/>
      <c r="H346" s="39"/>
      <c r="I346" s="39"/>
      <c r="J346" s="39"/>
      <c r="K346" s="39"/>
      <c r="L346" s="39"/>
      <c r="M346" s="40">
        <f t="shared" si="4"/>
        <v>0</v>
      </c>
      <c r="N346" s="40" t="e">
        <f>IF(M346="","",M346*SETTINGS!$B$9)</f>
        <v>#VALUE!</v>
      </c>
      <c r="O346" s="40" t="e">
        <f>IF(M346="","",M346*SETTINGS!$B$10)</f>
        <v>#VALUE!</v>
      </c>
      <c r="P346" s="40" t="str">
        <f>IF(A346="","",SETTINGS!$B$6)</f>
        <v/>
      </c>
      <c r="Q346" s="40" t="str">
        <f>IF(A346="","",SETTINGS!$B$7)</f>
        <v/>
      </c>
      <c r="R346" s="40" t="str">
        <f>IF(A346="","",SETTINGS!$B$8)</f>
        <v/>
      </c>
      <c r="S346" s="38"/>
    </row>
    <row r="347" spans="1:19" ht="14.45" customHeight="1">
      <c r="A347" s="38"/>
      <c r="B347" s="38"/>
      <c r="C347" s="38"/>
      <c r="D347" s="38"/>
      <c r="E347" s="38"/>
      <c r="F347" s="38"/>
      <c r="G347" s="39"/>
      <c r="H347" s="39"/>
      <c r="I347" s="39"/>
      <c r="J347" s="39"/>
      <c r="K347" s="39"/>
      <c r="L347" s="39"/>
      <c r="M347" s="40">
        <f t="shared" si="4"/>
        <v>0</v>
      </c>
      <c r="N347" s="40" t="e">
        <f>IF(M347="","",M347*SETTINGS!$B$9)</f>
        <v>#VALUE!</v>
      </c>
      <c r="O347" s="40" t="e">
        <f>IF(M347="","",M347*SETTINGS!$B$10)</f>
        <v>#VALUE!</v>
      </c>
      <c r="P347" s="40" t="str">
        <f>IF(A347="","",SETTINGS!$B$6)</f>
        <v/>
      </c>
      <c r="Q347" s="40" t="str">
        <f>IF(A347="","",SETTINGS!$B$7)</f>
        <v/>
      </c>
      <c r="R347" s="40" t="str">
        <f>IF(A347="","",SETTINGS!$B$8)</f>
        <v/>
      </c>
      <c r="S347" s="38"/>
    </row>
    <row r="348" spans="1:19" ht="14.45" customHeight="1">
      <c r="A348" s="38"/>
      <c r="B348" s="38"/>
      <c r="C348" s="38"/>
      <c r="D348" s="38"/>
      <c r="E348" s="38"/>
      <c r="F348" s="38"/>
      <c r="G348" s="39"/>
      <c r="H348" s="39"/>
      <c r="I348" s="39"/>
      <c r="J348" s="39"/>
      <c r="K348" s="39"/>
      <c r="L348" s="39"/>
      <c r="M348" s="40">
        <f t="shared" si="4"/>
        <v>0</v>
      </c>
      <c r="N348" s="40" t="e">
        <f>IF(M348="","",M348*SETTINGS!$B$9)</f>
        <v>#VALUE!</v>
      </c>
      <c r="O348" s="40" t="e">
        <f>IF(M348="","",M348*SETTINGS!$B$10)</f>
        <v>#VALUE!</v>
      </c>
      <c r="P348" s="40" t="str">
        <f>IF(A348="","",SETTINGS!$B$6)</f>
        <v/>
      </c>
      <c r="Q348" s="40" t="str">
        <f>IF(A348="","",SETTINGS!$B$7)</f>
        <v/>
      </c>
      <c r="R348" s="40" t="str">
        <f>IF(A348="","",SETTINGS!$B$8)</f>
        <v/>
      </c>
      <c r="S348" s="38"/>
    </row>
    <row r="349" spans="1:19" ht="14.45" customHeight="1">
      <c r="A349" s="38"/>
      <c r="B349" s="38"/>
      <c r="C349" s="38"/>
      <c r="D349" s="38"/>
      <c r="E349" s="38"/>
      <c r="F349" s="38"/>
      <c r="G349" s="39"/>
      <c r="H349" s="39"/>
      <c r="I349" s="39"/>
      <c r="J349" s="39"/>
      <c r="K349" s="39"/>
      <c r="L349" s="39"/>
      <c r="M349" s="40">
        <f t="shared" si="4"/>
        <v>0</v>
      </c>
      <c r="N349" s="40" t="e">
        <f>IF(M349="","",M349*SETTINGS!$B$9)</f>
        <v>#VALUE!</v>
      </c>
      <c r="O349" s="40" t="e">
        <f>IF(M349="","",M349*SETTINGS!$B$10)</f>
        <v>#VALUE!</v>
      </c>
      <c r="P349" s="40" t="str">
        <f>IF(A349="","",SETTINGS!$B$6)</f>
        <v/>
      </c>
      <c r="Q349" s="40" t="str">
        <f>IF(A349="","",SETTINGS!$B$7)</f>
        <v/>
      </c>
      <c r="R349" s="40" t="str">
        <f>IF(A349="","",SETTINGS!$B$8)</f>
        <v/>
      </c>
      <c r="S349" s="38"/>
    </row>
    <row r="350" spans="1:19" ht="14.45" customHeight="1">
      <c r="A350" s="38"/>
      <c r="B350" s="38"/>
      <c r="C350" s="38"/>
      <c r="D350" s="38"/>
      <c r="E350" s="38"/>
      <c r="F350" s="38"/>
      <c r="G350" s="39"/>
      <c r="H350" s="39"/>
      <c r="I350" s="39"/>
      <c r="J350" s="39"/>
      <c r="K350" s="39"/>
      <c r="L350" s="39"/>
      <c r="M350" s="40">
        <f t="shared" si="4"/>
        <v>0</v>
      </c>
      <c r="N350" s="40" t="e">
        <f>IF(M350="","",M350*SETTINGS!$B$9)</f>
        <v>#VALUE!</v>
      </c>
      <c r="O350" s="40" t="e">
        <f>IF(M350="","",M350*SETTINGS!$B$10)</f>
        <v>#VALUE!</v>
      </c>
      <c r="P350" s="40" t="str">
        <f>IF(A350="","",SETTINGS!$B$6)</f>
        <v/>
      </c>
      <c r="Q350" s="40" t="str">
        <f>IF(A350="","",SETTINGS!$B$7)</f>
        <v/>
      </c>
      <c r="R350" s="40" t="str">
        <f>IF(A350="","",SETTINGS!$B$8)</f>
        <v/>
      </c>
      <c r="S350" s="38"/>
    </row>
    <row r="351" spans="1:19" ht="14.45" customHeight="1">
      <c r="A351" s="38"/>
      <c r="B351" s="38"/>
      <c r="C351" s="38"/>
      <c r="D351" s="38"/>
      <c r="E351" s="38"/>
      <c r="F351" s="38"/>
      <c r="G351" s="39"/>
      <c r="H351" s="39"/>
      <c r="I351" s="39"/>
      <c r="J351" s="39"/>
      <c r="K351" s="39"/>
      <c r="L351" s="39"/>
      <c r="M351" s="40">
        <f t="shared" si="4"/>
        <v>0</v>
      </c>
      <c r="N351" s="40" t="e">
        <f>IF(M351="","",M351*SETTINGS!$B$9)</f>
        <v>#VALUE!</v>
      </c>
      <c r="O351" s="40" t="e">
        <f>IF(M351="","",M351*SETTINGS!$B$10)</f>
        <v>#VALUE!</v>
      </c>
      <c r="P351" s="40" t="str">
        <f>IF(A351="","",SETTINGS!$B$6)</f>
        <v/>
      </c>
      <c r="Q351" s="40" t="str">
        <f>IF(A351="","",SETTINGS!$B$7)</f>
        <v/>
      </c>
      <c r="R351" s="40" t="str">
        <f>IF(A351="","",SETTINGS!$B$8)</f>
        <v/>
      </c>
      <c r="S351" s="38"/>
    </row>
    <row r="352" spans="1:19" ht="14.45" customHeight="1">
      <c r="A352" s="38"/>
      <c r="B352" s="38"/>
      <c r="C352" s="38"/>
      <c r="D352" s="38"/>
      <c r="E352" s="38"/>
      <c r="F352" s="38"/>
      <c r="G352" s="39"/>
      <c r="H352" s="39"/>
      <c r="I352" s="39"/>
      <c r="J352" s="39"/>
      <c r="K352" s="39"/>
      <c r="L352" s="39"/>
      <c r="M352" s="40">
        <f t="shared" si="4"/>
        <v>0</v>
      </c>
      <c r="N352" s="40" t="e">
        <f>IF(M352="","",M352*SETTINGS!$B$9)</f>
        <v>#VALUE!</v>
      </c>
      <c r="O352" s="40" t="e">
        <f>IF(M352="","",M352*SETTINGS!$B$10)</f>
        <v>#VALUE!</v>
      </c>
      <c r="P352" s="40" t="str">
        <f>IF(A352="","",SETTINGS!$B$6)</f>
        <v/>
      </c>
      <c r="Q352" s="40" t="str">
        <f>IF(A352="","",SETTINGS!$B$7)</f>
        <v/>
      </c>
      <c r="R352" s="40" t="str">
        <f>IF(A352="","",SETTINGS!$B$8)</f>
        <v/>
      </c>
      <c r="S352" s="38"/>
    </row>
    <row r="353" spans="1:19" ht="14.45" customHeight="1">
      <c r="A353" s="38"/>
      <c r="B353" s="38"/>
      <c r="C353" s="38"/>
      <c r="D353" s="38"/>
      <c r="E353" s="38"/>
      <c r="F353" s="38"/>
      <c r="G353" s="39"/>
      <c r="H353" s="39"/>
      <c r="I353" s="39"/>
      <c r="J353" s="39"/>
      <c r="K353" s="39"/>
      <c r="L353" s="39"/>
      <c r="M353" s="40">
        <f t="shared" si="4"/>
        <v>0</v>
      </c>
      <c r="N353" s="40" t="e">
        <f>IF(M353="","",M353*SETTINGS!$B$9)</f>
        <v>#VALUE!</v>
      </c>
      <c r="O353" s="40" t="e">
        <f>IF(M353="","",M353*SETTINGS!$B$10)</f>
        <v>#VALUE!</v>
      </c>
      <c r="P353" s="40" t="str">
        <f>IF(A353="","",SETTINGS!$B$6)</f>
        <v/>
      </c>
      <c r="Q353" s="40" t="str">
        <f>IF(A353="","",SETTINGS!$B$7)</f>
        <v/>
      </c>
      <c r="R353" s="40" t="str">
        <f>IF(A353="","",SETTINGS!$B$8)</f>
        <v/>
      </c>
      <c r="S353" s="38"/>
    </row>
    <row r="354" spans="1:19" ht="14.45" customHeight="1">
      <c r="A354" s="38"/>
      <c r="B354" s="38"/>
      <c r="C354" s="38"/>
      <c r="D354" s="38"/>
      <c r="E354" s="38"/>
      <c r="F354" s="38"/>
      <c r="G354" s="39"/>
      <c r="H354" s="39"/>
      <c r="I354" s="39"/>
      <c r="J354" s="39"/>
      <c r="K354" s="39"/>
      <c r="L354" s="39"/>
      <c r="M354" s="40">
        <f t="shared" si="4"/>
        <v>0</v>
      </c>
      <c r="N354" s="40" t="e">
        <f>IF(M354="","",M354*SETTINGS!$B$9)</f>
        <v>#VALUE!</v>
      </c>
      <c r="O354" s="40" t="e">
        <f>IF(M354="","",M354*SETTINGS!$B$10)</f>
        <v>#VALUE!</v>
      </c>
      <c r="P354" s="40" t="str">
        <f>IF(A354="","",SETTINGS!$B$6)</f>
        <v/>
      </c>
      <c r="Q354" s="40" t="str">
        <f>IF(A354="","",SETTINGS!$B$7)</f>
        <v/>
      </c>
      <c r="R354" s="40" t="str">
        <f>IF(A354="","",SETTINGS!$B$8)</f>
        <v/>
      </c>
      <c r="S354" s="38"/>
    </row>
    <row r="355" spans="1:19" ht="14.45" customHeight="1">
      <c r="A355" s="38"/>
      <c r="B355" s="38"/>
      <c r="C355" s="38"/>
      <c r="D355" s="38"/>
      <c r="E355" s="38"/>
      <c r="F355" s="38"/>
      <c r="G355" s="39"/>
      <c r="H355" s="39"/>
      <c r="I355" s="39"/>
      <c r="J355" s="39"/>
      <c r="K355" s="39"/>
      <c r="L355" s="39"/>
      <c r="M355" s="40">
        <f t="shared" si="4"/>
        <v>0</v>
      </c>
      <c r="N355" s="40" t="e">
        <f>IF(M355="","",M355*SETTINGS!$B$9)</f>
        <v>#VALUE!</v>
      </c>
      <c r="O355" s="40" t="e">
        <f>IF(M355="","",M355*SETTINGS!$B$10)</f>
        <v>#VALUE!</v>
      </c>
      <c r="P355" s="40" t="str">
        <f>IF(A355="","",SETTINGS!$B$6)</f>
        <v/>
      </c>
      <c r="Q355" s="40" t="str">
        <f>IF(A355="","",SETTINGS!$B$7)</f>
        <v/>
      </c>
      <c r="R355" s="40" t="str">
        <f>IF(A355="","",SETTINGS!$B$8)</f>
        <v/>
      </c>
      <c r="S355" s="38"/>
    </row>
    <row r="356" spans="1:19" ht="14.45" customHeight="1">
      <c r="A356" s="38"/>
      <c r="B356" s="38"/>
      <c r="C356" s="38"/>
      <c r="D356" s="38"/>
      <c r="E356" s="38"/>
      <c r="F356" s="38"/>
      <c r="G356" s="39"/>
      <c r="H356" s="39"/>
      <c r="I356" s="39"/>
      <c r="J356" s="39"/>
      <c r="K356" s="39"/>
      <c r="L356" s="39"/>
      <c r="M356" s="40">
        <f t="shared" si="4"/>
        <v>0</v>
      </c>
      <c r="N356" s="40" t="e">
        <f>IF(M356="","",M356*SETTINGS!$B$9)</f>
        <v>#VALUE!</v>
      </c>
      <c r="O356" s="40" t="e">
        <f>IF(M356="","",M356*SETTINGS!$B$10)</f>
        <v>#VALUE!</v>
      </c>
      <c r="P356" s="40" t="str">
        <f>IF(A356="","",SETTINGS!$B$6)</f>
        <v/>
      </c>
      <c r="Q356" s="40" t="str">
        <f>IF(A356="","",SETTINGS!$B$7)</f>
        <v/>
      </c>
      <c r="R356" s="40" t="str">
        <f>IF(A356="","",SETTINGS!$B$8)</f>
        <v/>
      </c>
      <c r="S356" s="38"/>
    </row>
    <row r="357" spans="1:19" ht="14.45" customHeight="1">
      <c r="A357" s="38"/>
      <c r="B357" s="38"/>
      <c r="C357" s="38"/>
      <c r="D357" s="38"/>
      <c r="E357" s="38"/>
      <c r="F357" s="38"/>
      <c r="G357" s="39"/>
      <c r="H357" s="39"/>
      <c r="I357" s="39"/>
      <c r="J357" s="39"/>
      <c r="K357" s="39"/>
      <c r="L357" s="39"/>
      <c r="M357" s="40">
        <f t="shared" si="4"/>
        <v>0</v>
      </c>
      <c r="N357" s="40" t="e">
        <f>IF(M357="","",M357*SETTINGS!$B$9)</f>
        <v>#VALUE!</v>
      </c>
      <c r="O357" s="40" t="e">
        <f>IF(M357="","",M357*SETTINGS!$B$10)</f>
        <v>#VALUE!</v>
      </c>
      <c r="P357" s="40" t="str">
        <f>IF(A357="","",SETTINGS!$B$6)</f>
        <v/>
      </c>
      <c r="Q357" s="40" t="str">
        <f>IF(A357="","",SETTINGS!$B$7)</f>
        <v/>
      </c>
      <c r="R357" s="40" t="str">
        <f>IF(A357="","",SETTINGS!$B$8)</f>
        <v/>
      </c>
      <c r="S357" s="38"/>
    </row>
    <row r="358" spans="1:19" ht="14.45" customHeight="1">
      <c r="A358" s="38"/>
      <c r="B358" s="38"/>
      <c r="C358" s="38"/>
      <c r="D358" s="38"/>
      <c r="E358" s="38"/>
      <c r="F358" s="38"/>
      <c r="G358" s="39"/>
      <c r="H358" s="39"/>
      <c r="I358" s="39"/>
      <c r="J358" s="39"/>
      <c r="K358" s="39"/>
      <c r="L358" s="39"/>
      <c r="M358" s="40">
        <f t="shared" si="4"/>
        <v>0</v>
      </c>
      <c r="N358" s="40" t="e">
        <f>IF(M358="","",M358*SETTINGS!$B$9)</f>
        <v>#VALUE!</v>
      </c>
      <c r="O358" s="40" t="e">
        <f>IF(M358="","",M358*SETTINGS!$B$10)</f>
        <v>#VALUE!</v>
      </c>
      <c r="P358" s="40" t="str">
        <f>IF(A358="","",SETTINGS!$B$6)</f>
        <v/>
      </c>
      <c r="Q358" s="40" t="str">
        <f>IF(A358="","",SETTINGS!$B$7)</f>
        <v/>
      </c>
      <c r="R358" s="40" t="str">
        <f>IF(A358="","",SETTINGS!$B$8)</f>
        <v/>
      </c>
      <c r="S358" s="38"/>
    </row>
    <row r="359" spans="1:19" ht="14.45" customHeight="1">
      <c r="A359" s="38"/>
      <c r="B359" s="38"/>
      <c r="C359" s="38"/>
      <c r="D359" s="38"/>
      <c r="E359" s="38"/>
      <c r="F359" s="38"/>
      <c r="G359" s="39"/>
      <c r="H359" s="39"/>
      <c r="I359" s="39"/>
      <c r="J359" s="39"/>
      <c r="K359" s="39"/>
      <c r="L359" s="39"/>
      <c r="M359" s="40">
        <f t="shared" si="4"/>
        <v>0</v>
      </c>
      <c r="N359" s="40" t="e">
        <f>IF(M359="","",M359*SETTINGS!$B$9)</f>
        <v>#VALUE!</v>
      </c>
      <c r="O359" s="40" t="e">
        <f>IF(M359="","",M359*SETTINGS!$B$10)</f>
        <v>#VALUE!</v>
      </c>
      <c r="P359" s="40" t="str">
        <f>IF(A359="","",SETTINGS!$B$6)</f>
        <v/>
      </c>
      <c r="Q359" s="40" t="str">
        <f>IF(A359="","",SETTINGS!$B$7)</f>
        <v/>
      </c>
      <c r="R359" s="40" t="str">
        <f>IF(A359="","",SETTINGS!$B$8)</f>
        <v/>
      </c>
      <c r="S359" s="38"/>
    </row>
    <row r="360" spans="1:19" ht="14.45" customHeight="1">
      <c r="A360" s="38"/>
      <c r="B360" s="38"/>
      <c r="C360" s="38"/>
      <c r="D360" s="38"/>
      <c r="E360" s="38"/>
      <c r="F360" s="38"/>
      <c r="G360" s="39"/>
      <c r="H360" s="39"/>
      <c r="I360" s="39"/>
      <c r="J360" s="39"/>
      <c r="K360" s="39"/>
      <c r="L360" s="39"/>
      <c r="M360" s="40">
        <f t="shared" si="4"/>
        <v>0</v>
      </c>
      <c r="N360" s="40" t="e">
        <f>IF(M360="","",M360*SETTINGS!$B$9)</f>
        <v>#VALUE!</v>
      </c>
      <c r="O360" s="40" t="e">
        <f>IF(M360="","",M360*SETTINGS!$B$10)</f>
        <v>#VALUE!</v>
      </c>
      <c r="P360" s="40" t="str">
        <f>IF(A360="","",SETTINGS!$B$6)</f>
        <v/>
      </c>
      <c r="Q360" s="40" t="str">
        <f>IF(A360="","",SETTINGS!$B$7)</f>
        <v/>
      </c>
      <c r="R360" s="40" t="str">
        <f>IF(A360="","",SETTINGS!$B$8)</f>
        <v/>
      </c>
      <c r="S360" s="38"/>
    </row>
    <row r="361" spans="1:19" ht="14.45" customHeight="1">
      <c r="A361" s="38"/>
      <c r="B361" s="38"/>
      <c r="C361" s="38"/>
      <c r="D361" s="38"/>
      <c r="E361" s="38"/>
      <c r="F361" s="38"/>
      <c r="G361" s="39"/>
      <c r="H361" s="39"/>
      <c r="I361" s="39"/>
      <c r="J361" s="39"/>
      <c r="K361" s="39"/>
      <c r="L361" s="39"/>
      <c r="M361" s="40">
        <f t="shared" si="4"/>
        <v>0</v>
      </c>
      <c r="N361" s="40" t="e">
        <f>IF(M361="","",M361*SETTINGS!$B$9)</f>
        <v>#VALUE!</v>
      </c>
      <c r="O361" s="40" t="e">
        <f>IF(M361="","",M361*SETTINGS!$B$10)</f>
        <v>#VALUE!</v>
      </c>
      <c r="P361" s="40" t="str">
        <f>IF(A361="","",SETTINGS!$B$6)</f>
        <v/>
      </c>
      <c r="Q361" s="40" t="str">
        <f>IF(A361="","",SETTINGS!$B$7)</f>
        <v/>
      </c>
      <c r="R361" s="40" t="str">
        <f>IF(A361="","",SETTINGS!$B$8)</f>
        <v/>
      </c>
      <c r="S361" s="38"/>
    </row>
    <row r="362" spans="1:19" ht="14.45" customHeight="1">
      <c r="A362" s="38"/>
      <c r="B362" s="38"/>
      <c r="C362" s="38"/>
      <c r="D362" s="38"/>
      <c r="E362" s="38"/>
      <c r="F362" s="38"/>
      <c r="G362" s="39"/>
      <c r="H362" s="39"/>
      <c r="I362" s="39"/>
      <c r="J362" s="39"/>
      <c r="K362" s="39"/>
      <c r="L362" s="39"/>
      <c r="M362" s="40">
        <f t="shared" si="4"/>
        <v>0</v>
      </c>
      <c r="N362" s="40" t="e">
        <f>IF(M362="","",M362*SETTINGS!$B$9)</f>
        <v>#VALUE!</v>
      </c>
      <c r="O362" s="40" t="e">
        <f>IF(M362="","",M362*SETTINGS!$B$10)</f>
        <v>#VALUE!</v>
      </c>
      <c r="P362" s="40" t="str">
        <f>IF(A362="","",SETTINGS!$B$6)</f>
        <v/>
      </c>
      <c r="Q362" s="40" t="str">
        <f>IF(A362="","",SETTINGS!$B$7)</f>
        <v/>
      </c>
      <c r="R362" s="40" t="str">
        <f>IF(A362="","",SETTINGS!$B$8)</f>
        <v/>
      </c>
      <c r="S362" s="38"/>
    </row>
    <row r="363" spans="1:19" ht="14.45" customHeight="1">
      <c r="A363" s="38"/>
      <c r="B363" s="38"/>
      <c r="C363" s="38"/>
      <c r="D363" s="38"/>
      <c r="E363" s="38"/>
      <c r="F363" s="38"/>
      <c r="G363" s="39"/>
      <c r="H363" s="39"/>
      <c r="I363" s="39"/>
      <c r="J363" s="39"/>
      <c r="K363" s="39"/>
      <c r="L363" s="39"/>
      <c r="M363" s="40">
        <f t="shared" si="4"/>
        <v>0</v>
      </c>
      <c r="N363" s="40" t="e">
        <f>IF(M363="","",M363*SETTINGS!$B$9)</f>
        <v>#VALUE!</v>
      </c>
      <c r="O363" s="40" t="e">
        <f>IF(M363="","",M363*SETTINGS!$B$10)</f>
        <v>#VALUE!</v>
      </c>
      <c r="P363" s="40" t="str">
        <f>IF(A363="","",SETTINGS!$B$6)</f>
        <v/>
      </c>
      <c r="Q363" s="40" t="str">
        <f>IF(A363="","",SETTINGS!$B$7)</f>
        <v/>
      </c>
      <c r="R363" s="40" t="str">
        <f>IF(A363="","",SETTINGS!$B$8)</f>
        <v/>
      </c>
      <c r="S363" s="38"/>
    </row>
    <row r="364" spans="1:19" ht="14.45" customHeight="1">
      <c r="A364" s="38"/>
      <c r="B364" s="38"/>
      <c r="C364" s="38"/>
      <c r="D364" s="38"/>
      <c r="E364" s="38"/>
      <c r="F364" s="38"/>
      <c r="G364" s="39"/>
      <c r="H364" s="39"/>
      <c r="I364" s="39"/>
      <c r="J364" s="39"/>
      <c r="K364" s="39"/>
      <c r="L364" s="39"/>
      <c r="M364" s="40">
        <f t="shared" si="4"/>
        <v>0</v>
      </c>
      <c r="N364" s="40" t="e">
        <f>IF(M364="","",M364*SETTINGS!$B$9)</f>
        <v>#VALUE!</v>
      </c>
      <c r="O364" s="40" t="e">
        <f>IF(M364="","",M364*SETTINGS!$B$10)</f>
        <v>#VALUE!</v>
      </c>
      <c r="P364" s="40" t="str">
        <f>IF(A364="","",SETTINGS!$B$6)</f>
        <v/>
      </c>
      <c r="Q364" s="40" t="str">
        <f>IF(A364="","",SETTINGS!$B$7)</f>
        <v/>
      </c>
      <c r="R364" s="40" t="str">
        <f>IF(A364="","",SETTINGS!$B$8)</f>
        <v/>
      </c>
      <c r="S364" s="38"/>
    </row>
    <row r="365" spans="1:19" ht="14.45" customHeight="1">
      <c r="A365" s="38"/>
      <c r="B365" s="38"/>
      <c r="C365" s="38"/>
      <c r="D365" s="38"/>
      <c r="E365" s="38"/>
      <c r="F365" s="38"/>
      <c r="G365" s="39"/>
      <c r="H365" s="39"/>
      <c r="I365" s="39"/>
      <c r="J365" s="39"/>
      <c r="K365" s="39"/>
      <c r="L365" s="39"/>
      <c r="M365" s="40">
        <f t="shared" si="4"/>
        <v>0</v>
      </c>
      <c r="N365" s="40" t="e">
        <f>IF(M365="","",M365*SETTINGS!$B$9)</f>
        <v>#VALUE!</v>
      </c>
      <c r="O365" s="40" t="e">
        <f>IF(M365="","",M365*SETTINGS!$B$10)</f>
        <v>#VALUE!</v>
      </c>
      <c r="P365" s="40" t="str">
        <f>IF(A365="","",SETTINGS!$B$6)</f>
        <v/>
      </c>
      <c r="Q365" s="40" t="str">
        <f>IF(A365="","",SETTINGS!$B$7)</f>
        <v/>
      </c>
      <c r="R365" s="40" t="str">
        <f>IF(A365="","",SETTINGS!$B$8)</f>
        <v/>
      </c>
      <c r="S365" s="38"/>
    </row>
    <row r="366" spans="1:19" ht="14.45" customHeight="1">
      <c r="A366" s="38"/>
      <c r="B366" s="38"/>
      <c r="C366" s="38"/>
      <c r="D366" s="38"/>
      <c r="E366" s="38"/>
      <c r="F366" s="38"/>
      <c r="G366" s="39"/>
      <c r="H366" s="39"/>
      <c r="I366" s="39"/>
      <c r="J366" s="39"/>
      <c r="K366" s="39"/>
      <c r="L366" s="39"/>
      <c r="M366" s="40">
        <f t="shared" si="4"/>
        <v>0</v>
      </c>
      <c r="N366" s="40" t="e">
        <f>IF(M366="","",M366*SETTINGS!$B$9)</f>
        <v>#VALUE!</v>
      </c>
      <c r="O366" s="40" t="e">
        <f>IF(M366="","",M366*SETTINGS!$B$10)</f>
        <v>#VALUE!</v>
      </c>
      <c r="P366" s="40" t="str">
        <f>IF(A366="","",SETTINGS!$B$6)</f>
        <v/>
      </c>
      <c r="Q366" s="40" t="str">
        <f>IF(A366="","",SETTINGS!$B$7)</f>
        <v/>
      </c>
      <c r="R366" s="40" t="str">
        <f>IF(A366="","",SETTINGS!$B$8)</f>
        <v/>
      </c>
      <c r="S366" s="38"/>
    </row>
    <row r="367" spans="1:19" ht="14.45" customHeight="1">
      <c r="A367" s="38"/>
      <c r="B367" s="38"/>
      <c r="C367" s="38"/>
      <c r="D367" s="38"/>
      <c r="E367" s="38"/>
      <c r="F367" s="38"/>
      <c r="G367" s="39"/>
      <c r="H367" s="39"/>
      <c r="I367" s="39"/>
      <c r="J367" s="39"/>
      <c r="K367" s="39"/>
      <c r="L367" s="39"/>
      <c r="M367" s="40">
        <f t="shared" si="4"/>
        <v>0</v>
      </c>
      <c r="N367" s="40" t="e">
        <f>IF(M367="","",M367*SETTINGS!$B$9)</f>
        <v>#VALUE!</v>
      </c>
      <c r="O367" s="40" t="e">
        <f>IF(M367="","",M367*SETTINGS!$B$10)</f>
        <v>#VALUE!</v>
      </c>
      <c r="P367" s="40" t="str">
        <f>IF(A367="","",SETTINGS!$B$6)</f>
        <v/>
      </c>
      <c r="Q367" s="40" t="str">
        <f>IF(A367="","",SETTINGS!$B$7)</f>
        <v/>
      </c>
      <c r="R367" s="40" t="str">
        <f>IF(A367="","",SETTINGS!$B$8)</f>
        <v/>
      </c>
      <c r="S367" s="38"/>
    </row>
    <row r="368" spans="1:19" ht="14.45" customHeight="1">
      <c r="A368" s="38"/>
      <c r="B368" s="38"/>
      <c r="C368" s="38"/>
      <c r="D368" s="38"/>
      <c r="E368" s="38"/>
      <c r="F368" s="38"/>
      <c r="G368" s="39"/>
      <c r="H368" s="39"/>
      <c r="I368" s="39"/>
      <c r="J368" s="39"/>
      <c r="K368" s="39"/>
      <c r="L368" s="39"/>
      <c r="M368" s="40">
        <f t="shared" si="4"/>
        <v>0</v>
      </c>
      <c r="N368" s="40" t="e">
        <f>IF(M368="","",M368*SETTINGS!$B$9)</f>
        <v>#VALUE!</v>
      </c>
      <c r="O368" s="40" t="e">
        <f>IF(M368="","",M368*SETTINGS!$B$10)</f>
        <v>#VALUE!</v>
      </c>
      <c r="P368" s="40" t="str">
        <f>IF(A368="","",SETTINGS!$B$6)</f>
        <v/>
      </c>
      <c r="Q368" s="40" t="str">
        <f>IF(A368="","",SETTINGS!$B$7)</f>
        <v/>
      </c>
      <c r="R368" s="40" t="str">
        <f>IF(A368="","",SETTINGS!$B$8)</f>
        <v/>
      </c>
      <c r="S368" s="38"/>
    </row>
    <row r="369" spans="1:19" ht="14.45" customHeight="1">
      <c r="A369" s="38"/>
      <c r="B369" s="38"/>
      <c r="C369" s="38"/>
      <c r="D369" s="38"/>
      <c r="E369" s="38"/>
      <c r="F369" s="38"/>
      <c r="G369" s="39"/>
      <c r="H369" s="39"/>
      <c r="I369" s="39"/>
      <c r="J369" s="39"/>
      <c r="K369" s="39"/>
      <c r="L369" s="39"/>
      <c r="M369" s="40">
        <f t="shared" si="4"/>
        <v>0</v>
      </c>
      <c r="N369" s="40" t="e">
        <f>IF(M369="","",M369*SETTINGS!$B$9)</f>
        <v>#VALUE!</v>
      </c>
      <c r="O369" s="40" t="e">
        <f>IF(M369="","",M369*SETTINGS!$B$10)</f>
        <v>#VALUE!</v>
      </c>
      <c r="P369" s="40" t="str">
        <f>IF(A369="","",SETTINGS!$B$6)</f>
        <v/>
      </c>
      <c r="Q369" s="40" t="str">
        <f>IF(A369="","",SETTINGS!$B$7)</f>
        <v/>
      </c>
      <c r="R369" s="40" t="str">
        <f>IF(A369="","",SETTINGS!$B$8)</f>
        <v/>
      </c>
      <c r="S369" s="38"/>
    </row>
    <row r="370" spans="1:19" ht="14.45" customHeight="1">
      <c r="A370" s="38"/>
      <c r="B370" s="38"/>
      <c r="C370" s="38"/>
      <c r="D370" s="38"/>
      <c r="E370" s="38"/>
      <c r="F370" s="38"/>
      <c r="G370" s="39"/>
      <c r="H370" s="39"/>
      <c r="I370" s="39"/>
      <c r="J370" s="39"/>
      <c r="K370" s="39"/>
      <c r="L370" s="39"/>
      <c r="M370" s="40">
        <f t="shared" si="4"/>
        <v>0</v>
      </c>
      <c r="N370" s="40" t="e">
        <f>IF(M370="","",M370*SETTINGS!$B$9)</f>
        <v>#VALUE!</v>
      </c>
      <c r="O370" s="40" t="e">
        <f>IF(M370="","",M370*SETTINGS!$B$10)</f>
        <v>#VALUE!</v>
      </c>
      <c r="P370" s="40" t="str">
        <f>IF(A370="","",SETTINGS!$B$6)</f>
        <v/>
      </c>
      <c r="Q370" s="40" t="str">
        <f>IF(A370="","",SETTINGS!$B$7)</f>
        <v/>
      </c>
      <c r="R370" s="40" t="str">
        <f>IF(A370="","",SETTINGS!$B$8)</f>
        <v/>
      </c>
      <c r="S370" s="38"/>
    </row>
    <row r="371" spans="1:19" ht="14.45" customHeight="1">
      <c r="A371" s="38"/>
      <c r="B371" s="38"/>
      <c r="C371" s="38"/>
      <c r="D371" s="38"/>
      <c r="E371" s="38"/>
      <c r="F371" s="38"/>
      <c r="G371" s="39"/>
      <c r="H371" s="39"/>
      <c r="I371" s="39"/>
      <c r="J371" s="39"/>
      <c r="K371" s="39"/>
      <c r="L371" s="39"/>
      <c r="M371" s="40">
        <f t="shared" si="4"/>
        <v>0</v>
      </c>
      <c r="N371" s="40" t="e">
        <f>IF(M371="","",M371*SETTINGS!$B$9)</f>
        <v>#VALUE!</v>
      </c>
      <c r="O371" s="40" t="e">
        <f>IF(M371="","",M371*SETTINGS!$B$10)</f>
        <v>#VALUE!</v>
      </c>
      <c r="P371" s="40" t="str">
        <f>IF(A371="","",SETTINGS!$B$6)</f>
        <v/>
      </c>
      <c r="Q371" s="40" t="str">
        <f>IF(A371="","",SETTINGS!$B$7)</f>
        <v/>
      </c>
      <c r="R371" s="40" t="str">
        <f>IF(A371="","",SETTINGS!$B$8)</f>
        <v/>
      </c>
      <c r="S371" s="38"/>
    </row>
    <row r="372" spans="1:19" ht="14.45" customHeight="1">
      <c r="A372" s="38"/>
      <c r="B372" s="38"/>
      <c r="C372" s="38"/>
      <c r="D372" s="38"/>
      <c r="E372" s="38"/>
      <c r="F372" s="38"/>
      <c r="G372" s="39"/>
      <c r="H372" s="39"/>
      <c r="I372" s="39"/>
      <c r="J372" s="39"/>
      <c r="K372" s="39"/>
      <c r="L372" s="39"/>
      <c r="M372" s="40">
        <f t="shared" si="4"/>
        <v>0</v>
      </c>
      <c r="N372" s="40" t="e">
        <f>IF(M372="","",M372*SETTINGS!$B$9)</f>
        <v>#VALUE!</v>
      </c>
      <c r="O372" s="40" t="e">
        <f>IF(M372="","",M372*SETTINGS!$B$10)</f>
        <v>#VALUE!</v>
      </c>
      <c r="P372" s="40" t="str">
        <f>IF(A372="","",SETTINGS!$B$6)</f>
        <v/>
      </c>
      <c r="Q372" s="40" t="str">
        <f>IF(A372="","",SETTINGS!$B$7)</f>
        <v/>
      </c>
      <c r="R372" s="40" t="str">
        <f>IF(A372="","",SETTINGS!$B$8)</f>
        <v/>
      </c>
      <c r="S372" s="38"/>
    </row>
    <row r="373" spans="1:19" ht="14.45" customHeight="1">
      <c r="A373" s="38"/>
      <c r="B373" s="38"/>
      <c r="C373" s="38"/>
      <c r="D373" s="38"/>
      <c r="E373" s="38"/>
      <c r="F373" s="38"/>
      <c r="G373" s="39"/>
      <c r="H373" s="39"/>
      <c r="I373" s="39"/>
      <c r="J373" s="39"/>
      <c r="K373" s="39"/>
      <c r="L373" s="39"/>
      <c r="M373" s="40">
        <f t="shared" si="4"/>
        <v>0</v>
      </c>
      <c r="N373" s="40" t="e">
        <f>IF(M373="","",M373*SETTINGS!$B$9)</f>
        <v>#VALUE!</v>
      </c>
      <c r="O373" s="40" t="e">
        <f>IF(M373="","",M373*SETTINGS!$B$10)</f>
        <v>#VALUE!</v>
      </c>
      <c r="P373" s="40" t="str">
        <f>IF(A373="","",SETTINGS!$B$6)</f>
        <v/>
      </c>
      <c r="Q373" s="40" t="str">
        <f>IF(A373="","",SETTINGS!$B$7)</f>
        <v/>
      </c>
      <c r="R373" s="40" t="str">
        <f>IF(A373="","",SETTINGS!$B$8)</f>
        <v/>
      </c>
      <c r="S373" s="38"/>
    </row>
    <row r="374" spans="1:19" ht="14.45" customHeight="1">
      <c r="A374" s="38"/>
      <c r="B374" s="38"/>
      <c r="C374" s="38"/>
      <c r="D374" s="38"/>
      <c r="E374" s="38"/>
      <c r="F374" s="38"/>
      <c r="G374" s="39"/>
      <c r="H374" s="39"/>
      <c r="I374" s="39"/>
      <c r="J374" s="39"/>
      <c r="K374" s="39"/>
      <c r="L374" s="39"/>
      <c r="M374" s="40">
        <f t="shared" si="4"/>
        <v>0</v>
      </c>
      <c r="N374" s="40" t="e">
        <f>IF(M374="","",M374*SETTINGS!$B$9)</f>
        <v>#VALUE!</v>
      </c>
      <c r="O374" s="40" t="e">
        <f>IF(M374="","",M374*SETTINGS!$B$10)</f>
        <v>#VALUE!</v>
      </c>
      <c r="P374" s="40" t="str">
        <f>IF(A374="","",SETTINGS!$B$6)</f>
        <v/>
      </c>
      <c r="Q374" s="40" t="str">
        <f>IF(A374="","",SETTINGS!$B$7)</f>
        <v/>
      </c>
      <c r="R374" s="40" t="str">
        <f>IF(A374="","",SETTINGS!$B$8)</f>
        <v/>
      </c>
      <c r="S374" s="38"/>
    </row>
    <row r="375" spans="1:19" ht="14.45" customHeight="1">
      <c r="A375" s="38"/>
      <c r="B375" s="38"/>
      <c r="C375" s="38"/>
      <c r="D375" s="38"/>
      <c r="E375" s="38"/>
      <c r="F375" s="38"/>
      <c r="G375" s="39"/>
      <c r="H375" s="39"/>
      <c r="I375" s="39"/>
      <c r="J375" s="39"/>
      <c r="K375" s="39"/>
      <c r="L375" s="39"/>
      <c r="M375" s="40">
        <f t="shared" si="4"/>
        <v>0</v>
      </c>
      <c r="N375" s="40" t="e">
        <f>IF(M375="","",M375*SETTINGS!$B$9)</f>
        <v>#VALUE!</v>
      </c>
      <c r="O375" s="40" t="e">
        <f>IF(M375="","",M375*SETTINGS!$B$10)</f>
        <v>#VALUE!</v>
      </c>
      <c r="P375" s="40" t="str">
        <f>IF(A375="","",SETTINGS!$B$6)</f>
        <v/>
      </c>
      <c r="Q375" s="40" t="str">
        <f>IF(A375="","",SETTINGS!$B$7)</f>
        <v/>
      </c>
      <c r="R375" s="40" t="str">
        <f>IF(A375="","",SETTINGS!$B$8)</f>
        <v/>
      </c>
      <c r="S375" s="38"/>
    </row>
    <row r="376" spans="1:19" ht="14.45" customHeight="1">
      <c r="A376" s="38"/>
      <c r="B376" s="38"/>
      <c r="C376" s="38"/>
      <c r="D376" s="38"/>
      <c r="E376" s="38"/>
      <c r="F376" s="38"/>
      <c r="G376" s="39"/>
      <c r="H376" s="39"/>
      <c r="I376" s="39"/>
      <c r="J376" s="39"/>
      <c r="K376" s="39"/>
      <c r="L376" s="39"/>
      <c r="M376" s="40">
        <f t="shared" si="4"/>
        <v>0</v>
      </c>
      <c r="N376" s="40" t="e">
        <f>IF(M376="","",M376*SETTINGS!$B$9)</f>
        <v>#VALUE!</v>
      </c>
      <c r="O376" s="40" t="e">
        <f>IF(M376="","",M376*SETTINGS!$B$10)</f>
        <v>#VALUE!</v>
      </c>
      <c r="P376" s="40" t="str">
        <f>IF(A376="","",SETTINGS!$B$6)</f>
        <v/>
      </c>
      <c r="Q376" s="40" t="str">
        <f>IF(A376="","",SETTINGS!$B$7)</f>
        <v/>
      </c>
      <c r="R376" s="40" t="str">
        <f>IF(A376="","",SETTINGS!$B$8)</f>
        <v/>
      </c>
      <c r="S376" s="38"/>
    </row>
    <row r="377" spans="1:19" ht="14.45" customHeight="1">
      <c r="A377" s="38"/>
      <c r="B377" s="38"/>
      <c r="C377" s="38"/>
      <c r="D377" s="38"/>
      <c r="E377" s="38"/>
      <c r="F377" s="38"/>
      <c r="G377" s="39"/>
      <c r="H377" s="39"/>
      <c r="I377" s="39"/>
      <c r="J377" s="39"/>
      <c r="K377" s="39"/>
      <c r="L377" s="39"/>
      <c r="M377" s="40">
        <f t="shared" si="4"/>
        <v>0</v>
      </c>
      <c r="N377" s="40" t="e">
        <f>IF(M377="","",M377*SETTINGS!$B$9)</f>
        <v>#VALUE!</v>
      </c>
      <c r="O377" s="40" t="e">
        <f>IF(M377="","",M377*SETTINGS!$B$10)</f>
        <v>#VALUE!</v>
      </c>
      <c r="P377" s="40" t="str">
        <f>IF(A377="","",SETTINGS!$B$6)</f>
        <v/>
      </c>
      <c r="Q377" s="40" t="str">
        <f>IF(A377="","",SETTINGS!$B$7)</f>
        <v/>
      </c>
      <c r="R377" s="40" t="str">
        <f>IF(A377="","",SETTINGS!$B$8)</f>
        <v/>
      </c>
      <c r="S377" s="38"/>
    </row>
    <row r="378" spans="1:19" ht="14.45" customHeight="1">
      <c r="A378" s="38"/>
      <c r="B378" s="38"/>
      <c r="C378" s="38"/>
      <c r="D378" s="38"/>
      <c r="E378" s="38"/>
      <c r="F378" s="38"/>
      <c r="G378" s="39"/>
      <c r="H378" s="39"/>
      <c r="I378" s="39"/>
      <c r="J378" s="39"/>
      <c r="K378" s="39"/>
      <c r="L378" s="39"/>
      <c r="M378" s="40">
        <f t="shared" si="4"/>
        <v>0</v>
      </c>
      <c r="N378" s="40" t="e">
        <f>IF(M378="","",M378*SETTINGS!$B$9)</f>
        <v>#VALUE!</v>
      </c>
      <c r="O378" s="40" t="e">
        <f>IF(M378="","",M378*SETTINGS!$B$10)</f>
        <v>#VALUE!</v>
      </c>
      <c r="P378" s="40" t="str">
        <f>IF(A378="","",SETTINGS!$B$6)</f>
        <v/>
      </c>
      <c r="Q378" s="40" t="str">
        <f>IF(A378="","",SETTINGS!$B$7)</f>
        <v/>
      </c>
      <c r="R378" s="40" t="str">
        <f>IF(A378="","",SETTINGS!$B$8)</f>
        <v/>
      </c>
      <c r="S378" s="38"/>
    </row>
    <row r="379" spans="1:19" ht="14.45" customHeight="1">
      <c r="A379" s="38"/>
      <c r="B379" s="38"/>
      <c r="C379" s="38"/>
      <c r="D379" s="38"/>
      <c r="E379" s="38"/>
      <c r="F379" s="38"/>
      <c r="G379" s="39"/>
      <c r="H379" s="39"/>
      <c r="I379" s="39"/>
      <c r="J379" s="39"/>
      <c r="K379" s="39"/>
      <c r="L379" s="39"/>
      <c r="M379" s="40">
        <f t="shared" si="4"/>
        <v>0</v>
      </c>
      <c r="N379" s="40" t="e">
        <f>IF(M379="","",M379*SETTINGS!$B$9)</f>
        <v>#VALUE!</v>
      </c>
      <c r="O379" s="40" t="e">
        <f>IF(M379="","",M379*SETTINGS!$B$10)</f>
        <v>#VALUE!</v>
      </c>
      <c r="P379" s="40" t="str">
        <f>IF(A379="","",SETTINGS!$B$6)</f>
        <v/>
      </c>
      <c r="Q379" s="40" t="str">
        <f>IF(A379="","",SETTINGS!$B$7)</f>
        <v/>
      </c>
      <c r="R379" s="40" t="str">
        <f>IF(A379="","",SETTINGS!$B$8)</f>
        <v/>
      </c>
      <c r="S379" s="38"/>
    </row>
    <row r="380" spans="1:19" ht="14.45" customHeight="1">
      <c r="A380" s="38"/>
      <c r="B380" s="38"/>
      <c r="C380" s="38"/>
      <c r="D380" s="38"/>
      <c r="E380" s="38"/>
      <c r="F380" s="38"/>
      <c r="G380" s="39"/>
      <c r="H380" s="39"/>
      <c r="I380" s="39"/>
      <c r="J380" s="39"/>
      <c r="K380" s="39"/>
      <c r="L380" s="39"/>
      <c r="M380" s="40">
        <f t="shared" si="4"/>
        <v>0</v>
      </c>
      <c r="N380" s="40" t="e">
        <f>IF(M380="","",M380*SETTINGS!$B$9)</f>
        <v>#VALUE!</v>
      </c>
      <c r="O380" s="40" t="e">
        <f>IF(M380="","",M380*SETTINGS!$B$10)</f>
        <v>#VALUE!</v>
      </c>
      <c r="P380" s="40" t="str">
        <f>IF(A380="","",SETTINGS!$B$6)</f>
        <v/>
      </c>
      <c r="Q380" s="40" t="str">
        <f>IF(A380="","",SETTINGS!$B$7)</f>
        <v/>
      </c>
      <c r="R380" s="40" t="str">
        <f>IF(A380="","",SETTINGS!$B$8)</f>
        <v/>
      </c>
      <c r="S380" s="38"/>
    </row>
    <row r="381" spans="1:19" ht="14.45" customHeight="1">
      <c r="A381" s="38"/>
      <c r="B381" s="38"/>
      <c r="C381" s="38"/>
      <c r="D381" s="38"/>
      <c r="E381" s="38"/>
      <c r="F381" s="38"/>
      <c r="G381" s="39"/>
      <c r="H381" s="39"/>
      <c r="I381" s="39"/>
      <c r="J381" s="39"/>
      <c r="K381" s="39"/>
      <c r="L381" s="39"/>
      <c r="M381" s="40">
        <f t="shared" si="4"/>
        <v>0</v>
      </c>
      <c r="N381" s="40" t="e">
        <f>IF(M381="","",M381*SETTINGS!$B$9)</f>
        <v>#VALUE!</v>
      </c>
      <c r="O381" s="40" t="e">
        <f>IF(M381="","",M381*SETTINGS!$B$10)</f>
        <v>#VALUE!</v>
      </c>
      <c r="P381" s="40" t="str">
        <f>IF(A381="","",SETTINGS!$B$6)</f>
        <v/>
      </c>
      <c r="Q381" s="40" t="str">
        <f>IF(A381="","",SETTINGS!$B$7)</f>
        <v/>
      </c>
      <c r="R381" s="40" t="str">
        <f>IF(A381="","",SETTINGS!$B$8)</f>
        <v/>
      </c>
      <c r="S381" s="38"/>
    </row>
    <row r="382" spans="1:19" ht="14.45" customHeight="1">
      <c r="A382" s="38"/>
      <c r="B382" s="38"/>
      <c r="C382" s="38"/>
      <c r="D382" s="38"/>
      <c r="E382" s="38"/>
      <c r="F382" s="38"/>
      <c r="G382" s="39"/>
      <c r="H382" s="39"/>
      <c r="I382" s="39"/>
      <c r="J382" s="39"/>
      <c r="K382" s="39"/>
      <c r="L382" s="39"/>
      <c r="M382" s="40">
        <f t="shared" si="4"/>
        <v>0</v>
      </c>
      <c r="N382" s="40" t="e">
        <f>IF(M382="","",M382*SETTINGS!$B$9)</f>
        <v>#VALUE!</v>
      </c>
      <c r="O382" s="40" t="e">
        <f>IF(M382="","",M382*SETTINGS!$B$10)</f>
        <v>#VALUE!</v>
      </c>
      <c r="P382" s="40" t="str">
        <f>IF(A382="","",SETTINGS!$B$6)</f>
        <v/>
      </c>
      <c r="Q382" s="40" t="str">
        <f>IF(A382="","",SETTINGS!$B$7)</f>
        <v/>
      </c>
      <c r="R382" s="40" t="str">
        <f>IF(A382="","",SETTINGS!$B$8)</f>
        <v/>
      </c>
      <c r="S382" s="38"/>
    </row>
    <row r="383" spans="1:19" ht="14.45" customHeight="1">
      <c r="A383" s="38"/>
      <c r="B383" s="38"/>
      <c r="C383" s="38"/>
      <c r="D383" s="38"/>
      <c r="E383" s="38"/>
      <c r="F383" s="38"/>
      <c r="G383" s="39"/>
      <c r="H383" s="39"/>
      <c r="I383" s="39"/>
      <c r="J383" s="39"/>
      <c r="K383" s="39"/>
      <c r="L383" s="39"/>
      <c r="M383" s="40">
        <f t="shared" si="4"/>
        <v>0</v>
      </c>
      <c r="N383" s="40" t="e">
        <f>IF(M383="","",M383*SETTINGS!$B$9)</f>
        <v>#VALUE!</v>
      </c>
      <c r="O383" s="40" t="e">
        <f>IF(M383="","",M383*SETTINGS!$B$10)</f>
        <v>#VALUE!</v>
      </c>
      <c r="P383" s="40" t="str">
        <f>IF(A383="","",SETTINGS!$B$6)</f>
        <v/>
      </c>
      <c r="Q383" s="40" t="str">
        <f>IF(A383="","",SETTINGS!$B$7)</f>
        <v/>
      </c>
      <c r="R383" s="40" t="str">
        <f>IF(A383="","",SETTINGS!$B$8)</f>
        <v/>
      </c>
      <c r="S383" s="38"/>
    </row>
    <row r="384" spans="1:19" ht="14.45" customHeight="1">
      <c r="A384" s="38"/>
      <c r="B384" s="38"/>
      <c r="C384" s="38"/>
      <c r="D384" s="38"/>
      <c r="E384" s="38"/>
      <c r="F384" s="38"/>
      <c r="G384" s="39"/>
      <c r="H384" s="39"/>
      <c r="I384" s="39"/>
      <c r="J384" s="39"/>
      <c r="K384" s="39"/>
      <c r="L384" s="39"/>
      <c r="M384" s="40">
        <f t="shared" si="4"/>
        <v>0</v>
      </c>
      <c r="N384" s="40" t="e">
        <f>IF(M384="","",M384*SETTINGS!$B$9)</f>
        <v>#VALUE!</v>
      </c>
      <c r="O384" s="40" t="e">
        <f>IF(M384="","",M384*SETTINGS!$B$10)</f>
        <v>#VALUE!</v>
      </c>
      <c r="P384" s="40" t="str">
        <f>IF(A384="","",SETTINGS!$B$6)</f>
        <v/>
      </c>
      <c r="Q384" s="40" t="str">
        <f>IF(A384="","",SETTINGS!$B$7)</f>
        <v/>
      </c>
      <c r="R384" s="40" t="str">
        <f>IF(A384="","",SETTINGS!$B$8)</f>
        <v/>
      </c>
      <c r="S384" s="38"/>
    </row>
    <row r="385" spans="1:19" ht="14.45" customHeight="1">
      <c r="A385" s="38"/>
      <c r="B385" s="38"/>
      <c r="C385" s="38"/>
      <c r="D385" s="38"/>
      <c r="E385" s="38"/>
      <c r="F385" s="38"/>
      <c r="G385" s="39"/>
      <c r="H385" s="39"/>
      <c r="I385" s="39"/>
      <c r="J385" s="39"/>
      <c r="K385" s="39"/>
      <c r="L385" s="39"/>
      <c r="M385" s="40">
        <f t="shared" si="4"/>
        <v>0</v>
      </c>
      <c r="N385" s="40" t="e">
        <f>IF(M385="","",M385*SETTINGS!$B$9)</f>
        <v>#VALUE!</v>
      </c>
      <c r="O385" s="40" t="e">
        <f>IF(M385="","",M385*SETTINGS!$B$10)</f>
        <v>#VALUE!</v>
      </c>
      <c r="P385" s="40" t="str">
        <f>IF(A385="","",SETTINGS!$B$6)</f>
        <v/>
      </c>
      <c r="Q385" s="40" t="str">
        <f>IF(A385="","",SETTINGS!$B$7)</f>
        <v/>
      </c>
      <c r="R385" s="40" t="str">
        <f>IF(A385="","",SETTINGS!$B$8)</f>
        <v/>
      </c>
      <c r="S385" s="38"/>
    </row>
    <row r="386" spans="1:19" ht="14.45" customHeight="1">
      <c r="A386" s="38"/>
      <c r="B386" s="38"/>
      <c r="C386" s="38"/>
      <c r="D386" s="38"/>
      <c r="E386" s="38"/>
      <c r="F386" s="38"/>
      <c r="G386" s="39"/>
      <c r="H386" s="39"/>
      <c r="I386" s="39"/>
      <c r="J386" s="39"/>
      <c r="K386" s="39"/>
      <c r="L386" s="39"/>
      <c r="M386" s="40">
        <f t="shared" si="4"/>
        <v>0</v>
      </c>
      <c r="N386" s="40" t="e">
        <f>IF(M386="","",M386*SETTINGS!$B$9)</f>
        <v>#VALUE!</v>
      </c>
      <c r="O386" s="40" t="e">
        <f>IF(M386="","",M386*SETTINGS!$B$10)</f>
        <v>#VALUE!</v>
      </c>
      <c r="P386" s="40" t="str">
        <f>IF(A386="","",SETTINGS!$B$6)</f>
        <v/>
      </c>
      <c r="Q386" s="40" t="str">
        <f>IF(A386="","",SETTINGS!$B$7)</f>
        <v/>
      </c>
      <c r="R386" s="40" t="str">
        <f>IF(A386="","",SETTINGS!$B$8)</f>
        <v/>
      </c>
      <c r="S386" s="38"/>
    </row>
    <row r="387" spans="1:19" ht="14.45" customHeight="1">
      <c r="A387" s="38"/>
      <c r="B387" s="38"/>
      <c r="C387" s="38"/>
      <c r="D387" s="38"/>
      <c r="E387" s="38"/>
      <c r="F387" s="38"/>
      <c r="G387" s="39"/>
      <c r="H387" s="39"/>
      <c r="I387" s="39"/>
      <c r="J387" s="39"/>
      <c r="K387" s="39"/>
      <c r="L387" s="39"/>
      <c r="M387" s="40">
        <f t="shared" si="4"/>
        <v>0</v>
      </c>
      <c r="N387" s="40" t="e">
        <f>IF(M387="","",M387*SETTINGS!$B$9)</f>
        <v>#VALUE!</v>
      </c>
      <c r="O387" s="40" t="e">
        <f>IF(M387="","",M387*SETTINGS!$B$10)</f>
        <v>#VALUE!</v>
      </c>
      <c r="P387" s="40" t="str">
        <f>IF(A387="","",SETTINGS!$B$6)</f>
        <v/>
      </c>
      <c r="Q387" s="40" t="str">
        <f>IF(A387="","",SETTINGS!$B$7)</f>
        <v/>
      </c>
      <c r="R387" s="40" t="str">
        <f>IF(A387="","",SETTINGS!$B$8)</f>
        <v/>
      </c>
      <c r="S387" s="38"/>
    </row>
    <row r="388" spans="1:19" ht="14.45" customHeight="1">
      <c r="A388" s="38"/>
      <c r="B388" s="38"/>
      <c r="C388" s="38"/>
      <c r="D388" s="38"/>
      <c r="E388" s="38"/>
      <c r="F388" s="38"/>
      <c r="G388" s="39"/>
      <c r="H388" s="39"/>
      <c r="I388" s="39"/>
      <c r="J388" s="39"/>
      <c r="K388" s="39"/>
      <c r="L388" s="39"/>
      <c r="M388" s="40">
        <f t="shared" si="4"/>
        <v>0</v>
      </c>
      <c r="N388" s="40" t="e">
        <f>IF(M388="","",M388*SETTINGS!$B$9)</f>
        <v>#VALUE!</v>
      </c>
      <c r="O388" s="40" t="e">
        <f>IF(M388="","",M388*SETTINGS!$B$10)</f>
        <v>#VALUE!</v>
      </c>
      <c r="P388" s="40" t="str">
        <f>IF(A388="","",SETTINGS!$B$6)</f>
        <v/>
      </c>
      <c r="Q388" s="40" t="str">
        <f>IF(A388="","",SETTINGS!$B$7)</f>
        <v/>
      </c>
      <c r="R388" s="40" t="str">
        <f>IF(A388="","",SETTINGS!$B$8)</f>
        <v/>
      </c>
      <c r="S388" s="38"/>
    </row>
    <row r="389" spans="1:19" ht="14.45" customHeight="1">
      <c r="A389" s="38"/>
      <c r="B389" s="38"/>
      <c r="C389" s="38"/>
      <c r="D389" s="38"/>
      <c r="E389" s="38"/>
      <c r="F389" s="38"/>
      <c r="G389" s="39"/>
      <c r="H389" s="39"/>
      <c r="I389" s="39"/>
      <c r="J389" s="39"/>
      <c r="K389" s="39"/>
      <c r="L389" s="39"/>
      <c r="M389" s="40">
        <f t="shared" si="4"/>
        <v>0</v>
      </c>
      <c r="N389" s="40" t="e">
        <f>IF(M389="","",M389*SETTINGS!$B$9)</f>
        <v>#VALUE!</v>
      </c>
      <c r="O389" s="40" t="e">
        <f>IF(M389="","",M389*SETTINGS!$B$10)</f>
        <v>#VALUE!</v>
      </c>
      <c r="P389" s="40" t="str">
        <f>IF(A389="","",SETTINGS!$B$6)</f>
        <v/>
      </c>
      <c r="Q389" s="40" t="str">
        <f>IF(A389="","",SETTINGS!$B$7)</f>
        <v/>
      </c>
      <c r="R389" s="40" t="str">
        <f>IF(A389="","",SETTINGS!$B$8)</f>
        <v/>
      </c>
      <c r="S389" s="38"/>
    </row>
    <row r="390" spans="1:19" ht="14.45" customHeight="1">
      <c r="A390" s="38"/>
      <c r="B390" s="38"/>
      <c r="C390" s="38"/>
      <c r="D390" s="38"/>
      <c r="E390" s="38"/>
      <c r="F390" s="38"/>
      <c r="G390" s="39"/>
      <c r="H390" s="39"/>
      <c r="I390" s="39"/>
      <c r="J390" s="39"/>
      <c r="K390" s="39"/>
      <c r="L390" s="39"/>
      <c r="M390" s="40">
        <f t="shared" si="4"/>
        <v>0</v>
      </c>
      <c r="N390" s="40" t="e">
        <f>IF(M390="","",M390*SETTINGS!$B$9)</f>
        <v>#VALUE!</v>
      </c>
      <c r="O390" s="40" t="e">
        <f>IF(M390="","",M390*SETTINGS!$B$10)</f>
        <v>#VALUE!</v>
      </c>
      <c r="P390" s="40" t="str">
        <f>IF(A390="","",SETTINGS!$B$6)</f>
        <v/>
      </c>
      <c r="Q390" s="40" t="str">
        <f>IF(A390="","",SETTINGS!$B$7)</f>
        <v/>
      </c>
      <c r="R390" s="40" t="str">
        <f>IF(A390="","",SETTINGS!$B$8)</f>
        <v/>
      </c>
      <c r="S390" s="38"/>
    </row>
    <row r="391" spans="1:19" ht="14.45" customHeight="1">
      <c r="A391" s="38"/>
      <c r="B391" s="38"/>
      <c r="C391" s="38"/>
      <c r="D391" s="38"/>
      <c r="E391" s="38"/>
      <c r="F391" s="38"/>
      <c r="G391" s="39"/>
      <c r="H391" s="39"/>
      <c r="I391" s="39"/>
      <c r="J391" s="39"/>
      <c r="K391" s="39"/>
      <c r="L391" s="39"/>
      <c r="M391" s="40">
        <f t="shared" si="4"/>
        <v>0</v>
      </c>
      <c r="N391" s="40" t="e">
        <f>IF(M391="","",M391*SETTINGS!$B$9)</f>
        <v>#VALUE!</v>
      </c>
      <c r="O391" s="40" t="e">
        <f>IF(M391="","",M391*SETTINGS!$B$10)</f>
        <v>#VALUE!</v>
      </c>
      <c r="P391" s="40" t="str">
        <f>IF(A391="","",SETTINGS!$B$6)</f>
        <v/>
      </c>
      <c r="Q391" s="40" t="str">
        <f>IF(A391="","",SETTINGS!$B$7)</f>
        <v/>
      </c>
      <c r="R391" s="40" t="str">
        <f>IF(A391="","",SETTINGS!$B$8)</f>
        <v/>
      </c>
      <c r="S391" s="38"/>
    </row>
    <row r="392" spans="1:19" ht="14.45" customHeight="1">
      <c r="A392" s="38"/>
      <c r="B392" s="38"/>
      <c r="C392" s="38"/>
      <c r="D392" s="38"/>
      <c r="E392" s="38"/>
      <c r="F392" s="38"/>
      <c r="G392" s="39"/>
      <c r="H392" s="39"/>
      <c r="I392" s="39"/>
      <c r="J392" s="39"/>
      <c r="K392" s="39"/>
      <c r="L392" s="39"/>
      <c r="M392" s="40">
        <f t="shared" si="4"/>
        <v>0</v>
      </c>
      <c r="N392" s="40" t="e">
        <f>IF(M392="","",M392*SETTINGS!$B$9)</f>
        <v>#VALUE!</v>
      </c>
      <c r="O392" s="40" t="e">
        <f>IF(M392="","",M392*SETTINGS!$B$10)</f>
        <v>#VALUE!</v>
      </c>
      <c r="P392" s="40" t="str">
        <f>IF(A392="","",SETTINGS!$B$6)</f>
        <v/>
      </c>
      <c r="Q392" s="40" t="str">
        <f>IF(A392="","",SETTINGS!$B$7)</f>
        <v/>
      </c>
      <c r="R392" s="40" t="str">
        <f>IF(A392="","",SETTINGS!$B$8)</f>
        <v/>
      </c>
      <c r="S392" s="38"/>
    </row>
    <row r="393" spans="1:19" ht="14.45" customHeight="1">
      <c r="A393" s="38"/>
      <c r="B393" s="38"/>
      <c r="C393" s="38"/>
      <c r="D393" s="38"/>
      <c r="E393" s="38"/>
      <c r="F393" s="38"/>
      <c r="G393" s="39"/>
      <c r="H393" s="39"/>
      <c r="I393" s="39"/>
      <c r="J393" s="39"/>
      <c r="K393" s="39"/>
      <c r="L393" s="39"/>
      <c r="M393" s="40">
        <f t="shared" si="4"/>
        <v>0</v>
      </c>
      <c r="N393" s="40" t="e">
        <f>IF(M393="","",M393*SETTINGS!$B$9)</f>
        <v>#VALUE!</v>
      </c>
      <c r="O393" s="40" t="e">
        <f>IF(M393="","",M393*SETTINGS!$B$10)</f>
        <v>#VALUE!</v>
      </c>
      <c r="P393" s="40" t="str">
        <f>IF(A393="","",SETTINGS!$B$6)</f>
        <v/>
      </c>
      <c r="Q393" s="40" t="str">
        <f>IF(A393="","",SETTINGS!$B$7)</f>
        <v/>
      </c>
      <c r="R393" s="40" t="str">
        <f>IF(A393="","",SETTINGS!$B$8)</f>
        <v/>
      </c>
      <c r="S393" s="38"/>
    </row>
    <row r="394" spans="1:19" ht="14.45" customHeight="1">
      <c r="A394" s="38"/>
      <c r="B394" s="38"/>
      <c r="C394" s="38"/>
      <c r="D394" s="38"/>
      <c r="E394" s="38"/>
      <c r="F394" s="38"/>
      <c r="G394" s="39"/>
      <c r="H394" s="39"/>
      <c r="I394" s="39"/>
      <c r="J394" s="39"/>
      <c r="K394" s="39"/>
      <c r="L394" s="39"/>
      <c r="M394" s="40">
        <f t="shared" si="4"/>
        <v>0</v>
      </c>
      <c r="N394" s="40" t="e">
        <f>IF(M394="","",M394*SETTINGS!$B$9)</f>
        <v>#VALUE!</v>
      </c>
      <c r="O394" s="40" t="e">
        <f>IF(M394="","",M394*SETTINGS!$B$10)</f>
        <v>#VALUE!</v>
      </c>
      <c r="P394" s="40" t="str">
        <f>IF(A394="","",SETTINGS!$B$6)</f>
        <v/>
      </c>
      <c r="Q394" s="40" t="str">
        <f>IF(A394="","",SETTINGS!$B$7)</f>
        <v/>
      </c>
      <c r="R394" s="40" t="str">
        <f>IF(A394="","",SETTINGS!$B$8)</f>
        <v/>
      </c>
      <c r="S394" s="38"/>
    </row>
    <row r="395" spans="1:19" ht="14.45" customHeight="1">
      <c r="A395" s="38"/>
      <c r="B395" s="38"/>
      <c r="C395" s="38"/>
      <c r="D395" s="38"/>
      <c r="E395" s="38"/>
      <c r="F395" s="38"/>
      <c r="G395" s="39"/>
      <c r="H395" s="39"/>
      <c r="I395" s="39"/>
      <c r="J395" s="39"/>
      <c r="K395" s="39"/>
      <c r="L395" s="39"/>
      <c r="M395" s="40">
        <f t="shared" si="4"/>
        <v>0</v>
      </c>
      <c r="N395" s="40" t="e">
        <f>IF(M395="","",M395*SETTINGS!$B$9)</f>
        <v>#VALUE!</v>
      </c>
      <c r="O395" s="40" t="e">
        <f>IF(M395="","",M395*SETTINGS!$B$10)</f>
        <v>#VALUE!</v>
      </c>
      <c r="P395" s="40" t="str">
        <f>IF(A395="","",SETTINGS!$B$6)</f>
        <v/>
      </c>
      <c r="Q395" s="40" t="str">
        <f>IF(A395="","",SETTINGS!$B$7)</f>
        <v/>
      </c>
      <c r="R395" s="40" t="str">
        <f>IF(A395="","",SETTINGS!$B$8)</f>
        <v/>
      </c>
      <c r="S395" s="38"/>
    </row>
    <row r="396" spans="1:19" ht="14.45" customHeight="1">
      <c r="A396" s="38"/>
      <c r="B396" s="38"/>
      <c r="C396" s="38"/>
      <c r="D396" s="38"/>
      <c r="E396" s="38"/>
      <c r="F396" s="38"/>
      <c r="G396" s="39"/>
      <c r="H396" s="39"/>
      <c r="I396" s="39"/>
      <c r="J396" s="39"/>
      <c r="K396" s="39"/>
      <c r="L396" s="39"/>
      <c r="M396" s="40">
        <f t="shared" si="4"/>
        <v>0</v>
      </c>
      <c r="N396" s="40" t="e">
        <f>IF(M396="","",M396*SETTINGS!$B$9)</f>
        <v>#VALUE!</v>
      </c>
      <c r="O396" s="40" t="e">
        <f>IF(M396="","",M396*SETTINGS!$B$10)</f>
        <v>#VALUE!</v>
      </c>
      <c r="P396" s="40" t="str">
        <f>IF(A396="","",SETTINGS!$B$6)</f>
        <v/>
      </c>
      <c r="Q396" s="40" t="str">
        <f>IF(A396="","",SETTINGS!$B$7)</f>
        <v/>
      </c>
      <c r="R396" s="40" t="str">
        <f>IF(A396="","",SETTINGS!$B$8)</f>
        <v/>
      </c>
      <c r="S396" s="38"/>
    </row>
    <row r="397" spans="1:19" ht="14.45" customHeight="1">
      <c r="A397" s="38"/>
      <c r="B397" s="38"/>
      <c r="C397" s="38"/>
      <c r="D397" s="38"/>
      <c r="E397" s="38"/>
      <c r="F397" s="38"/>
      <c r="G397" s="39"/>
      <c r="H397" s="39"/>
      <c r="I397" s="39"/>
      <c r="J397" s="39"/>
      <c r="K397" s="39"/>
      <c r="L397" s="39"/>
      <c r="M397" s="40">
        <f t="shared" si="4"/>
        <v>0</v>
      </c>
      <c r="N397" s="40" t="e">
        <f>IF(M397="","",M397*SETTINGS!$B$9)</f>
        <v>#VALUE!</v>
      </c>
      <c r="O397" s="40" t="e">
        <f>IF(M397="","",M397*SETTINGS!$B$10)</f>
        <v>#VALUE!</v>
      </c>
      <c r="P397" s="40" t="str">
        <f>IF(A397="","",SETTINGS!$B$6)</f>
        <v/>
      </c>
      <c r="Q397" s="40" t="str">
        <f>IF(A397="","",SETTINGS!$B$7)</f>
        <v/>
      </c>
      <c r="R397" s="40" t="str">
        <f>IF(A397="","",SETTINGS!$B$8)</f>
        <v/>
      </c>
      <c r="S397" s="38"/>
    </row>
    <row r="398" spans="1:19" ht="14.45" customHeight="1">
      <c r="A398" s="38"/>
      <c r="B398" s="38"/>
      <c r="C398" s="38"/>
      <c r="D398" s="38"/>
      <c r="E398" s="38"/>
      <c r="F398" s="38"/>
      <c r="G398" s="39"/>
      <c r="H398" s="39"/>
      <c r="I398" s="39"/>
      <c r="J398" s="39"/>
      <c r="K398" s="39"/>
      <c r="L398" s="39"/>
      <c r="M398" s="40">
        <f t="shared" si="4"/>
        <v>0</v>
      </c>
      <c r="N398" s="40" t="e">
        <f>IF(M398="","",M398*SETTINGS!$B$9)</f>
        <v>#VALUE!</v>
      </c>
      <c r="O398" s="40" t="e">
        <f>IF(M398="","",M398*SETTINGS!$B$10)</f>
        <v>#VALUE!</v>
      </c>
      <c r="P398" s="40" t="str">
        <f>IF(A398="","",SETTINGS!$B$6)</f>
        <v/>
      </c>
      <c r="Q398" s="40" t="str">
        <f>IF(A398="","",SETTINGS!$B$7)</f>
        <v/>
      </c>
      <c r="R398" s="40" t="str">
        <f>IF(A398="","",SETTINGS!$B$8)</f>
        <v/>
      </c>
      <c r="S398" s="38"/>
    </row>
    <row r="399" spans="1:19" ht="14.45" customHeight="1">
      <c r="A399" s="38"/>
      <c r="B399" s="38"/>
      <c r="C399" s="38"/>
      <c r="D399" s="38"/>
      <c r="E399" s="38"/>
      <c r="F399" s="38"/>
      <c r="G399" s="39"/>
      <c r="H399" s="39"/>
      <c r="I399" s="39"/>
      <c r="J399" s="39"/>
      <c r="K399" s="39"/>
      <c r="L399" s="39"/>
      <c r="M399" s="40">
        <f t="shared" si="4"/>
        <v>0</v>
      </c>
      <c r="N399" s="40" t="e">
        <f>IF(M399="","",M399*SETTINGS!$B$9)</f>
        <v>#VALUE!</v>
      </c>
      <c r="O399" s="40" t="e">
        <f>IF(M399="","",M399*SETTINGS!$B$10)</f>
        <v>#VALUE!</v>
      </c>
      <c r="P399" s="40" t="str">
        <f>IF(A399="","",SETTINGS!$B$6)</f>
        <v/>
      </c>
      <c r="Q399" s="40" t="str">
        <f>IF(A399="","",SETTINGS!$B$7)</f>
        <v/>
      </c>
      <c r="R399" s="40" t="str">
        <f>IF(A399="","",SETTINGS!$B$8)</f>
        <v/>
      </c>
      <c r="S399" s="38"/>
    </row>
    <row r="400" spans="1:19" ht="14.45" customHeight="1">
      <c r="A400" s="38"/>
      <c r="B400" s="38"/>
      <c r="C400" s="38"/>
      <c r="D400" s="38"/>
      <c r="E400" s="38"/>
      <c r="F400" s="38"/>
      <c r="G400" s="39"/>
      <c r="H400" s="39"/>
      <c r="I400" s="39"/>
      <c r="J400" s="39"/>
      <c r="K400" s="39"/>
      <c r="L400" s="39"/>
      <c r="M400" s="40">
        <f t="shared" si="4"/>
        <v>0</v>
      </c>
      <c r="N400" s="40" t="e">
        <f>IF(M400="","",M400*SETTINGS!$B$9)</f>
        <v>#VALUE!</v>
      </c>
      <c r="O400" s="40" t="e">
        <f>IF(M400="","",M400*SETTINGS!$B$10)</f>
        <v>#VALUE!</v>
      </c>
      <c r="P400" s="40" t="str">
        <f>IF(A400="","",SETTINGS!$B$6)</f>
        <v/>
      </c>
      <c r="Q400" s="40" t="str">
        <f>IF(A400="","",SETTINGS!$B$7)</f>
        <v/>
      </c>
      <c r="R400" s="40" t="str">
        <f>IF(A400="","",SETTINGS!$B$8)</f>
        <v/>
      </c>
      <c r="S400" s="38"/>
    </row>
    <row r="401" spans="1:19" ht="14.45" customHeight="1">
      <c r="A401" s="38"/>
      <c r="B401" s="38"/>
      <c r="C401" s="38"/>
      <c r="D401" s="38"/>
      <c r="E401" s="38"/>
      <c r="F401" s="38"/>
      <c r="G401" s="39"/>
      <c r="H401" s="39"/>
      <c r="I401" s="39"/>
      <c r="J401" s="39"/>
      <c r="K401" s="39"/>
      <c r="L401" s="39"/>
      <c r="M401" s="40">
        <f t="shared" si="4"/>
        <v>0</v>
      </c>
      <c r="N401" s="40" t="e">
        <f>IF(M401="","",M401*SETTINGS!$B$9)</f>
        <v>#VALUE!</v>
      </c>
      <c r="O401" s="40" t="e">
        <f>IF(M401="","",M401*SETTINGS!$B$10)</f>
        <v>#VALUE!</v>
      </c>
      <c r="P401" s="40" t="str">
        <f>IF(A401="","",SETTINGS!$B$6)</f>
        <v/>
      </c>
      <c r="Q401" s="40" t="str">
        <f>IF(A401="","",SETTINGS!$B$7)</f>
        <v/>
      </c>
      <c r="R401" s="40" t="str">
        <f>IF(A401="","",SETTINGS!$B$8)</f>
        <v/>
      </c>
      <c r="S401" s="38"/>
    </row>
    <row r="402" spans="1:19" ht="14.45" customHeight="1">
      <c r="A402" s="38"/>
      <c r="B402" s="38"/>
      <c r="C402" s="38"/>
      <c r="D402" s="38"/>
      <c r="E402" s="38"/>
      <c r="F402" s="38"/>
      <c r="G402" s="39"/>
      <c r="H402" s="39"/>
      <c r="I402" s="39"/>
      <c r="J402" s="39"/>
      <c r="K402" s="39"/>
      <c r="L402" s="39"/>
      <c r="M402" s="40">
        <f t="shared" si="4"/>
        <v>0</v>
      </c>
      <c r="N402" s="40" t="e">
        <f>IF(M402="","",M402*SETTINGS!$B$9)</f>
        <v>#VALUE!</v>
      </c>
      <c r="O402" s="40" t="e">
        <f>IF(M402="","",M402*SETTINGS!$B$10)</f>
        <v>#VALUE!</v>
      </c>
      <c r="P402" s="40" t="str">
        <f>IF(A402="","",SETTINGS!$B$6)</f>
        <v/>
      </c>
      <c r="Q402" s="40" t="str">
        <f>IF(A402="","",SETTINGS!$B$7)</f>
        <v/>
      </c>
      <c r="R402" s="40" t="str">
        <f>IF(A402="","",SETTINGS!$B$8)</f>
        <v/>
      </c>
      <c r="S402" s="38"/>
    </row>
    <row r="403" spans="1:19" ht="14.45" customHeight="1">
      <c r="A403" s="38"/>
      <c r="B403" s="38"/>
      <c r="C403" s="38"/>
      <c r="D403" s="38"/>
      <c r="E403" s="38"/>
      <c r="F403" s="38"/>
      <c r="G403" s="39"/>
      <c r="H403" s="39"/>
      <c r="I403" s="39"/>
      <c r="J403" s="39"/>
      <c r="K403" s="39"/>
      <c r="L403" s="39"/>
      <c r="M403" s="40">
        <f t="shared" si="4"/>
        <v>0</v>
      </c>
      <c r="N403" s="40" t="e">
        <f>IF(M403="","",M403*SETTINGS!$B$9)</f>
        <v>#VALUE!</v>
      </c>
      <c r="O403" s="40" t="e">
        <f>IF(M403="","",M403*SETTINGS!$B$10)</f>
        <v>#VALUE!</v>
      </c>
      <c r="P403" s="40" t="str">
        <f>IF(A403="","",SETTINGS!$B$6)</f>
        <v/>
      </c>
      <c r="Q403" s="40" t="str">
        <f>IF(A403="","",SETTINGS!$B$7)</f>
        <v/>
      </c>
      <c r="R403" s="40" t="str">
        <f>IF(A403="","",SETTINGS!$B$8)</f>
        <v/>
      </c>
      <c r="S403" s="38"/>
    </row>
    <row r="404" spans="1:19" ht="14.45" customHeight="1">
      <c r="A404" s="38"/>
      <c r="B404" s="38"/>
      <c r="C404" s="38"/>
      <c r="D404" s="38"/>
      <c r="E404" s="38"/>
      <c r="F404" s="38"/>
      <c r="G404" s="39"/>
      <c r="H404" s="39"/>
      <c r="I404" s="39"/>
      <c r="J404" s="39"/>
      <c r="K404" s="39"/>
      <c r="L404" s="39"/>
      <c r="M404" s="40">
        <f t="shared" si="4"/>
        <v>0</v>
      </c>
      <c r="N404" s="40" t="e">
        <f>IF(M404="","",M404*SETTINGS!$B$9)</f>
        <v>#VALUE!</v>
      </c>
      <c r="O404" s="40" t="e">
        <f>IF(M404="","",M404*SETTINGS!$B$10)</f>
        <v>#VALUE!</v>
      </c>
      <c r="P404" s="40" t="str">
        <f>IF(A404="","",SETTINGS!$B$6)</f>
        <v/>
      </c>
      <c r="Q404" s="40" t="str">
        <f>IF(A404="","",SETTINGS!$B$7)</f>
        <v/>
      </c>
      <c r="R404" s="40" t="str">
        <f>IF(A404="","",SETTINGS!$B$8)</f>
        <v/>
      </c>
      <c r="S404" s="38"/>
    </row>
    <row r="405" spans="1:19" ht="14.45" customHeight="1">
      <c r="A405" s="38"/>
      <c r="B405" s="38"/>
      <c r="C405" s="38"/>
      <c r="D405" s="38"/>
      <c r="E405" s="38"/>
      <c r="F405" s="38"/>
      <c r="G405" s="39"/>
      <c r="H405" s="39"/>
      <c r="I405" s="39"/>
      <c r="J405" s="39"/>
      <c r="K405" s="39"/>
      <c r="L405" s="39"/>
      <c r="M405" s="40">
        <f t="shared" si="4"/>
        <v>0</v>
      </c>
      <c r="N405" s="40" t="e">
        <f>IF(M405="","",M405*SETTINGS!$B$9)</f>
        <v>#VALUE!</v>
      </c>
      <c r="O405" s="40" t="e">
        <f>IF(M405="","",M405*SETTINGS!$B$10)</f>
        <v>#VALUE!</v>
      </c>
      <c r="P405" s="40" t="str">
        <f>IF(A405="","",SETTINGS!$B$6)</f>
        <v/>
      </c>
      <c r="Q405" s="40" t="str">
        <f>IF(A405="","",SETTINGS!$B$7)</f>
        <v/>
      </c>
      <c r="R405" s="40" t="str">
        <f>IF(A405="","",SETTINGS!$B$8)</f>
        <v/>
      </c>
      <c r="S405" s="38"/>
    </row>
    <row r="406" spans="1:19" ht="14.45" customHeight="1">
      <c r="A406" s="38"/>
      <c r="B406" s="38"/>
      <c r="C406" s="38"/>
      <c r="D406" s="38"/>
      <c r="E406" s="38"/>
      <c r="F406" s="38"/>
      <c r="G406" s="39"/>
      <c r="H406" s="39"/>
      <c r="I406" s="39"/>
      <c r="J406" s="39"/>
      <c r="K406" s="39"/>
      <c r="L406" s="39"/>
      <c r="M406" s="40">
        <f t="shared" si="4"/>
        <v>0</v>
      </c>
      <c r="N406" s="40" t="e">
        <f>IF(M406="","",M406*SETTINGS!$B$9)</f>
        <v>#VALUE!</v>
      </c>
      <c r="O406" s="40" t="e">
        <f>IF(M406="","",M406*SETTINGS!$B$10)</f>
        <v>#VALUE!</v>
      </c>
      <c r="P406" s="40" t="str">
        <f>IF(A406="","",SETTINGS!$B$6)</f>
        <v/>
      </c>
      <c r="Q406" s="40" t="str">
        <f>IF(A406="","",SETTINGS!$B$7)</f>
        <v/>
      </c>
      <c r="R406" s="40" t="str">
        <f>IF(A406="","",SETTINGS!$B$8)</f>
        <v/>
      </c>
      <c r="S406" s="38"/>
    </row>
    <row r="407" spans="1:19" ht="14.45" customHeight="1">
      <c r="A407" s="38"/>
      <c r="B407" s="38"/>
      <c r="C407" s="38"/>
      <c r="D407" s="38"/>
      <c r="E407" s="38"/>
      <c r="F407" s="38"/>
      <c r="G407" s="39"/>
      <c r="H407" s="39"/>
      <c r="I407" s="39"/>
      <c r="J407" s="39"/>
      <c r="K407" s="39"/>
      <c r="L407" s="39"/>
      <c r="M407" s="40">
        <f t="shared" si="4"/>
        <v>0</v>
      </c>
      <c r="N407" s="40" t="e">
        <f>IF(M407="","",M407*SETTINGS!$B$9)</f>
        <v>#VALUE!</v>
      </c>
      <c r="O407" s="40" t="e">
        <f>IF(M407="","",M407*SETTINGS!$B$10)</f>
        <v>#VALUE!</v>
      </c>
      <c r="P407" s="40" t="str">
        <f>IF(A407="","",SETTINGS!$B$6)</f>
        <v/>
      </c>
      <c r="Q407" s="40" t="str">
        <f>IF(A407="","",SETTINGS!$B$7)</f>
        <v/>
      </c>
      <c r="R407" s="40" t="str">
        <f>IF(A407="","",SETTINGS!$B$8)</f>
        <v/>
      </c>
      <c r="S407" s="38"/>
    </row>
    <row r="408" spans="1:19" ht="14.45" customHeight="1">
      <c r="A408" s="38"/>
      <c r="B408" s="38"/>
      <c r="C408" s="38"/>
      <c r="D408" s="38"/>
      <c r="E408" s="38"/>
      <c r="F408" s="38"/>
      <c r="G408" s="39"/>
      <c r="H408" s="39"/>
      <c r="I408" s="39"/>
      <c r="J408" s="39"/>
      <c r="K408" s="39"/>
      <c r="L408" s="39"/>
      <c r="M408" s="40">
        <f t="shared" si="4"/>
        <v>0</v>
      </c>
      <c r="N408" s="40" t="e">
        <f>IF(M408="","",M408*SETTINGS!$B$9)</f>
        <v>#VALUE!</v>
      </c>
      <c r="O408" s="40" t="e">
        <f>IF(M408="","",M408*SETTINGS!$B$10)</f>
        <v>#VALUE!</v>
      </c>
      <c r="P408" s="40" t="str">
        <f>IF(A408="","",SETTINGS!$B$6)</f>
        <v/>
      </c>
      <c r="Q408" s="40" t="str">
        <f>IF(A408="","",SETTINGS!$B$7)</f>
        <v/>
      </c>
      <c r="R408" s="40" t="str">
        <f>IF(A408="","",SETTINGS!$B$8)</f>
        <v/>
      </c>
      <c r="S408" s="38"/>
    </row>
    <row r="409" spans="1:19" ht="14.45" customHeight="1">
      <c r="A409" s="38"/>
      <c r="B409" s="38"/>
      <c r="C409" s="38"/>
      <c r="D409" s="38"/>
      <c r="E409" s="38"/>
      <c r="F409" s="38"/>
      <c r="G409" s="39"/>
      <c r="H409" s="39"/>
      <c r="I409" s="39"/>
      <c r="J409" s="39"/>
      <c r="K409" s="39"/>
      <c r="L409" s="39"/>
      <c r="M409" s="40">
        <f t="shared" si="4"/>
        <v>0</v>
      </c>
      <c r="N409" s="40" t="e">
        <f>IF(M409="","",M409*SETTINGS!$B$9)</f>
        <v>#VALUE!</v>
      </c>
      <c r="O409" s="40" t="e">
        <f>IF(M409="","",M409*SETTINGS!$B$10)</f>
        <v>#VALUE!</v>
      </c>
      <c r="P409" s="40" t="str">
        <f>IF(A409="","",SETTINGS!$B$6)</f>
        <v/>
      </c>
      <c r="Q409" s="40" t="str">
        <f>IF(A409="","",SETTINGS!$B$7)</f>
        <v/>
      </c>
      <c r="R409" s="40" t="str">
        <f>IF(A409="","",SETTINGS!$B$8)</f>
        <v/>
      </c>
      <c r="S409" s="38"/>
    </row>
    <row r="410" spans="1:19" ht="14.45" customHeight="1">
      <c r="A410" s="38"/>
      <c r="B410" s="38"/>
      <c r="C410" s="38"/>
      <c r="D410" s="38"/>
      <c r="E410" s="38"/>
      <c r="F410" s="38"/>
      <c r="G410" s="39"/>
      <c r="H410" s="39"/>
      <c r="I410" s="39"/>
      <c r="J410" s="39"/>
      <c r="K410" s="39"/>
      <c r="L410" s="39"/>
      <c r="M410" s="40">
        <f t="shared" si="4"/>
        <v>0</v>
      </c>
      <c r="N410" s="40" t="e">
        <f>IF(M410="","",M410*SETTINGS!$B$9)</f>
        <v>#VALUE!</v>
      </c>
      <c r="O410" s="40" t="e">
        <f>IF(M410="","",M410*SETTINGS!$B$10)</f>
        <v>#VALUE!</v>
      </c>
      <c r="P410" s="40" t="str">
        <f>IF(A410="","",SETTINGS!$B$6)</f>
        <v/>
      </c>
      <c r="Q410" s="40" t="str">
        <f>IF(A410="","",SETTINGS!$B$7)</f>
        <v/>
      </c>
      <c r="R410" s="40" t="str">
        <f>IF(A410="","",SETTINGS!$B$8)</f>
        <v/>
      </c>
      <c r="S410" s="38"/>
    </row>
    <row r="411" spans="1:19" ht="14.45" customHeight="1">
      <c r="A411" s="38"/>
      <c r="B411" s="38"/>
      <c r="C411" s="38"/>
      <c r="D411" s="38"/>
      <c r="E411" s="38"/>
      <c r="F411" s="38"/>
      <c r="G411" s="39"/>
      <c r="H411" s="39"/>
      <c r="I411" s="39"/>
      <c r="J411" s="39"/>
      <c r="K411" s="39"/>
      <c r="L411" s="39"/>
      <c r="M411" s="40">
        <f t="shared" si="4"/>
        <v>0</v>
      </c>
      <c r="N411" s="40" t="e">
        <f>IF(M411="","",M411*SETTINGS!$B$9)</f>
        <v>#VALUE!</v>
      </c>
      <c r="O411" s="40" t="e">
        <f>IF(M411="","",M411*SETTINGS!$B$10)</f>
        <v>#VALUE!</v>
      </c>
      <c r="P411" s="40" t="str">
        <f>IF(A411="","",SETTINGS!$B$6)</f>
        <v/>
      </c>
      <c r="Q411" s="40" t="str">
        <f>IF(A411="","",SETTINGS!$B$7)</f>
        <v/>
      </c>
      <c r="R411" s="40" t="str">
        <f>IF(A411="","",SETTINGS!$B$8)</f>
        <v/>
      </c>
      <c r="S411" s="38"/>
    </row>
    <row r="412" spans="1:19" ht="14.45" customHeight="1">
      <c r="A412" s="38"/>
      <c r="B412" s="38"/>
      <c r="C412" s="38"/>
      <c r="D412" s="38"/>
      <c r="E412" s="38"/>
      <c r="F412" s="38"/>
      <c r="G412" s="39"/>
      <c r="H412" s="39"/>
      <c r="I412" s="39"/>
      <c r="J412" s="39"/>
      <c r="K412" s="39"/>
      <c r="L412" s="39"/>
      <c r="M412" s="40">
        <f t="shared" si="4"/>
        <v>0</v>
      </c>
      <c r="N412" s="40" t="e">
        <f>IF(M412="","",M412*SETTINGS!$B$9)</f>
        <v>#VALUE!</v>
      </c>
      <c r="O412" s="40" t="e">
        <f>IF(M412="","",M412*SETTINGS!$B$10)</f>
        <v>#VALUE!</v>
      </c>
      <c r="P412" s="40" t="str">
        <f>IF(A412="","",SETTINGS!$B$6)</f>
        <v/>
      </c>
      <c r="Q412" s="40" t="str">
        <f>IF(A412="","",SETTINGS!$B$7)</f>
        <v/>
      </c>
      <c r="R412" s="40" t="str">
        <f>IF(A412="","",SETTINGS!$B$8)</f>
        <v/>
      </c>
      <c r="S412" s="38"/>
    </row>
    <row r="413" spans="1:19" ht="14.45" customHeight="1">
      <c r="A413" s="38"/>
      <c r="B413" s="38"/>
      <c r="C413" s="38"/>
      <c r="D413" s="38"/>
      <c r="E413" s="38"/>
      <c r="F413" s="38"/>
      <c r="G413" s="39"/>
      <c r="H413" s="39"/>
      <c r="I413" s="39"/>
      <c r="J413" s="39"/>
      <c r="K413" s="39"/>
      <c r="L413" s="39"/>
      <c r="M413" s="40">
        <f t="shared" si="4"/>
        <v>0</v>
      </c>
      <c r="N413" s="40" t="e">
        <f>IF(M413="","",M413*SETTINGS!$B$9)</f>
        <v>#VALUE!</v>
      </c>
      <c r="O413" s="40" t="e">
        <f>IF(M413="","",M413*SETTINGS!$B$10)</f>
        <v>#VALUE!</v>
      </c>
      <c r="P413" s="40" t="str">
        <f>IF(A413="","",SETTINGS!$B$6)</f>
        <v/>
      </c>
      <c r="Q413" s="40" t="str">
        <f>IF(A413="","",SETTINGS!$B$7)</f>
        <v/>
      </c>
      <c r="R413" s="40" t="str">
        <f>IF(A413="","",SETTINGS!$B$8)</f>
        <v/>
      </c>
      <c r="S413" s="38"/>
    </row>
    <row r="414" spans="1:19" ht="14.45" customHeight="1">
      <c r="A414" s="38"/>
      <c r="B414" s="38"/>
      <c r="C414" s="38"/>
      <c r="D414" s="38"/>
      <c r="E414" s="38"/>
      <c r="F414" s="38"/>
      <c r="G414" s="39"/>
      <c r="H414" s="39"/>
      <c r="I414" s="39"/>
      <c r="J414" s="39"/>
      <c r="K414" s="39"/>
      <c r="L414" s="39"/>
      <c r="M414" s="40">
        <f t="shared" si="4"/>
        <v>0</v>
      </c>
      <c r="N414" s="40" t="e">
        <f>IF(M414="","",M414*SETTINGS!$B$9)</f>
        <v>#VALUE!</v>
      </c>
      <c r="O414" s="40" t="e">
        <f>IF(M414="","",M414*SETTINGS!$B$10)</f>
        <v>#VALUE!</v>
      </c>
      <c r="P414" s="40" t="str">
        <f>IF(A414="","",SETTINGS!$B$6)</f>
        <v/>
      </c>
      <c r="Q414" s="40" t="str">
        <f>IF(A414="","",SETTINGS!$B$7)</f>
        <v/>
      </c>
      <c r="R414" s="40" t="str">
        <f>IF(A414="","",SETTINGS!$B$8)</f>
        <v/>
      </c>
      <c r="S414" s="38"/>
    </row>
    <row r="415" spans="1:19" ht="14.45" customHeight="1">
      <c r="A415" s="38"/>
      <c r="B415" s="38"/>
      <c r="C415" s="38"/>
      <c r="D415" s="38"/>
      <c r="E415" s="38"/>
      <c r="F415" s="38"/>
      <c r="G415" s="39"/>
      <c r="H415" s="39"/>
      <c r="I415" s="39"/>
      <c r="J415" s="39"/>
      <c r="K415" s="39"/>
      <c r="L415" s="39"/>
      <c r="M415" s="40">
        <f t="shared" si="4"/>
        <v>0</v>
      </c>
      <c r="N415" s="40" t="e">
        <f>IF(M415="","",M415*SETTINGS!$B$9)</f>
        <v>#VALUE!</v>
      </c>
      <c r="O415" s="40" t="e">
        <f>IF(M415="","",M415*SETTINGS!$B$10)</f>
        <v>#VALUE!</v>
      </c>
      <c r="P415" s="40" t="str">
        <f>IF(A415="","",SETTINGS!$B$6)</f>
        <v/>
      </c>
      <c r="Q415" s="40" t="str">
        <f>IF(A415="","",SETTINGS!$B$7)</f>
        <v/>
      </c>
      <c r="R415" s="40" t="str">
        <f>IF(A415="","",SETTINGS!$B$8)</f>
        <v/>
      </c>
      <c r="S415" s="38"/>
    </row>
    <row r="416" spans="1:19" ht="14.45" customHeight="1">
      <c r="A416" s="38"/>
      <c r="B416" s="38"/>
      <c r="C416" s="38"/>
      <c r="D416" s="38"/>
      <c r="E416" s="38"/>
      <c r="F416" s="38"/>
      <c r="G416" s="39"/>
      <c r="H416" s="39"/>
      <c r="I416" s="39"/>
      <c r="J416" s="39"/>
      <c r="K416" s="39"/>
      <c r="L416" s="39"/>
      <c r="M416" s="40">
        <f t="shared" si="4"/>
        <v>0</v>
      </c>
      <c r="N416" s="40" t="e">
        <f>IF(M416="","",M416*SETTINGS!$B$9)</f>
        <v>#VALUE!</v>
      </c>
      <c r="O416" s="40" t="e">
        <f>IF(M416="","",M416*SETTINGS!$B$10)</f>
        <v>#VALUE!</v>
      </c>
      <c r="P416" s="40" t="str">
        <f>IF(A416="","",SETTINGS!$B$6)</f>
        <v/>
      </c>
      <c r="Q416" s="40" t="str">
        <f>IF(A416="","",SETTINGS!$B$7)</f>
        <v/>
      </c>
      <c r="R416" s="40" t="str">
        <f>IF(A416="","",SETTINGS!$B$8)</f>
        <v/>
      </c>
      <c r="S416" s="38"/>
    </row>
    <row r="417" spans="1:19" ht="14.45" customHeight="1">
      <c r="A417" s="38"/>
      <c r="B417" s="38"/>
      <c r="C417" s="38"/>
      <c r="D417" s="38"/>
      <c r="E417" s="38"/>
      <c r="F417" s="38"/>
      <c r="G417" s="39"/>
      <c r="H417" s="39"/>
      <c r="I417" s="39"/>
      <c r="J417" s="39"/>
      <c r="K417" s="39"/>
      <c r="L417" s="39"/>
      <c r="M417" s="40">
        <f t="shared" si="4"/>
        <v>0</v>
      </c>
      <c r="N417" s="40" t="e">
        <f>IF(M417="","",M417*SETTINGS!$B$9)</f>
        <v>#VALUE!</v>
      </c>
      <c r="O417" s="40" t="e">
        <f>IF(M417="","",M417*SETTINGS!$B$10)</f>
        <v>#VALUE!</v>
      </c>
      <c r="P417" s="40" t="str">
        <f>IF(A417="","",SETTINGS!$B$6)</f>
        <v/>
      </c>
      <c r="Q417" s="40" t="str">
        <f>IF(A417="","",SETTINGS!$B$7)</f>
        <v/>
      </c>
      <c r="R417" s="40" t="str">
        <f>IF(A417="","",SETTINGS!$B$8)</f>
        <v/>
      </c>
      <c r="S417" s="38"/>
    </row>
    <row r="418" spans="1:19" ht="14.45" customHeight="1">
      <c r="A418" s="38"/>
      <c r="B418" s="38"/>
      <c r="C418" s="38"/>
      <c r="D418" s="38"/>
      <c r="E418" s="38"/>
      <c r="F418" s="38"/>
      <c r="G418" s="39"/>
      <c r="H418" s="39"/>
      <c r="I418" s="39"/>
      <c r="J418" s="39"/>
      <c r="K418" s="39"/>
      <c r="L418" s="39"/>
      <c r="M418" s="40">
        <f t="shared" si="4"/>
        <v>0</v>
      </c>
      <c r="N418" s="40" t="e">
        <f>IF(M418="","",M418*SETTINGS!$B$9)</f>
        <v>#VALUE!</v>
      </c>
      <c r="O418" s="40" t="e">
        <f>IF(M418="","",M418*SETTINGS!$B$10)</f>
        <v>#VALUE!</v>
      </c>
      <c r="P418" s="40" t="str">
        <f>IF(A418="","",SETTINGS!$B$6)</f>
        <v/>
      </c>
      <c r="Q418" s="40" t="str">
        <f>IF(A418="","",SETTINGS!$B$7)</f>
        <v/>
      </c>
      <c r="R418" s="40" t="str">
        <f>IF(A418="","",SETTINGS!$B$8)</f>
        <v/>
      </c>
      <c r="S418" s="38"/>
    </row>
    <row r="419" spans="1:19" ht="14.45" customHeight="1">
      <c r="A419" s="38"/>
      <c r="B419" s="38"/>
      <c r="C419" s="38"/>
      <c r="D419" s="38"/>
      <c r="E419" s="38"/>
      <c r="F419" s="38"/>
      <c r="G419" s="39"/>
      <c r="H419" s="39"/>
      <c r="I419" s="39"/>
      <c r="J419" s="39"/>
      <c r="K419" s="39"/>
      <c r="L419" s="39"/>
      <c r="M419" s="40">
        <f t="shared" si="4"/>
        <v>0</v>
      </c>
      <c r="N419" s="40" t="e">
        <f>IF(M419="","",M419*SETTINGS!$B$9)</f>
        <v>#VALUE!</v>
      </c>
      <c r="O419" s="40" t="e">
        <f>IF(M419="","",M419*SETTINGS!$B$10)</f>
        <v>#VALUE!</v>
      </c>
      <c r="P419" s="40" t="str">
        <f>IF(A419="","",SETTINGS!$B$6)</f>
        <v/>
      </c>
      <c r="Q419" s="40" t="str">
        <f>IF(A419="","",SETTINGS!$B$7)</f>
        <v/>
      </c>
      <c r="R419" s="40" t="str">
        <f>IF(A419="","",SETTINGS!$B$8)</f>
        <v/>
      </c>
      <c r="S419" s="38"/>
    </row>
    <row r="420" spans="1:19" ht="14.45" customHeight="1">
      <c r="A420" s="38"/>
      <c r="B420" s="38"/>
      <c r="C420" s="38"/>
      <c r="D420" s="38"/>
      <c r="E420" s="38"/>
      <c r="F420" s="38"/>
      <c r="G420" s="39"/>
      <c r="H420" s="39"/>
      <c r="I420" s="39"/>
      <c r="J420" s="39"/>
      <c r="K420" s="39"/>
      <c r="L420" s="39"/>
      <c r="M420" s="40">
        <f t="shared" si="4"/>
        <v>0</v>
      </c>
      <c r="N420" s="40" t="e">
        <f>IF(M420="","",M420*SETTINGS!$B$9)</f>
        <v>#VALUE!</v>
      </c>
      <c r="O420" s="40" t="e">
        <f>IF(M420="","",M420*SETTINGS!$B$10)</f>
        <v>#VALUE!</v>
      </c>
      <c r="P420" s="40" t="str">
        <f>IF(A420="","",SETTINGS!$B$6)</f>
        <v/>
      </c>
      <c r="Q420" s="40" t="str">
        <f>IF(A420="","",SETTINGS!$B$7)</f>
        <v/>
      </c>
      <c r="R420" s="40" t="str">
        <f>IF(A420="","",SETTINGS!$B$8)</f>
        <v/>
      </c>
      <c r="S420" s="38"/>
    </row>
    <row r="421" spans="1:19" ht="14.45" customHeight="1">
      <c r="A421" s="38"/>
      <c r="B421" s="38"/>
      <c r="C421" s="38"/>
      <c r="D421" s="38"/>
      <c r="E421" s="38"/>
      <c r="F421" s="38"/>
      <c r="G421" s="39"/>
      <c r="H421" s="39"/>
      <c r="I421" s="39"/>
      <c r="J421" s="39"/>
      <c r="K421" s="39"/>
      <c r="L421" s="39"/>
      <c r="M421" s="40">
        <f t="shared" si="4"/>
        <v>0</v>
      </c>
      <c r="N421" s="40" t="e">
        <f>IF(M421="","",M421*SETTINGS!$B$9)</f>
        <v>#VALUE!</v>
      </c>
      <c r="O421" s="40" t="e">
        <f>IF(M421="","",M421*SETTINGS!$B$10)</f>
        <v>#VALUE!</v>
      </c>
      <c r="P421" s="40" t="str">
        <f>IF(A421="","",SETTINGS!$B$6)</f>
        <v/>
      </c>
      <c r="Q421" s="40" t="str">
        <f>IF(A421="","",SETTINGS!$B$7)</f>
        <v/>
      </c>
      <c r="R421" s="40" t="str">
        <f>IF(A421="","",SETTINGS!$B$8)</f>
        <v/>
      </c>
      <c r="S421" s="38"/>
    </row>
    <row r="422" spans="1:19" ht="14.45" customHeight="1">
      <c r="A422" s="38"/>
      <c r="B422" s="38"/>
      <c r="C422" s="38"/>
      <c r="D422" s="38"/>
      <c r="E422" s="38"/>
      <c r="F422" s="38"/>
      <c r="G422" s="39"/>
      <c r="H422" s="39"/>
      <c r="I422" s="39"/>
      <c r="J422" s="39"/>
      <c r="K422" s="39"/>
      <c r="L422" s="39"/>
      <c r="M422" s="40">
        <f t="shared" si="4"/>
        <v>0</v>
      </c>
      <c r="N422" s="40" t="e">
        <f>IF(M422="","",M422*SETTINGS!$B$9)</f>
        <v>#VALUE!</v>
      </c>
      <c r="O422" s="40" t="e">
        <f>IF(M422="","",M422*SETTINGS!$B$10)</f>
        <v>#VALUE!</v>
      </c>
      <c r="P422" s="40" t="str">
        <f>IF(A422="","",SETTINGS!$B$6)</f>
        <v/>
      </c>
      <c r="Q422" s="40" t="str">
        <f>IF(A422="","",SETTINGS!$B$7)</f>
        <v/>
      </c>
      <c r="R422" s="40" t="str">
        <f>IF(A422="","",SETTINGS!$B$8)</f>
        <v/>
      </c>
      <c r="S422" s="38"/>
    </row>
    <row r="423" spans="1:19" ht="14.45" customHeight="1">
      <c r="A423" s="38"/>
      <c r="B423" s="38"/>
      <c r="C423" s="38"/>
      <c r="D423" s="38"/>
      <c r="E423" s="38"/>
      <c r="F423" s="38"/>
      <c r="G423" s="39"/>
      <c r="H423" s="39"/>
      <c r="I423" s="39"/>
      <c r="J423" s="39"/>
      <c r="K423" s="39"/>
      <c r="L423" s="39"/>
      <c r="M423" s="40">
        <f t="shared" si="4"/>
        <v>0</v>
      </c>
      <c r="N423" s="40" t="e">
        <f>IF(M423="","",M423*SETTINGS!$B$9)</f>
        <v>#VALUE!</v>
      </c>
      <c r="O423" s="40" t="e">
        <f>IF(M423="","",M423*SETTINGS!$B$10)</f>
        <v>#VALUE!</v>
      </c>
      <c r="P423" s="40" t="str">
        <f>IF(A423="","",SETTINGS!$B$6)</f>
        <v/>
      </c>
      <c r="Q423" s="40" t="str">
        <f>IF(A423="","",SETTINGS!$B$7)</f>
        <v/>
      </c>
      <c r="R423" s="40" t="str">
        <f>IF(A423="","",SETTINGS!$B$8)</f>
        <v/>
      </c>
      <c r="S423" s="38"/>
    </row>
    <row r="424" spans="1:19" ht="14.45" customHeight="1">
      <c r="A424" s="38"/>
      <c r="B424" s="38"/>
      <c r="C424" s="38"/>
      <c r="D424" s="38"/>
      <c r="E424" s="38"/>
      <c r="F424" s="38"/>
      <c r="G424" s="39"/>
      <c r="H424" s="39"/>
      <c r="I424" s="39"/>
      <c r="J424" s="39"/>
      <c r="K424" s="39"/>
      <c r="L424" s="39"/>
      <c r="M424" s="40">
        <f t="shared" si="4"/>
        <v>0</v>
      </c>
      <c r="N424" s="40" t="e">
        <f>IF(M424="","",M424*SETTINGS!$B$9)</f>
        <v>#VALUE!</v>
      </c>
      <c r="O424" s="40" t="e">
        <f>IF(M424="","",M424*SETTINGS!$B$10)</f>
        <v>#VALUE!</v>
      </c>
      <c r="P424" s="40" t="str">
        <f>IF(A424="","",SETTINGS!$B$6)</f>
        <v/>
      </c>
      <c r="Q424" s="40" t="str">
        <f>IF(A424="","",SETTINGS!$B$7)</f>
        <v/>
      </c>
      <c r="R424" s="40" t="str">
        <f>IF(A424="","",SETTINGS!$B$8)</f>
        <v/>
      </c>
      <c r="S424" s="38"/>
    </row>
    <row r="425" spans="1:19" ht="14.45" customHeight="1">
      <c r="A425" s="38"/>
      <c r="B425" s="38"/>
      <c r="C425" s="38"/>
      <c r="D425" s="38"/>
      <c r="E425" s="38"/>
      <c r="F425" s="38"/>
      <c r="G425" s="39"/>
      <c r="H425" s="39"/>
      <c r="I425" s="39"/>
      <c r="J425" s="39"/>
      <c r="K425" s="39"/>
      <c r="L425" s="39"/>
      <c r="M425" s="40">
        <f t="shared" si="4"/>
        <v>0</v>
      </c>
      <c r="N425" s="40" t="e">
        <f>IF(M425="","",M425*SETTINGS!$B$9)</f>
        <v>#VALUE!</v>
      </c>
      <c r="O425" s="40" t="e">
        <f>IF(M425="","",M425*SETTINGS!$B$10)</f>
        <v>#VALUE!</v>
      </c>
      <c r="P425" s="40" t="str">
        <f>IF(A425="","",SETTINGS!$B$6)</f>
        <v/>
      </c>
      <c r="Q425" s="40" t="str">
        <f>IF(A425="","",SETTINGS!$B$7)</f>
        <v/>
      </c>
      <c r="R425" s="40" t="str">
        <f>IF(A425="","",SETTINGS!$B$8)</f>
        <v/>
      </c>
      <c r="S425" s="38"/>
    </row>
    <row r="426" spans="1:19" ht="14.45" customHeight="1">
      <c r="A426" s="38"/>
      <c r="B426" s="38"/>
      <c r="C426" s="38"/>
      <c r="D426" s="38"/>
      <c r="E426" s="38"/>
      <c r="F426" s="38"/>
      <c r="G426" s="39"/>
      <c r="H426" s="39"/>
      <c r="I426" s="39"/>
      <c r="J426" s="39"/>
      <c r="K426" s="39"/>
      <c r="L426" s="39"/>
      <c r="M426" s="40">
        <f t="shared" si="4"/>
        <v>0</v>
      </c>
      <c r="N426" s="40" t="e">
        <f>IF(M426="","",M426*SETTINGS!$B$9)</f>
        <v>#VALUE!</v>
      </c>
      <c r="O426" s="40" t="e">
        <f>IF(M426="","",M426*SETTINGS!$B$10)</f>
        <v>#VALUE!</v>
      </c>
      <c r="P426" s="40" t="str">
        <f>IF(A426="","",SETTINGS!$B$6)</f>
        <v/>
      </c>
      <c r="Q426" s="40" t="str">
        <f>IF(A426="","",SETTINGS!$B$7)</f>
        <v/>
      </c>
      <c r="R426" s="40" t="str">
        <f>IF(A426="","",SETTINGS!$B$8)</f>
        <v/>
      </c>
      <c r="S426" s="38"/>
    </row>
    <row r="427" spans="1:19" ht="14.45" customHeight="1">
      <c r="A427" s="38"/>
      <c r="B427" s="38"/>
      <c r="C427" s="38"/>
      <c r="D427" s="38"/>
      <c r="E427" s="38"/>
      <c r="F427" s="38"/>
      <c r="G427" s="39"/>
      <c r="H427" s="39"/>
      <c r="I427" s="39"/>
      <c r="J427" s="39"/>
      <c r="K427" s="39"/>
      <c r="L427" s="39"/>
      <c r="M427" s="40">
        <f t="shared" si="4"/>
        <v>0</v>
      </c>
      <c r="N427" s="40" t="e">
        <f>IF(M427="","",M427*SETTINGS!$B$9)</f>
        <v>#VALUE!</v>
      </c>
      <c r="O427" s="40" t="e">
        <f>IF(M427="","",M427*SETTINGS!$B$10)</f>
        <v>#VALUE!</v>
      </c>
      <c r="P427" s="40" t="str">
        <f>IF(A427="","",SETTINGS!$B$6)</f>
        <v/>
      </c>
      <c r="Q427" s="40" t="str">
        <f>IF(A427="","",SETTINGS!$B$7)</f>
        <v/>
      </c>
      <c r="R427" s="40" t="str">
        <f>IF(A427="","",SETTINGS!$B$8)</f>
        <v/>
      </c>
      <c r="S427" s="38"/>
    </row>
    <row r="428" spans="1:19" ht="14.45" customHeight="1">
      <c r="A428" s="38"/>
      <c r="B428" s="38"/>
      <c r="C428" s="38"/>
      <c r="D428" s="38"/>
      <c r="E428" s="38"/>
      <c r="F428" s="38"/>
      <c r="G428" s="39"/>
      <c r="H428" s="39"/>
      <c r="I428" s="39"/>
      <c r="J428" s="39"/>
      <c r="K428" s="39"/>
      <c r="L428" s="39"/>
      <c r="M428" s="40">
        <f t="shared" si="4"/>
        <v>0</v>
      </c>
      <c r="N428" s="40" t="e">
        <f>IF(M428="","",M428*SETTINGS!$B$9)</f>
        <v>#VALUE!</v>
      </c>
      <c r="O428" s="40" t="e">
        <f>IF(M428="","",M428*SETTINGS!$B$10)</f>
        <v>#VALUE!</v>
      </c>
      <c r="P428" s="40" t="str">
        <f>IF(A428="","",SETTINGS!$B$6)</f>
        <v/>
      </c>
      <c r="Q428" s="40" t="str">
        <f>IF(A428="","",SETTINGS!$B$7)</f>
        <v/>
      </c>
      <c r="R428" s="40" t="str">
        <f>IF(A428="","",SETTINGS!$B$8)</f>
        <v/>
      </c>
      <c r="S428" s="38"/>
    </row>
    <row r="429" spans="1:19" ht="14.45" customHeight="1">
      <c r="A429" s="38"/>
      <c r="B429" s="38"/>
      <c r="C429" s="38"/>
      <c r="D429" s="38"/>
      <c r="E429" s="38"/>
      <c r="F429" s="38"/>
      <c r="G429" s="39"/>
      <c r="H429" s="39"/>
      <c r="I429" s="39"/>
      <c r="J429" s="39"/>
      <c r="K429" s="39"/>
      <c r="L429" s="39"/>
      <c r="M429" s="40">
        <f t="shared" si="4"/>
        <v>0</v>
      </c>
      <c r="N429" s="40" t="e">
        <f>IF(M429="","",M429*SETTINGS!$B$9)</f>
        <v>#VALUE!</v>
      </c>
      <c r="O429" s="40" t="e">
        <f>IF(M429="","",M429*SETTINGS!$B$10)</f>
        <v>#VALUE!</v>
      </c>
      <c r="P429" s="40" t="str">
        <f>IF(A429="","",SETTINGS!$B$6)</f>
        <v/>
      </c>
      <c r="Q429" s="40" t="str">
        <f>IF(A429="","",SETTINGS!$B$7)</f>
        <v/>
      </c>
      <c r="R429" s="40" t="str">
        <f>IF(A429="","",SETTINGS!$B$8)</f>
        <v/>
      </c>
      <c r="S429" s="38"/>
    </row>
    <row r="430" spans="1:19" ht="14.45" customHeight="1">
      <c r="A430" s="38"/>
      <c r="B430" s="38"/>
      <c r="C430" s="38"/>
      <c r="D430" s="38"/>
      <c r="E430" s="38"/>
      <c r="F430" s="38"/>
      <c r="G430" s="39"/>
      <c r="H430" s="39"/>
      <c r="I430" s="39"/>
      <c r="J430" s="39"/>
      <c r="K430" s="39"/>
      <c r="L430" s="39"/>
      <c r="M430" s="40">
        <f t="shared" si="4"/>
        <v>0</v>
      </c>
      <c r="N430" s="40" t="e">
        <f>IF(M430="","",M430*SETTINGS!$B$9)</f>
        <v>#VALUE!</v>
      </c>
      <c r="O430" s="40" t="e">
        <f>IF(M430="","",M430*SETTINGS!$B$10)</f>
        <v>#VALUE!</v>
      </c>
      <c r="P430" s="40" t="str">
        <f>IF(A430="","",SETTINGS!$B$6)</f>
        <v/>
      </c>
      <c r="Q430" s="40" t="str">
        <f>IF(A430="","",SETTINGS!$B$7)</f>
        <v/>
      </c>
      <c r="R430" s="40" t="str">
        <f>IF(A430="","",SETTINGS!$B$8)</f>
        <v/>
      </c>
      <c r="S430" s="38"/>
    </row>
    <row r="431" spans="1:19" ht="14.45" customHeight="1">
      <c r="A431" s="38"/>
      <c r="B431" s="38"/>
      <c r="C431" s="38"/>
      <c r="D431" s="38"/>
      <c r="E431" s="38"/>
      <c r="F431" s="38"/>
      <c r="G431" s="39"/>
      <c r="H431" s="39"/>
      <c r="I431" s="39"/>
      <c r="J431" s="39"/>
      <c r="K431" s="39"/>
      <c r="L431" s="39"/>
      <c r="M431" s="40">
        <f t="shared" si="4"/>
        <v>0</v>
      </c>
      <c r="N431" s="40" t="e">
        <f>IF(M431="","",M431*SETTINGS!$B$9)</f>
        <v>#VALUE!</v>
      </c>
      <c r="O431" s="40" t="e">
        <f>IF(M431="","",M431*SETTINGS!$B$10)</f>
        <v>#VALUE!</v>
      </c>
      <c r="P431" s="40" t="str">
        <f>IF(A431="","",SETTINGS!$B$6)</f>
        <v/>
      </c>
      <c r="Q431" s="40" t="str">
        <f>IF(A431="","",SETTINGS!$B$7)</f>
        <v/>
      </c>
      <c r="R431" s="40" t="str">
        <f>IF(A431="","",SETTINGS!$B$8)</f>
        <v/>
      </c>
      <c r="S431" s="38"/>
    </row>
    <row r="432" spans="1:19" ht="14.45" customHeight="1">
      <c r="A432" s="38"/>
      <c r="B432" s="38"/>
      <c r="C432" s="38"/>
      <c r="D432" s="38"/>
      <c r="E432" s="38"/>
      <c r="F432" s="38"/>
      <c r="G432" s="39"/>
      <c r="H432" s="39"/>
      <c r="I432" s="39"/>
      <c r="J432" s="39"/>
      <c r="K432" s="39"/>
      <c r="L432" s="39"/>
      <c r="M432" s="40">
        <f t="shared" si="4"/>
        <v>0</v>
      </c>
      <c r="N432" s="40" t="e">
        <f>IF(M432="","",M432*SETTINGS!$B$9)</f>
        <v>#VALUE!</v>
      </c>
      <c r="O432" s="40" t="e">
        <f>IF(M432="","",M432*SETTINGS!$B$10)</f>
        <v>#VALUE!</v>
      </c>
      <c r="P432" s="40" t="str">
        <f>IF(A432="","",SETTINGS!$B$6)</f>
        <v/>
      </c>
      <c r="Q432" s="40" t="str">
        <f>IF(A432="","",SETTINGS!$B$7)</f>
        <v/>
      </c>
      <c r="R432" s="40" t="str">
        <f>IF(A432="","",SETTINGS!$B$8)</f>
        <v/>
      </c>
      <c r="S432" s="38"/>
    </row>
    <row r="433" spans="1:19" ht="14.45" customHeight="1">
      <c r="A433" s="38"/>
      <c r="B433" s="38"/>
      <c r="C433" s="38"/>
      <c r="D433" s="38"/>
      <c r="E433" s="38"/>
      <c r="F433" s="38"/>
      <c r="G433" s="39"/>
      <c r="H433" s="39"/>
      <c r="I433" s="39"/>
      <c r="J433" s="39"/>
      <c r="K433" s="39"/>
      <c r="L433" s="39"/>
      <c r="M433" s="40">
        <f t="shared" si="4"/>
        <v>0</v>
      </c>
      <c r="N433" s="40" t="e">
        <f>IF(M433="","",M433*SETTINGS!$B$9)</f>
        <v>#VALUE!</v>
      </c>
      <c r="O433" s="40" t="e">
        <f>IF(M433="","",M433*SETTINGS!$B$10)</f>
        <v>#VALUE!</v>
      </c>
      <c r="P433" s="40" t="str">
        <f>IF(A433="","",SETTINGS!$B$6)</f>
        <v/>
      </c>
      <c r="Q433" s="40" t="str">
        <f>IF(A433="","",SETTINGS!$B$7)</f>
        <v/>
      </c>
      <c r="R433" s="40" t="str">
        <f>IF(A433="","",SETTINGS!$B$8)</f>
        <v/>
      </c>
      <c r="S433" s="38"/>
    </row>
    <row r="434" spans="1:19" ht="14.45" customHeight="1">
      <c r="A434" s="38"/>
      <c r="B434" s="38"/>
      <c r="C434" s="38"/>
      <c r="D434" s="38"/>
      <c r="E434" s="38"/>
      <c r="F434" s="38"/>
      <c r="G434" s="39"/>
      <c r="H434" s="39"/>
      <c r="I434" s="39"/>
      <c r="J434" s="39"/>
      <c r="K434" s="39"/>
      <c r="L434" s="39"/>
      <c r="M434" s="40">
        <f t="shared" si="4"/>
        <v>0</v>
      </c>
      <c r="N434" s="40" t="e">
        <f>IF(M434="","",M434*SETTINGS!$B$9)</f>
        <v>#VALUE!</v>
      </c>
      <c r="O434" s="40" t="e">
        <f>IF(M434="","",M434*SETTINGS!$B$10)</f>
        <v>#VALUE!</v>
      </c>
      <c r="P434" s="40" t="str">
        <f>IF(A434="","",SETTINGS!$B$6)</f>
        <v/>
      </c>
      <c r="Q434" s="40" t="str">
        <f>IF(A434="","",SETTINGS!$B$7)</f>
        <v/>
      </c>
      <c r="R434" s="40" t="str">
        <f>IF(A434="","",SETTINGS!$B$8)</f>
        <v/>
      </c>
      <c r="S434" s="38"/>
    </row>
    <row r="435" spans="1:19" ht="14.45" customHeight="1">
      <c r="A435" s="38"/>
      <c r="B435" s="38"/>
      <c r="C435" s="38"/>
      <c r="D435" s="38"/>
      <c r="E435" s="38"/>
      <c r="F435" s="38"/>
      <c r="G435" s="39"/>
      <c r="H435" s="39"/>
      <c r="I435" s="39"/>
      <c r="J435" s="39"/>
      <c r="K435" s="39"/>
      <c r="L435" s="39"/>
      <c r="M435" s="40">
        <f t="shared" si="4"/>
        <v>0</v>
      </c>
      <c r="N435" s="40" t="e">
        <f>IF(M435="","",M435*SETTINGS!$B$9)</f>
        <v>#VALUE!</v>
      </c>
      <c r="O435" s="40" t="e">
        <f>IF(M435="","",M435*SETTINGS!$B$10)</f>
        <v>#VALUE!</v>
      </c>
      <c r="P435" s="40" t="str">
        <f>IF(A435="","",SETTINGS!$B$6)</f>
        <v/>
      </c>
      <c r="Q435" s="40" t="str">
        <f>IF(A435="","",SETTINGS!$B$7)</f>
        <v/>
      </c>
      <c r="R435" s="40" t="str">
        <f>IF(A435="","",SETTINGS!$B$8)</f>
        <v/>
      </c>
      <c r="S435" s="38"/>
    </row>
    <row r="436" spans="1:19" ht="14.45" customHeight="1">
      <c r="A436" s="38"/>
      <c r="B436" s="38"/>
      <c r="C436" s="38"/>
      <c r="D436" s="38"/>
      <c r="E436" s="38"/>
      <c r="F436" s="38"/>
      <c r="G436" s="39"/>
      <c r="H436" s="39"/>
      <c r="I436" s="39"/>
      <c r="J436" s="39"/>
      <c r="K436" s="39"/>
      <c r="L436" s="39"/>
      <c r="M436" s="40">
        <f t="shared" si="4"/>
        <v>0</v>
      </c>
      <c r="N436" s="40" t="e">
        <f>IF(M436="","",M436*SETTINGS!$B$9)</f>
        <v>#VALUE!</v>
      </c>
      <c r="O436" s="40" t="e">
        <f>IF(M436="","",M436*SETTINGS!$B$10)</f>
        <v>#VALUE!</v>
      </c>
      <c r="P436" s="40" t="str">
        <f>IF(A436="","",SETTINGS!$B$6)</f>
        <v/>
      </c>
      <c r="Q436" s="40" t="str">
        <f>IF(A436="","",SETTINGS!$B$7)</f>
        <v/>
      </c>
      <c r="R436" s="40" t="str">
        <f>IF(A436="","",SETTINGS!$B$8)</f>
        <v/>
      </c>
      <c r="S436" s="38"/>
    </row>
    <row r="437" spans="1:19" ht="14.45" customHeight="1">
      <c r="A437" s="38"/>
      <c r="B437" s="38"/>
      <c r="C437" s="38"/>
      <c r="D437" s="38"/>
      <c r="E437" s="38"/>
      <c r="F437" s="38"/>
      <c r="G437" s="39"/>
      <c r="H437" s="39"/>
      <c r="I437" s="39"/>
      <c r="J437" s="39"/>
      <c r="K437" s="39"/>
      <c r="L437" s="39"/>
      <c r="M437" s="40">
        <f t="shared" si="4"/>
        <v>0</v>
      </c>
      <c r="N437" s="40" t="e">
        <f>IF(M437="","",M437*SETTINGS!$B$9)</f>
        <v>#VALUE!</v>
      </c>
      <c r="O437" s="40" t="e">
        <f>IF(M437="","",M437*SETTINGS!$B$10)</f>
        <v>#VALUE!</v>
      </c>
      <c r="P437" s="40" t="str">
        <f>IF(A437="","",SETTINGS!$B$6)</f>
        <v/>
      </c>
      <c r="Q437" s="40" t="str">
        <f>IF(A437="","",SETTINGS!$B$7)</f>
        <v/>
      </c>
      <c r="R437" s="40" t="str">
        <f>IF(A437="","",SETTINGS!$B$8)</f>
        <v/>
      </c>
      <c r="S437" s="38"/>
    </row>
    <row r="438" spans="1:19" ht="14.45" customHeight="1">
      <c r="A438" s="38"/>
      <c r="B438" s="38"/>
      <c r="C438" s="38"/>
      <c r="D438" s="38"/>
      <c r="E438" s="38"/>
      <c r="F438" s="38"/>
      <c r="G438" s="39"/>
      <c r="H438" s="39"/>
      <c r="I438" s="39"/>
      <c r="J438" s="39"/>
      <c r="K438" s="39"/>
      <c r="L438" s="39"/>
      <c r="M438" s="40">
        <f t="shared" si="4"/>
        <v>0</v>
      </c>
      <c r="N438" s="40" t="e">
        <f>IF(M438="","",M438*SETTINGS!$B$9)</f>
        <v>#VALUE!</v>
      </c>
      <c r="O438" s="40" t="e">
        <f>IF(M438="","",M438*SETTINGS!$B$10)</f>
        <v>#VALUE!</v>
      </c>
      <c r="P438" s="40" t="str">
        <f>IF(A438="","",SETTINGS!$B$6)</f>
        <v/>
      </c>
      <c r="Q438" s="40" t="str">
        <f>IF(A438="","",SETTINGS!$B$7)</f>
        <v/>
      </c>
      <c r="R438" s="40" t="str">
        <f>IF(A438="","",SETTINGS!$B$8)</f>
        <v/>
      </c>
      <c r="S438" s="38"/>
    </row>
    <row r="439" spans="1:19" ht="14.45" customHeight="1">
      <c r="A439" s="38"/>
      <c r="B439" s="38"/>
      <c r="C439" s="38"/>
      <c r="D439" s="38"/>
      <c r="E439" s="38"/>
      <c r="F439" s="38"/>
      <c r="G439" s="39"/>
      <c r="H439" s="39"/>
      <c r="I439" s="39"/>
      <c r="J439" s="39"/>
      <c r="K439" s="39"/>
      <c r="L439" s="39"/>
      <c r="M439" s="40">
        <f t="shared" si="4"/>
        <v>0</v>
      </c>
      <c r="N439" s="40" t="e">
        <f>IF(M439="","",M439*SETTINGS!$B$9)</f>
        <v>#VALUE!</v>
      </c>
      <c r="O439" s="40" t="e">
        <f>IF(M439="","",M439*SETTINGS!$B$10)</f>
        <v>#VALUE!</v>
      </c>
      <c r="P439" s="40" t="str">
        <f>IF(A439="","",SETTINGS!$B$6)</f>
        <v/>
      </c>
      <c r="Q439" s="40" t="str">
        <f>IF(A439="","",SETTINGS!$B$7)</f>
        <v/>
      </c>
      <c r="R439" s="40" t="str">
        <f>IF(A439="","",SETTINGS!$B$8)</f>
        <v/>
      </c>
      <c r="S439" s="38"/>
    </row>
    <row r="440" spans="1:19" ht="14.45" customHeight="1">
      <c r="A440" s="38"/>
      <c r="B440" s="38"/>
      <c r="C440" s="38"/>
      <c r="D440" s="38"/>
      <c r="E440" s="38"/>
      <c r="F440" s="38"/>
      <c r="G440" s="39"/>
      <c r="H440" s="39"/>
      <c r="I440" s="39"/>
      <c r="J440" s="39"/>
      <c r="K440" s="39"/>
      <c r="L440" s="39"/>
      <c r="M440" s="40">
        <f t="shared" si="4"/>
        <v>0</v>
      </c>
      <c r="N440" s="40" t="e">
        <f>IF(M440="","",M440*SETTINGS!$B$9)</f>
        <v>#VALUE!</v>
      </c>
      <c r="O440" s="40" t="e">
        <f>IF(M440="","",M440*SETTINGS!$B$10)</f>
        <v>#VALUE!</v>
      </c>
      <c r="P440" s="40" t="str">
        <f>IF(A440="","",SETTINGS!$B$6)</f>
        <v/>
      </c>
      <c r="Q440" s="40" t="str">
        <f>IF(A440="","",SETTINGS!$B$7)</f>
        <v/>
      </c>
      <c r="R440" s="40" t="str">
        <f>IF(A440="","",SETTINGS!$B$8)</f>
        <v/>
      </c>
      <c r="S440" s="38"/>
    </row>
    <row r="441" spans="1:19" ht="14.45" customHeight="1">
      <c r="A441" s="38"/>
      <c r="B441" s="38"/>
      <c r="C441" s="38"/>
      <c r="D441" s="38"/>
      <c r="E441" s="38"/>
      <c r="F441" s="38"/>
      <c r="G441" s="39"/>
      <c r="H441" s="39"/>
      <c r="I441" s="39"/>
      <c r="J441" s="39"/>
      <c r="K441" s="39"/>
      <c r="L441" s="39"/>
      <c r="M441" s="40">
        <f t="shared" si="4"/>
        <v>0</v>
      </c>
      <c r="N441" s="40" t="e">
        <f>IF(M441="","",M441*SETTINGS!$B$9)</f>
        <v>#VALUE!</v>
      </c>
      <c r="O441" s="40" t="e">
        <f>IF(M441="","",M441*SETTINGS!$B$10)</f>
        <v>#VALUE!</v>
      </c>
      <c r="P441" s="40" t="str">
        <f>IF(A441="","",SETTINGS!$B$6)</f>
        <v/>
      </c>
      <c r="Q441" s="40" t="str">
        <f>IF(A441="","",SETTINGS!$B$7)</f>
        <v/>
      </c>
      <c r="R441" s="40" t="str">
        <f>IF(A441="","",SETTINGS!$B$8)</f>
        <v/>
      </c>
      <c r="S441" s="38"/>
    </row>
    <row r="442" spans="1:19" ht="14.45" customHeight="1">
      <c r="A442" s="38"/>
      <c r="B442" s="38"/>
      <c r="C442" s="38"/>
      <c r="D442" s="38"/>
      <c r="E442" s="38"/>
      <c r="F442" s="38"/>
      <c r="G442" s="39"/>
      <c r="H442" s="39"/>
      <c r="I442" s="39"/>
      <c r="J442" s="39"/>
      <c r="K442" s="39"/>
      <c r="L442" s="39"/>
      <c r="M442" s="40">
        <f t="shared" si="4"/>
        <v>0</v>
      </c>
      <c r="N442" s="40" t="e">
        <f>IF(M442="","",M442*SETTINGS!$B$9)</f>
        <v>#VALUE!</v>
      </c>
      <c r="O442" s="40" t="e">
        <f>IF(M442="","",M442*SETTINGS!$B$10)</f>
        <v>#VALUE!</v>
      </c>
      <c r="P442" s="40" t="str">
        <f>IF(A442="","",SETTINGS!$B$6)</f>
        <v/>
      </c>
      <c r="Q442" s="40" t="str">
        <f>IF(A442="","",SETTINGS!$B$7)</f>
        <v/>
      </c>
      <c r="R442" s="40" t="str">
        <f>IF(A442="","",SETTINGS!$B$8)</f>
        <v/>
      </c>
      <c r="S442" s="38"/>
    </row>
    <row r="443" spans="1:19" ht="14.45" customHeight="1">
      <c r="A443" s="38"/>
      <c r="B443" s="38"/>
      <c r="C443" s="38"/>
      <c r="D443" s="38"/>
      <c r="E443" s="38"/>
      <c r="F443" s="38"/>
      <c r="G443" s="39"/>
      <c r="H443" s="39"/>
      <c r="I443" s="39"/>
      <c r="J443" s="39"/>
      <c r="K443" s="39"/>
      <c r="L443" s="39"/>
      <c r="M443" s="40">
        <f t="shared" si="4"/>
        <v>0</v>
      </c>
      <c r="N443" s="40" t="e">
        <f>IF(M443="","",M443*SETTINGS!$B$9)</f>
        <v>#VALUE!</v>
      </c>
      <c r="O443" s="40" t="e">
        <f>IF(M443="","",M443*SETTINGS!$B$10)</f>
        <v>#VALUE!</v>
      </c>
      <c r="P443" s="40" t="str">
        <f>IF(A443="","",SETTINGS!$B$6)</f>
        <v/>
      </c>
      <c r="Q443" s="40" t="str">
        <f>IF(A443="","",SETTINGS!$B$7)</f>
        <v/>
      </c>
      <c r="R443" s="40" t="str">
        <f>IF(A443="","",SETTINGS!$B$8)</f>
        <v/>
      </c>
      <c r="S443" s="38"/>
    </row>
    <row r="444" spans="1:19" ht="14.45" customHeight="1">
      <c r="A444" s="38"/>
      <c r="B444" s="38"/>
      <c r="C444" s="38"/>
      <c r="D444" s="38"/>
      <c r="E444" s="38"/>
      <c r="F444" s="38"/>
      <c r="G444" s="39"/>
      <c r="H444" s="39"/>
      <c r="I444" s="39"/>
      <c r="J444" s="39"/>
      <c r="K444" s="39"/>
      <c r="L444" s="39"/>
      <c r="M444" s="40">
        <f t="shared" si="4"/>
        <v>0</v>
      </c>
      <c r="N444" s="40" t="e">
        <f>IF(M444="","",M444*SETTINGS!$B$9)</f>
        <v>#VALUE!</v>
      </c>
      <c r="O444" s="40" t="e">
        <f>IF(M444="","",M444*SETTINGS!$B$10)</f>
        <v>#VALUE!</v>
      </c>
      <c r="P444" s="40" t="str">
        <f>IF(A444="","",SETTINGS!$B$6)</f>
        <v/>
      </c>
      <c r="Q444" s="40" t="str">
        <f>IF(A444="","",SETTINGS!$B$7)</f>
        <v/>
      </c>
      <c r="R444" s="40" t="str">
        <f>IF(A444="","",SETTINGS!$B$8)</f>
        <v/>
      </c>
      <c r="S444" s="38"/>
    </row>
    <row r="445" spans="1:19" ht="14.45" customHeight="1">
      <c r="A445" s="38"/>
      <c r="B445" s="38"/>
      <c r="C445" s="38"/>
      <c r="D445" s="38"/>
      <c r="E445" s="38"/>
      <c r="F445" s="38"/>
      <c r="G445" s="39"/>
      <c r="H445" s="39"/>
      <c r="I445" s="39"/>
      <c r="J445" s="39"/>
      <c r="K445" s="39"/>
      <c r="L445" s="39"/>
      <c r="M445" s="40">
        <f t="shared" si="4"/>
        <v>0</v>
      </c>
      <c r="N445" s="40" t="e">
        <f>IF(M445="","",M445*SETTINGS!$B$9)</f>
        <v>#VALUE!</v>
      </c>
      <c r="O445" s="40" t="e">
        <f>IF(M445="","",M445*SETTINGS!$B$10)</f>
        <v>#VALUE!</v>
      </c>
      <c r="P445" s="40" t="str">
        <f>IF(A445="","",SETTINGS!$B$6)</f>
        <v/>
      </c>
      <c r="Q445" s="40" t="str">
        <f>IF(A445="","",SETTINGS!$B$7)</f>
        <v/>
      </c>
      <c r="R445" s="40" t="str">
        <f>IF(A445="","",SETTINGS!$B$8)</f>
        <v/>
      </c>
      <c r="S445" s="38"/>
    </row>
    <row r="446" spans="1:19" ht="14.45" customHeight="1">
      <c r="A446" s="38"/>
      <c r="B446" s="38"/>
      <c r="C446" s="38"/>
      <c r="D446" s="38"/>
      <c r="E446" s="38"/>
      <c r="F446" s="38"/>
      <c r="G446" s="39"/>
      <c r="H446" s="39"/>
      <c r="I446" s="39"/>
      <c r="J446" s="39"/>
      <c r="K446" s="39"/>
      <c r="L446" s="39"/>
      <c r="M446" s="40">
        <f t="shared" si="4"/>
        <v>0</v>
      </c>
      <c r="N446" s="40" t="e">
        <f>IF(M446="","",M446*SETTINGS!$B$9)</f>
        <v>#VALUE!</v>
      </c>
      <c r="O446" s="40" t="e">
        <f>IF(M446="","",M446*SETTINGS!$B$10)</f>
        <v>#VALUE!</v>
      </c>
      <c r="P446" s="40" t="str">
        <f>IF(A446="","",SETTINGS!$B$6)</f>
        <v/>
      </c>
      <c r="Q446" s="40" t="str">
        <f>IF(A446="","",SETTINGS!$B$7)</f>
        <v/>
      </c>
      <c r="R446" s="40" t="str">
        <f>IF(A446="","",SETTINGS!$B$8)</f>
        <v/>
      </c>
      <c r="S446" s="38"/>
    </row>
    <row r="447" spans="1:19" ht="14.45" customHeight="1">
      <c r="A447" s="38"/>
      <c r="B447" s="38"/>
      <c r="C447" s="38"/>
      <c r="D447" s="38"/>
      <c r="E447" s="38"/>
      <c r="F447" s="38"/>
      <c r="G447" s="39"/>
      <c r="H447" s="39"/>
      <c r="I447" s="39"/>
      <c r="J447" s="39"/>
      <c r="K447" s="39"/>
      <c r="L447" s="39"/>
      <c r="M447" s="40">
        <f t="shared" si="4"/>
        <v>0</v>
      </c>
      <c r="N447" s="40" t="e">
        <f>IF(M447="","",M447*SETTINGS!$B$9)</f>
        <v>#VALUE!</v>
      </c>
      <c r="O447" s="40" t="e">
        <f>IF(M447="","",M447*SETTINGS!$B$10)</f>
        <v>#VALUE!</v>
      </c>
      <c r="P447" s="40" t="str">
        <f>IF(A447="","",SETTINGS!$B$6)</f>
        <v/>
      </c>
      <c r="Q447" s="40" t="str">
        <f>IF(A447="","",SETTINGS!$B$7)</f>
        <v/>
      </c>
      <c r="R447" s="40" t="str">
        <f>IF(A447="","",SETTINGS!$B$8)</f>
        <v/>
      </c>
      <c r="S447" s="38"/>
    </row>
    <row r="448" spans="1:19" ht="14.45" customHeight="1">
      <c r="A448" s="38"/>
      <c r="B448" s="38"/>
      <c r="C448" s="38"/>
      <c r="D448" s="38"/>
      <c r="E448" s="38"/>
      <c r="F448" s="38"/>
      <c r="G448" s="39"/>
      <c r="H448" s="39"/>
      <c r="I448" s="39"/>
      <c r="J448" s="39"/>
      <c r="K448" s="39"/>
      <c r="L448" s="39"/>
      <c r="M448" s="40">
        <f t="shared" si="4"/>
        <v>0</v>
      </c>
      <c r="N448" s="40" t="e">
        <f>IF(M448="","",M448*SETTINGS!$B$9)</f>
        <v>#VALUE!</v>
      </c>
      <c r="O448" s="40" t="e">
        <f>IF(M448="","",M448*SETTINGS!$B$10)</f>
        <v>#VALUE!</v>
      </c>
      <c r="P448" s="40" t="str">
        <f>IF(A448="","",SETTINGS!$B$6)</f>
        <v/>
      </c>
      <c r="Q448" s="40" t="str">
        <f>IF(A448="","",SETTINGS!$B$7)</f>
        <v/>
      </c>
      <c r="R448" s="40" t="str">
        <f>IF(A448="","",SETTINGS!$B$8)</f>
        <v/>
      </c>
      <c r="S448" s="38"/>
    </row>
    <row r="449" spans="1:19" ht="14.45" customHeight="1">
      <c r="A449" s="38"/>
      <c r="B449" s="38"/>
      <c r="C449" s="38"/>
      <c r="D449" s="38"/>
      <c r="E449" s="38"/>
      <c r="F449" s="38"/>
      <c r="G449" s="39"/>
      <c r="H449" s="39"/>
      <c r="I449" s="39"/>
      <c r="J449" s="39"/>
      <c r="K449" s="39"/>
      <c r="L449" s="39"/>
      <c r="M449" s="40">
        <f t="shared" si="4"/>
        <v>0</v>
      </c>
      <c r="N449" s="40" t="e">
        <f>IF(M449="","",M449*SETTINGS!$B$9)</f>
        <v>#VALUE!</v>
      </c>
      <c r="O449" s="40" t="e">
        <f>IF(M449="","",M449*SETTINGS!$B$10)</f>
        <v>#VALUE!</v>
      </c>
      <c r="P449" s="40" t="str">
        <f>IF(A449="","",SETTINGS!$B$6)</f>
        <v/>
      </c>
      <c r="Q449" s="40" t="str">
        <f>IF(A449="","",SETTINGS!$B$7)</f>
        <v/>
      </c>
      <c r="R449" s="40" t="str">
        <f>IF(A449="","",SETTINGS!$B$8)</f>
        <v/>
      </c>
      <c r="S449" s="38"/>
    </row>
    <row r="450" spans="1:19" ht="14.45" customHeight="1">
      <c r="A450" s="38"/>
      <c r="B450" s="38"/>
      <c r="C450" s="38"/>
      <c r="D450" s="38"/>
      <c r="E450" s="38"/>
      <c r="F450" s="38"/>
      <c r="G450" s="39"/>
      <c r="H450" s="39"/>
      <c r="I450" s="39"/>
      <c r="J450" s="39"/>
      <c r="K450" s="39"/>
      <c r="L450" s="39"/>
      <c r="M450" s="40">
        <f t="shared" si="4"/>
        <v>0</v>
      </c>
      <c r="N450" s="40" t="e">
        <f>IF(M450="","",M450*SETTINGS!$B$9)</f>
        <v>#VALUE!</v>
      </c>
      <c r="O450" s="40" t="e">
        <f>IF(M450="","",M450*SETTINGS!$B$10)</f>
        <v>#VALUE!</v>
      </c>
      <c r="P450" s="40" t="str">
        <f>IF(A450="","",SETTINGS!$B$6)</f>
        <v/>
      </c>
      <c r="Q450" s="40" t="str">
        <f>IF(A450="","",SETTINGS!$B$7)</f>
        <v/>
      </c>
      <c r="R450" s="40" t="str">
        <f>IF(A450="","",SETTINGS!$B$8)</f>
        <v/>
      </c>
      <c r="S450" s="38"/>
    </row>
    <row r="451" spans="1:19" ht="14.45" customHeight="1">
      <c r="A451" s="38"/>
      <c r="B451" s="38"/>
      <c r="C451" s="38"/>
      <c r="D451" s="38"/>
      <c r="E451" s="38"/>
      <c r="F451" s="38"/>
      <c r="G451" s="39"/>
      <c r="H451" s="39"/>
      <c r="I451" s="39"/>
      <c r="J451" s="39"/>
      <c r="K451" s="39"/>
      <c r="L451" s="39"/>
      <c r="M451" s="40">
        <f t="shared" si="4"/>
        <v>0</v>
      </c>
      <c r="N451" s="40" t="e">
        <f>IF(M451="","",M451*SETTINGS!$B$9)</f>
        <v>#VALUE!</v>
      </c>
      <c r="O451" s="40" t="e">
        <f>IF(M451="","",M451*SETTINGS!$B$10)</f>
        <v>#VALUE!</v>
      </c>
      <c r="P451" s="40" t="str">
        <f>IF(A451="","",SETTINGS!$B$6)</f>
        <v/>
      </c>
      <c r="Q451" s="40" t="str">
        <f>IF(A451="","",SETTINGS!$B$7)</f>
        <v/>
      </c>
      <c r="R451" s="40" t="str">
        <f>IF(A451="","",SETTINGS!$B$8)</f>
        <v/>
      </c>
      <c r="S451" s="38"/>
    </row>
    <row r="452" spans="1:19" ht="14.45" customHeight="1">
      <c r="A452" s="38"/>
      <c r="B452" s="38"/>
      <c r="C452" s="38"/>
      <c r="D452" s="38"/>
      <c r="E452" s="38"/>
      <c r="F452" s="38"/>
      <c r="G452" s="39"/>
      <c r="H452" s="39"/>
      <c r="I452" s="39"/>
      <c r="J452" s="39"/>
      <c r="K452" s="39"/>
      <c r="L452" s="39"/>
      <c r="M452" s="40">
        <f t="shared" si="4"/>
        <v>0</v>
      </c>
      <c r="N452" s="40" t="e">
        <f>IF(M452="","",M452*SETTINGS!$B$9)</f>
        <v>#VALUE!</v>
      </c>
      <c r="O452" s="40" t="e">
        <f>IF(M452="","",M452*SETTINGS!$B$10)</f>
        <v>#VALUE!</v>
      </c>
      <c r="P452" s="40" t="str">
        <f>IF(A452="","",SETTINGS!$B$6)</f>
        <v/>
      </c>
      <c r="Q452" s="40" t="str">
        <f>IF(A452="","",SETTINGS!$B$7)</f>
        <v/>
      </c>
      <c r="R452" s="40" t="str">
        <f>IF(A452="","",SETTINGS!$B$8)</f>
        <v/>
      </c>
      <c r="S452" s="38"/>
    </row>
    <row r="453" spans="1:19" ht="14.45" customHeight="1">
      <c r="A453" s="38"/>
      <c r="B453" s="38"/>
      <c r="C453" s="38"/>
      <c r="D453" s="38"/>
      <c r="E453" s="38"/>
      <c r="F453" s="38"/>
      <c r="G453" s="39"/>
      <c r="H453" s="39"/>
      <c r="I453" s="39"/>
      <c r="J453" s="39"/>
      <c r="K453" s="39"/>
      <c r="L453" s="39"/>
      <c r="M453" s="40">
        <f t="shared" si="4"/>
        <v>0</v>
      </c>
      <c r="N453" s="40" t="e">
        <f>IF(M453="","",M453*SETTINGS!$B$9)</f>
        <v>#VALUE!</v>
      </c>
      <c r="O453" s="40" t="e">
        <f>IF(M453="","",M453*SETTINGS!$B$10)</f>
        <v>#VALUE!</v>
      </c>
      <c r="P453" s="40" t="str">
        <f>IF(A453="","",SETTINGS!$B$6)</f>
        <v/>
      </c>
      <c r="Q453" s="40" t="str">
        <f>IF(A453="","",SETTINGS!$B$7)</f>
        <v/>
      </c>
      <c r="R453" s="40" t="str">
        <f>IF(A453="","",SETTINGS!$B$8)</f>
        <v/>
      </c>
      <c r="S453" s="38"/>
    </row>
    <row r="454" spans="1:19" ht="14.45" customHeight="1">
      <c r="A454" s="38"/>
      <c r="B454" s="38"/>
      <c r="C454" s="38"/>
      <c r="D454" s="38"/>
      <c r="E454" s="38"/>
      <c r="F454" s="38"/>
      <c r="G454" s="39"/>
      <c r="H454" s="39"/>
      <c r="I454" s="39"/>
      <c r="J454" s="39"/>
      <c r="K454" s="39"/>
      <c r="L454" s="39"/>
      <c r="M454" s="40">
        <f t="shared" si="4"/>
        <v>0</v>
      </c>
      <c r="N454" s="40" t="e">
        <f>IF(M454="","",M454*SETTINGS!$B$9)</f>
        <v>#VALUE!</v>
      </c>
      <c r="O454" s="40" t="e">
        <f>IF(M454="","",M454*SETTINGS!$B$10)</f>
        <v>#VALUE!</v>
      </c>
      <c r="P454" s="40" t="str">
        <f>IF(A454="","",SETTINGS!$B$6)</f>
        <v/>
      </c>
      <c r="Q454" s="40" t="str">
        <f>IF(A454="","",SETTINGS!$B$7)</f>
        <v/>
      </c>
      <c r="R454" s="40" t="str">
        <f>IF(A454="","",SETTINGS!$B$8)</f>
        <v/>
      </c>
      <c r="S454" s="38"/>
    </row>
    <row r="455" spans="1:19" ht="14.45" customHeight="1">
      <c r="A455" s="38"/>
      <c r="B455" s="38"/>
      <c r="C455" s="38"/>
      <c r="D455" s="38"/>
      <c r="E455" s="38"/>
      <c r="F455" s="38"/>
      <c r="G455" s="39"/>
      <c r="H455" s="39"/>
      <c r="I455" s="39"/>
      <c r="J455" s="39"/>
      <c r="K455" s="39"/>
      <c r="L455" s="39"/>
      <c r="M455" s="40">
        <f t="shared" si="4"/>
        <v>0</v>
      </c>
      <c r="N455" s="40" t="e">
        <f>IF(M455="","",M455*SETTINGS!$B$9)</f>
        <v>#VALUE!</v>
      </c>
      <c r="O455" s="40" t="e">
        <f>IF(M455="","",M455*SETTINGS!$B$10)</f>
        <v>#VALUE!</v>
      </c>
      <c r="P455" s="40" t="str">
        <f>IF(A455="","",SETTINGS!$B$6)</f>
        <v/>
      </c>
      <c r="Q455" s="40" t="str">
        <f>IF(A455="","",SETTINGS!$B$7)</f>
        <v/>
      </c>
      <c r="R455" s="40" t="str">
        <f>IF(A455="","",SETTINGS!$B$8)</f>
        <v/>
      </c>
      <c r="S455" s="38"/>
    </row>
    <row r="456" spans="1:19" ht="14.45" customHeight="1">
      <c r="A456" s="38"/>
      <c r="B456" s="38"/>
      <c r="C456" s="38"/>
      <c r="D456" s="38"/>
      <c r="E456" s="38"/>
      <c r="F456" s="38"/>
      <c r="G456" s="39"/>
      <c r="H456" s="39"/>
      <c r="I456" s="39"/>
      <c r="J456" s="39"/>
      <c r="K456" s="39"/>
      <c r="L456" s="39"/>
      <c r="M456" s="40">
        <f t="shared" si="4"/>
        <v>0</v>
      </c>
      <c r="N456" s="40" t="e">
        <f>IF(M456="","",M456*SETTINGS!$B$9)</f>
        <v>#VALUE!</v>
      </c>
      <c r="O456" s="40" t="e">
        <f>IF(M456="","",M456*SETTINGS!$B$10)</f>
        <v>#VALUE!</v>
      </c>
      <c r="P456" s="40" t="str">
        <f>IF(A456="","",SETTINGS!$B$6)</f>
        <v/>
      </c>
      <c r="Q456" s="40" t="str">
        <f>IF(A456="","",SETTINGS!$B$7)</f>
        <v/>
      </c>
      <c r="R456" s="40" t="str">
        <f>IF(A456="","",SETTINGS!$B$8)</f>
        <v/>
      </c>
      <c r="S456" s="38"/>
    </row>
    <row r="457" spans="1:19" ht="14.45" customHeight="1">
      <c r="A457" s="38"/>
      <c r="B457" s="38"/>
      <c r="C457" s="38"/>
      <c r="D457" s="38"/>
      <c r="E457" s="38"/>
      <c r="F457" s="38"/>
      <c r="G457" s="39"/>
      <c r="H457" s="39"/>
      <c r="I457" s="39"/>
      <c r="J457" s="39"/>
      <c r="K457" s="39"/>
      <c r="L457" s="39"/>
      <c r="M457" s="40">
        <f t="shared" si="4"/>
        <v>0</v>
      </c>
      <c r="N457" s="40" t="e">
        <f>IF(M457="","",M457*SETTINGS!$B$9)</f>
        <v>#VALUE!</v>
      </c>
      <c r="O457" s="40" t="e">
        <f>IF(M457="","",M457*SETTINGS!$B$10)</f>
        <v>#VALUE!</v>
      </c>
      <c r="P457" s="40" t="str">
        <f>IF(A457="","",SETTINGS!$B$6)</f>
        <v/>
      </c>
      <c r="Q457" s="40" t="str">
        <f>IF(A457="","",SETTINGS!$B$7)</f>
        <v/>
      </c>
      <c r="R457" s="40" t="str">
        <f>IF(A457="","",SETTINGS!$B$8)</f>
        <v/>
      </c>
      <c r="S457" s="38"/>
    </row>
    <row r="458" spans="1:19" ht="14.45" customHeight="1">
      <c r="A458" s="38"/>
      <c r="B458" s="38"/>
      <c r="C458" s="38"/>
      <c r="D458" s="38"/>
      <c r="E458" s="38"/>
      <c r="F458" s="38"/>
      <c r="G458" s="39"/>
      <c r="H458" s="39"/>
      <c r="I458" s="39"/>
      <c r="J458" s="39"/>
      <c r="K458" s="39"/>
      <c r="L458" s="39"/>
      <c r="M458" s="40">
        <f t="shared" si="4"/>
        <v>0</v>
      </c>
      <c r="N458" s="40" t="e">
        <f>IF(M458="","",M458*SETTINGS!$B$9)</f>
        <v>#VALUE!</v>
      </c>
      <c r="O458" s="40" t="e">
        <f>IF(M458="","",M458*SETTINGS!$B$10)</f>
        <v>#VALUE!</v>
      </c>
      <c r="P458" s="40" t="str">
        <f>IF(A458="","",SETTINGS!$B$6)</f>
        <v/>
      </c>
      <c r="Q458" s="40" t="str">
        <f>IF(A458="","",SETTINGS!$B$7)</f>
        <v/>
      </c>
      <c r="R458" s="40" t="str">
        <f>IF(A458="","",SETTINGS!$B$8)</f>
        <v/>
      </c>
      <c r="S458" s="38"/>
    </row>
    <row r="459" spans="1:19" ht="14.45" customHeight="1">
      <c r="A459" s="38"/>
      <c r="B459" s="38"/>
      <c r="C459" s="38"/>
      <c r="D459" s="38"/>
      <c r="E459" s="38"/>
      <c r="F459" s="38"/>
      <c r="G459" s="39"/>
      <c r="H459" s="39"/>
      <c r="I459" s="39"/>
      <c r="J459" s="39"/>
      <c r="K459" s="39"/>
      <c r="L459" s="39"/>
      <c r="M459" s="40">
        <f t="shared" si="4"/>
        <v>0</v>
      </c>
      <c r="N459" s="40" t="e">
        <f>IF(M459="","",M459*SETTINGS!$B$9)</f>
        <v>#VALUE!</v>
      </c>
      <c r="O459" s="40" t="e">
        <f>IF(M459="","",M459*SETTINGS!$B$10)</f>
        <v>#VALUE!</v>
      </c>
      <c r="P459" s="40" t="str">
        <f>IF(A459="","",SETTINGS!$B$6)</f>
        <v/>
      </c>
      <c r="Q459" s="40" t="str">
        <f>IF(A459="","",SETTINGS!$B$7)</f>
        <v/>
      </c>
      <c r="R459" s="40" t="str">
        <f>IF(A459="","",SETTINGS!$B$8)</f>
        <v/>
      </c>
      <c r="S459" s="38"/>
    </row>
    <row r="460" spans="1:19" ht="14.45" customHeight="1">
      <c r="A460" s="38"/>
      <c r="B460" s="38"/>
      <c r="C460" s="38"/>
      <c r="D460" s="38"/>
      <c r="E460" s="38"/>
      <c r="F460" s="38"/>
      <c r="G460" s="39"/>
      <c r="H460" s="39"/>
      <c r="I460" s="39"/>
      <c r="J460" s="39"/>
      <c r="K460" s="39"/>
      <c r="L460" s="39"/>
      <c r="M460" s="40">
        <f t="shared" si="4"/>
        <v>0</v>
      </c>
      <c r="N460" s="40" t="e">
        <f>IF(M460="","",M460*SETTINGS!$B$9)</f>
        <v>#VALUE!</v>
      </c>
      <c r="O460" s="40" t="e">
        <f>IF(M460="","",M460*SETTINGS!$B$10)</f>
        <v>#VALUE!</v>
      </c>
      <c r="P460" s="40" t="str">
        <f>IF(A460="","",SETTINGS!$B$6)</f>
        <v/>
      </c>
      <c r="Q460" s="40" t="str">
        <f>IF(A460="","",SETTINGS!$B$7)</f>
        <v/>
      </c>
      <c r="R460" s="40" t="str">
        <f>IF(A460="","",SETTINGS!$B$8)</f>
        <v/>
      </c>
      <c r="S460" s="38"/>
    </row>
    <row r="461" spans="1:19" ht="14.45" customHeight="1">
      <c r="A461" s="38"/>
      <c r="B461" s="38"/>
      <c r="C461" s="38"/>
      <c r="D461" s="38"/>
      <c r="E461" s="38"/>
      <c r="F461" s="38"/>
      <c r="G461" s="39"/>
      <c r="H461" s="39"/>
      <c r="I461" s="39"/>
      <c r="J461" s="39"/>
      <c r="K461" s="39"/>
      <c r="L461" s="39"/>
      <c r="M461" s="40">
        <f t="shared" si="4"/>
        <v>0</v>
      </c>
      <c r="N461" s="40" t="e">
        <f>IF(M461="","",M461*SETTINGS!$B$9)</f>
        <v>#VALUE!</v>
      </c>
      <c r="O461" s="40" t="e">
        <f>IF(M461="","",M461*SETTINGS!$B$10)</f>
        <v>#VALUE!</v>
      </c>
      <c r="P461" s="40" t="str">
        <f>IF(A461="","",SETTINGS!$B$6)</f>
        <v/>
      </c>
      <c r="Q461" s="40" t="str">
        <f>IF(A461="","",SETTINGS!$B$7)</f>
        <v/>
      </c>
      <c r="R461" s="40" t="str">
        <f>IF(A461="","",SETTINGS!$B$8)</f>
        <v/>
      </c>
      <c r="S461" s="38"/>
    </row>
    <row r="462" spans="1:19" ht="14.45" customHeight="1">
      <c r="A462" s="38"/>
      <c r="B462" s="38"/>
      <c r="C462" s="38"/>
      <c r="D462" s="38"/>
      <c r="E462" s="38"/>
      <c r="F462" s="38"/>
      <c r="G462" s="39"/>
      <c r="H462" s="39"/>
      <c r="I462" s="39"/>
      <c r="J462" s="39"/>
      <c r="K462" s="39"/>
      <c r="L462" s="39"/>
      <c r="M462" s="40">
        <f t="shared" si="4"/>
        <v>0</v>
      </c>
      <c r="N462" s="40" t="e">
        <f>IF(M462="","",M462*SETTINGS!$B$9)</f>
        <v>#VALUE!</v>
      </c>
      <c r="O462" s="40" t="e">
        <f>IF(M462="","",M462*SETTINGS!$B$10)</f>
        <v>#VALUE!</v>
      </c>
      <c r="P462" s="40" t="str">
        <f>IF(A462="","",SETTINGS!$B$6)</f>
        <v/>
      </c>
      <c r="Q462" s="40" t="str">
        <f>IF(A462="","",SETTINGS!$B$7)</f>
        <v/>
      </c>
      <c r="R462" s="40" t="str">
        <f>IF(A462="","",SETTINGS!$B$8)</f>
        <v/>
      </c>
      <c r="S462" s="38"/>
    </row>
    <row r="463" spans="1:19" ht="14.45" customHeight="1">
      <c r="A463" s="38"/>
      <c r="B463" s="38"/>
      <c r="C463" s="38"/>
      <c r="D463" s="38"/>
      <c r="E463" s="38"/>
      <c r="F463" s="38"/>
      <c r="G463" s="39"/>
      <c r="H463" s="39"/>
      <c r="I463" s="39"/>
      <c r="J463" s="39"/>
      <c r="K463" s="39"/>
      <c r="L463" s="39"/>
      <c r="M463" s="40">
        <f t="shared" si="4"/>
        <v>0</v>
      </c>
      <c r="N463" s="40" t="e">
        <f>IF(M463="","",M463*SETTINGS!$B$9)</f>
        <v>#VALUE!</v>
      </c>
      <c r="O463" s="40" t="e">
        <f>IF(M463="","",M463*SETTINGS!$B$10)</f>
        <v>#VALUE!</v>
      </c>
      <c r="P463" s="40" t="str">
        <f>IF(A463="","",SETTINGS!$B$6)</f>
        <v/>
      </c>
      <c r="Q463" s="40" t="str">
        <f>IF(A463="","",SETTINGS!$B$7)</f>
        <v/>
      </c>
      <c r="R463" s="40" t="str">
        <f>IF(A463="","",SETTINGS!$B$8)</f>
        <v/>
      </c>
      <c r="S463" s="38"/>
    </row>
    <row r="464" spans="1:19" ht="14.45" customHeight="1">
      <c r="A464" s="38"/>
      <c r="B464" s="38"/>
      <c r="C464" s="38"/>
      <c r="D464" s="38"/>
      <c r="E464" s="38"/>
      <c r="F464" s="38"/>
      <c r="G464" s="39"/>
      <c r="H464" s="39"/>
      <c r="I464" s="39"/>
      <c r="J464" s="39"/>
      <c r="K464" s="39"/>
      <c r="L464" s="39"/>
      <c r="M464" s="40">
        <f t="shared" si="4"/>
        <v>0</v>
      </c>
      <c r="N464" s="40" t="e">
        <f>IF(M464="","",M464*SETTINGS!$B$9)</f>
        <v>#VALUE!</v>
      </c>
      <c r="O464" s="40" t="e">
        <f>IF(M464="","",M464*SETTINGS!$B$10)</f>
        <v>#VALUE!</v>
      </c>
      <c r="P464" s="40" t="str">
        <f>IF(A464="","",SETTINGS!$B$6)</f>
        <v/>
      </c>
      <c r="Q464" s="40" t="str">
        <f>IF(A464="","",SETTINGS!$B$7)</f>
        <v/>
      </c>
      <c r="R464" s="40" t="str">
        <f>IF(A464="","",SETTINGS!$B$8)</f>
        <v/>
      </c>
      <c r="S464" s="38"/>
    </row>
    <row r="465" spans="1:19" ht="14.45" customHeight="1">
      <c r="A465" s="38"/>
      <c r="B465" s="38"/>
      <c r="C465" s="38"/>
      <c r="D465" s="38"/>
      <c r="E465" s="38"/>
      <c r="F465" s="38"/>
      <c r="G465" s="39"/>
      <c r="H465" s="39"/>
      <c r="I465" s="39"/>
      <c r="J465" s="39"/>
      <c r="K465" s="39"/>
      <c r="L465" s="39"/>
      <c r="M465" s="40">
        <f t="shared" si="4"/>
        <v>0</v>
      </c>
      <c r="N465" s="40" t="e">
        <f>IF(M465="","",M465*SETTINGS!$B$9)</f>
        <v>#VALUE!</v>
      </c>
      <c r="O465" s="40" t="e">
        <f>IF(M465="","",M465*SETTINGS!$B$10)</f>
        <v>#VALUE!</v>
      </c>
      <c r="P465" s="40" t="str">
        <f>IF(A465="","",SETTINGS!$B$6)</f>
        <v/>
      </c>
      <c r="Q465" s="40" t="str">
        <f>IF(A465="","",SETTINGS!$B$7)</f>
        <v/>
      </c>
      <c r="R465" s="40" t="str">
        <f>IF(A465="","",SETTINGS!$B$8)</f>
        <v/>
      </c>
      <c r="S465" s="38"/>
    </row>
    <row r="466" spans="1:19" ht="14.45" customHeight="1">
      <c r="A466" s="38"/>
      <c r="B466" s="38"/>
      <c r="C466" s="38"/>
      <c r="D466" s="38"/>
      <c r="E466" s="38"/>
      <c r="F466" s="38"/>
      <c r="G466" s="39"/>
      <c r="H466" s="39"/>
      <c r="I466" s="39"/>
      <c r="J466" s="39"/>
      <c r="K466" s="39"/>
      <c r="L466" s="39"/>
      <c r="M466" s="40">
        <f t="shared" si="4"/>
        <v>0</v>
      </c>
      <c r="N466" s="40" t="e">
        <f>IF(M466="","",M466*SETTINGS!$B$9)</f>
        <v>#VALUE!</v>
      </c>
      <c r="O466" s="40" t="e">
        <f>IF(M466="","",M466*SETTINGS!$B$10)</f>
        <v>#VALUE!</v>
      </c>
      <c r="P466" s="40" t="str">
        <f>IF(A466="","",SETTINGS!$B$6)</f>
        <v/>
      </c>
      <c r="Q466" s="40" t="str">
        <f>IF(A466="","",SETTINGS!$B$7)</f>
        <v/>
      </c>
      <c r="R466" s="40" t="str">
        <f>IF(A466="","",SETTINGS!$B$8)</f>
        <v/>
      </c>
      <c r="S466" s="38"/>
    </row>
    <row r="467" spans="1:19" ht="14.45" customHeight="1">
      <c r="A467" s="38"/>
      <c r="B467" s="38"/>
      <c r="C467" s="38"/>
      <c r="D467" s="38"/>
      <c r="E467" s="38"/>
      <c r="F467" s="38"/>
      <c r="G467" s="39"/>
      <c r="H467" s="39"/>
      <c r="I467" s="39"/>
      <c r="J467" s="39"/>
      <c r="K467" s="39"/>
      <c r="L467" s="39"/>
      <c r="M467" s="40">
        <f t="shared" si="4"/>
        <v>0</v>
      </c>
      <c r="N467" s="40" t="e">
        <f>IF(M467="","",M467*SETTINGS!$B$9)</f>
        <v>#VALUE!</v>
      </c>
      <c r="O467" s="40" t="e">
        <f>IF(M467="","",M467*SETTINGS!$B$10)</f>
        <v>#VALUE!</v>
      </c>
      <c r="P467" s="40" t="str">
        <f>IF(A467="","",SETTINGS!$B$6)</f>
        <v/>
      </c>
      <c r="Q467" s="40" t="str">
        <f>IF(A467="","",SETTINGS!$B$7)</f>
        <v/>
      </c>
      <c r="R467" s="40" t="str">
        <f>IF(A467="","",SETTINGS!$B$8)</f>
        <v/>
      </c>
      <c r="S467" s="38"/>
    </row>
    <row r="468" spans="1:19" ht="14.45" customHeight="1">
      <c r="A468" s="38"/>
      <c r="B468" s="38"/>
      <c r="C468" s="38"/>
      <c r="D468" s="38"/>
      <c r="E468" s="38"/>
      <c r="F468" s="38"/>
      <c r="G468" s="39"/>
      <c r="H468" s="39"/>
      <c r="I468" s="39"/>
      <c r="J468" s="39"/>
      <c r="K468" s="39"/>
      <c r="L468" s="39"/>
      <c r="M468" s="40">
        <f t="shared" si="4"/>
        <v>0</v>
      </c>
      <c r="N468" s="40" t="e">
        <f>IF(M468="","",M468*SETTINGS!$B$9)</f>
        <v>#VALUE!</v>
      </c>
      <c r="O468" s="40" t="e">
        <f>IF(M468="","",M468*SETTINGS!$B$10)</f>
        <v>#VALUE!</v>
      </c>
      <c r="P468" s="40" t="str">
        <f>IF(A468="","",SETTINGS!$B$6)</f>
        <v/>
      </c>
      <c r="Q468" s="40" t="str">
        <f>IF(A468="","",SETTINGS!$B$7)</f>
        <v/>
      </c>
      <c r="R468" s="40" t="str">
        <f>IF(A468="","",SETTINGS!$B$8)</f>
        <v/>
      </c>
      <c r="S468" s="38"/>
    </row>
    <row r="469" spans="1:19" ht="14.45" customHeight="1">
      <c r="A469" s="38"/>
      <c r="B469" s="38"/>
      <c r="C469" s="38"/>
      <c r="D469" s="38"/>
      <c r="E469" s="38"/>
      <c r="F469" s="38"/>
      <c r="G469" s="39"/>
      <c r="H469" s="39"/>
      <c r="I469" s="39"/>
      <c r="J469" s="39"/>
      <c r="K469" s="39"/>
      <c r="L469" s="39"/>
      <c r="M469" s="40">
        <f t="shared" si="4"/>
        <v>0</v>
      </c>
      <c r="N469" s="40" t="e">
        <f>IF(M469="","",M469*SETTINGS!$B$9)</f>
        <v>#VALUE!</v>
      </c>
      <c r="O469" s="40" t="e">
        <f>IF(M469="","",M469*SETTINGS!$B$10)</f>
        <v>#VALUE!</v>
      </c>
      <c r="P469" s="40" t="str">
        <f>IF(A469="","",SETTINGS!$B$6)</f>
        <v/>
      </c>
      <c r="Q469" s="40" t="str">
        <f>IF(A469="","",SETTINGS!$B$7)</f>
        <v/>
      </c>
      <c r="R469" s="40" t="str">
        <f>IF(A469="","",SETTINGS!$B$8)</f>
        <v/>
      </c>
      <c r="S469" s="38"/>
    </row>
    <row r="470" spans="1:19" ht="14.45" customHeight="1">
      <c r="A470" s="38"/>
      <c r="B470" s="38"/>
      <c r="C470" s="38"/>
      <c r="D470" s="38"/>
      <c r="E470" s="38"/>
      <c r="F470" s="38"/>
      <c r="G470" s="39"/>
      <c r="H470" s="39"/>
      <c r="I470" s="39"/>
      <c r="J470" s="39"/>
      <c r="K470" s="39"/>
      <c r="L470" s="39"/>
      <c r="M470" s="40">
        <f t="shared" si="4"/>
        <v>0</v>
      </c>
      <c r="N470" s="40" t="e">
        <f>IF(M470="","",M470*SETTINGS!$B$9)</f>
        <v>#VALUE!</v>
      </c>
      <c r="O470" s="40" t="e">
        <f>IF(M470="","",M470*SETTINGS!$B$10)</f>
        <v>#VALUE!</v>
      </c>
      <c r="P470" s="40" t="str">
        <f>IF(A470="","",SETTINGS!$B$6)</f>
        <v/>
      </c>
      <c r="Q470" s="40" t="str">
        <f>IF(A470="","",SETTINGS!$B$7)</f>
        <v/>
      </c>
      <c r="R470" s="40" t="str">
        <f>IF(A470="","",SETTINGS!$B$8)</f>
        <v/>
      </c>
      <c r="S470" s="38"/>
    </row>
    <row r="471" spans="1:19" ht="14.45" customHeight="1">
      <c r="A471" s="38"/>
      <c r="B471" s="38"/>
      <c r="C471" s="38"/>
      <c r="D471" s="38"/>
      <c r="E471" s="38"/>
      <c r="F471" s="38"/>
      <c r="G471" s="39"/>
      <c r="H471" s="39"/>
      <c r="I471" s="39"/>
      <c r="J471" s="39"/>
      <c r="K471" s="39"/>
      <c r="L471" s="39"/>
      <c r="M471" s="40">
        <f t="shared" si="4"/>
        <v>0</v>
      </c>
      <c r="N471" s="40" t="e">
        <f>IF(M471="","",M471*SETTINGS!$B$9)</f>
        <v>#VALUE!</v>
      </c>
      <c r="O471" s="40" t="e">
        <f>IF(M471="","",M471*SETTINGS!$B$10)</f>
        <v>#VALUE!</v>
      </c>
      <c r="P471" s="40" t="str">
        <f>IF(A471="","",SETTINGS!$B$6)</f>
        <v/>
      </c>
      <c r="Q471" s="40" t="str">
        <f>IF(A471="","",SETTINGS!$B$7)</f>
        <v/>
      </c>
      <c r="R471" s="40" t="str">
        <f>IF(A471="","",SETTINGS!$B$8)</f>
        <v/>
      </c>
      <c r="S471" s="38"/>
    </row>
    <row r="472" spans="1:19" ht="14.45" customHeight="1">
      <c r="A472" s="38"/>
      <c r="B472" s="38"/>
      <c r="C472" s="38"/>
      <c r="D472" s="38"/>
      <c r="E472" s="38"/>
      <c r="F472" s="38"/>
      <c r="G472" s="39"/>
      <c r="H472" s="39"/>
      <c r="I472" s="39"/>
      <c r="J472" s="39"/>
      <c r="K472" s="39"/>
      <c r="L472" s="39"/>
      <c r="M472" s="40">
        <f t="shared" si="4"/>
        <v>0</v>
      </c>
      <c r="N472" s="40" t="e">
        <f>IF(M472="","",M472*SETTINGS!$B$9)</f>
        <v>#VALUE!</v>
      </c>
      <c r="O472" s="40" t="e">
        <f>IF(M472="","",M472*SETTINGS!$B$10)</f>
        <v>#VALUE!</v>
      </c>
      <c r="P472" s="40" t="str">
        <f>IF(A472="","",SETTINGS!$B$6)</f>
        <v/>
      </c>
      <c r="Q472" s="40" t="str">
        <f>IF(A472="","",SETTINGS!$B$7)</f>
        <v/>
      </c>
      <c r="R472" s="40" t="str">
        <f>IF(A472="","",SETTINGS!$B$8)</f>
        <v/>
      </c>
      <c r="S472" s="38"/>
    </row>
    <row r="473" spans="1:19" ht="14.45" customHeight="1">
      <c r="A473" s="38"/>
      <c r="B473" s="38"/>
      <c r="C473" s="38"/>
      <c r="D473" s="38"/>
      <c r="E473" s="38"/>
      <c r="F473" s="38"/>
      <c r="G473" s="39"/>
      <c r="H473" s="39"/>
      <c r="I473" s="39"/>
      <c r="J473" s="39"/>
      <c r="K473" s="39"/>
      <c r="L473" s="39"/>
      <c r="M473" s="40">
        <f t="shared" si="4"/>
        <v>0</v>
      </c>
      <c r="N473" s="40" t="e">
        <f>IF(M473="","",M473*SETTINGS!$B$9)</f>
        <v>#VALUE!</v>
      </c>
      <c r="O473" s="40" t="e">
        <f>IF(M473="","",M473*SETTINGS!$B$10)</f>
        <v>#VALUE!</v>
      </c>
      <c r="P473" s="40" t="str">
        <f>IF(A473="","",SETTINGS!$B$6)</f>
        <v/>
      </c>
      <c r="Q473" s="40" t="str">
        <f>IF(A473="","",SETTINGS!$B$7)</f>
        <v/>
      </c>
      <c r="R473" s="40" t="str">
        <f>IF(A473="","",SETTINGS!$B$8)</f>
        <v/>
      </c>
      <c r="S473" s="38"/>
    </row>
    <row r="474" spans="1:19" ht="14.45" customHeight="1">
      <c r="A474" s="38"/>
      <c r="B474" s="38"/>
      <c r="C474" s="38"/>
      <c r="D474" s="38"/>
      <c r="E474" s="38"/>
      <c r="F474" s="38"/>
      <c r="G474" s="39"/>
      <c r="H474" s="39"/>
      <c r="I474" s="39"/>
      <c r="J474" s="39"/>
      <c r="K474" s="39"/>
      <c r="L474" s="39"/>
      <c r="M474" s="40">
        <f t="shared" si="4"/>
        <v>0</v>
      </c>
      <c r="N474" s="40" t="e">
        <f>IF(M474="","",M474*SETTINGS!$B$9)</f>
        <v>#VALUE!</v>
      </c>
      <c r="O474" s="40" t="e">
        <f>IF(M474="","",M474*SETTINGS!$B$10)</f>
        <v>#VALUE!</v>
      </c>
      <c r="P474" s="40" t="str">
        <f>IF(A474="","",SETTINGS!$B$6)</f>
        <v/>
      </c>
      <c r="Q474" s="40" t="str">
        <f>IF(A474="","",SETTINGS!$B$7)</f>
        <v/>
      </c>
      <c r="R474" s="40" t="str">
        <f>IF(A474="","",SETTINGS!$B$8)</f>
        <v/>
      </c>
      <c r="S474" s="38"/>
    </row>
    <row r="475" spans="1:19" ht="14.45" customHeight="1">
      <c r="A475" s="38"/>
      <c r="B475" s="38"/>
      <c r="C475" s="38"/>
      <c r="D475" s="38"/>
      <c r="E475" s="38"/>
      <c r="F475" s="38"/>
      <c r="G475" s="39"/>
      <c r="H475" s="39"/>
      <c r="I475" s="39"/>
      <c r="J475" s="39"/>
      <c r="K475" s="39"/>
      <c r="L475" s="39"/>
      <c r="M475" s="40">
        <f t="shared" si="4"/>
        <v>0</v>
      </c>
      <c r="N475" s="40" t="e">
        <f>IF(M475="","",M475*SETTINGS!$B$9)</f>
        <v>#VALUE!</v>
      </c>
      <c r="O475" s="40" t="e">
        <f>IF(M475="","",M475*SETTINGS!$B$10)</f>
        <v>#VALUE!</v>
      </c>
      <c r="P475" s="40" t="str">
        <f>IF(A475="","",SETTINGS!$B$6)</f>
        <v/>
      </c>
      <c r="Q475" s="40" t="str">
        <f>IF(A475="","",SETTINGS!$B$7)</f>
        <v/>
      </c>
      <c r="R475" s="40" t="str">
        <f>IF(A475="","",SETTINGS!$B$8)</f>
        <v/>
      </c>
      <c r="S475" s="38"/>
    </row>
    <row r="476" spans="1:19" ht="14.45" customHeight="1">
      <c r="A476" s="38"/>
      <c r="B476" s="38"/>
      <c r="C476" s="38"/>
      <c r="D476" s="38"/>
      <c r="E476" s="38"/>
      <c r="F476" s="38"/>
      <c r="G476" s="39"/>
      <c r="H476" s="39"/>
      <c r="I476" s="39"/>
      <c r="J476" s="39"/>
      <c r="K476" s="39"/>
      <c r="L476" s="39"/>
      <c r="M476" s="40">
        <f t="shared" si="4"/>
        <v>0</v>
      </c>
      <c r="N476" s="40" t="e">
        <f>IF(M476="","",M476*SETTINGS!$B$9)</f>
        <v>#VALUE!</v>
      </c>
      <c r="O476" s="40" t="e">
        <f>IF(M476="","",M476*SETTINGS!$B$10)</f>
        <v>#VALUE!</v>
      </c>
      <c r="P476" s="40" t="str">
        <f>IF(A476="","",SETTINGS!$B$6)</f>
        <v/>
      </c>
      <c r="Q476" s="40" t="str">
        <f>IF(A476="","",SETTINGS!$B$7)</f>
        <v/>
      </c>
      <c r="R476" s="40" t="str">
        <f>IF(A476="","",SETTINGS!$B$8)</f>
        <v/>
      </c>
      <c r="S476" s="38"/>
    </row>
    <row r="477" spans="1:19" ht="14.45" customHeight="1">
      <c r="A477" s="38"/>
      <c r="B477" s="38"/>
      <c r="C477" s="38"/>
      <c r="D477" s="38"/>
      <c r="E477" s="38"/>
      <c r="F477" s="38"/>
      <c r="G477" s="39"/>
      <c r="H477" s="39"/>
      <c r="I477" s="39"/>
      <c r="J477" s="39"/>
      <c r="K477" s="39"/>
      <c r="L477" s="39"/>
      <c r="M477" s="40">
        <f t="shared" si="4"/>
        <v>0</v>
      </c>
      <c r="N477" s="40" t="e">
        <f>IF(M477="","",M477*SETTINGS!$B$9)</f>
        <v>#VALUE!</v>
      </c>
      <c r="O477" s="40" t="e">
        <f>IF(M477="","",M477*SETTINGS!$B$10)</f>
        <v>#VALUE!</v>
      </c>
      <c r="P477" s="40" t="str">
        <f>IF(A477="","",SETTINGS!$B$6)</f>
        <v/>
      </c>
      <c r="Q477" s="40" t="str">
        <f>IF(A477="","",SETTINGS!$B$7)</f>
        <v/>
      </c>
      <c r="R477" s="40" t="str">
        <f>IF(A477="","",SETTINGS!$B$8)</f>
        <v/>
      </c>
      <c r="S477" s="38"/>
    </row>
    <row r="478" spans="1:19" ht="14.45" customHeight="1">
      <c r="A478" s="38"/>
      <c r="B478" s="38"/>
      <c r="C478" s="38"/>
      <c r="D478" s="38"/>
      <c r="E478" s="38"/>
      <c r="F478" s="38"/>
      <c r="G478" s="39"/>
      <c r="H478" s="39"/>
      <c r="I478" s="39"/>
      <c r="J478" s="39"/>
      <c r="K478" s="39"/>
      <c r="L478" s="39"/>
      <c r="M478" s="40">
        <f t="shared" si="4"/>
        <v>0</v>
      </c>
      <c r="N478" s="40" t="e">
        <f>IF(M478="","",M478*SETTINGS!$B$9)</f>
        <v>#VALUE!</v>
      </c>
      <c r="O478" s="40" t="e">
        <f>IF(M478="","",M478*SETTINGS!$B$10)</f>
        <v>#VALUE!</v>
      </c>
      <c r="P478" s="40" t="str">
        <f>IF(A478="","",SETTINGS!$B$6)</f>
        <v/>
      </c>
      <c r="Q478" s="40" t="str">
        <f>IF(A478="","",SETTINGS!$B$7)</f>
        <v/>
      </c>
      <c r="R478" s="40" t="str">
        <f>IF(A478="","",SETTINGS!$B$8)</f>
        <v/>
      </c>
      <c r="S478" s="38"/>
    </row>
    <row r="479" spans="1:19" ht="14.45" customHeight="1">
      <c r="A479" s="38"/>
      <c r="B479" s="38"/>
      <c r="C479" s="38"/>
      <c r="D479" s="38"/>
      <c r="E479" s="38"/>
      <c r="F479" s="38"/>
      <c r="G479" s="39"/>
      <c r="H479" s="39"/>
      <c r="I479" s="39"/>
      <c r="J479" s="39"/>
      <c r="K479" s="39"/>
      <c r="L479" s="39"/>
      <c r="M479" s="40">
        <f t="shared" si="4"/>
        <v>0</v>
      </c>
      <c r="N479" s="40" t="e">
        <f>IF(M479="","",M479*SETTINGS!$B$9)</f>
        <v>#VALUE!</v>
      </c>
      <c r="O479" s="40" t="e">
        <f>IF(M479="","",M479*SETTINGS!$B$10)</f>
        <v>#VALUE!</v>
      </c>
      <c r="P479" s="40" t="str">
        <f>IF(A479="","",SETTINGS!$B$6)</f>
        <v/>
      </c>
      <c r="Q479" s="40" t="str">
        <f>IF(A479="","",SETTINGS!$B$7)</f>
        <v/>
      </c>
      <c r="R479" s="40" t="str">
        <f>IF(A479="","",SETTINGS!$B$8)</f>
        <v/>
      </c>
      <c r="S479" s="38"/>
    </row>
    <row r="480" spans="1:19" ht="14.45" customHeight="1">
      <c r="A480" s="38"/>
      <c r="B480" s="38"/>
      <c r="C480" s="38"/>
      <c r="D480" s="38"/>
      <c r="E480" s="38"/>
      <c r="F480" s="38"/>
      <c r="G480" s="39"/>
      <c r="H480" s="39"/>
      <c r="I480" s="39"/>
      <c r="J480" s="39"/>
      <c r="K480" s="39"/>
      <c r="L480" s="39"/>
      <c r="M480" s="40">
        <f t="shared" si="4"/>
        <v>0</v>
      </c>
      <c r="N480" s="40" t="e">
        <f>IF(M480="","",M480*SETTINGS!$B$9)</f>
        <v>#VALUE!</v>
      </c>
      <c r="O480" s="40" t="e">
        <f>IF(M480="","",M480*SETTINGS!$B$10)</f>
        <v>#VALUE!</v>
      </c>
      <c r="P480" s="40" t="str">
        <f>IF(A480="","",SETTINGS!$B$6)</f>
        <v/>
      </c>
      <c r="Q480" s="40" t="str">
        <f>IF(A480="","",SETTINGS!$B$7)</f>
        <v/>
      </c>
      <c r="R480" s="40" t="str">
        <f>IF(A480="","",SETTINGS!$B$8)</f>
        <v/>
      </c>
      <c r="S480" s="38"/>
    </row>
    <row r="481" spans="1:19" ht="14.45" customHeight="1">
      <c r="A481" s="38"/>
      <c r="B481" s="38"/>
      <c r="C481" s="38"/>
      <c r="D481" s="38"/>
      <c r="E481" s="38"/>
      <c r="F481" s="38"/>
      <c r="G481" s="39"/>
      <c r="H481" s="39"/>
      <c r="I481" s="39"/>
      <c r="J481" s="39"/>
      <c r="K481" s="39"/>
      <c r="L481" s="39"/>
      <c r="M481" s="40">
        <f t="shared" si="4"/>
        <v>0</v>
      </c>
      <c r="N481" s="40" t="e">
        <f>IF(M481="","",M481*SETTINGS!$B$9)</f>
        <v>#VALUE!</v>
      </c>
      <c r="O481" s="40" t="e">
        <f>IF(M481="","",M481*SETTINGS!$B$10)</f>
        <v>#VALUE!</v>
      </c>
      <c r="P481" s="40" t="str">
        <f>IF(A481="","",SETTINGS!$B$6)</f>
        <v/>
      </c>
      <c r="Q481" s="40" t="str">
        <f>IF(A481="","",SETTINGS!$B$7)</f>
        <v/>
      </c>
      <c r="R481" s="40" t="str">
        <f>IF(A481="","",SETTINGS!$B$8)</f>
        <v/>
      </c>
      <c r="S481" s="38"/>
    </row>
    <row r="482" spans="1:19" ht="14.45" customHeight="1">
      <c r="A482" s="38"/>
      <c r="B482" s="38"/>
      <c r="C482" s="38"/>
      <c r="D482" s="38"/>
      <c r="E482" s="38"/>
      <c r="F482" s="38"/>
      <c r="G482" s="39"/>
      <c r="H482" s="39"/>
      <c r="I482" s="39"/>
      <c r="J482" s="39"/>
      <c r="K482" s="39"/>
      <c r="L482" s="39"/>
      <c r="M482" s="40">
        <f t="shared" si="4"/>
        <v>0</v>
      </c>
      <c r="N482" s="40" t="e">
        <f>IF(M482="","",M482*SETTINGS!$B$9)</f>
        <v>#VALUE!</v>
      </c>
      <c r="O482" s="40" t="e">
        <f>IF(M482="","",M482*SETTINGS!$B$10)</f>
        <v>#VALUE!</v>
      </c>
      <c r="P482" s="40" t="str">
        <f>IF(A482="","",SETTINGS!$B$6)</f>
        <v/>
      </c>
      <c r="Q482" s="40" t="str">
        <f>IF(A482="","",SETTINGS!$B$7)</f>
        <v/>
      </c>
      <c r="R482" s="40" t="str">
        <f>IF(A482="","",SETTINGS!$B$8)</f>
        <v/>
      </c>
      <c r="S482" s="38"/>
    </row>
    <row r="483" spans="1:19" ht="14.45" customHeight="1">
      <c r="A483" s="38"/>
      <c r="B483" s="38"/>
      <c r="C483" s="38"/>
      <c r="D483" s="38"/>
      <c r="E483" s="38"/>
      <c r="F483" s="38"/>
      <c r="G483" s="39"/>
      <c r="H483" s="39"/>
      <c r="I483" s="39"/>
      <c r="J483" s="39"/>
      <c r="K483" s="39"/>
      <c r="L483" s="39"/>
      <c r="M483" s="40">
        <f t="shared" si="4"/>
        <v>0</v>
      </c>
      <c r="N483" s="40" t="e">
        <f>IF(M483="","",M483*SETTINGS!$B$9)</f>
        <v>#VALUE!</v>
      </c>
      <c r="O483" s="40" t="e">
        <f>IF(M483="","",M483*SETTINGS!$B$10)</f>
        <v>#VALUE!</v>
      </c>
      <c r="P483" s="40" t="str">
        <f>IF(A483="","",SETTINGS!$B$6)</f>
        <v/>
      </c>
      <c r="Q483" s="40" t="str">
        <f>IF(A483="","",SETTINGS!$B$7)</f>
        <v/>
      </c>
      <c r="R483" s="40" t="str">
        <f>IF(A483="","",SETTINGS!$B$8)</f>
        <v/>
      </c>
      <c r="S483" s="38"/>
    </row>
    <row r="484" spans="1:19" ht="14.45" customHeight="1">
      <c r="A484" s="38"/>
      <c r="B484" s="38"/>
      <c r="C484" s="38"/>
      <c r="D484" s="38"/>
      <c r="E484" s="38"/>
      <c r="F484" s="38"/>
      <c r="G484" s="39"/>
      <c r="H484" s="39"/>
      <c r="I484" s="39"/>
      <c r="J484" s="39"/>
      <c r="K484" s="39"/>
      <c r="L484" s="39"/>
      <c r="M484" s="40">
        <f t="shared" si="4"/>
        <v>0</v>
      </c>
      <c r="N484" s="40" t="e">
        <f>IF(M484="","",M484*SETTINGS!$B$9)</f>
        <v>#VALUE!</v>
      </c>
      <c r="O484" s="40" t="e">
        <f>IF(M484="","",M484*SETTINGS!$B$10)</f>
        <v>#VALUE!</v>
      </c>
      <c r="P484" s="40" t="str">
        <f>IF(A484="","",SETTINGS!$B$6)</f>
        <v/>
      </c>
      <c r="Q484" s="40" t="str">
        <f>IF(A484="","",SETTINGS!$B$7)</f>
        <v/>
      </c>
      <c r="R484" s="40" t="str">
        <f>IF(A484="","",SETTINGS!$B$8)</f>
        <v/>
      </c>
      <c r="S484" s="38"/>
    </row>
    <row r="485" spans="1:19" ht="14.45" customHeight="1">
      <c r="A485" s="38"/>
      <c r="B485" s="38"/>
      <c r="C485" s="38"/>
      <c r="D485" s="38"/>
      <c r="E485" s="38"/>
      <c r="F485" s="38"/>
      <c r="G485" s="39"/>
      <c r="H485" s="39"/>
      <c r="I485" s="39"/>
      <c r="J485" s="39"/>
      <c r="K485" s="39"/>
      <c r="L485" s="39"/>
      <c r="M485" s="40">
        <f t="shared" si="4"/>
        <v>0</v>
      </c>
      <c r="N485" s="40" t="e">
        <f>IF(M485="","",M485*SETTINGS!$B$9)</f>
        <v>#VALUE!</v>
      </c>
      <c r="O485" s="40" t="e">
        <f>IF(M485="","",M485*SETTINGS!$B$10)</f>
        <v>#VALUE!</v>
      </c>
      <c r="P485" s="40" t="str">
        <f>IF(A485="","",SETTINGS!$B$6)</f>
        <v/>
      </c>
      <c r="Q485" s="40" t="str">
        <f>IF(A485="","",SETTINGS!$B$7)</f>
        <v/>
      </c>
      <c r="R485" s="40" t="str">
        <f>IF(A485="","",SETTINGS!$B$8)</f>
        <v/>
      </c>
      <c r="S485" s="38"/>
    </row>
    <row r="486" spans="1:19" ht="14.45" customHeight="1">
      <c r="A486" s="38"/>
      <c r="B486" s="38"/>
      <c r="C486" s="38"/>
      <c r="D486" s="38"/>
      <c r="E486" s="38"/>
      <c r="F486" s="38"/>
      <c r="G486" s="39"/>
      <c r="H486" s="39"/>
      <c r="I486" s="39"/>
      <c r="J486" s="39"/>
      <c r="K486" s="39"/>
      <c r="L486" s="39"/>
      <c r="M486" s="40">
        <f t="shared" si="4"/>
        <v>0</v>
      </c>
      <c r="N486" s="40" t="e">
        <f>IF(M486="","",M486*SETTINGS!$B$9)</f>
        <v>#VALUE!</v>
      </c>
      <c r="O486" s="40" t="e">
        <f>IF(M486="","",M486*SETTINGS!$B$10)</f>
        <v>#VALUE!</v>
      </c>
      <c r="P486" s="40" t="str">
        <f>IF(A486="","",SETTINGS!$B$6)</f>
        <v/>
      </c>
      <c r="Q486" s="40" t="str">
        <f>IF(A486="","",SETTINGS!$B$7)</f>
        <v/>
      </c>
      <c r="R486" s="40" t="str">
        <f>IF(A486="","",SETTINGS!$B$8)</f>
        <v/>
      </c>
      <c r="S486" s="38"/>
    </row>
    <row r="487" spans="1:19" ht="14.45" customHeight="1">
      <c r="A487" s="38"/>
      <c r="B487" s="38"/>
      <c r="C487" s="38"/>
      <c r="D487" s="38"/>
      <c r="E487" s="38"/>
      <c r="F487" s="38"/>
      <c r="G487" s="39"/>
      <c r="H487" s="39"/>
      <c r="I487" s="39"/>
      <c r="J487" s="39"/>
      <c r="K487" s="39"/>
      <c r="L487" s="39"/>
      <c r="M487" s="40">
        <f t="shared" si="4"/>
        <v>0</v>
      </c>
      <c r="N487" s="40" t="e">
        <f>IF(M487="","",M487*SETTINGS!$B$9)</f>
        <v>#VALUE!</v>
      </c>
      <c r="O487" s="40" t="e">
        <f>IF(M487="","",M487*SETTINGS!$B$10)</f>
        <v>#VALUE!</v>
      </c>
      <c r="P487" s="40" t="str">
        <f>IF(A487="","",SETTINGS!$B$6)</f>
        <v/>
      </c>
      <c r="Q487" s="40" t="str">
        <f>IF(A487="","",SETTINGS!$B$7)</f>
        <v/>
      </c>
      <c r="R487" s="40" t="str">
        <f>IF(A487="","",SETTINGS!$B$8)</f>
        <v/>
      </c>
      <c r="S487" s="38"/>
    </row>
    <row r="488" spans="1:19" ht="14.45" customHeight="1">
      <c r="A488" s="38"/>
      <c r="B488" s="38"/>
      <c r="C488" s="38"/>
      <c r="D488" s="38"/>
      <c r="E488" s="38"/>
      <c r="F488" s="38"/>
      <c r="G488" s="39"/>
      <c r="H488" s="39"/>
      <c r="I488" s="39"/>
      <c r="J488" s="39"/>
      <c r="K488" s="39"/>
      <c r="L488" s="39"/>
      <c r="M488" s="40">
        <f t="shared" si="4"/>
        <v>0</v>
      </c>
      <c r="N488" s="40" t="e">
        <f>IF(M488="","",M488*SETTINGS!$B$9)</f>
        <v>#VALUE!</v>
      </c>
      <c r="O488" s="40" t="e">
        <f>IF(M488="","",M488*SETTINGS!$B$10)</f>
        <v>#VALUE!</v>
      </c>
      <c r="P488" s="40" t="str">
        <f>IF(A488="","",SETTINGS!$B$6)</f>
        <v/>
      </c>
      <c r="Q488" s="40" t="str">
        <f>IF(A488="","",SETTINGS!$B$7)</f>
        <v/>
      </c>
      <c r="R488" s="40" t="str">
        <f>IF(A488="","",SETTINGS!$B$8)</f>
        <v/>
      </c>
      <c r="S488" s="38"/>
    </row>
    <row r="489" spans="1:19" ht="14.45" customHeight="1">
      <c r="A489" s="38"/>
      <c r="B489" s="38"/>
      <c r="C489" s="38"/>
      <c r="D489" s="38"/>
      <c r="E489" s="38"/>
      <c r="F489" s="38"/>
      <c r="G489" s="39"/>
      <c r="H489" s="39"/>
      <c r="I489" s="39"/>
      <c r="J489" s="39"/>
      <c r="K489" s="39"/>
      <c r="L489" s="39"/>
      <c r="M489" s="40">
        <f t="shared" si="4"/>
        <v>0</v>
      </c>
      <c r="N489" s="40" t="e">
        <f>IF(M489="","",M489*SETTINGS!$B$9)</f>
        <v>#VALUE!</v>
      </c>
      <c r="O489" s="40" t="e">
        <f>IF(M489="","",M489*SETTINGS!$B$10)</f>
        <v>#VALUE!</v>
      </c>
      <c r="P489" s="40" t="str">
        <f>IF(A489="","",SETTINGS!$B$6)</f>
        <v/>
      </c>
      <c r="Q489" s="40" t="str">
        <f>IF(A489="","",SETTINGS!$B$7)</f>
        <v/>
      </c>
      <c r="R489" s="40" t="str">
        <f>IF(A489="","",SETTINGS!$B$8)</f>
        <v/>
      </c>
      <c r="S489" s="38"/>
    </row>
    <row r="490" spans="1:19" ht="14.45" customHeight="1">
      <c r="A490" s="38"/>
      <c r="B490" s="38"/>
      <c r="C490" s="38"/>
      <c r="D490" s="38"/>
      <c r="E490" s="38"/>
      <c r="F490" s="38"/>
      <c r="G490" s="39"/>
      <c r="H490" s="39"/>
      <c r="I490" s="39"/>
      <c r="J490" s="39"/>
      <c r="K490" s="39"/>
      <c r="L490" s="39"/>
      <c r="M490" s="40">
        <f t="shared" si="4"/>
        <v>0</v>
      </c>
      <c r="N490" s="40" t="e">
        <f>IF(M490="","",M490*SETTINGS!$B$9)</f>
        <v>#VALUE!</v>
      </c>
      <c r="O490" s="40" t="e">
        <f>IF(M490="","",M490*SETTINGS!$B$10)</f>
        <v>#VALUE!</v>
      </c>
      <c r="P490" s="40" t="str">
        <f>IF(A490="","",SETTINGS!$B$6)</f>
        <v/>
      </c>
      <c r="Q490" s="40" t="str">
        <f>IF(A490="","",SETTINGS!$B$7)</f>
        <v/>
      </c>
      <c r="R490" s="40" t="str">
        <f>IF(A490="","",SETTINGS!$B$8)</f>
        <v/>
      </c>
      <c r="S490" s="38"/>
    </row>
    <row r="491" spans="1:19" ht="14.45" customHeight="1">
      <c r="A491" s="38"/>
      <c r="B491" s="38"/>
      <c r="C491" s="38"/>
      <c r="D491" s="38"/>
      <c r="E491" s="38"/>
      <c r="F491" s="38"/>
      <c r="G491" s="39"/>
      <c r="H491" s="39"/>
      <c r="I491" s="39"/>
      <c r="J491" s="39"/>
      <c r="K491" s="39"/>
      <c r="L491" s="39"/>
      <c r="M491" s="40">
        <f t="shared" si="4"/>
        <v>0</v>
      </c>
      <c r="N491" s="40" t="e">
        <f>IF(M491="","",M491*SETTINGS!$B$9)</f>
        <v>#VALUE!</v>
      </c>
      <c r="O491" s="40" t="e">
        <f>IF(M491="","",M491*SETTINGS!$B$10)</f>
        <v>#VALUE!</v>
      </c>
      <c r="P491" s="40" t="str">
        <f>IF(A491="","",SETTINGS!$B$6)</f>
        <v/>
      </c>
      <c r="Q491" s="40" t="str">
        <f>IF(A491="","",SETTINGS!$B$7)</f>
        <v/>
      </c>
      <c r="R491" s="40" t="str">
        <f>IF(A491="","",SETTINGS!$B$8)</f>
        <v/>
      </c>
      <c r="S491" s="38"/>
    </row>
    <row r="492" spans="1:19" ht="14.45" customHeight="1">
      <c r="A492" s="38"/>
      <c r="B492" s="38"/>
      <c r="C492" s="38"/>
      <c r="D492" s="38"/>
      <c r="E492" s="38"/>
      <c r="F492" s="38"/>
      <c r="G492" s="39"/>
      <c r="H492" s="39"/>
      <c r="I492" s="39"/>
      <c r="J492" s="39"/>
      <c r="K492" s="39"/>
      <c r="L492" s="39"/>
      <c r="M492" s="40">
        <f t="shared" si="4"/>
        <v>0</v>
      </c>
      <c r="N492" s="40" t="e">
        <f>IF(M492="","",M492*SETTINGS!$B$9)</f>
        <v>#VALUE!</v>
      </c>
      <c r="O492" s="40" t="e">
        <f>IF(M492="","",M492*SETTINGS!$B$10)</f>
        <v>#VALUE!</v>
      </c>
      <c r="P492" s="40" t="str">
        <f>IF(A492="","",SETTINGS!$B$6)</f>
        <v/>
      </c>
      <c r="Q492" s="40" t="str">
        <f>IF(A492="","",SETTINGS!$B$7)</f>
        <v/>
      </c>
      <c r="R492" s="40" t="str">
        <f>IF(A492="","",SETTINGS!$B$8)</f>
        <v/>
      </c>
      <c r="S492" s="38"/>
    </row>
    <row r="493" spans="1:19" ht="14.45" customHeight="1">
      <c r="A493" s="38"/>
      <c r="B493" s="38"/>
      <c r="C493" s="38"/>
      <c r="D493" s="38"/>
      <c r="E493" s="38"/>
      <c r="F493" s="38"/>
      <c r="G493" s="39"/>
      <c r="H493" s="39"/>
      <c r="I493" s="39"/>
      <c r="J493" s="39"/>
      <c r="K493" s="39"/>
      <c r="L493" s="39"/>
      <c r="M493" s="40">
        <f t="shared" si="4"/>
        <v>0</v>
      </c>
      <c r="N493" s="40" t="e">
        <f>IF(M493="","",M493*SETTINGS!$B$9)</f>
        <v>#VALUE!</v>
      </c>
      <c r="O493" s="40" t="e">
        <f>IF(M493="","",M493*SETTINGS!$B$10)</f>
        <v>#VALUE!</v>
      </c>
      <c r="P493" s="40" t="str">
        <f>IF(A493="","",SETTINGS!$B$6)</f>
        <v/>
      </c>
      <c r="Q493" s="40" t="str">
        <f>IF(A493="","",SETTINGS!$B$7)</f>
        <v/>
      </c>
      <c r="R493" s="40" t="str">
        <f>IF(A493="","",SETTINGS!$B$8)</f>
        <v/>
      </c>
      <c r="S493" s="38"/>
    </row>
    <row r="494" spans="1:19" ht="14.45" customHeight="1">
      <c r="A494" s="38"/>
      <c r="B494" s="38"/>
      <c r="C494" s="38"/>
      <c r="D494" s="38"/>
      <c r="E494" s="38"/>
      <c r="F494" s="38"/>
      <c r="G494" s="39"/>
      <c r="H494" s="39"/>
      <c r="I494" s="39"/>
      <c r="J494" s="39"/>
      <c r="K494" s="39"/>
      <c r="L494" s="39"/>
      <c r="M494" s="40">
        <f t="shared" si="4"/>
        <v>0</v>
      </c>
      <c r="N494" s="40" t="e">
        <f>IF(M494="","",M494*SETTINGS!$B$9)</f>
        <v>#VALUE!</v>
      </c>
      <c r="O494" s="40" t="e">
        <f>IF(M494="","",M494*SETTINGS!$B$10)</f>
        <v>#VALUE!</v>
      </c>
      <c r="P494" s="40" t="str">
        <f>IF(A494="","",SETTINGS!$B$6)</f>
        <v/>
      </c>
      <c r="Q494" s="40" t="str">
        <f>IF(A494="","",SETTINGS!$B$7)</f>
        <v/>
      </c>
      <c r="R494" s="40" t="str">
        <f>IF(A494="","",SETTINGS!$B$8)</f>
        <v/>
      </c>
      <c r="S494" s="38"/>
    </row>
    <row r="495" spans="1:19" ht="14.45" customHeight="1">
      <c r="A495" s="38"/>
      <c r="B495" s="38"/>
      <c r="C495" s="38"/>
      <c r="D495" s="38"/>
      <c r="E495" s="38"/>
      <c r="F495" s="38"/>
      <c r="G495" s="39"/>
      <c r="H495" s="39"/>
      <c r="I495" s="39"/>
      <c r="J495" s="39"/>
      <c r="K495" s="39"/>
      <c r="L495" s="39"/>
      <c r="M495" s="40">
        <f t="shared" si="4"/>
        <v>0</v>
      </c>
      <c r="N495" s="40" t="e">
        <f>IF(M495="","",M495*SETTINGS!$B$9)</f>
        <v>#VALUE!</v>
      </c>
      <c r="O495" s="40" t="e">
        <f>IF(M495="","",M495*SETTINGS!$B$10)</f>
        <v>#VALUE!</v>
      </c>
      <c r="P495" s="40" t="str">
        <f>IF(A495="","",SETTINGS!$B$6)</f>
        <v/>
      </c>
      <c r="Q495" s="40" t="str">
        <f>IF(A495="","",SETTINGS!$B$7)</f>
        <v/>
      </c>
      <c r="R495" s="40" t="str">
        <f>IF(A495="","",SETTINGS!$B$8)</f>
        <v/>
      </c>
      <c r="S495" s="38"/>
    </row>
    <row r="496" spans="1:19" ht="14.45" customHeight="1">
      <c r="A496" s="38"/>
      <c r="B496" s="38"/>
      <c r="C496" s="38"/>
      <c r="D496" s="38"/>
      <c r="E496" s="38"/>
      <c r="F496" s="38"/>
      <c r="G496" s="39"/>
      <c r="H496" s="39"/>
      <c r="I496" s="39"/>
      <c r="J496" s="39"/>
      <c r="K496" s="39"/>
      <c r="L496" s="39"/>
      <c r="M496" s="40">
        <f t="shared" si="4"/>
        <v>0</v>
      </c>
      <c r="N496" s="40" t="e">
        <f>IF(M496="","",M496*SETTINGS!$B$9)</f>
        <v>#VALUE!</v>
      </c>
      <c r="O496" s="40" t="e">
        <f>IF(M496="","",M496*SETTINGS!$B$10)</f>
        <v>#VALUE!</v>
      </c>
      <c r="P496" s="40" t="str">
        <f>IF(A496="","",SETTINGS!$B$6)</f>
        <v/>
      </c>
      <c r="Q496" s="40" t="str">
        <f>IF(A496="","",SETTINGS!$B$7)</f>
        <v/>
      </c>
      <c r="R496" s="40" t="str">
        <f>IF(A496="","",SETTINGS!$B$8)</f>
        <v/>
      </c>
      <c r="S496" s="38"/>
    </row>
    <row r="497" spans="1:19" ht="14.45" customHeight="1">
      <c r="A497" s="38"/>
      <c r="B497" s="38"/>
      <c r="C497" s="38"/>
      <c r="D497" s="38"/>
      <c r="E497" s="38"/>
      <c r="F497" s="38"/>
      <c r="G497" s="39"/>
      <c r="H497" s="39"/>
      <c r="I497" s="39"/>
      <c r="J497" s="39"/>
      <c r="K497" s="39"/>
      <c r="L497" s="39"/>
      <c r="M497" s="40">
        <f t="shared" si="4"/>
        <v>0</v>
      </c>
      <c r="N497" s="40" t="e">
        <f>IF(M497="","",M497*SETTINGS!$B$9)</f>
        <v>#VALUE!</v>
      </c>
      <c r="O497" s="40" t="e">
        <f>IF(M497="","",M497*SETTINGS!$B$10)</f>
        <v>#VALUE!</v>
      </c>
      <c r="P497" s="40" t="str">
        <f>IF(A497="","",SETTINGS!$B$6)</f>
        <v/>
      </c>
      <c r="Q497" s="40" t="str">
        <f>IF(A497="","",SETTINGS!$B$7)</f>
        <v/>
      </c>
      <c r="R497" s="40" t="str">
        <f>IF(A497="","",SETTINGS!$B$8)</f>
        <v/>
      </c>
      <c r="S497" s="38"/>
    </row>
    <row r="498" spans="1:19" ht="14.45" customHeight="1">
      <c r="A498" s="38"/>
      <c r="B498" s="38"/>
      <c r="C498" s="38"/>
      <c r="D498" s="38"/>
      <c r="E498" s="38"/>
      <c r="F498" s="38"/>
      <c r="G498" s="39"/>
      <c r="H498" s="39"/>
      <c r="I498" s="39"/>
      <c r="J498" s="39"/>
      <c r="K498" s="39"/>
      <c r="L498" s="39"/>
      <c r="M498" s="40">
        <f t="shared" si="4"/>
        <v>0</v>
      </c>
      <c r="N498" s="40" t="e">
        <f>IF(M498="","",M498*SETTINGS!$B$9)</f>
        <v>#VALUE!</v>
      </c>
      <c r="O498" s="40" t="e">
        <f>IF(M498="","",M498*SETTINGS!$B$10)</f>
        <v>#VALUE!</v>
      </c>
      <c r="P498" s="40" t="str">
        <f>IF(A498="","",SETTINGS!$B$6)</f>
        <v/>
      </c>
      <c r="Q498" s="40" t="str">
        <f>IF(A498="","",SETTINGS!$B$7)</f>
        <v/>
      </c>
      <c r="R498" s="40" t="str">
        <f>IF(A498="","",SETTINGS!$B$8)</f>
        <v/>
      </c>
      <c r="S498" s="38"/>
    </row>
    <row r="499" spans="1:19" ht="14.45" customHeight="1">
      <c r="A499" s="38"/>
      <c r="B499" s="38"/>
      <c r="C499" s="38"/>
      <c r="D499" s="38"/>
      <c r="E499" s="38"/>
      <c r="F499" s="38"/>
      <c r="G499" s="39"/>
      <c r="H499" s="39"/>
      <c r="I499" s="39"/>
      <c r="J499" s="39"/>
      <c r="K499" s="39"/>
      <c r="L499" s="39"/>
      <c r="M499" s="40">
        <f t="shared" si="4"/>
        <v>0</v>
      </c>
      <c r="N499" s="40" t="e">
        <f>IF(M499="","",M499*SETTINGS!$B$9)</f>
        <v>#VALUE!</v>
      </c>
      <c r="O499" s="40" t="e">
        <f>IF(M499="","",M499*SETTINGS!$B$10)</f>
        <v>#VALUE!</v>
      </c>
      <c r="P499" s="40" t="str">
        <f>IF(A499="","",SETTINGS!$B$6)</f>
        <v/>
      </c>
      <c r="Q499" s="40" t="str">
        <f>IF(A499="","",SETTINGS!$B$7)</f>
        <v/>
      </c>
      <c r="R499" s="40" t="str">
        <f>IF(A499="","",SETTINGS!$B$8)</f>
        <v/>
      </c>
      <c r="S499" s="38"/>
    </row>
    <row r="500" spans="1:19" ht="14.45" customHeight="1">
      <c r="A500" s="38"/>
      <c r="B500" s="38"/>
      <c r="C500" s="38"/>
      <c r="D500" s="38"/>
      <c r="E500" s="38"/>
      <c r="F500" s="38"/>
      <c r="G500" s="39"/>
      <c r="H500" s="39"/>
      <c r="I500" s="39"/>
      <c r="J500" s="39"/>
      <c r="K500" s="39"/>
      <c r="L500" s="39"/>
      <c r="M500" s="40">
        <f t="shared" si="4"/>
        <v>0</v>
      </c>
      <c r="N500" s="40" t="e">
        <f>IF(M500="","",M500*SETTINGS!$B$9)</f>
        <v>#VALUE!</v>
      </c>
      <c r="O500" s="40" t="e">
        <f>IF(M500="","",M500*SETTINGS!$B$10)</f>
        <v>#VALUE!</v>
      </c>
      <c r="P500" s="40" t="str">
        <f>IF(A500="","",SETTINGS!$B$6)</f>
        <v/>
      </c>
      <c r="Q500" s="40" t="str">
        <f>IF(A500="","",SETTINGS!$B$7)</f>
        <v/>
      </c>
      <c r="R500" s="40" t="str">
        <f>IF(A500="","",SETTINGS!$B$8)</f>
        <v/>
      </c>
      <c r="S500" s="38"/>
    </row>
    <row r="501" spans="1:19" ht="14.45" customHeight="1">
      <c r="A501" s="38"/>
      <c r="B501" s="38"/>
      <c r="C501" s="38"/>
      <c r="D501" s="38"/>
      <c r="E501" s="38"/>
      <c r="F501" s="38"/>
      <c r="G501" s="39"/>
      <c r="H501" s="39"/>
      <c r="I501" s="39"/>
      <c r="J501" s="39"/>
      <c r="K501" s="39"/>
      <c r="L501" s="39"/>
      <c r="M501" s="40">
        <f t="shared" si="4"/>
        <v>0</v>
      </c>
      <c r="N501" s="40" t="e">
        <f>IF(M501="","",M501*SETTINGS!$B$9)</f>
        <v>#VALUE!</v>
      </c>
      <c r="O501" s="40" t="e">
        <f>IF(M501="","",M501*SETTINGS!$B$10)</f>
        <v>#VALUE!</v>
      </c>
      <c r="P501" s="40" t="str">
        <f>IF(A501="","",SETTINGS!$B$6)</f>
        <v/>
      </c>
      <c r="Q501" s="40" t="str">
        <f>IF(A501="","",SETTINGS!$B$7)</f>
        <v/>
      </c>
      <c r="R501" s="40" t="str">
        <f>IF(A501="","",SETTINGS!$B$8)</f>
        <v/>
      </c>
      <c r="S501" s="38"/>
    </row>
    <row r="502" spans="1:19" ht="14.45" customHeight="1">
      <c r="A502" s="38"/>
      <c r="B502" s="38"/>
      <c r="C502" s="38"/>
      <c r="D502" s="38"/>
      <c r="E502" s="38"/>
      <c r="F502" s="38"/>
      <c r="G502" s="39"/>
      <c r="H502" s="39"/>
      <c r="I502" s="39"/>
      <c r="J502" s="39"/>
      <c r="K502" s="39"/>
      <c r="L502" s="39"/>
      <c r="M502" s="40">
        <f t="shared" si="4"/>
        <v>0</v>
      </c>
      <c r="N502" s="40" t="e">
        <f>IF(M502="","",M502*SETTINGS!$B$9)</f>
        <v>#VALUE!</v>
      </c>
      <c r="O502" s="40" t="e">
        <f>IF(M502="","",M502*SETTINGS!$B$10)</f>
        <v>#VALUE!</v>
      </c>
      <c r="P502" s="40" t="str">
        <f>IF(A502="","",SETTINGS!$B$6)</f>
        <v/>
      </c>
      <c r="Q502" s="40" t="str">
        <f>IF(A502="","",SETTINGS!$B$7)</f>
        <v/>
      </c>
      <c r="R502" s="40" t="str">
        <f>IF(A502="","",SETTINGS!$B$8)</f>
        <v/>
      </c>
      <c r="S502" s="38"/>
    </row>
    <row r="503" spans="1:19" ht="14.45" customHeight="1">
      <c r="A503" s="38"/>
      <c r="B503" s="38"/>
      <c r="C503" s="38"/>
      <c r="D503" s="38"/>
      <c r="E503" s="38"/>
      <c r="F503" s="38"/>
      <c r="G503" s="39"/>
      <c r="H503" s="39"/>
      <c r="I503" s="39"/>
      <c r="J503" s="39"/>
      <c r="K503" s="39"/>
      <c r="L503" s="39"/>
      <c r="M503" s="40">
        <f t="shared" si="4"/>
        <v>0</v>
      </c>
      <c r="N503" s="40" t="e">
        <f>IF(M503="","",M503*SETTINGS!$B$9)</f>
        <v>#VALUE!</v>
      </c>
      <c r="O503" s="40" t="e">
        <f>IF(M503="","",M503*SETTINGS!$B$10)</f>
        <v>#VALUE!</v>
      </c>
      <c r="P503" s="40" t="str">
        <f>IF(A503="","",SETTINGS!$B$6)</f>
        <v/>
      </c>
      <c r="Q503" s="40" t="str">
        <f>IF(A503="","",SETTINGS!$B$7)</f>
        <v/>
      </c>
      <c r="R503" s="40" t="str">
        <f>IF(A503="","",SETTINGS!$B$8)</f>
        <v/>
      </c>
      <c r="S503" s="38"/>
    </row>
  </sheetData>
  <sheetProtection formatCells="0" formatColumns="0" formatRows="0" insertColumns="0" insertRows="0" insertHyperlinks="0" deleteColumns="0" deleteRows="0" sort="0" autoFilter="0" pivotTables="0"/>
  <autoFilter ref="A3:S503"/>
  <mergeCells count="12">
    <mergeCell ref="B1:I1"/>
    <mergeCell ref="B2:I2"/>
    <mergeCell ref="B4:I4"/>
    <mergeCell ref="C5:D5"/>
    <mergeCell ref="B7:I7"/>
    <mergeCell ref="B14:I14"/>
    <mergeCell ref="B17:I17"/>
    <mergeCell ref="B31:I31"/>
    <mergeCell ref="B33:I33"/>
    <mergeCell ref="B37:C37"/>
    <mergeCell ref="E37:F37"/>
    <mergeCell ref="H37:I37"/>
  </mergeCells>
  <pageMargins left="0.75" right="0.75" top="1" bottom="1" header="0.5" footer="0.5"/>
  <pageSetup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40"/>
  <sheetViews>
    <sheetView workbookViewId="0">
      <pane ySplit="3" topLeftCell="A4" activePane="bottomLeft" state="frozen"/>
      <selection pane="bottomLeft" activeCell="M3" sqref="M3"/>
    </sheetView>
  </sheetViews>
  <sheetFormatPr defaultColWidth="8.85546875" defaultRowHeight="14.45" customHeight="1"/>
  <cols>
    <col min="1" max="1" width="30" customWidth="1"/>
    <col min="2" max="3" width="20" customWidth="1"/>
    <col min="4" max="4" width="7.28515625" customWidth="1"/>
    <col min="5" max="5" width="11.42578125" customWidth="1"/>
    <col min="6" max="6" width="8.140625" customWidth="1"/>
    <col min="7" max="7" width="8.85546875" customWidth="1"/>
    <col min="8" max="8" width="4.85546875" customWidth="1"/>
    <col min="9" max="9" width="11.42578125" customWidth="1"/>
    <col min="10" max="10" width="8.140625" customWidth="1"/>
    <col min="11" max="11" width="8.85546875" customWidth="1"/>
    <col min="12" max="12" width="5.5703125" customWidth="1"/>
    <col min="13" max="13" width="11.42578125" customWidth="1"/>
    <col min="14" max="14" width="8.140625" customWidth="1"/>
  </cols>
  <sheetData>
    <row r="1" spans="1:14" ht="24" customHeight="1">
      <c r="A1" s="347" t="s">
        <v>439</v>
      </c>
      <c r="B1" s="333"/>
      <c r="C1" s="333"/>
      <c r="D1" s="348" t="s">
        <v>440</v>
      </c>
      <c r="E1" s="333"/>
      <c r="F1" s="333"/>
      <c r="G1" s="333"/>
      <c r="H1" s="333"/>
      <c r="I1" s="333"/>
      <c r="J1" s="333"/>
      <c r="K1" s="333"/>
      <c r="L1" s="333"/>
      <c r="M1" s="333"/>
      <c r="N1" s="333"/>
    </row>
    <row r="2" spans="1:14" ht="13.5" customHeight="1">
      <c r="A2" s="349" t="s">
        <v>441</v>
      </c>
      <c r="B2" s="333"/>
      <c r="C2" s="333"/>
      <c r="D2" s="349" t="s">
        <v>442</v>
      </c>
      <c r="E2" s="333"/>
      <c r="F2" s="333"/>
      <c r="G2" s="333"/>
      <c r="H2" s="333"/>
      <c r="I2" s="333"/>
      <c r="J2" s="333"/>
      <c r="K2" s="333"/>
      <c r="L2" s="333"/>
      <c r="M2" s="333"/>
      <c r="N2" s="333"/>
    </row>
    <row r="3" spans="1:14" ht="48" customHeight="1">
      <c r="A3" s="26"/>
      <c r="D3" s="1" t="s">
        <v>443</v>
      </c>
      <c r="E3" s="1" t="s">
        <v>422</v>
      </c>
      <c r="F3" s="1" t="s">
        <v>264</v>
      </c>
      <c r="H3" s="1" t="s">
        <v>176</v>
      </c>
      <c r="I3" s="1" t="s">
        <v>422</v>
      </c>
      <c r="J3" s="1" t="s">
        <v>264</v>
      </c>
      <c r="L3" s="1" t="s">
        <v>444</v>
      </c>
      <c r="M3" s="1" t="s">
        <v>422</v>
      </c>
      <c r="N3" s="1" t="s">
        <v>264</v>
      </c>
    </row>
    <row r="4" spans="1:14" ht="16.5" customHeight="1">
      <c r="A4" s="344" t="s">
        <v>445</v>
      </c>
      <c r="B4" s="333"/>
      <c r="C4" s="333"/>
      <c r="D4" t="str">
        <f>IFERROR(INDEX('PACKING ENTRY'!$F$4:$F$503,MATCH(0,COUNTIF($D$3:D3,'PACKING ENTRY'!$F$4:$F$503)+('PACKING ENTRY'!$F$4:$F$503=""),0)),"")</f>
        <v/>
      </c>
      <c r="E4" t="str">
        <f>IF(D4="","",SUMIF('PACKING ENTRY'!$F$4:$F$503,D4,'PACKING ENTRY'!$M$4:$M$503))</f>
        <v/>
      </c>
      <c r="F4" t="str">
        <f>IF(D4="","",COUNTIF('PACKING ENTRY'!$F$4:$F$503,D4))</f>
        <v/>
      </c>
      <c r="H4" t="str">
        <f>IFERROR(INDEX('PACKING ENTRY'!$G$4:$K$503,MATCH(0,COUNTIF($H$3:H3,'PACKING ENTRY'!$G$4:$K$503)+('PACKING ENTRY'!$G$4:$K$503=""),0)),"")</f>
        <v/>
      </c>
      <c r="I4" t="str">
        <f>IF(H4="","",SUMIF('PACKING ENTRY'!$G$4:$K$503,H4,'PACKING ENTRY'!$H$4:$L$503))</f>
        <v/>
      </c>
      <c r="J4" t="str">
        <f>IF(H4="","",COUNTIF('PACKING ENTRY'!$G$4:$K$503,H4))</f>
        <v/>
      </c>
      <c r="L4" t="str">
        <f>IFERROR(INDEX('PACKING ENTRY'!$B$4:$B$503,MATCH(0,COUNTIF($L$3:L3,'PACKING ENTRY'!$B$4:$B$503)+('PACKING ENTRY'!$B$4:$B$503=""),0)),"")</f>
        <v/>
      </c>
      <c r="M4" t="str">
        <f>IF(L4="","",SUMIF('PACKING ENTRY'!$B$4:$B$503,L4,'PACKING ENTRY'!$M$4:$M$503))</f>
        <v/>
      </c>
      <c r="N4" t="str">
        <f>IF(L4="","",COUNTIF('PACKING ENTRY'!$B$4:$B$503,L4))</f>
        <v/>
      </c>
    </row>
    <row r="5" spans="1:14" ht="19.5" customHeight="1">
      <c r="A5" s="27" t="s">
        <v>446</v>
      </c>
      <c r="B5" s="27" t="s">
        <v>447</v>
      </c>
      <c r="C5" s="27" t="s">
        <v>448</v>
      </c>
      <c r="D5" t="str">
        <f>IFERROR(INDEX('PACKING ENTRY'!$F$4:$F$503,MATCH(0,COUNTIF($D$3:D4,'PACKING ENTRY'!$F$4:$F$503)+('PACKING ENTRY'!$F$4:$F$503=""),0)),"")</f>
        <v/>
      </c>
      <c r="E5" t="str">
        <f>IF(D5="","",SUMIF('PACKING ENTRY'!$F$4:$F$503,D5,'PACKING ENTRY'!$M$4:$M$503))</f>
        <v/>
      </c>
      <c r="F5" t="str">
        <f>IF(D5="","",COUNTIF('PACKING ENTRY'!$F$4:$F$503,D5))</f>
        <v/>
      </c>
      <c r="H5" t="str">
        <f>IFERROR(INDEX('PACKING ENTRY'!$G$4:$K$503,MATCH(0,COUNTIF($H$3:H4,'PACKING ENTRY'!$G$4:$K$503)+('PACKING ENTRY'!$G$4:$K$503=""),0)),"")</f>
        <v/>
      </c>
      <c r="I5" t="str">
        <f>IF(H5="","",SUMIF('PACKING ENTRY'!$G$4:$K$503,H5,'PACKING ENTRY'!$H$4:$L$503))</f>
        <v/>
      </c>
      <c r="J5" t="str">
        <f>IF(H5="","",COUNTIF('PACKING ENTRY'!$G$4:$K$503,H5))</f>
        <v/>
      </c>
      <c r="L5" t="str">
        <f>IFERROR(INDEX('PACKING ENTRY'!$B$4:$B$503,MATCH(0,COUNTIF($L$3:L4,'PACKING ENTRY'!$B$4:$B$503)+('PACKING ENTRY'!$B$4:$B$503=""),0)),"")</f>
        <v/>
      </c>
      <c r="M5" t="str">
        <f>IF(L5="","",SUMIF('PACKING ENTRY'!$B$4:$B$503,L5,'PACKING ENTRY'!$M$4:$M$503))</f>
        <v/>
      </c>
      <c r="N5" t="str">
        <f>IF(L5="","",COUNTIF('PACKING ENTRY'!$B$4:$B$503,L5))</f>
        <v/>
      </c>
    </row>
    <row r="6" spans="1:14" ht="18" customHeight="1">
      <c r="A6" s="28" t="s">
        <v>449</v>
      </c>
      <c r="B6" s="29">
        <f ca="1">COUNTIF(A26:A40,"&lt;&gt;"&amp;"")</f>
        <v>5</v>
      </c>
      <c r="C6" s="7" t="s">
        <v>450</v>
      </c>
      <c r="D6" t="str">
        <f>IFERROR(INDEX('PACKING ENTRY'!$F$4:$F$503,MATCH(0,COUNTIF($D$3:D5,'PACKING ENTRY'!$F$4:$F$503)+('PACKING ENTRY'!$F$4:$F$503=""),0)),"")</f>
        <v/>
      </c>
      <c r="E6" t="str">
        <f>IF(D6="","",SUMIF('PACKING ENTRY'!$F$4:$F$503,D6,'PACKING ENTRY'!$M$4:$M$503))</f>
        <v/>
      </c>
      <c r="F6" t="str">
        <f>IF(D6="","",COUNTIF('PACKING ENTRY'!$F$4:$F$503,D6))</f>
        <v/>
      </c>
      <c r="H6" t="str">
        <f>IFERROR(INDEX('PACKING ENTRY'!$G$4:$K$503,MATCH(0,COUNTIF($H$3:H5,'PACKING ENTRY'!$G$4:$K$503)+('PACKING ENTRY'!$G$4:$K$503=""),0)),"")</f>
        <v/>
      </c>
      <c r="I6" t="str">
        <f>IF(H6="","",SUMIF('PACKING ENTRY'!$G$4:$K$503,H6,'PACKING ENTRY'!$H$4:$L$503))</f>
        <v/>
      </c>
      <c r="J6" t="str">
        <f>IF(H6="","",COUNTIF('PACKING ENTRY'!$G$4:$K$503,H6))</f>
        <v/>
      </c>
      <c r="L6" t="str">
        <f>IFERROR(INDEX('PACKING ENTRY'!$B$4:$B$503,MATCH(0,COUNTIF($L$3:L5,'PACKING ENTRY'!$B$4:$B$503)+('PACKING ENTRY'!$B$4:$B$503=""),0)),"")</f>
        <v/>
      </c>
      <c r="M6" t="str">
        <f>IF(L6="","",SUMIF('PACKING ENTRY'!$B$4:$B$503,L6,'PACKING ENTRY'!$M$4:$M$503))</f>
        <v/>
      </c>
      <c r="N6" t="str">
        <f>IF(L6="","",COUNTIF('PACKING ENTRY'!$B$4:$B$503,L6))</f>
        <v/>
      </c>
    </row>
    <row r="7" spans="1:14" ht="18" customHeight="1">
      <c r="A7" s="28" t="s">
        <v>451</v>
      </c>
      <c r="B7" s="30">
        <f>IFERROR('PACKING ENTRY'!E29,0)</f>
        <v>0</v>
      </c>
      <c r="C7" s="7" t="s">
        <v>452</v>
      </c>
      <c r="D7" t="str">
        <f>IFERROR(INDEX('PACKING ENTRY'!$F$4:$F$503,MATCH(0,COUNTIF($D$3:D6,'PACKING ENTRY'!$F$4:$F$503)+('PACKING ENTRY'!$F$4:$F$503=""),0)),"")</f>
        <v/>
      </c>
      <c r="E7" t="str">
        <f>IF(D7="","",SUMIF('PACKING ENTRY'!$F$4:$F$503,D7,'PACKING ENTRY'!$M$4:$M$503))</f>
        <v/>
      </c>
      <c r="F7" t="str">
        <f>IF(D7="","",COUNTIF('PACKING ENTRY'!$F$4:$F$503,D7))</f>
        <v/>
      </c>
      <c r="H7" t="str">
        <f>IFERROR(INDEX('PACKING ENTRY'!$G$4:$K$503,MATCH(0,COUNTIF($H$3:H6,'PACKING ENTRY'!$G$4:$K$503)+('PACKING ENTRY'!$G$4:$K$503=""),0)),"")</f>
        <v/>
      </c>
      <c r="I7" t="str">
        <f>IF(H7="","",SUMIF('PACKING ENTRY'!$G$4:$K$503,H7,'PACKING ENTRY'!$H$4:$L$503))</f>
        <v/>
      </c>
      <c r="J7" t="str">
        <f>IF(H7="","",COUNTIF('PACKING ENTRY'!$G$4:$K$503,H7))</f>
        <v/>
      </c>
      <c r="L7" t="str">
        <f>IFERROR(INDEX('PACKING ENTRY'!$B$4:$B$503,MATCH(0,COUNTIF($L$3:L6,'PACKING ENTRY'!$B$4:$B$503)+('PACKING ENTRY'!$B$4:$B$503=""),0)),"")</f>
        <v/>
      </c>
      <c r="M7" t="str">
        <f>IF(L7="","",SUMIF('PACKING ENTRY'!$B$4:$B$503,L7,'PACKING ENTRY'!$M$4:$M$503))</f>
        <v/>
      </c>
      <c r="N7" t="str">
        <f>IF(L7="","",COUNTIF('PACKING ENTRY'!$B$4:$B$503,L7))</f>
        <v/>
      </c>
    </row>
    <row r="8" spans="1:14" ht="18" customHeight="1">
      <c r="A8" s="28" t="s">
        <v>453</v>
      </c>
      <c r="B8" s="30">
        <f>IFERROR('PACKING ENTRY'!C29,0)</f>
        <v>0</v>
      </c>
      <c r="C8" s="7" t="s">
        <v>454</v>
      </c>
      <c r="D8" t="str">
        <f>IFERROR(INDEX('PACKING ENTRY'!$F$4:$F$503,MATCH(0,COUNTIF($D$3:D7,'PACKING ENTRY'!$F$4:$F$503)+('PACKING ENTRY'!$F$4:$F$503=""),0)),"")</f>
        <v/>
      </c>
      <c r="E8" t="str">
        <f>IF(D8="","",SUMIF('PACKING ENTRY'!$F$4:$F$503,D8,'PACKING ENTRY'!$M$4:$M$503))</f>
        <v/>
      </c>
      <c r="F8" t="str">
        <f>IF(D8="","",COUNTIF('PACKING ENTRY'!$F$4:$F$503,D8))</f>
        <v/>
      </c>
      <c r="H8" t="str">
        <f>IFERROR(INDEX('PACKING ENTRY'!$G$4:$K$503,MATCH(0,COUNTIF($H$3:H7,'PACKING ENTRY'!$G$4:$K$503)+('PACKING ENTRY'!$G$4:$K$503=""),0)),"")</f>
        <v/>
      </c>
      <c r="I8" t="str">
        <f>IF(H8="","",SUMIF('PACKING ENTRY'!$G$4:$K$503,H8,'PACKING ENTRY'!$H$4:$L$503))</f>
        <v/>
      </c>
      <c r="J8" t="str">
        <f>IF(H8="","",COUNTIF('PACKING ENTRY'!$G$4:$K$503,H8))</f>
        <v/>
      </c>
      <c r="L8" t="str">
        <f>IFERROR(INDEX('PACKING ENTRY'!$B$4:$B$503,MATCH(0,COUNTIF($L$3:L7,'PACKING ENTRY'!$B$4:$B$503)+('PACKING ENTRY'!$B$4:$B$503=""),0)),"")</f>
        <v/>
      </c>
      <c r="M8" t="str">
        <f>IF(L8="","",SUMIF('PACKING ENTRY'!$B$4:$B$503,L8,'PACKING ENTRY'!$M$4:$M$503))</f>
        <v/>
      </c>
      <c r="N8" t="str">
        <f>IF(L8="","",COUNTIF('PACKING ENTRY'!$B$4:$B$503,L8))</f>
        <v/>
      </c>
    </row>
    <row r="9" spans="1:14" ht="18" customHeight="1">
      <c r="A9" s="28" t="s">
        <v>455</v>
      </c>
      <c r="B9" s="30">
        <f>IFERROR('PACKING ENTRY'!D29,0)</f>
        <v>0</v>
      </c>
      <c r="C9" s="7" t="s">
        <v>454</v>
      </c>
      <c r="D9" t="str">
        <f>IFERROR(INDEX('PACKING ENTRY'!$F$4:$F$503,MATCH(0,COUNTIF($D$3:D8,'PACKING ENTRY'!$F$4:$F$503)+('PACKING ENTRY'!$F$4:$F$503=""),0)),"")</f>
        <v/>
      </c>
      <c r="E9" t="str">
        <f>IF(D9="","",SUMIF('PACKING ENTRY'!$F$4:$F$503,D9,'PACKING ENTRY'!$M$4:$M$503))</f>
        <v/>
      </c>
      <c r="F9" t="str">
        <f>IF(D9="","",COUNTIF('PACKING ENTRY'!$F$4:$F$503,D9))</f>
        <v/>
      </c>
      <c r="H9" t="str">
        <f>IFERROR(INDEX('PACKING ENTRY'!$G$4:$K$503,MATCH(0,COUNTIF($H$3:H8,'PACKING ENTRY'!$G$4:$K$503)+('PACKING ENTRY'!$G$4:$K$503=""),0)),"")</f>
        <v/>
      </c>
      <c r="I9" t="str">
        <f>IF(H9="","",SUMIF('PACKING ENTRY'!$G$4:$K$503,H9,'PACKING ENTRY'!$H$4:$L$503))</f>
        <v/>
      </c>
      <c r="J9" t="str">
        <f>IF(H9="","",COUNTIF('PACKING ENTRY'!$G$4:$K$503,H9))</f>
        <v/>
      </c>
      <c r="L9" t="str">
        <f>IFERROR(INDEX('PACKING ENTRY'!$B$4:$B$503,MATCH(0,COUNTIF($L$3:L8,'PACKING ENTRY'!$B$4:$B$503)+('PACKING ENTRY'!$B$4:$B$503=""),0)),"")</f>
        <v/>
      </c>
      <c r="M9" t="str">
        <f>IF(L9="","",SUMIF('PACKING ENTRY'!$B$4:$B$503,L9,'PACKING ENTRY'!$M$4:$M$503))</f>
        <v/>
      </c>
      <c r="N9" t="str">
        <f>IF(L9="","",COUNTIF('PACKING ENTRY'!$B$4:$B$503,L9))</f>
        <v/>
      </c>
    </row>
    <row r="10" spans="1:14" ht="18" customHeight="1">
      <c r="A10" s="28" t="s">
        <v>456</v>
      </c>
      <c r="B10" s="30">
        <f>IFERROR('PACKING ENTRY'!F29,0)</f>
        <v>0</v>
      </c>
      <c r="C10" s="7" t="s">
        <v>454</v>
      </c>
      <c r="D10" t="str">
        <f>IFERROR(INDEX('PACKING ENTRY'!$F$4:$F$503,MATCH(0,COUNTIF($D$3:D9,'PACKING ENTRY'!$F$4:$F$503)+('PACKING ENTRY'!$F$4:$F$503=""),0)),"")</f>
        <v/>
      </c>
      <c r="E10" t="str">
        <f>IF(D10="","",SUMIF('PACKING ENTRY'!$F$4:$F$503,D10,'PACKING ENTRY'!$M$4:$M$503))</f>
        <v/>
      </c>
      <c r="F10" t="str">
        <f>IF(D10="","",COUNTIF('PACKING ENTRY'!$F$4:$F$503,D10))</f>
        <v/>
      </c>
      <c r="H10" t="str">
        <f>IFERROR(INDEX('PACKING ENTRY'!$G$4:$K$503,MATCH(0,COUNTIF($H$3:H9,'PACKING ENTRY'!$G$4:$K$503)+('PACKING ENTRY'!$G$4:$K$503=""),0)),"")</f>
        <v/>
      </c>
      <c r="I10" t="str">
        <f>IF(H10="","",SUMIF('PACKING ENTRY'!$G$4:$K$503,H10,'PACKING ENTRY'!$H$4:$L$503))</f>
        <v/>
      </c>
      <c r="J10" t="str">
        <f>IF(H10="","",COUNTIF('PACKING ENTRY'!$G$4:$K$503,H10))</f>
        <v/>
      </c>
      <c r="L10" t="str">
        <f>IFERROR(INDEX('PACKING ENTRY'!$B$4:$B$503,MATCH(0,COUNTIF($L$3:L9,'PACKING ENTRY'!$B$4:$B$503)+('PACKING ENTRY'!$B$4:$B$503=""),0)),"")</f>
        <v/>
      </c>
      <c r="M10" t="str">
        <f>IF(L10="","",SUMIF('PACKING ENTRY'!$B$4:$B$503,L10,'PACKING ENTRY'!$M$4:$M$503))</f>
        <v/>
      </c>
      <c r="N10" t="str">
        <f>IF(L10="","",COUNTIF('PACKING ENTRY'!$B$4:$B$503,L10))</f>
        <v/>
      </c>
    </row>
    <row r="11" spans="1:14" ht="18" customHeight="1">
      <c r="A11" s="28" t="s">
        <v>457</v>
      </c>
      <c r="B11" s="31">
        <f>IFERROR(B9/B8,0)</f>
        <v>0</v>
      </c>
      <c r="C11" s="7" t="s">
        <v>458</v>
      </c>
      <c r="D11" t="str">
        <f>IFERROR(INDEX('PACKING ENTRY'!$F$4:$F$503,MATCH(0,COUNTIF($D$3:D10,'PACKING ENTRY'!$F$4:$F$503)+('PACKING ENTRY'!$F$4:$F$503=""),0)),"")</f>
        <v/>
      </c>
      <c r="E11" t="str">
        <f>IF(D11="","",SUMIF('PACKING ENTRY'!$F$4:$F$503,D11,'PACKING ENTRY'!$M$4:$M$503))</f>
        <v/>
      </c>
      <c r="F11" t="str">
        <f>IF(D11="","",COUNTIF('PACKING ENTRY'!$F$4:$F$503,D11))</f>
        <v/>
      </c>
      <c r="H11" t="str">
        <f>IFERROR(INDEX('PACKING ENTRY'!$G$4:$K$503,MATCH(0,COUNTIF($H$3:H10,'PACKING ENTRY'!$G$4:$K$503)+('PACKING ENTRY'!$G$4:$K$503=""),0)),"")</f>
        <v/>
      </c>
      <c r="I11" t="str">
        <f>IF(H11="","",SUMIF('PACKING ENTRY'!$G$4:$K$503,H11,'PACKING ENTRY'!$H$4:$L$503))</f>
        <v/>
      </c>
      <c r="J11" t="str">
        <f>IF(H11="","",COUNTIF('PACKING ENTRY'!$G$4:$K$503,H11))</f>
        <v/>
      </c>
      <c r="L11" t="str">
        <f>IFERROR(INDEX('PACKING ENTRY'!$B$4:$B$503,MATCH(0,COUNTIF($L$3:L10,'PACKING ENTRY'!$B$4:$B$503)+('PACKING ENTRY'!$B$4:$B$503=""),0)),"")</f>
        <v/>
      </c>
      <c r="M11" t="str">
        <f>IF(L11="","",SUMIF('PACKING ENTRY'!$B$4:$B$503,L11,'PACKING ENTRY'!$M$4:$M$503))</f>
        <v/>
      </c>
      <c r="N11" t="str">
        <f>IF(L11="","",COUNTIF('PACKING ENTRY'!$B$4:$B$503,L11))</f>
        <v/>
      </c>
    </row>
    <row r="12" spans="1:14" ht="18" customHeight="1">
      <c r="A12" s="28" t="s">
        <v>459</v>
      </c>
      <c r="B12" s="29" t="str">
        <f ca="1">TEXT(TODAY(),"dd-mmm-yyyy")</f>
        <v>04-Jul-2026</v>
      </c>
      <c r="C12" s="7" t="s">
        <v>460</v>
      </c>
      <c r="D12" t="str">
        <f ca="1">IFERROR(INDEX('PACKING ENTRY'!$F$4:$F$503,MATCH(0,COUNTIF($D$3:D11,'PACKING ENTRY'!$F$4:$F$503)+('PACKING ENTRY'!$F$4:$F$503=""),0)),"")</f>
        <v/>
      </c>
      <c r="E12" t="str">
        <f ca="1">IF(D12="","",SUMIF('PACKING ENTRY'!$F$4:$F$503,D12,'PACKING ENTRY'!$M$4:$M$503))</f>
        <v/>
      </c>
      <c r="F12" t="str">
        <f ca="1">IF(D12="","",COUNTIF('PACKING ENTRY'!$F$4:$F$503,D12))</f>
        <v/>
      </c>
      <c r="H12" t="str">
        <f>IFERROR(INDEX('PACKING ENTRY'!$G$4:$K$503,MATCH(0,COUNTIF($H$3:H11,'PACKING ENTRY'!$G$4:$K$503)+('PACKING ENTRY'!$G$4:$K$503=""),0)),"")</f>
        <v/>
      </c>
      <c r="I12" t="str">
        <f>IF(H12="","",SUMIF('PACKING ENTRY'!$G$4:$K$503,H12,'PACKING ENTRY'!$H$4:$L$503))</f>
        <v/>
      </c>
      <c r="J12" t="str">
        <f>IF(H12="","",COUNTIF('PACKING ENTRY'!$G$4:$K$503,H12))</f>
        <v/>
      </c>
      <c r="L12" t="str">
        <f>IFERROR(INDEX('PACKING ENTRY'!$B$4:$B$503,MATCH(0,COUNTIF($L$3:L11,'PACKING ENTRY'!$B$4:$B$503)+('PACKING ENTRY'!$B$4:$B$503=""),0)),"")</f>
        <v/>
      </c>
      <c r="M12" t="str">
        <f>IF(L12="","",SUMIF('PACKING ENTRY'!$B$4:$B$503,L12,'PACKING ENTRY'!$M$4:$M$503))</f>
        <v/>
      </c>
      <c r="N12" t="str">
        <f>IF(L12="","",COUNTIF('PACKING ENTRY'!$B$4:$B$503,L12))</f>
        <v/>
      </c>
    </row>
    <row r="13" spans="1:14" ht="18" customHeight="1">
      <c r="A13" s="28" t="s">
        <v>461</v>
      </c>
      <c r="B13" s="29" t="s">
        <v>306</v>
      </c>
      <c r="C13" s="7" t="s">
        <v>462</v>
      </c>
      <c r="D13" t="str">
        <f ca="1">IFERROR(INDEX('PACKING ENTRY'!$F$4:$F$503,MATCH(0,COUNTIF($D$3:D12,'PACKING ENTRY'!$F$4:$F$503)+('PACKING ENTRY'!$F$4:$F$503=""),0)),"")</f>
        <v/>
      </c>
      <c r="E13" t="str">
        <f ca="1">IF(D13="","",SUMIF('PACKING ENTRY'!$F$4:$F$503,D13,'PACKING ENTRY'!$M$4:$M$503))</f>
        <v/>
      </c>
      <c r="F13" t="str">
        <f ca="1">IF(D13="","",COUNTIF('PACKING ENTRY'!$F$4:$F$503,D13))</f>
        <v/>
      </c>
      <c r="H13" t="str">
        <f>IFERROR(INDEX('PACKING ENTRY'!$G$4:$K$503,MATCH(0,COUNTIF($H$3:H12,'PACKING ENTRY'!$G$4:$K$503)+('PACKING ENTRY'!$G$4:$K$503=""),0)),"")</f>
        <v/>
      </c>
      <c r="I13" t="str">
        <f>IF(H13="","",SUMIF('PACKING ENTRY'!$G$4:$K$503,H13,'PACKING ENTRY'!$H$4:$L$503))</f>
        <v/>
      </c>
      <c r="J13" t="str">
        <f>IF(H13="","",COUNTIF('PACKING ENTRY'!$G$4:$K$503,H13))</f>
        <v/>
      </c>
      <c r="L13" t="str">
        <f>IFERROR(INDEX('PACKING ENTRY'!$B$4:$B$503,MATCH(0,COUNTIF($L$3:L12,'PACKING ENTRY'!$B$4:$B$503)+('PACKING ENTRY'!$B$4:$B$503=""),0)),"")</f>
        <v/>
      </c>
      <c r="M13" t="str">
        <f>IF(L13="","",SUMIF('PACKING ENTRY'!$B$4:$B$503,L13,'PACKING ENTRY'!$M$4:$M$503))</f>
        <v/>
      </c>
      <c r="N13" t="str">
        <f>IF(L13="","",COUNTIF('PACKING ENTRY'!$B$4:$B$503,L13))</f>
        <v/>
      </c>
    </row>
    <row r="14" spans="1:14" ht="7.5" customHeight="1">
      <c r="D14" t="str">
        <f ca="1">IFERROR(INDEX('PACKING ENTRY'!$F$4:$F$503,MATCH(0,COUNTIF($D$3:D13,'PACKING ENTRY'!$F$4:$F$503)+('PACKING ENTRY'!$F$4:$F$503=""),0)),"")</f>
        <v/>
      </c>
      <c r="E14" t="str">
        <f ca="1">IF(D14="","",SUMIF('PACKING ENTRY'!$F$4:$F$503,D14,'PACKING ENTRY'!$M$4:$M$503))</f>
        <v/>
      </c>
      <c r="F14" t="str">
        <f ca="1">IF(D14="","",COUNTIF('PACKING ENTRY'!$F$4:$F$503,D14))</f>
        <v/>
      </c>
      <c r="H14" t="str">
        <f>IFERROR(INDEX('PACKING ENTRY'!$G$4:$K$503,MATCH(0,COUNTIF($H$3:H13,'PACKING ENTRY'!$G$4:$K$503)+('PACKING ENTRY'!$G$4:$K$503=""),0)),"")</f>
        <v/>
      </c>
      <c r="I14" t="str">
        <f>IF(H14="","",SUMIF('PACKING ENTRY'!$G$4:$K$503,H14,'PACKING ENTRY'!$H$4:$L$503))</f>
        <v/>
      </c>
      <c r="J14" t="str">
        <f>IF(H14="","",COUNTIF('PACKING ENTRY'!$G$4:$K$503,H14))</f>
        <v/>
      </c>
      <c r="L14" t="str">
        <f>IFERROR(INDEX('PACKING ENTRY'!$B$4:$B$503,MATCH(0,COUNTIF($L$3:L13,'PACKING ENTRY'!$B$4:$B$503)+('PACKING ENTRY'!$B$4:$B$503=""),0)),"")</f>
        <v/>
      </c>
      <c r="M14" t="str">
        <f>IF(L14="","",SUMIF('PACKING ENTRY'!$B$4:$B$503,L14,'PACKING ENTRY'!$M$4:$M$503))</f>
        <v/>
      </c>
      <c r="N14" t="str">
        <f>IF(L14="","",COUNTIF('PACKING ENTRY'!$B$4:$B$503,L14))</f>
        <v/>
      </c>
    </row>
    <row r="15" spans="1:14" ht="16.5" customHeight="1">
      <c r="A15" s="344" t="s">
        <v>463</v>
      </c>
      <c r="B15" s="333"/>
      <c r="C15" s="333"/>
      <c r="D15" t="str">
        <f ca="1">IFERROR(INDEX('PACKING ENTRY'!$F$4:$F$503,MATCH(0,COUNTIF($D$3:D14,'PACKING ENTRY'!$F$4:$F$503)+('PACKING ENTRY'!$F$4:$F$503=""),0)),"")</f>
        <v/>
      </c>
      <c r="E15" t="str">
        <f ca="1">IF(D15="","",SUMIF('PACKING ENTRY'!$F$4:$F$503,D15,'PACKING ENTRY'!$M$4:$M$503))</f>
        <v/>
      </c>
      <c r="F15" t="str">
        <f ca="1">IF(D15="","",COUNTIF('PACKING ENTRY'!$F$4:$F$503,D15))</f>
        <v/>
      </c>
      <c r="H15" t="str">
        <f>IFERROR(INDEX('PACKING ENTRY'!$G$4:$K$503,MATCH(0,COUNTIF($H$3:H14,'PACKING ENTRY'!$G$4:$K$503)+('PACKING ENTRY'!$G$4:$K$503=""),0)),"")</f>
        <v/>
      </c>
      <c r="I15" t="str">
        <f>IF(H15="","",SUMIF('PACKING ENTRY'!$G$4:$K$503,H15,'PACKING ENTRY'!$H$4:$L$503))</f>
        <v/>
      </c>
      <c r="J15" t="str">
        <f>IF(H15="","",COUNTIF('PACKING ENTRY'!$G$4:$K$503,H15))</f>
        <v/>
      </c>
      <c r="L15" t="str">
        <f>IFERROR(INDEX('PACKING ENTRY'!$B$4:$B$503,MATCH(0,COUNTIF($L$3:L14,'PACKING ENTRY'!$B$4:$B$503)+('PACKING ENTRY'!$B$4:$B$503=""),0)),"")</f>
        <v/>
      </c>
      <c r="M15" t="str">
        <f>IF(L15="","",SUMIF('PACKING ENTRY'!$B$4:$B$503,L15,'PACKING ENTRY'!$M$4:$M$503))</f>
        <v/>
      </c>
      <c r="N15" t="str">
        <f>IF(L15="","",COUNTIF('PACKING ENTRY'!$B$4:$B$503,L15))</f>
        <v/>
      </c>
    </row>
    <row r="16" spans="1:14" ht="31.5" customHeight="1">
      <c r="A16" s="345" t="str">
        <f>IF(B10=0,"✅ ALL COMPLETE — Ready to Ship",IF(B9=0,"⏳ PENDING — Not Started","🔄 IN PROGRESS — "&amp;TEXT(B11,"0.0%")&amp;" Packed"))</f>
        <v>✅ ALL COMPLETE — Ready to Ship</v>
      </c>
      <c r="B16" s="333"/>
      <c r="C16" s="333"/>
      <c r="D16" t="str">
        <f ca="1">IFERROR(INDEX('PACKING ENTRY'!$F$4:$F$503,MATCH(0,COUNTIF($D$3:D15,'PACKING ENTRY'!$F$4:$F$503)+('PACKING ENTRY'!$F$4:$F$503=""),0)),"")</f>
        <v/>
      </c>
      <c r="E16" t="str">
        <f ca="1">IF(D16="","",SUMIF('PACKING ENTRY'!$F$4:$F$503,D16,'PACKING ENTRY'!$M$4:$M$503))</f>
        <v/>
      </c>
      <c r="F16" t="str">
        <f ca="1">IF(D16="","",COUNTIF('PACKING ENTRY'!$F$4:$F$503,D16))</f>
        <v/>
      </c>
      <c r="H16" t="str">
        <f>IFERROR(INDEX('PACKING ENTRY'!$G$4:$K$503,MATCH(0,COUNTIF($H$3:H15,'PACKING ENTRY'!$G$4:$K$503)+('PACKING ENTRY'!$G$4:$K$503=""),0)),"")</f>
        <v/>
      </c>
      <c r="I16" t="str">
        <f>IF(H16="","",SUMIF('PACKING ENTRY'!$G$4:$K$503,H16,'PACKING ENTRY'!$H$4:$L$503))</f>
        <v/>
      </c>
      <c r="J16" t="str">
        <f>IF(H16="","",COUNTIF('PACKING ENTRY'!$G$4:$K$503,H16))</f>
        <v/>
      </c>
      <c r="L16" t="str">
        <f>IFERROR(INDEX('PACKING ENTRY'!$B$4:$B$503,MATCH(0,COUNTIF($L$3:L15,'PACKING ENTRY'!$B$4:$B$503)+('PACKING ENTRY'!$B$4:$B$503=""),0)),"")</f>
        <v/>
      </c>
      <c r="M16" t="str">
        <f>IF(L16="","",SUMIF('PACKING ENTRY'!$B$4:$B$503,L16,'PACKING ENTRY'!$M$4:$M$503))</f>
        <v/>
      </c>
      <c r="N16" t="str">
        <f>IF(L16="","",COUNTIF('PACKING ENTRY'!$B$4:$B$503,L16))</f>
        <v/>
      </c>
    </row>
    <row r="17" spans="1:14" ht="18" customHeight="1">
      <c r="A17" s="32" t="s">
        <v>316</v>
      </c>
      <c r="B17" s="331" t="str">
        <f>IF('PACKING ENTRY'!C5="","(none)",'PACKING ENTRY'!C5&amp;" — "&amp;IFERROR('PACKING ENTRY'!F5,""))</f>
        <v xml:space="preserve">4901873568 — </v>
      </c>
      <c r="C17" s="333"/>
      <c r="D17" t="str">
        <f ca="1">IFERROR(INDEX('PACKING ENTRY'!$F$4:$F$503,MATCH(0,COUNTIF($D$3:D16,'PACKING ENTRY'!$F$4:$F$503)+('PACKING ENTRY'!$F$4:$F$503=""),0)),"")</f>
        <v/>
      </c>
      <c r="E17" t="str">
        <f ca="1">IF(D17="","",SUMIF('PACKING ENTRY'!$F$4:$F$503,D17,'PACKING ENTRY'!$M$4:$M$503))</f>
        <v/>
      </c>
      <c r="F17" t="str">
        <f ca="1">IF(D17="","",COUNTIF('PACKING ENTRY'!$F$4:$F$503,D17))</f>
        <v/>
      </c>
      <c r="H17" t="str">
        <f>IFERROR(INDEX('PACKING ENTRY'!$G$4:$K$503,MATCH(0,COUNTIF($H$3:H16,'PACKING ENTRY'!$G$4:$K$503)+('PACKING ENTRY'!$G$4:$K$503=""),0)),"")</f>
        <v/>
      </c>
      <c r="I17" t="str">
        <f>IF(H17="","",SUMIF('PACKING ENTRY'!$G$4:$K$503,H17,'PACKING ENTRY'!$H$4:$L$503))</f>
        <v/>
      </c>
      <c r="J17" t="str">
        <f>IF(H17="","",COUNTIF('PACKING ENTRY'!$G$4:$K$503,H17))</f>
        <v/>
      </c>
      <c r="L17" t="str">
        <f>IFERROR(INDEX('PACKING ENTRY'!$B$4:$B$503,MATCH(0,COUNTIF($L$3:L16,'PACKING ENTRY'!$B$4:$B$503)+('PACKING ENTRY'!$B$4:$B$503=""),0)),"")</f>
        <v/>
      </c>
      <c r="M17" t="str">
        <f>IF(L17="","",SUMIF('PACKING ENTRY'!$B$4:$B$503,L17,'PACKING ENTRY'!$M$4:$M$503))</f>
        <v/>
      </c>
      <c r="N17" t="str">
        <f>IF(L17="","",COUNTIF('PACKING ENTRY'!$B$4:$B$503,L17))</f>
        <v/>
      </c>
    </row>
    <row r="18" spans="1:14" ht="7.5" customHeight="1">
      <c r="D18" t="str">
        <f ca="1">IFERROR(INDEX('PACKING ENTRY'!$F$4:$F$503,MATCH(0,COUNTIF($D$3:D17,'PACKING ENTRY'!$F$4:$F$503)+('PACKING ENTRY'!$F$4:$F$503=""),0)),"")</f>
        <v/>
      </c>
      <c r="E18" t="str">
        <f ca="1">IF(D18="","",SUMIF('PACKING ENTRY'!$F$4:$F$503,D18,'PACKING ENTRY'!$M$4:$M$503))</f>
        <v/>
      </c>
      <c r="F18" t="str">
        <f ca="1">IF(D18="","",COUNTIF('PACKING ENTRY'!$F$4:$F$503,D18))</f>
        <v/>
      </c>
      <c r="H18" t="str">
        <f>IFERROR(INDEX('PACKING ENTRY'!$G$4:$K$503,MATCH(0,COUNTIF($H$3:H17,'PACKING ENTRY'!$G$4:$K$503)+('PACKING ENTRY'!$G$4:$K$503=""),0)),"")</f>
        <v/>
      </c>
      <c r="I18" t="str">
        <f>IF(H18="","",SUMIF('PACKING ENTRY'!$G$4:$K$503,H18,'PACKING ENTRY'!$H$4:$L$503))</f>
        <v/>
      </c>
      <c r="J18" t="str">
        <f>IF(H18="","",COUNTIF('PACKING ENTRY'!$G$4:$K$503,H18))</f>
        <v/>
      </c>
      <c r="L18" t="str">
        <f>IFERROR(INDEX('PACKING ENTRY'!$B$4:$B$503,MATCH(0,COUNTIF($L$3:L17,'PACKING ENTRY'!$B$4:$B$503)+('PACKING ENTRY'!$B$4:$B$503=""),0)),"")</f>
        <v/>
      </c>
      <c r="M18" t="str">
        <f>IF(L18="","",SUMIF('PACKING ENTRY'!$B$4:$B$503,L18,'PACKING ENTRY'!$M$4:$M$503))</f>
        <v/>
      </c>
      <c r="N18" t="str">
        <f>IF(L18="","",COUNTIF('PACKING ENTRY'!$B$4:$B$503,L18))</f>
        <v/>
      </c>
    </row>
    <row r="19" spans="1:14" ht="16.5" customHeight="1">
      <c r="A19" s="344" t="s">
        <v>464</v>
      </c>
      <c r="B19" s="333"/>
      <c r="C19" s="333"/>
      <c r="D19" t="str">
        <f ca="1">IFERROR(INDEX('PACKING ENTRY'!$F$4:$F$503,MATCH(0,COUNTIF($D$3:D18,'PACKING ENTRY'!$F$4:$F$503)+('PACKING ENTRY'!$F$4:$F$503=""),0)),"")</f>
        <v/>
      </c>
      <c r="E19" t="str">
        <f ca="1">IF(D19="","",SUMIF('PACKING ENTRY'!$F$4:$F$503,D19,'PACKING ENTRY'!$M$4:$M$503))</f>
        <v/>
      </c>
      <c r="F19" t="str">
        <f ca="1">IF(D19="","",COUNTIF('PACKING ENTRY'!$F$4:$F$503,D19))</f>
        <v/>
      </c>
      <c r="H19" t="str">
        <f>IFERROR(INDEX('PACKING ENTRY'!$G$4:$K$503,MATCH(0,COUNTIF($H$3:H18,'PACKING ENTRY'!$G$4:$K$503)+('PACKING ENTRY'!$G$4:$K$503=""),0)),"")</f>
        <v/>
      </c>
      <c r="I19" t="str">
        <f>IF(H19="","",SUMIF('PACKING ENTRY'!$G$4:$K$503,H19,'PACKING ENTRY'!$H$4:$L$503))</f>
        <v/>
      </c>
      <c r="J19" t="str">
        <f>IF(H19="","",COUNTIF('PACKING ENTRY'!$G$4:$K$503,H19))</f>
        <v/>
      </c>
      <c r="L19" t="str">
        <f>IFERROR(INDEX('PACKING ENTRY'!$B$4:$B$503,MATCH(0,COUNTIF($L$3:L18,'PACKING ENTRY'!$B$4:$B$503)+('PACKING ENTRY'!$B$4:$B$503=""),0)),"")</f>
        <v/>
      </c>
      <c r="M19" t="str">
        <f>IF(L19="","",SUMIF('PACKING ENTRY'!$B$4:$B$503,L19,'PACKING ENTRY'!$M$4:$M$503))</f>
        <v/>
      </c>
      <c r="N19" t="str">
        <f>IF(L19="","",COUNTIF('PACKING ENTRY'!$B$4:$B$503,L19))</f>
        <v/>
      </c>
    </row>
    <row r="20" spans="1:14" ht="16.5" customHeight="1">
      <c r="A20" s="346" t="s">
        <v>465</v>
      </c>
      <c r="B20" s="333"/>
      <c r="C20" s="333"/>
      <c r="D20" t="str">
        <f ca="1">IFERROR(INDEX('PACKING ENTRY'!$F$4:$F$503,MATCH(0,COUNTIF($D$3:D19,'PACKING ENTRY'!$F$4:$F$503)+('PACKING ENTRY'!$F$4:$F$503=""),0)),"")</f>
        <v/>
      </c>
      <c r="E20" t="str">
        <f ca="1">IF(D20="","",SUMIF('PACKING ENTRY'!$F$4:$F$503,D20,'PACKING ENTRY'!$M$4:$M$503))</f>
        <v/>
      </c>
      <c r="F20" t="str">
        <f ca="1">IF(D20="","",COUNTIF('PACKING ENTRY'!$F$4:$F$503,D20))</f>
        <v/>
      </c>
      <c r="H20" t="str">
        <f>IFERROR(INDEX('PACKING ENTRY'!$G$4:$K$503,MATCH(0,COUNTIF($H$3:H19,'PACKING ENTRY'!$G$4:$K$503)+('PACKING ENTRY'!$G$4:$K$503=""),0)),"")</f>
        <v/>
      </c>
      <c r="I20" t="str">
        <f>IF(H20="","",SUMIF('PACKING ENTRY'!$G$4:$K$503,H20,'PACKING ENTRY'!$H$4:$L$503))</f>
        <v/>
      </c>
      <c r="J20" t="str">
        <f>IF(H20="","",COUNTIF('PACKING ENTRY'!$G$4:$K$503,H20))</f>
        <v/>
      </c>
      <c r="L20" t="str">
        <f>IFERROR(INDEX('PACKING ENTRY'!$B$4:$B$503,MATCH(0,COUNTIF($L$3:L19,'PACKING ENTRY'!$B$4:$B$503)+('PACKING ENTRY'!$B$4:$B$503=""),0)),"")</f>
        <v/>
      </c>
      <c r="M20" t="str">
        <f>IF(L20="","",SUMIF('PACKING ENTRY'!$B$4:$B$503,L20,'PACKING ENTRY'!$M$4:$M$503))</f>
        <v/>
      </c>
      <c r="N20" t="str">
        <f>IF(L20="","",COUNTIF('PACKING ENTRY'!$B$4:$B$503,L20))</f>
        <v/>
      </c>
    </row>
    <row r="21" spans="1:14" ht="18" customHeight="1">
      <c r="A21" s="27" t="s">
        <v>298</v>
      </c>
      <c r="B21" s="27" t="s">
        <v>91</v>
      </c>
      <c r="C21" s="27" t="s">
        <v>299</v>
      </c>
      <c r="D21" t="str">
        <f ca="1">IFERROR(INDEX('PACKING ENTRY'!$F$4:$F$503,MATCH(0,COUNTIF($D$3:D20,'PACKING ENTRY'!$F$4:$F$503)+('PACKING ENTRY'!$F$4:$F$503=""),0)),"")</f>
        <v/>
      </c>
      <c r="E21" t="str">
        <f ca="1">IF(D21="","",SUMIF('PACKING ENTRY'!$F$4:$F$503,D21,'PACKING ENTRY'!$M$4:$M$503))</f>
        <v/>
      </c>
      <c r="F21" t="str">
        <f ca="1">IF(D21="","",COUNTIF('PACKING ENTRY'!$F$4:$F$503,D21))</f>
        <v/>
      </c>
      <c r="H21" t="str">
        <f>IFERROR(INDEX('PACKING ENTRY'!$G$4:$K$503,MATCH(0,COUNTIF($H$3:H20,'PACKING ENTRY'!$G$4:$K$503)+('PACKING ENTRY'!$G$4:$K$503=""),0)),"")</f>
        <v/>
      </c>
      <c r="I21" t="str">
        <f>IF(H21="","",SUMIF('PACKING ENTRY'!$G$4:$K$503,H21,'PACKING ENTRY'!$H$4:$L$503))</f>
        <v/>
      </c>
      <c r="J21" t="str">
        <f>IF(H21="","",COUNTIF('PACKING ENTRY'!$G$4:$K$503,H21))</f>
        <v/>
      </c>
      <c r="L21" t="str">
        <f>IFERROR(INDEX('PACKING ENTRY'!$B$4:$B$503,MATCH(0,COUNTIF($L$3:L20,'PACKING ENTRY'!$B$4:$B$503)+('PACKING ENTRY'!$B$4:$B$503=""),0)),"")</f>
        <v/>
      </c>
      <c r="M21" t="str">
        <f>IF(L21="","",SUMIF('PACKING ENTRY'!$B$4:$B$503,L21,'PACKING ENTRY'!$M$4:$M$503))</f>
        <v/>
      </c>
      <c r="N21" t="str">
        <f>IF(L21="","",COUNTIF('PACKING ENTRY'!$B$4:$B$503,L21))</f>
        <v/>
      </c>
    </row>
    <row r="22" spans="1:14" ht="15" customHeight="1">
      <c r="A22" s="33" t="str">
        <f ca="1">TEXT(NOW()-2,"dd-mmm hh:mm")</f>
        <v>02-Jul 00:49</v>
      </c>
      <c r="B22" s="33">
        <v>4901873568</v>
      </c>
      <c r="C22" s="33" t="s">
        <v>303</v>
      </c>
      <c r="D22" t="str">
        <f ca="1">IFERROR(INDEX('PACKING ENTRY'!$F$4:$F$503,MATCH(0,COUNTIF($D$3:D21,'PACKING ENTRY'!$F$4:$F$503)+('PACKING ENTRY'!$F$4:$F$503=""),0)),"")</f>
        <v/>
      </c>
      <c r="E22" t="str">
        <f ca="1">IF(D22="","",SUMIF('PACKING ENTRY'!$F$4:$F$503,D22,'PACKING ENTRY'!$M$4:$M$503))</f>
        <v/>
      </c>
      <c r="F22" t="str">
        <f ca="1">IF(D22="","",COUNTIF('PACKING ENTRY'!$F$4:$F$503,D22))</f>
        <v/>
      </c>
      <c r="H22" t="str">
        <f>IFERROR(INDEX('PACKING ENTRY'!$G$4:$K$503,MATCH(0,COUNTIF($H$3:H21,'PACKING ENTRY'!$G$4:$K$503)+('PACKING ENTRY'!$G$4:$K$503=""),0)),"")</f>
        <v/>
      </c>
      <c r="I22" t="str">
        <f>IF(H22="","",SUMIF('PACKING ENTRY'!$G$4:$K$503,H22,'PACKING ENTRY'!$H$4:$L$503))</f>
        <v/>
      </c>
      <c r="J22" t="str">
        <f>IF(H22="","",COUNTIF('PACKING ENTRY'!$G$4:$K$503,H22))</f>
        <v/>
      </c>
      <c r="L22" t="str">
        <f>IFERROR(INDEX('PACKING ENTRY'!$B$4:$B$503,MATCH(0,COUNTIF($L$3:L21,'PACKING ENTRY'!$B$4:$B$503)+('PACKING ENTRY'!$B$4:$B$503=""),0)),"")</f>
        <v/>
      </c>
      <c r="M22" t="str">
        <f>IF(L22="","",SUMIF('PACKING ENTRY'!$B$4:$B$503,L22,'PACKING ENTRY'!$M$4:$M$503))</f>
        <v/>
      </c>
      <c r="N22" t="str">
        <f>IF(L22="","",COUNTIF('PACKING ENTRY'!$B$4:$B$503,L22))</f>
        <v/>
      </c>
    </row>
    <row r="23" spans="1:14" ht="15" customHeight="1">
      <c r="A23" s="34" t="str">
        <f ca="1">TEXT(NOW()-1,"dd-mmm hh:mm")</f>
        <v>03-Jul 00:49</v>
      </c>
      <c r="B23" s="34">
        <v>4901893257</v>
      </c>
      <c r="C23" s="34" t="s">
        <v>307</v>
      </c>
      <c r="D23" t="str">
        <f ca="1">IFERROR(INDEX('PACKING ENTRY'!$F$4:$F$503,MATCH(0,COUNTIF($D$3:D22,'PACKING ENTRY'!$F$4:$F$503)+('PACKING ENTRY'!$F$4:$F$503=""),0)),"")</f>
        <v/>
      </c>
      <c r="E23" t="str">
        <f ca="1">IF(D23="","",SUMIF('PACKING ENTRY'!$F$4:$F$503,D23,'PACKING ENTRY'!$M$4:$M$503))</f>
        <v/>
      </c>
      <c r="F23" t="str">
        <f ca="1">IF(D23="","",COUNTIF('PACKING ENTRY'!$F$4:$F$503,D23))</f>
        <v/>
      </c>
      <c r="H23" t="str">
        <f>IFERROR(INDEX('PACKING ENTRY'!$G$4:$K$503,MATCH(0,COUNTIF($H$3:H22,'PACKING ENTRY'!$G$4:$K$503)+('PACKING ENTRY'!$G$4:$K$503=""),0)),"")</f>
        <v/>
      </c>
      <c r="I23" t="str">
        <f>IF(H23="","",SUMIF('PACKING ENTRY'!$G$4:$K$503,H23,'PACKING ENTRY'!$H$4:$L$503))</f>
        <v/>
      </c>
      <c r="J23" t="str">
        <f>IF(H23="","",COUNTIF('PACKING ENTRY'!$G$4:$K$503,H23))</f>
        <v/>
      </c>
      <c r="L23" t="str">
        <f>IFERROR(INDEX('PACKING ENTRY'!$B$4:$B$503,MATCH(0,COUNTIF($L$3:L22,'PACKING ENTRY'!$B$4:$B$503)+('PACKING ENTRY'!$B$4:$B$503=""),0)),"")</f>
        <v/>
      </c>
      <c r="M23" t="str">
        <f>IF(L23="","",SUMIF('PACKING ENTRY'!$B$4:$B$503,L23,'PACKING ENTRY'!$M$4:$M$503))</f>
        <v/>
      </c>
      <c r="N23" t="str">
        <f>IF(L23="","",COUNTIF('PACKING ENTRY'!$B$4:$B$503,L23))</f>
        <v/>
      </c>
    </row>
    <row r="24" spans="1:14" ht="15" customHeight="1">
      <c r="A24" s="33" t="str">
        <f ca="1">TEXT(NOW(),"dd-mmm hh:mm")</f>
        <v>04-Jul 00:49</v>
      </c>
      <c r="B24" s="33">
        <v>4901893300</v>
      </c>
      <c r="C24" s="33" t="s">
        <v>309</v>
      </c>
      <c r="D24" t="str">
        <f ca="1">IFERROR(INDEX('PACKING ENTRY'!$F$4:$F$503,MATCH(0,COUNTIF($D$3:D23,'PACKING ENTRY'!$F$4:$F$503)+('PACKING ENTRY'!$F$4:$F$503=""),0)),"")</f>
        <v/>
      </c>
      <c r="E24" t="str">
        <f ca="1">IF(D24="","",SUMIF('PACKING ENTRY'!$F$4:$F$503,D24,'PACKING ENTRY'!$M$4:$M$503))</f>
        <v/>
      </c>
      <c r="F24" t="str">
        <f ca="1">IF(D24="","",COUNTIF('PACKING ENTRY'!$F$4:$F$503,D24))</f>
        <v/>
      </c>
      <c r="H24" t="str">
        <f>IFERROR(INDEX('PACKING ENTRY'!$G$4:$K$503,MATCH(0,COUNTIF($H$3:H23,'PACKING ENTRY'!$G$4:$K$503)+('PACKING ENTRY'!$G$4:$K$503=""),0)),"")</f>
        <v/>
      </c>
      <c r="I24" t="str">
        <f>IF(H24="","",SUMIF('PACKING ENTRY'!$G$4:$K$503,H24,'PACKING ENTRY'!$H$4:$L$503))</f>
        <v/>
      </c>
      <c r="J24" t="str">
        <f>IF(H24="","",COUNTIF('PACKING ENTRY'!$G$4:$K$503,H24))</f>
        <v/>
      </c>
      <c r="L24" t="str">
        <f>IFERROR(INDEX('PACKING ENTRY'!$B$4:$B$503,MATCH(0,COUNTIF($L$3:L23,'PACKING ENTRY'!$B$4:$B$503)+('PACKING ENTRY'!$B$4:$B$503=""),0)),"")</f>
        <v/>
      </c>
      <c r="M24" t="str">
        <f>IF(L24="","",SUMIF('PACKING ENTRY'!$B$4:$B$503,L24,'PACKING ENTRY'!$M$4:$M$503))</f>
        <v/>
      </c>
      <c r="N24" t="str">
        <f>IF(L24="","",COUNTIF('PACKING ENTRY'!$B$4:$B$503,L24))</f>
        <v/>
      </c>
    </row>
    <row r="25" spans="1:14" ht="15" customHeight="1">
      <c r="A25" s="34"/>
      <c r="B25" s="34"/>
      <c r="C25" s="34"/>
      <c r="D25" t="str">
        <f ca="1">IFERROR(INDEX('PACKING ENTRY'!$F$4:$F$503,MATCH(0,COUNTIF($D$3:D24,'PACKING ENTRY'!$F$4:$F$503)+('PACKING ENTRY'!$F$4:$F$503=""),0)),"")</f>
        <v/>
      </c>
      <c r="E25" t="str">
        <f ca="1">IF(D25="","",SUMIF('PACKING ENTRY'!$F$4:$F$503,D25,'PACKING ENTRY'!$M$4:$M$503))</f>
        <v/>
      </c>
      <c r="F25" t="str">
        <f ca="1">IF(D25="","",COUNTIF('PACKING ENTRY'!$F$4:$F$503,D25))</f>
        <v/>
      </c>
      <c r="H25" t="str">
        <f>IFERROR(INDEX('PACKING ENTRY'!$G$4:$K$503,MATCH(0,COUNTIF($H$3:H24,'PACKING ENTRY'!$G$4:$K$503)+('PACKING ENTRY'!$G$4:$K$503=""),0)),"")</f>
        <v/>
      </c>
      <c r="I25" t="str">
        <f>IF(H25="","",SUMIF('PACKING ENTRY'!$G$4:$K$503,H25,'PACKING ENTRY'!$H$4:$L$503))</f>
        <v/>
      </c>
      <c r="J25" t="str">
        <f>IF(H25="","",COUNTIF('PACKING ENTRY'!$G$4:$K$503,H25))</f>
        <v/>
      </c>
      <c r="L25" t="str">
        <f>IFERROR(INDEX('PACKING ENTRY'!$B$4:$B$503,MATCH(0,COUNTIF($L$3:L24,'PACKING ENTRY'!$B$4:$B$503)+('PACKING ENTRY'!$B$4:$B$503=""),0)),"")</f>
        <v/>
      </c>
      <c r="M25" t="str">
        <f>IF(L25="","",SUMIF('PACKING ENTRY'!$B$4:$B$503,L25,'PACKING ENTRY'!$M$4:$M$503))</f>
        <v/>
      </c>
      <c r="N25" t="str">
        <f>IF(L25="","",COUNTIF('PACKING ENTRY'!$B$4:$B$503,L25))</f>
        <v/>
      </c>
    </row>
    <row r="26" spans="1:14" ht="15" customHeight="1">
      <c r="A26" s="33"/>
      <c r="B26" s="33"/>
      <c r="C26" s="33"/>
      <c r="D26" t="str">
        <f ca="1">IFERROR(INDEX('PACKING ENTRY'!$F$4:$F$503,MATCH(0,COUNTIF($D$3:D25,'PACKING ENTRY'!$F$4:$F$503)+('PACKING ENTRY'!$F$4:$F$503=""),0)),"")</f>
        <v/>
      </c>
      <c r="E26" t="str">
        <f ca="1">IF(D26="","",SUMIF('PACKING ENTRY'!$F$4:$F$503,D26,'PACKING ENTRY'!$M$4:$M$503))</f>
        <v/>
      </c>
      <c r="F26" t="str">
        <f ca="1">IF(D26="","",COUNTIF('PACKING ENTRY'!$F$4:$F$503,D26))</f>
        <v/>
      </c>
      <c r="H26" t="str">
        <f>IFERROR(INDEX('PACKING ENTRY'!$G$4:$K$503,MATCH(0,COUNTIF($H$3:H25,'PACKING ENTRY'!$G$4:$K$503)+('PACKING ENTRY'!$G$4:$K$503=""),0)),"")</f>
        <v/>
      </c>
      <c r="I26" t="str">
        <f>IF(H26="","",SUMIF('PACKING ENTRY'!$G$4:$K$503,H26,'PACKING ENTRY'!$H$4:$L$503))</f>
        <v/>
      </c>
      <c r="J26" t="str">
        <f>IF(H26="","",COUNTIF('PACKING ENTRY'!$G$4:$K$503,H26))</f>
        <v/>
      </c>
      <c r="L26" t="str">
        <f>IFERROR(INDEX('PACKING ENTRY'!$B$4:$B$503,MATCH(0,COUNTIF($L$3:L25,'PACKING ENTRY'!$B$4:$B$503)+('PACKING ENTRY'!$B$4:$B$503=""),0)),"")</f>
        <v/>
      </c>
      <c r="M26" t="str">
        <f>IF(L26="","",SUMIF('PACKING ENTRY'!$B$4:$B$503,L26,'PACKING ENTRY'!$M$4:$M$503))</f>
        <v/>
      </c>
      <c r="N26" t="str">
        <f>IF(L26="","",COUNTIF('PACKING ENTRY'!$B$4:$B$503,L26))</f>
        <v/>
      </c>
    </row>
    <row r="27" spans="1:14" ht="15" customHeight="1">
      <c r="A27" s="34"/>
      <c r="B27" s="34"/>
      <c r="C27" s="34"/>
      <c r="D27" t="str">
        <f ca="1">IFERROR(INDEX('PACKING ENTRY'!$F$4:$F$503,MATCH(0,COUNTIF($D$3:D26,'PACKING ENTRY'!$F$4:$F$503)+('PACKING ENTRY'!$F$4:$F$503=""),0)),"")</f>
        <v/>
      </c>
      <c r="E27" t="str">
        <f ca="1">IF(D27="","",SUMIF('PACKING ENTRY'!$F$4:$F$503,D27,'PACKING ENTRY'!$M$4:$M$503))</f>
        <v/>
      </c>
      <c r="F27" t="str">
        <f ca="1">IF(D27="","",COUNTIF('PACKING ENTRY'!$F$4:$F$503,D27))</f>
        <v/>
      </c>
      <c r="H27" t="str">
        <f>IFERROR(INDEX('PACKING ENTRY'!$G$4:$K$503,MATCH(0,COUNTIF($H$3:H26,'PACKING ENTRY'!$G$4:$K$503)+('PACKING ENTRY'!$G$4:$K$503=""),0)),"")</f>
        <v/>
      </c>
      <c r="I27" t="str">
        <f>IF(H27="","",SUMIF('PACKING ENTRY'!$G$4:$K$503,H27,'PACKING ENTRY'!$H$4:$L$503))</f>
        <v/>
      </c>
      <c r="J27" t="str">
        <f>IF(H27="","",COUNTIF('PACKING ENTRY'!$G$4:$K$503,H27))</f>
        <v/>
      </c>
      <c r="L27" t="str">
        <f>IFERROR(INDEX('PACKING ENTRY'!$B$4:$B$503,MATCH(0,COUNTIF($L$3:L26,'PACKING ENTRY'!$B$4:$B$503)+('PACKING ENTRY'!$B$4:$B$503=""),0)),"")</f>
        <v/>
      </c>
      <c r="M27" t="str">
        <f>IF(L27="","",SUMIF('PACKING ENTRY'!$B$4:$B$503,L27,'PACKING ENTRY'!$M$4:$M$503))</f>
        <v/>
      </c>
      <c r="N27" t="str">
        <f>IF(L27="","",COUNTIF('PACKING ENTRY'!$B$4:$B$503,L27))</f>
        <v/>
      </c>
    </row>
    <row r="28" spans="1:14" ht="15" customHeight="1">
      <c r="A28" s="33"/>
      <c r="B28" s="33"/>
      <c r="C28" s="33"/>
      <c r="D28" t="str">
        <f ca="1">IFERROR(INDEX('PACKING ENTRY'!$F$4:$F$503,MATCH(0,COUNTIF($D$3:D27,'PACKING ENTRY'!$F$4:$F$503)+('PACKING ENTRY'!$F$4:$F$503=""),0)),"")</f>
        <v/>
      </c>
      <c r="E28" t="str">
        <f ca="1">IF(D28="","",SUMIF('PACKING ENTRY'!$F$4:$F$503,D28,'PACKING ENTRY'!$M$4:$M$503))</f>
        <v/>
      </c>
      <c r="F28" t="str">
        <f ca="1">IF(D28="","",COUNTIF('PACKING ENTRY'!$F$4:$F$503,D28))</f>
        <v/>
      </c>
      <c r="H28" t="str">
        <f>IFERROR(INDEX('PACKING ENTRY'!$G$4:$K$503,MATCH(0,COUNTIF($H$3:H27,'PACKING ENTRY'!$G$4:$K$503)+('PACKING ENTRY'!$G$4:$K$503=""),0)),"")</f>
        <v/>
      </c>
      <c r="I28" t="str">
        <f>IF(H28="","",SUMIF('PACKING ENTRY'!$G$4:$K$503,H28,'PACKING ENTRY'!$H$4:$L$503))</f>
        <v/>
      </c>
      <c r="J28" t="str">
        <f>IF(H28="","",COUNTIF('PACKING ENTRY'!$G$4:$K$503,H28))</f>
        <v/>
      </c>
      <c r="L28" t="str">
        <f>IFERROR(INDEX('PACKING ENTRY'!$B$4:$B$503,MATCH(0,COUNTIF($L$3:L27,'PACKING ENTRY'!$B$4:$B$503)+('PACKING ENTRY'!$B$4:$B$503=""),0)),"")</f>
        <v/>
      </c>
      <c r="M28" t="str">
        <f>IF(L28="","",SUMIF('PACKING ENTRY'!$B$4:$B$503,L28,'PACKING ENTRY'!$M$4:$M$503))</f>
        <v/>
      </c>
      <c r="N28" t="str">
        <f>IF(L28="","",COUNTIF('PACKING ENTRY'!$B$4:$B$503,L28))</f>
        <v/>
      </c>
    </row>
    <row r="29" spans="1:14" ht="15" customHeight="1">
      <c r="A29" s="34"/>
      <c r="B29" s="34"/>
      <c r="C29" s="34"/>
      <c r="D29" t="str">
        <f ca="1">IFERROR(INDEX('PACKING ENTRY'!$F$4:$F$503,MATCH(0,COUNTIF($D$3:D28,'PACKING ENTRY'!$F$4:$F$503)+('PACKING ENTRY'!$F$4:$F$503=""),0)),"")</f>
        <v/>
      </c>
      <c r="E29" t="str">
        <f ca="1">IF(D29="","",SUMIF('PACKING ENTRY'!$F$4:$F$503,D29,'PACKING ENTRY'!$M$4:$M$503))</f>
        <v/>
      </c>
      <c r="F29" t="str">
        <f ca="1">IF(D29="","",COUNTIF('PACKING ENTRY'!$F$4:$F$503,D29))</f>
        <v/>
      </c>
      <c r="H29" t="str">
        <f>IFERROR(INDEX('PACKING ENTRY'!$G$4:$K$503,MATCH(0,COUNTIF($H$3:H28,'PACKING ENTRY'!$G$4:$K$503)+('PACKING ENTRY'!$G$4:$K$503=""),0)),"")</f>
        <v/>
      </c>
      <c r="I29" t="str">
        <f>IF(H29="","",SUMIF('PACKING ENTRY'!$G$4:$K$503,H29,'PACKING ENTRY'!$H$4:$L$503))</f>
        <v/>
      </c>
      <c r="J29" t="str">
        <f>IF(H29="","",COUNTIF('PACKING ENTRY'!$G$4:$K$503,H29))</f>
        <v/>
      </c>
      <c r="L29" t="str">
        <f>IFERROR(INDEX('PACKING ENTRY'!$B$4:$B$503,MATCH(0,COUNTIF($L$3:L28,'PACKING ENTRY'!$B$4:$B$503)+('PACKING ENTRY'!$B$4:$B$503=""),0)),"")</f>
        <v/>
      </c>
      <c r="M29" t="str">
        <f>IF(L29="","",SUMIF('PACKING ENTRY'!$B$4:$B$503,L29,'PACKING ENTRY'!$M$4:$M$503))</f>
        <v/>
      </c>
      <c r="N29" t="str">
        <f>IF(L29="","",COUNTIF('PACKING ENTRY'!$B$4:$B$503,L29))</f>
        <v/>
      </c>
    </row>
    <row r="30" spans="1:14" ht="15" customHeight="1">
      <c r="A30" s="33"/>
      <c r="B30" s="33"/>
      <c r="C30" s="33"/>
      <c r="D30" t="str">
        <f ca="1">IFERROR(INDEX('PACKING ENTRY'!$F$4:$F$503,MATCH(0,COUNTIF($D$3:D29,'PACKING ENTRY'!$F$4:$F$503)+('PACKING ENTRY'!$F$4:$F$503=""),0)),"")</f>
        <v/>
      </c>
      <c r="E30" t="str">
        <f ca="1">IF(D30="","",SUMIF('PACKING ENTRY'!$F$4:$F$503,D30,'PACKING ENTRY'!$M$4:$M$503))</f>
        <v/>
      </c>
      <c r="F30" t="str">
        <f ca="1">IF(D30="","",COUNTIF('PACKING ENTRY'!$F$4:$F$503,D30))</f>
        <v/>
      </c>
      <c r="H30" t="str">
        <f>IFERROR(INDEX('PACKING ENTRY'!$G$4:$K$503,MATCH(0,COUNTIF($H$3:H29,'PACKING ENTRY'!$G$4:$K$503)+('PACKING ENTRY'!$G$4:$K$503=""),0)),"")</f>
        <v/>
      </c>
      <c r="I30" t="str">
        <f>IF(H30="","",SUMIF('PACKING ENTRY'!$G$4:$K$503,H30,'PACKING ENTRY'!$H$4:$L$503))</f>
        <v/>
      </c>
      <c r="J30" t="str">
        <f>IF(H30="","",COUNTIF('PACKING ENTRY'!$G$4:$K$503,H30))</f>
        <v/>
      </c>
      <c r="L30" t="str">
        <f>IFERROR(INDEX('PACKING ENTRY'!$B$4:$B$503,MATCH(0,COUNTIF($L$3:L29,'PACKING ENTRY'!$B$4:$B$503)+('PACKING ENTRY'!$B$4:$B$503=""),0)),"")</f>
        <v/>
      </c>
      <c r="M30" t="str">
        <f>IF(L30="","",SUMIF('PACKING ENTRY'!$B$4:$B$503,L30,'PACKING ENTRY'!$M$4:$M$503))</f>
        <v/>
      </c>
      <c r="N30" t="str">
        <f>IF(L30="","",COUNTIF('PACKING ENTRY'!$B$4:$B$503,L30))</f>
        <v/>
      </c>
    </row>
    <row r="31" spans="1:14" ht="7.5" customHeight="1">
      <c r="D31" t="str">
        <f ca="1">IFERROR(INDEX('PACKING ENTRY'!$F$4:$F$503,MATCH(0,COUNTIF($D$3:D30,'PACKING ENTRY'!$F$4:$F$503)+('PACKING ENTRY'!$F$4:$F$503=""),0)),"")</f>
        <v/>
      </c>
      <c r="E31" t="str">
        <f ca="1">IF(D31="","",SUMIF('PACKING ENTRY'!$F$4:$F$503,D31,'PACKING ENTRY'!$M$4:$M$503))</f>
        <v/>
      </c>
      <c r="F31" t="str">
        <f ca="1">IF(D31="","",COUNTIF('PACKING ENTRY'!$F$4:$F$503,D31))</f>
        <v/>
      </c>
      <c r="H31" t="str">
        <f>IFERROR(INDEX('PACKING ENTRY'!$G$4:$K$503,MATCH(0,COUNTIF($H$3:H30,'PACKING ENTRY'!$G$4:$K$503)+('PACKING ENTRY'!$G$4:$K$503=""),0)),"")</f>
        <v/>
      </c>
      <c r="I31" t="str">
        <f>IF(H31="","",SUMIF('PACKING ENTRY'!$G$4:$K$503,H31,'PACKING ENTRY'!$H$4:$L$503))</f>
        <v/>
      </c>
      <c r="J31" t="str">
        <f>IF(H31="","",COUNTIF('PACKING ENTRY'!$G$4:$K$503,H31))</f>
        <v/>
      </c>
      <c r="L31" t="str">
        <f>IFERROR(INDEX('PACKING ENTRY'!$B$4:$B$503,MATCH(0,COUNTIF($L$3:L30,'PACKING ENTRY'!$B$4:$B$503)+('PACKING ENTRY'!$B$4:$B$503=""),0)),"")</f>
        <v/>
      </c>
      <c r="M31" t="str">
        <f>IF(L31="","",SUMIF('PACKING ENTRY'!$B$4:$B$503,L31,'PACKING ENTRY'!$M$4:$M$503))</f>
        <v/>
      </c>
      <c r="N31" t="str">
        <f>IF(L31="","",COUNTIF('PACKING ENTRY'!$B$4:$B$503,L31))</f>
        <v/>
      </c>
    </row>
    <row r="32" spans="1:14" ht="16.5" customHeight="1">
      <c r="A32" s="344" t="s">
        <v>466</v>
      </c>
      <c r="B32" s="333"/>
      <c r="C32" s="333"/>
      <c r="D32" t="str">
        <f ca="1">IFERROR(INDEX('PACKING ENTRY'!$F$4:$F$503,MATCH(0,COUNTIF($D$3:D31,'PACKING ENTRY'!$F$4:$F$503)+('PACKING ENTRY'!$F$4:$F$503=""),0)),"")</f>
        <v/>
      </c>
      <c r="E32" t="str">
        <f ca="1">IF(D32="","",SUMIF('PACKING ENTRY'!$F$4:$F$503,D32,'PACKING ENTRY'!$M$4:$M$503))</f>
        <v/>
      </c>
      <c r="F32" t="str">
        <f ca="1">IF(D32="","",COUNTIF('PACKING ENTRY'!$F$4:$F$503,D32))</f>
        <v/>
      </c>
      <c r="H32" t="str">
        <f>IFERROR(INDEX('PACKING ENTRY'!$G$4:$K$503,MATCH(0,COUNTIF($H$3:H31,'PACKING ENTRY'!$G$4:$K$503)+('PACKING ENTRY'!$G$4:$K$503=""),0)),"")</f>
        <v/>
      </c>
      <c r="I32" t="str">
        <f>IF(H32="","",SUMIF('PACKING ENTRY'!$G$4:$K$503,H32,'PACKING ENTRY'!$H$4:$L$503))</f>
        <v/>
      </c>
      <c r="J32" t="str">
        <f>IF(H32="","",COUNTIF('PACKING ENTRY'!$G$4:$K$503,H32))</f>
        <v/>
      </c>
      <c r="L32" t="str">
        <f>IFERROR(INDEX('PACKING ENTRY'!$B$4:$B$503,MATCH(0,COUNTIF($L$3:L31,'PACKING ENTRY'!$B$4:$B$503)+('PACKING ENTRY'!$B$4:$B$503=""),0)),"")</f>
        <v/>
      </c>
      <c r="M32" t="str">
        <f>IF(L32="","",SUMIF('PACKING ENTRY'!$B$4:$B$503,L32,'PACKING ENTRY'!$M$4:$M$503))</f>
        <v/>
      </c>
      <c r="N32" t="str">
        <f>IF(L32="","",COUNTIF('PACKING ENTRY'!$B$4:$B$503,L32))</f>
        <v/>
      </c>
    </row>
    <row r="33" spans="1:14" ht="16.5" customHeight="1">
      <c r="A33" s="27" t="s">
        <v>467</v>
      </c>
      <c r="B33" s="27" t="s">
        <v>91</v>
      </c>
      <c r="C33" s="27" t="s">
        <v>264</v>
      </c>
      <c r="D33" t="str">
        <f ca="1">IFERROR(INDEX('PACKING ENTRY'!$F$4:$F$503,MATCH(0,COUNTIF($D$3:D32,'PACKING ENTRY'!$F$4:$F$503)+('PACKING ENTRY'!$F$4:$F$503=""),0)),"")</f>
        <v/>
      </c>
      <c r="E33" t="str">
        <f ca="1">IF(D33="","",SUMIF('PACKING ENTRY'!$F$4:$F$503,D33,'PACKING ENTRY'!$M$4:$M$503))</f>
        <v/>
      </c>
      <c r="F33" t="str">
        <f ca="1">IF(D33="","",COUNTIF('PACKING ENTRY'!$F$4:$F$503,D33))</f>
        <v/>
      </c>
      <c r="H33" t="str">
        <f>IFERROR(INDEX('PACKING ENTRY'!$G$4:$K$503,MATCH(0,COUNTIF($H$3:H32,'PACKING ENTRY'!$G$4:$K$503)+('PACKING ENTRY'!$G$4:$K$503=""),0)),"")</f>
        <v/>
      </c>
      <c r="I33" t="str">
        <f>IF(H33="","",SUMIF('PACKING ENTRY'!$G$4:$K$503,H33,'PACKING ENTRY'!$H$4:$L$503))</f>
        <v/>
      </c>
      <c r="J33" t="str">
        <f>IF(H33="","",COUNTIF('PACKING ENTRY'!$G$4:$K$503,H33))</f>
        <v/>
      </c>
      <c r="L33" t="str">
        <f>IFERROR(INDEX('PACKING ENTRY'!$B$4:$B$503,MATCH(0,COUNTIF($L$3:L32,'PACKING ENTRY'!$B$4:$B$503)+('PACKING ENTRY'!$B$4:$B$503=""),0)),"")</f>
        <v/>
      </c>
      <c r="M33" t="str">
        <f>IF(L33="","",SUMIF('PACKING ENTRY'!$B$4:$B$503,L33,'PACKING ENTRY'!$M$4:$M$503))</f>
        <v/>
      </c>
      <c r="N33" t="str">
        <f>IF(L33="","",COUNTIF('PACKING ENTRY'!$B$4:$B$503,L33))</f>
        <v/>
      </c>
    </row>
    <row r="34" spans="1:14" ht="15" customHeight="1">
      <c r="A34" s="33" t="str">
        <f ca="1">TEXT(NOW()-2,"dd-mmm-yy")</f>
        <v>02-Jul-26</v>
      </c>
      <c r="B34" s="33">
        <v>4901873568</v>
      </c>
      <c r="C34" s="35">
        <v>22</v>
      </c>
      <c r="D34" t="str">
        <f ca="1">IFERROR(INDEX('PACKING ENTRY'!$F$4:$F$503,MATCH(0,COUNTIF($D$3:D33,'PACKING ENTRY'!$F$4:$F$503)+('PACKING ENTRY'!$F$4:$F$503=""),0)),"")</f>
        <v/>
      </c>
      <c r="E34" t="str">
        <f ca="1">IF(D34="","",SUMIF('PACKING ENTRY'!$F$4:$F$503,D34,'PACKING ENTRY'!$M$4:$M$503))</f>
        <v/>
      </c>
      <c r="F34" t="str">
        <f ca="1">IF(D34="","",COUNTIF('PACKING ENTRY'!$F$4:$F$503,D34))</f>
        <v/>
      </c>
      <c r="H34" t="str">
        <f>IFERROR(INDEX('PACKING ENTRY'!$G$4:$K$503,MATCH(0,COUNTIF($H$3:H33,'PACKING ENTRY'!$G$4:$K$503)+('PACKING ENTRY'!$G$4:$K$503=""),0)),"")</f>
        <v/>
      </c>
      <c r="I34" t="str">
        <f>IF(H34="","",SUMIF('PACKING ENTRY'!$G$4:$K$503,H34,'PACKING ENTRY'!$H$4:$L$503))</f>
        <v/>
      </c>
      <c r="J34" t="str">
        <f>IF(H34="","",COUNTIF('PACKING ENTRY'!$G$4:$K$503,H34))</f>
        <v/>
      </c>
      <c r="L34" t="str">
        <f>IFERROR(INDEX('PACKING ENTRY'!$B$4:$B$503,MATCH(0,COUNTIF($L$3:L33,'PACKING ENTRY'!$B$4:$B$503)+('PACKING ENTRY'!$B$4:$B$503=""),0)),"")</f>
        <v/>
      </c>
      <c r="M34" t="str">
        <f>IF(L34="","",SUMIF('PACKING ENTRY'!$B$4:$B$503,L34,'PACKING ENTRY'!$M$4:$M$503))</f>
        <v/>
      </c>
      <c r="N34" t="str">
        <f>IF(L34="","",COUNTIF('PACKING ENTRY'!$B$4:$B$503,L34))</f>
        <v/>
      </c>
    </row>
    <row r="35" spans="1:14" ht="15" customHeight="1">
      <c r="A35" s="34" t="str">
        <f ca="1">TEXT(NOW()-1,"dd-mmm-yy")</f>
        <v>03-Jul-26</v>
      </c>
      <c r="B35" s="34">
        <v>4901893257</v>
      </c>
      <c r="C35" s="36">
        <v>18</v>
      </c>
      <c r="D35" t="str">
        <f ca="1">IFERROR(INDEX('PACKING ENTRY'!$F$4:$F$503,MATCH(0,COUNTIF($D$3:D34,'PACKING ENTRY'!$F$4:$F$503)+('PACKING ENTRY'!$F$4:$F$503=""),0)),"")</f>
        <v/>
      </c>
      <c r="E35" t="str">
        <f ca="1">IF(D35="","",SUMIF('PACKING ENTRY'!$F$4:$F$503,D35,'PACKING ENTRY'!$M$4:$M$503))</f>
        <v/>
      </c>
      <c r="F35" t="str">
        <f ca="1">IF(D35="","",COUNTIF('PACKING ENTRY'!$F$4:$F$503,D35))</f>
        <v/>
      </c>
      <c r="H35" t="str">
        <f>IFERROR(INDEX('PACKING ENTRY'!$G$4:$K$503,MATCH(0,COUNTIF($H$3:H34,'PACKING ENTRY'!$G$4:$K$503)+('PACKING ENTRY'!$G$4:$K$503=""),0)),"")</f>
        <v/>
      </c>
      <c r="I35" t="str">
        <f>IF(H35="","",SUMIF('PACKING ENTRY'!$G$4:$K$503,H35,'PACKING ENTRY'!$H$4:$L$503))</f>
        <v/>
      </c>
      <c r="J35" t="str">
        <f>IF(H35="","",COUNTIF('PACKING ENTRY'!$G$4:$K$503,H35))</f>
        <v/>
      </c>
      <c r="L35" t="str">
        <f>IFERROR(INDEX('PACKING ENTRY'!$B$4:$B$503,MATCH(0,COUNTIF($L$3:L34,'PACKING ENTRY'!$B$4:$B$503)+('PACKING ENTRY'!$B$4:$B$503=""),0)),"")</f>
        <v/>
      </c>
      <c r="M35" t="str">
        <f>IF(L35="","",SUMIF('PACKING ENTRY'!$B$4:$B$503,L35,'PACKING ENTRY'!$M$4:$M$503))</f>
        <v/>
      </c>
      <c r="N35" t="str">
        <f>IF(L35="","",COUNTIF('PACKING ENTRY'!$B$4:$B$503,L35))</f>
        <v/>
      </c>
    </row>
    <row r="36" spans="1:14" ht="15" customHeight="1">
      <c r="A36" s="33" t="str">
        <f ca="1">TEXT(NOW(),"dd-mmm-yy")</f>
        <v>04-Jul-26</v>
      </c>
      <c r="B36" s="33">
        <v>4901893300</v>
      </c>
      <c r="C36" s="35">
        <v>35</v>
      </c>
      <c r="D36" t="str">
        <f ca="1">IFERROR(INDEX('PACKING ENTRY'!$F$4:$F$503,MATCH(0,COUNTIF($D$3:D35,'PACKING ENTRY'!$F$4:$F$503)+('PACKING ENTRY'!$F$4:$F$503=""),0)),"")</f>
        <v/>
      </c>
      <c r="E36" t="str">
        <f ca="1">IF(D36="","",SUMIF('PACKING ENTRY'!$F$4:$F$503,D36,'PACKING ENTRY'!$M$4:$M$503))</f>
        <v/>
      </c>
      <c r="F36" t="str">
        <f ca="1">IF(D36="","",COUNTIF('PACKING ENTRY'!$F$4:$F$503,D36))</f>
        <v/>
      </c>
      <c r="H36" t="str">
        <f>IFERROR(INDEX('PACKING ENTRY'!$G$4:$K$503,MATCH(0,COUNTIF($H$3:H35,'PACKING ENTRY'!$G$4:$K$503)+('PACKING ENTRY'!$G$4:$K$503=""),0)),"")</f>
        <v/>
      </c>
      <c r="I36" t="str">
        <f>IF(H36="","",SUMIF('PACKING ENTRY'!$G$4:$K$503,H36,'PACKING ENTRY'!$H$4:$L$503))</f>
        <v/>
      </c>
      <c r="J36" t="str">
        <f>IF(H36="","",COUNTIF('PACKING ENTRY'!$G$4:$K$503,H36))</f>
        <v/>
      </c>
      <c r="L36" t="str">
        <f>IFERROR(INDEX('PACKING ENTRY'!$B$4:$B$503,MATCH(0,COUNTIF($L$3:L35,'PACKING ENTRY'!$B$4:$B$503)+('PACKING ENTRY'!$B$4:$B$503=""),0)),"")</f>
        <v/>
      </c>
      <c r="M36" t="str">
        <f>IF(L36="","",SUMIF('PACKING ENTRY'!$B$4:$B$503,L36,'PACKING ENTRY'!$M$4:$M$503))</f>
        <v/>
      </c>
      <c r="N36" t="str">
        <f>IF(L36="","",COUNTIF('PACKING ENTRY'!$B$4:$B$503,L36))</f>
        <v/>
      </c>
    </row>
    <row r="37" spans="1:14" ht="15" customHeight="1">
      <c r="A37" s="34"/>
      <c r="B37" s="34"/>
      <c r="C37" s="36"/>
      <c r="D37" t="str">
        <f ca="1">IFERROR(INDEX('PACKING ENTRY'!$F$4:$F$503,MATCH(0,COUNTIF($D$3:D36,'PACKING ENTRY'!$F$4:$F$503)+('PACKING ENTRY'!$F$4:$F$503=""),0)),"")</f>
        <v/>
      </c>
      <c r="E37" t="str">
        <f ca="1">IF(D37="","",SUMIF('PACKING ENTRY'!$F$4:$F$503,D37,'PACKING ENTRY'!$M$4:$M$503))</f>
        <v/>
      </c>
      <c r="F37" t="str">
        <f ca="1">IF(D37="","",COUNTIF('PACKING ENTRY'!$F$4:$F$503,D37))</f>
        <v/>
      </c>
      <c r="H37" t="str">
        <f>IFERROR(INDEX('PACKING ENTRY'!$G$4:$K$503,MATCH(0,COUNTIF($H$3:H36,'PACKING ENTRY'!$G$4:$K$503)+('PACKING ENTRY'!$G$4:$K$503=""),0)),"")</f>
        <v/>
      </c>
      <c r="I37" t="str">
        <f>IF(H37="","",SUMIF('PACKING ENTRY'!$G$4:$K$503,H37,'PACKING ENTRY'!$H$4:$L$503))</f>
        <v/>
      </c>
      <c r="J37" t="str">
        <f>IF(H37="","",COUNTIF('PACKING ENTRY'!$G$4:$K$503,H37))</f>
        <v/>
      </c>
      <c r="L37" t="str">
        <f>IFERROR(INDEX('PACKING ENTRY'!$B$4:$B$503,MATCH(0,COUNTIF($L$3:L36,'PACKING ENTRY'!$B$4:$B$503)+('PACKING ENTRY'!$B$4:$B$503=""),0)),"")</f>
        <v/>
      </c>
      <c r="M37" t="str">
        <f>IF(L37="","",SUMIF('PACKING ENTRY'!$B$4:$B$503,L37,'PACKING ENTRY'!$M$4:$M$503))</f>
        <v/>
      </c>
      <c r="N37" t="str">
        <f>IF(L37="","",COUNTIF('PACKING ENTRY'!$B$4:$B$503,L37))</f>
        <v/>
      </c>
    </row>
    <row r="38" spans="1:14" ht="15" customHeight="1">
      <c r="A38" s="33"/>
      <c r="B38" s="33"/>
      <c r="C38" s="35"/>
      <c r="D38" t="str">
        <f ca="1">IFERROR(INDEX('PACKING ENTRY'!$F$4:$F$503,MATCH(0,COUNTIF($D$3:D37,'PACKING ENTRY'!$F$4:$F$503)+('PACKING ENTRY'!$F$4:$F$503=""),0)),"")</f>
        <v/>
      </c>
      <c r="E38" t="str">
        <f ca="1">IF(D38="","",SUMIF('PACKING ENTRY'!$F$4:$F$503,D38,'PACKING ENTRY'!$M$4:$M$503))</f>
        <v/>
      </c>
      <c r="F38" t="str">
        <f ca="1">IF(D38="","",COUNTIF('PACKING ENTRY'!$F$4:$F$503,D38))</f>
        <v/>
      </c>
      <c r="H38" t="str">
        <f>IFERROR(INDEX('PACKING ENTRY'!$G$4:$K$503,MATCH(0,COUNTIF($H$3:H37,'PACKING ENTRY'!$G$4:$K$503)+('PACKING ENTRY'!$G$4:$K$503=""),0)),"")</f>
        <v/>
      </c>
      <c r="I38" t="str">
        <f>IF(H38="","",SUMIF('PACKING ENTRY'!$G$4:$K$503,H38,'PACKING ENTRY'!$H$4:$L$503))</f>
        <v/>
      </c>
      <c r="J38" t="str">
        <f>IF(H38="","",COUNTIF('PACKING ENTRY'!$G$4:$K$503,H38))</f>
        <v/>
      </c>
      <c r="L38" t="str">
        <f>IFERROR(INDEX('PACKING ENTRY'!$B$4:$B$503,MATCH(0,COUNTIF($L$3:L37,'PACKING ENTRY'!$B$4:$B$503)+('PACKING ENTRY'!$B$4:$B$503=""),0)),"")</f>
        <v/>
      </c>
      <c r="M38" t="str">
        <f>IF(L38="","",SUMIF('PACKING ENTRY'!$B$4:$B$503,L38,'PACKING ENTRY'!$M$4:$M$503))</f>
        <v/>
      </c>
      <c r="N38" t="str">
        <f>IF(L38="","",COUNTIF('PACKING ENTRY'!$B$4:$B$503,L38))</f>
        <v/>
      </c>
    </row>
    <row r="39" spans="1:14" ht="15" customHeight="1">
      <c r="A39" s="34"/>
      <c r="B39" s="34"/>
      <c r="C39" s="36"/>
      <c r="D39" t="str">
        <f ca="1">IFERROR(INDEX('PACKING ENTRY'!$F$4:$F$503,MATCH(0,COUNTIF($D$3:D38,'PACKING ENTRY'!$F$4:$F$503)+('PACKING ENTRY'!$F$4:$F$503=""),0)),"")</f>
        <v/>
      </c>
      <c r="E39" t="str">
        <f ca="1">IF(D39="","",SUMIF('PACKING ENTRY'!$F$4:$F$503,D39,'PACKING ENTRY'!$M$4:$M$503))</f>
        <v/>
      </c>
      <c r="F39" t="str">
        <f ca="1">IF(D39="","",COUNTIF('PACKING ENTRY'!$F$4:$F$503,D39))</f>
        <v/>
      </c>
      <c r="H39" t="str">
        <f>IFERROR(INDEX('PACKING ENTRY'!$G$4:$K$503,MATCH(0,COUNTIF($H$3:H38,'PACKING ENTRY'!$G$4:$K$503)+('PACKING ENTRY'!$G$4:$K$503=""),0)),"")</f>
        <v/>
      </c>
      <c r="I39" t="str">
        <f>IF(H39="","",SUMIF('PACKING ENTRY'!$G$4:$K$503,H39,'PACKING ENTRY'!$H$4:$L$503))</f>
        <v/>
      </c>
      <c r="J39" t="str">
        <f>IF(H39="","",COUNTIF('PACKING ENTRY'!$G$4:$K$503,H39))</f>
        <v/>
      </c>
      <c r="L39" t="str">
        <f>IFERROR(INDEX('PACKING ENTRY'!$B$4:$B$503,MATCH(0,COUNTIF($L$3:L38,'PACKING ENTRY'!$B$4:$B$503)+('PACKING ENTRY'!$B$4:$B$503=""),0)),"")</f>
        <v/>
      </c>
      <c r="M39" t="str">
        <f>IF(L39="","",SUMIF('PACKING ENTRY'!$B$4:$B$503,L39,'PACKING ENTRY'!$M$4:$M$503))</f>
        <v/>
      </c>
      <c r="N39" t="str">
        <f>IF(L39="","",COUNTIF('PACKING ENTRY'!$B$4:$B$503,L39))</f>
        <v/>
      </c>
    </row>
    <row r="40" spans="1:14" ht="15" customHeight="1">
      <c r="A40" s="33"/>
      <c r="B40" s="33"/>
      <c r="C40" s="35"/>
      <c r="D40" t="str">
        <f ca="1">IFERROR(INDEX('PACKING ENTRY'!$F$4:$F$503,MATCH(0,COUNTIF($D$3:D39,'PACKING ENTRY'!$F$4:$F$503)+('PACKING ENTRY'!$F$4:$F$503=""),0)),"")</f>
        <v/>
      </c>
      <c r="E40" t="str">
        <f ca="1">IF(D40="","",SUMIF('PACKING ENTRY'!$F$4:$F$503,D40,'PACKING ENTRY'!$M$4:$M$503))</f>
        <v/>
      </c>
      <c r="F40" t="str">
        <f ca="1">IF(D40="","",COUNTIF('PACKING ENTRY'!$F$4:$F$503,D40))</f>
        <v/>
      </c>
      <c r="H40" t="str">
        <f>IFERROR(INDEX('PACKING ENTRY'!$G$4:$K$503,MATCH(0,COUNTIF($H$3:H39,'PACKING ENTRY'!$G$4:$K$503)+('PACKING ENTRY'!$G$4:$K$503=""),0)),"")</f>
        <v/>
      </c>
      <c r="I40" t="str">
        <f>IF(H40="","",SUMIF('PACKING ENTRY'!$G$4:$K$503,H40,'PACKING ENTRY'!$H$4:$L$503))</f>
        <v/>
      </c>
      <c r="J40" t="str">
        <f>IF(H40="","",COUNTIF('PACKING ENTRY'!$G$4:$K$503,H40))</f>
        <v/>
      </c>
      <c r="L40" t="str">
        <f>IFERROR(INDEX('PACKING ENTRY'!$B$4:$B$503,MATCH(0,COUNTIF($L$3:L39,'PACKING ENTRY'!$B$4:$B$503)+('PACKING ENTRY'!$B$4:$B$503=""),0)),"")</f>
        <v/>
      </c>
      <c r="M40" t="str">
        <f>IF(L40="","",SUMIF('PACKING ENTRY'!$B$4:$B$503,L40,'PACKING ENTRY'!$M$4:$M$503))</f>
        <v/>
      </c>
      <c r="N40" t="str">
        <f>IF(L40="","",COUNTIF('PACKING ENTRY'!$B$4:$B$503,L40))</f>
        <v/>
      </c>
    </row>
  </sheetData>
  <sheetProtection algorithmName="SHA-512" hashValue="GUpx3Ttst4RXtFRD1vx0CPgfFkQ9bqmxM3LL3KhiA6hwL1nn4FOqJRee1tVRD+UvB2JuQABT7Ix/ElpzHuP5yw==" saltValue="QbpwpCvLMi+cKD2UP4B0Ew==" spinCount="100000" sheet="1" objects="1" formatCells="0" formatColumns="0" formatRows="0" insertColumns="0" insertRows="0" insertHyperlinks="0" deleteColumns="0" deleteRows="0" sort="0" autoFilter="0" pivotTables="0"/>
  <mergeCells count="11">
    <mergeCell ref="A1:C1"/>
    <mergeCell ref="D1:N1"/>
    <mergeCell ref="A2:C2"/>
    <mergeCell ref="D2:N2"/>
    <mergeCell ref="A4:C4"/>
    <mergeCell ref="A32:C32"/>
    <mergeCell ref="A15:C15"/>
    <mergeCell ref="A16:C16"/>
    <mergeCell ref="B17:C17"/>
    <mergeCell ref="A19:C19"/>
    <mergeCell ref="A20:C20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24"/>
  <sheetViews>
    <sheetView workbookViewId="0">
      <pane ySplit="1" topLeftCell="A2" activePane="bottomLeft" state="frozen"/>
      <selection pane="bottomLeft" activeCell="B7" sqref="B7:D7"/>
    </sheetView>
  </sheetViews>
  <sheetFormatPr defaultColWidth="8.85546875" defaultRowHeight="14.45" customHeight="1"/>
  <cols>
    <col min="1" max="19" width="22.28515625" customWidth="1"/>
  </cols>
  <sheetData>
    <row r="1" spans="1:14" ht="6" customHeight="1">
      <c r="A1" s="372"/>
      <c r="B1" s="333"/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</row>
    <row r="2" spans="1:14" ht="33.75" customHeight="1">
      <c r="B2" s="373" t="s">
        <v>468</v>
      </c>
      <c r="C2" s="333"/>
      <c r="D2" s="333"/>
      <c r="E2" s="333"/>
      <c r="F2" s="333"/>
      <c r="G2" s="333"/>
      <c r="H2" s="333"/>
      <c r="I2" s="333"/>
      <c r="J2" s="333"/>
    </row>
    <row r="3" spans="1:14" ht="6" customHeight="1">
      <c r="A3" s="374"/>
      <c r="B3" s="369"/>
      <c r="C3" s="374"/>
      <c r="D3" s="369"/>
      <c r="E3" s="374"/>
      <c r="F3" s="369"/>
      <c r="G3" s="374"/>
      <c r="H3" s="369"/>
      <c r="I3" s="374"/>
      <c r="J3" s="369"/>
      <c r="K3" s="374"/>
      <c r="L3" s="369"/>
    </row>
    <row r="4" spans="1:14" ht="22.5" customHeight="1">
      <c r="A4" s="367"/>
      <c r="B4" s="368" t="s">
        <v>469</v>
      </c>
      <c r="C4" s="367"/>
      <c r="D4" s="369"/>
      <c r="E4" s="367"/>
      <c r="F4" s="369"/>
      <c r="G4" s="370"/>
      <c r="H4" s="371"/>
      <c r="I4" s="367"/>
      <c r="J4" s="369"/>
      <c r="K4" s="358"/>
      <c r="L4" s="359"/>
    </row>
    <row r="5" spans="1:14" ht="41.25" customHeight="1">
      <c r="B5" s="360" t="s">
        <v>470</v>
      </c>
      <c r="C5" s="333"/>
      <c r="D5" s="333"/>
      <c r="E5" s="361" t="s">
        <v>471</v>
      </c>
      <c r="F5" s="333"/>
      <c r="G5" s="333"/>
      <c r="H5" s="362" t="s">
        <v>472</v>
      </c>
      <c r="I5" s="333"/>
      <c r="J5" s="333"/>
    </row>
    <row r="6" spans="1:14" ht="11.25" customHeight="1"/>
    <row r="7" spans="1:14" ht="41.25" customHeight="1">
      <c r="A7" s="1"/>
      <c r="B7" s="363" t="s">
        <v>473</v>
      </c>
      <c r="C7" s="364"/>
      <c r="D7" s="333"/>
      <c r="E7" s="365" t="s">
        <v>474</v>
      </c>
      <c r="F7" s="364"/>
      <c r="G7" s="364"/>
      <c r="H7" s="366" t="s">
        <v>475</v>
      </c>
      <c r="I7" s="364"/>
      <c r="J7" s="364"/>
      <c r="K7" s="1"/>
    </row>
    <row r="8" spans="1:14" ht="11.25" customHeight="1"/>
    <row r="9" spans="1:14" ht="41.25" customHeight="1">
      <c r="B9" s="353" t="s">
        <v>476</v>
      </c>
      <c r="C9" s="333"/>
      <c r="D9" s="333"/>
      <c r="E9" s="354" t="s">
        <v>477</v>
      </c>
      <c r="F9" s="333"/>
      <c r="G9" s="333"/>
      <c r="H9" s="355" t="s">
        <v>478</v>
      </c>
      <c r="I9" s="333"/>
      <c r="J9" s="333"/>
    </row>
    <row r="10" spans="1:14" ht="11.25" customHeight="1"/>
    <row r="11" spans="1:14" ht="18.75" customHeight="1">
      <c r="B11" s="356" t="s">
        <v>479</v>
      </c>
      <c r="C11" s="333"/>
      <c r="D11" s="333"/>
      <c r="E11" s="333"/>
      <c r="F11" s="333"/>
      <c r="G11" s="333"/>
      <c r="H11" s="333"/>
      <c r="I11" s="333"/>
      <c r="J11" s="333"/>
    </row>
    <row r="12" spans="1:14" ht="16.5" customHeight="1">
      <c r="B12" s="21" t="s">
        <v>113</v>
      </c>
      <c r="C12" s="21" t="s">
        <v>480</v>
      </c>
      <c r="D12" s="21" t="s">
        <v>422</v>
      </c>
      <c r="E12" s="21" t="s">
        <v>424</v>
      </c>
      <c r="F12" s="21" t="s">
        <v>264</v>
      </c>
      <c r="G12" s="21" t="s">
        <v>481</v>
      </c>
      <c r="H12" s="21" t="s">
        <v>213</v>
      </c>
      <c r="I12" s="21" t="s">
        <v>301</v>
      </c>
      <c r="J12" s="21" t="s">
        <v>482</v>
      </c>
    </row>
    <row r="13" spans="1:14" ht="24" customHeight="1">
      <c r="B13" s="22">
        <f>COUNTA('PRODUCTION ORDER'!A2:A74)</f>
        <v>15</v>
      </c>
      <c r="C13" s="22">
        <f>IFERROR(SUMMARY!B3,0)</f>
        <v>0</v>
      </c>
      <c r="D13" s="22">
        <f>IFERROR(SUMMARY!B4,0)</f>
        <v>0</v>
      </c>
      <c r="E13" s="22" t="str">
        <f>IFERROR(SUMMARY!B5,0)</f>
        <v>Value</v>
      </c>
      <c r="F13" s="22">
        <f ca="1">IFERROR(SUMMARY!B6,0)</f>
        <v>5</v>
      </c>
      <c r="G13" s="23">
        <f>IFERROR(SUMMARY!B7,0)</f>
        <v>0</v>
      </c>
      <c r="H13" s="24">
        <f>IFERROR(SUMMARY!B8,0)</f>
        <v>0</v>
      </c>
      <c r="I13" s="25">
        <f>IFERROR(SUMMARY!B11,"Ready")</f>
        <v>0</v>
      </c>
      <c r="J13" s="25" t="str">
        <f ca="1">TEXT(NOW(),"dd-mmm-yy hh:mm")</f>
        <v>04-Jul-26 00:49</v>
      </c>
    </row>
    <row r="14" spans="1:14" ht="6" customHeight="1"/>
    <row r="15" spans="1:14" ht="6" customHeight="1"/>
    <row r="16" spans="1:14" ht="14.45" customHeight="1">
      <c r="B16" s="357" t="s">
        <v>483</v>
      </c>
      <c r="C16" s="333"/>
      <c r="D16" s="333"/>
      <c r="E16" s="333"/>
      <c r="F16" s="333"/>
      <c r="G16" s="333"/>
      <c r="H16" s="333"/>
      <c r="I16" s="333"/>
      <c r="J16" s="333"/>
    </row>
    <row r="17" spans="2:10" ht="14.45" customHeight="1">
      <c r="B17" s="352" t="s">
        <v>484</v>
      </c>
      <c r="C17" s="333"/>
      <c r="D17" s="333"/>
      <c r="E17" s="333"/>
      <c r="F17" s="333"/>
      <c r="G17" s="333"/>
      <c r="H17" s="333"/>
      <c r="I17" s="333"/>
      <c r="J17" s="333"/>
    </row>
    <row r="18" spans="2:10" s="239" customFormat="1" ht="15" customHeight="1">
      <c r="B18" s="240" t="s">
        <v>485</v>
      </c>
      <c r="C18" s="350" t="s">
        <v>486</v>
      </c>
      <c r="D18" s="351"/>
      <c r="E18" s="351"/>
      <c r="F18" s="351"/>
      <c r="G18" s="351"/>
      <c r="H18" s="351"/>
      <c r="I18" s="351"/>
      <c r="J18" s="351"/>
    </row>
    <row r="19" spans="2:10" s="239" customFormat="1" ht="15" customHeight="1">
      <c r="B19" s="240" t="s">
        <v>487</v>
      </c>
      <c r="C19" s="350" t="s">
        <v>488</v>
      </c>
      <c r="D19" s="351"/>
      <c r="E19" s="351"/>
      <c r="F19" s="351"/>
      <c r="G19" s="351"/>
      <c r="H19" s="351"/>
      <c r="I19" s="351"/>
      <c r="J19" s="351"/>
    </row>
    <row r="20" spans="2:10" s="239" customFormat="1" ht="15" customHeight="1">
      <c r="B20" s="240" t="s">
        <v>489</v>
      </c>
      <c r="C20" s="350" t="s">
        <v>490</v>
      </c>
      <c r="D20" s="351"/>
      <c r="E20" s="351"/>
      <c r="F20" s="351"/>
      <c r="G20" s="351"/>
      <c r="H20" s="351"/>
      <c r="I20" s="351"/>
      <c r="J20" s="351"/>
    </row>
    <row r="21" spans="2:10" s="239" customFormat="1" ht="15" customHeight="1">
      <c r="B21" s="240" t="s">
        <v>491</v>
      </c>
      <c r="C21" s="350" t="s">
        <v>492</v>
      </c>
      <c r="D21" s="351"/>
      <c r="E21" s="351"/>
      <c r="F21" s="351"/>
      <c r="G21" s="351"/>
      <c r="H21" s="351"/>
      <c r="I21" s="351"/>
      <c r="J21" s="351"/>
    </row>
    <row r="22" spans="2:10" s="239" customFormat="1" ht="15" customHeight="1">
      <c r="B22" s="240" t="s">
        <v>369</v>
      </c>
      <c r="C22" s="350" t="s">
        <v>493</v>
      </c>
      <c r="D22" s="351"/>
      <c r="E22" s="351"/>
      <c r="F22" s="351"/>
      <c r="G22" s="351"/>
      <c r="H22" s="351"/>
      <c r="I22" s="351"/>
      <c r="J22" s="351"/>
    </row>
    <row r="23" spans="2:10" s="239" customFormat="1" ht="15" customHeight="1">
      <c r="B23" s="240" t="s">
        <v>494</v>
      </c>
      <c r="C23" s="350" t="s">
        <v>495</v>
      </c>
      <c r="D23" s="351"/>
      <c r="E23" s="351"/>
      <c r="F23" s="351"/>
      <c r="G23" s="351"/>
      <c r="H23" s="351"/>
      <c r="I23" s="351"/>
      <c r="J23" s="351"/>
    </row>
    <row r="24" spans="2:10" s="239" customFormat="1" ht="15" customHeight="1">
      <c r="B24" s="240" t="s">
        <v>496</v>
      </c>
      <c r="C24" s="350" t="s">
        <v>497</v>
      </c>
      <c r="D24" s="351"/>
      <c r="E24" s="351"/>
      <c r="F24" s="351"/>
      <c r="G24" s="351"/>
      <c r="H24" s="351"/>
      <c r="I24" s="351"/>
      <c r="J24" s="351"/>
    </row>
  </sheetData>
  <sheetProtection formatCells="0" formatColumns="0" formatRows="0" insertColumns="0" insertRows="0" insertHyperlinks="0" deleteColumns="0" deleteRows="0" sort="0" autoFilter="0" pivotTables="0"/>
  <mergeCells count="33">
    <mergeCell ref="A1:N1"/>
    <mergeCell ref="B2:J2"/>
    <mergeCell ref="A3:B3"/>
    <mergeCell ref="C3:D3"/>
    <mergeCell ref="E3:F3"/>
    <mergeCell ref="G3:H3"/>
    <mergeCell ref="I3:J3"/>
    <mergeCell ref="K3:L3"/>
    <mergeCell ref="K4:L4"/>
    <mergeCell ref="B5:D5"/>
    <mergeCell ref="E5:G5"/>
    <mergeCell ref="H5:J5"/>
    <mergeCell ref="B7:D7"/>
    <mergeCell ref="E7:G7"/>
    <mergeCell ref="H7:J7"/>
    <mergeCell ref="A4:B4"/>
    <mergeCell ref="C4:D4"/>
    <mergeCell ref="E4:F4"/>
    <mergeCell ref="G4:H4"/>
    <mergeCell ref="I4:J4"/>
    <mergeCell ref="B9:D9"/>
    <mergeCell ref="E9:G9"/>
    <mergeCell ref="H9:J9"/>
    <mergeCell ref="B11:J11"/>
    <mergeCell ref="B16:J16"/>
    <mergeCell ref="C22:J22"/>
    <mergeCell ref="C23:J23"/>
    <mergeCell ref="C24:J24"/>
    <mergeCell ref="B17:J17"/>
    <mergeCell ref="C18:J18"/>
    <mergeCell ref="C19:J19"/>
    <mergeCell ref="C20:J20"/>
    <mergeCell ref="C21:J21"/>
  </mergeCells>
  <pageMargins left="0.75" right="0.75" top="1" bottom="1" header="0.5" footer="0.5"/>
  <pageSetup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65"/>
  <sheetViews>
    <sheetView tabSelected="1" workbookViewId="0">
      <pane xSplit="1" ySplit="3" topLeftCell="B26" activePane="bottomRight" state="frozen"/>
      <selection pane="topRight"/>
      <selection pane="bottomLeft"/>
      <selection pane="bottomRight" activeCell="D69" sqref="D69"/>
    </sheetView>
  </sheetViews>
  <sheetFormatPr defaultColWidth="8.85546875" defaultRowHeight="14.45" customHeight="1"/>
  <cols>
    <col min="1" max="1" width="3.42578125" customWidth="1"/>
    <col min="2" max="2" width="31.140625" customWidth="1"/>
    <col min="3" max="3" width="68.42578125" customWidth="1"/>
    <col min="4" max="4" width="149.42578125" customWidth="1"/>
    <col min="5" max="5" width="54.28515625" customWidth="1"/>
    <col min="6" max="6" width="50.85546875" customWidth="1"/>
    <col min="7" max="7" width="3.42578125" customWidth="1"/>
  </cols>
  <sheetData>
    <row r="1" spans="1:6" ht="25.5" customHeight="1">
      <c r="A1" s="384"/>
      <c r="B1" s="385" t="s">
        <v>498</v>
      </c>
      <c r="C1" s="333"/>
      <c r="D1" s="333"/>
      <c r="E1" s="333"/>
    </row>
    <row r="2" spans="1:6" ht="16.5" customHeight="1">
      <c r="B2" s="379" t="s">
        <v>499</v>
      </c>
      <c r="C2" s="333"/>
      <c r="D2" s="333"/>
      <c r="E2" s="333"/>
      <c r="F2" s="333"/>
    </row>
    <row r="3" spans="1:6" ht="7.5" customHeight="1"/>
    <row r="4" spans="1:6" ht="18" customHeight="1">
      <c r="B4" s="386" t="s">
        <v>500</v>
      </c>
      <c r="C4" s="333"/>
      <c r="D4" s="333"/>
      <c r="E4" s="333"/>
      <c r="F4" s="333"/>
    </row>
    <row r="5" spans="1:6" ht="21" customHeight="1">
      <c r="A5" s="1"/>
      <c r="B5" s="2" t="s">
        <v>501</v>
      </c>
      <c r="C5" s="2" t="s">
        <v>502</v>
      </c>
      <c r="D5" s="2" t="s">
        <v>503</v>
      </c>
      <c r="E5" s="2" t="s">
        <v>504</v>
      </c>
      <c r="F5" s="2" t="s">
        <v>505</v>
      </c>
    </row>
    <row r="6" spans="1:6" ht="31.5" customHeight="1">
      <c r="B6" s="3" t="s">
        <v>506</v>
      </c>
      <c r="C6" s="4" t="s">
        <v>507</v>
      </c>
      <c r="D6" s="5" t="s">
        <v>508</v>
      </c>
      <c r="E6" s="6" t="s">
        <v>509</v>
      </c>
      <c r="F6" s="7" t="s">
        <v>510</v>
      </c>
    </row>
    <row r="7" spans="1:6" ht="31.5" customHeight="1">
      <c r="B7" s="3" t="s">
        <v>511</v>
      </c>
      <c r="C7" s="4" t="s">
        <v>512</v>
      </c>
      <c r="D7" s="5" t="s">
        <v>513</v>
      </c>
      <c r="E7" s="6" t="s">
        <v>514</v>
      </c>
      <c r="F7" s="7" t="s">
        <v>515</v>
      </c>
    </row>
    <row r="8" spans="1:6" ht="31.5" customHeight="1">
      <c r="B8" s="3" t="s">
        <v>516</v>
      </c>
      <c r="C8" s="4" t="s">
        <v>517</v>
      </c>
      <c r="D8" s="5" t="s">
        <v>518</v>
      </c>
      <c r="E8" s="6" t="s">
        <v>519</v>
      </c>
      <c r="F8" s="7" t="s">
        <v>520</v>
      </c>
    </row>
    <row r="9" spans="1:6" ht="31.5" customHeight="1">
      <c r="B9" s="3" t="s">
        <v>521</v>
      </c>
      <c r="C9" s="4" t="s">
        <v>522</v>
      </c>
      <c r="D9" s="5" t="s">
        <v>523</v>
      </c>
      <c r="E9" s="6" t="s">
        <v>524</v>
      </c>
      <c r="F9" s="7" t="s">
        <v>525</v>
      </c>
    </row>
    <row r="10" spans="1:6" ht="36" customHeight="1">
      <c r="B10" s="3" t="s">
        <v>526</v>
      </c>
      <c r="C10" s="4" t="s">
        <v>527</v>
      </c>
      <c r="D10" s="5" t="s">
        <v>528</v>
      </c>
      <c r="E10" s="6" t="s">
        <v>529</v>
      </c>
      <c r="F10" s="7" t="s">
        <v>530</v>
      </c>
    </row>
    <row r="11" spans="1:6" ht="31.5" customHeight="1">
      <c r="B11" s="3" t="s">
        <v>531</v>
      </c>
      <c r="C11" s="4" t="s">
        <v>532</v>
      </c>
      <c r="D11" s="5" t="s">
        <v>533</v>
      </c>
      <c r="E11" s="6" t="s">
        <v>534</v>
      </c>
      <c r="F11" s="7" t="s">
        <v>535</v>
      </c>
    </row>
    <row r="12" spans="1:6" ht="31.5" customHeight="1">
      <c r="B12" s="3" t="s">
        <v>536</v>
      </c>
      <c r="C12" s="4" t="s">
        <v>537</v>
      </c>
      <c r="D12" s="5" t="s">
        <v>538</v>
      </c>
      <c r="E12" s="6" t="s">
        <v>539</v>
      </c>
      <c r="F12" s="7" t="s">
        <v>510</v>
      </c>
    </row>
    <row r="13" spans="1:6" ht="31.5" customHeight="1">
      <c r="B13" s="3" t="s">
        <v>540</v>
      </c>
      <c r="C13" s="4" t="s">
        <v>541</v>
      </c>
      <c r="D13" s="5" t="s">
        <v>542</v>
      </c>
      <c r="E13" s="6" t="s">
        <v>543</v>
      </c>
      <c r="F13" s="7" t="s">
        <v>510</v>
      </c>
    </row>
    <row r="14" spans="1:6" ht="31.5" customHeight="1">
      <c r="B14" s="3" t="s">
        <v>544</v>
      </c>
      <c r="C14" s="4" t="s">
        <v>545</v>
      </c>
      <c r="D14" s="5" t="s">
        <v>546</v>
      </c>
      <c r="E14" s="6" t="s">
        <v>543</v>
      </c>
      <c r="F14" s="7" t="s">
        <v>510</v>
      </c>
    </row>
    <row r="15" spans="1:6" ht="7.5" customHeight="1"/>
    <row r="16" spans="1:6" ht="18" customHeight="1">
      <c r="B16" s="387" t="s">
        <v>547</v>
      </c>
      <c r="C16" s="333"/>
      <c r="D16" s="333"/>
      <c r="E16" s="333"/>
      <c r="F16" s="333"/>
    </row>
    <row r="17" spans="2:6" ht="19.5" customHeight="1">
      <c r="B17" s="2" t="s">
        <v>548</v>
      </c>
      <c r="C17" s="2" t="s">
        <v>549</v>
      </c>
      <c r="D17" s="2" t="s">
        <v>550</v>
      </c>
      <c r="E17" s="2" t="s">
        <v>551</v>
      </c>
      <c r="F17" s="2" t="s">
        <v>552</v>
      </c>
    </row>
    <row r="18" spans="2:6" ht="24" customHeight="1">
      <c r="B18" s="8" t="s">
        <v>553</v>
      </c>
      <c r="C18" s="9" t="s">
        <v>554</v>
      </c>
      <c r="D18" s="8" t="s">
        <v>555</v>
      </c>
      <c r="E18" s="10" t="s">
        <v>556</v>
      </c>
      <c r="F18" s="11" t="s">
        <v>557</v>
      </c>
    </row>
    <row r="19" spans="2:6" ht="24" customHeight="1">
      <c r="B19" s="8" t="s">
        <v>558</v>
      </c>
      <c r="C19" s="9" t="s">
        <v>559</v>
      </c>
      <c r="D19" s="8" t="s">
        <v>560</v>
      </c>
      <c r="E19" s="10" t="s">
        <v>561</v>
      </c>
      <c r="F19" s="11" t="s">
        <v>562</v>
      </c>
    </row>
    <row r="20" spans="2:6" ht="24" customHeight="1">
      <c r="B20" s="8" t="s">
        <v>563</v>
      </c>
      <c r="C20" s="9" t="s">
        <v>559</v>
      </c>
      <c r="D20" s="8" t="s">
        <v>564</v>
      </c>
      <c r="E20" s="10" t="s">
        <v>565</v>
      </c>
      <c r="F20" s="11" t="s">
        <v>566</v>
      </c>
    </row>
    <row r="21" spans="2:6" ht="24" customHeight="1">
      <c r="B21" s="8" t="s">
        <v>567</v>
      </c>
      <c r="C21" s="9" t="s">
        <v>568</v>
      </c>
      <c r="D21" s="8" t="s">
        <v>569</v>
      </c>
      <c r="E21" s="10" t="s">
        <v>570</v>
      </c>
      <c r="F21" s="11" t="s">
        <v>571</v>
      </c>
    </row>
    <row r="22" spans="2:6" ht="24" customHeight="1">
      <c r="B22" s="8" t="s">
        <v>572</v>
      </c>
      <c r="C22" s="9" t="s">
        <v>568</v>
      </c>
      <c r="D22" s="8" t="s">
        <v>573</v>
      </c>
      <c r="E22" s="10" t="s">
        <v>574</v>
      </c>
      <c r="F22" s="11" t="s">
        <v>575</v>
      </c>
    </row>
    <row r="23" spans="2:6" ht="24" customHeight="1">
      <c r="B23" s="8" t="s">
        <v>576</v>
      </c>
      <c r="C23" s="9" t="s">
        <v>568</v>
      </c>
      <c r="D23" s="8" t="s">
        <v>577</v>
      </c>
      <c r="E23" s="10" t="s">
        <v>578</v>
      </c>
      <c r="F23" s="11" t="s">
        <v>579</v>
      </c>
    </row>
    <row r="24" spans="2:6" ht="24" customHeight="1">
      <c r="B24" s="8" t="s">
        <v>580</v>
      </c>
      <c r="C24" s="9" t="s">
        <v>568</v>
      </c>
      <c r="D24" s="8" t="s">
        <v>581</v>
      </c>
      <c r="E24" s="10" t="s">
        <v>582</v>
      </c>
      <c r="F24" s="11" t="s">
        <v>583</v>
      </c>
    </row>
    <row r="25" spans="2:6" ht="7.5" customHeight="1"/>
    <row r="26" spans="2:6" ht="18" customHeight="1">
      <c r="B26" s="388" t="s">
        <v>584</v>
      </c>
      <c r="C26" s="333"/>
      <c r="D26" s="333"/>
      <c r="E26" s="333"/>
      <c r="F26" s="333"/>
    </row>
    <row r="27" spans="2:6" ht="19.5" customHeight="1">
      <c r="B27" s="2" t="s">
        <v>585</v>
      </c>
      <c r="C27" s="383" t="s">
        <v>586</v>
      </c>
      <c r="D27" s="333"/>
      <c r="E27" s="333"/>
      <c r="F27" s="333"/>
    </row>
    <row r="28" spans="2:6" ht="18" customHeight="1">
      <c r="B28" s="12">
        <v>1</v>
      </c>
      <c r="C28" s="376" t="s">
        <v>587</v>
      </c>
      <c r="D28" s="333"/>
      <c r="E28" s="333"/>
      <c r="F28" s="333"/>
    </row>
    <row r="29" spans="2:6" ht="18" customHeight="1">
      <c r="B29" s="12">
        <v>2</v>
      </c>
      <c r="C29" s="376" t="s">
        <v>588</v>
      </c>
      <c r="D29" s="333"/>
      <c r="E29" s="333"/>
      <c r="F29" s="333"/>
    </row>
    <row r="30" spans="2:6" ht="18" customHeight="1">
      <c r="B30" s="12">
        <v>3</v>
      </c>
      <c r="C30" s="376" t="s">
        <v>589</v>
      </c>
      <c r="D30" s="333"/>
      <c r="E30" s="333"/>
      <c r="F30" s="333"/>
    </row>
    <row r="31" spans="2:6" ht="18" customHeight="1">
      <c r="B31" s="12">
        <v>4</v>
      </c>
      <c r="C31" s="376" t="s">
        <v>590</v>
      </c>
      <c r="D31" s="333"/>
      <c r="E31" s="333"/>
      <c r="F31" s="333"/>
    </row>
    <row r="32" spans="2:6" ht="18" customHeight="1">
      <c r="B32" s="12">
        <v>5</v>
      </c>
      <c r="C32" s="376" t="s">
        <v>591</v>
      </c>
      <c r="D32" s="333"/>
      <c r="E32" s="333"/>
      <c r="F32" s="333"/>
    </row>
    <row r="33" spans="2:6" ht="18" customHeight="1">
      <c r="B33" s="12">
        <v>6</v>
      </c>
      <c r="C33" s="376" t="s">
        <v>592</v>
      </c>
      <c r="D33" s="333"/>
      <c r="E33" s="333"/>
      <c r="F33" s="333"/>
    </row>
    <row r="34" spans="2:6" ht="18" customHeight="1">
      <c r="B34" s="12">
        <v>7</v>
      </c>
      <c r="C34" s="376" t="s">
        <v>593</v>
      </c>
      <c r="D34" s="333"/>
      <c r="E34" s="333"/>
      <c r="F34" s="333"/>
    </row>
    <row r="35" spans="2:6" ht="18" customHeight="1">
      <c r="B35" s="12">
        <v>8</v>
      </c>
      <c r="C35" s="376" t="s">
        <v>594</v>
      </c>
      <c r="D35" s="333"/>
      <c r="E35" s="333"/>
      <c r="F35" s="333"/>
    </row>
    <row r="36" spans="2:6" ht="18" customHeight="1">
      <c r="B36" s="12">
        <v>9</v>
      </c>
      <c r="C36" s="376" t="s">
        <v>595</v>
      </c>
      <c r="D36" s="333"/>
      <c r="E36" s="333"/>
      <c r="F36" s="333"/>
    </row>
    <row r="37" spans="2:6" ht="7.5" customHeight="1"/>
    <row r="38" spans="2:6" ht="18" customHeight="1">
      <c r="B38" s="381" t="s">
        <v>596</v>
      </c>
      <c r="C38" s="333"/>
      <c r="D38" s="333"/>
      <c r="E38" s="333"/>
      <c r="F38" s="333"/>
    </row>
    <row r="39" spans="2:6" ht="19.5" customHeight="1">
      <c r="B39" s="2" t="s">
        <v>597</v>
      </c>
      <c r="C39" s="2" t="s">
        <v>598</v>
      </c>
      <c r="D39" s="2" t="s">
        <v>599</v>
      </c>
      <c r="E39" s="2" t="s">
        <v>600</v>
      </c>
      <c r="F39" s="2" t="s">
        <v>601</v>
      </c>
    </row>
    <row r="40" spans="2:6" ht="19.5" customHeight="1">
      <c r="B40" s="14" t="s">
        <v>602</v>
      </c>
      <c r="C40" s="4" t="s">
        <v>603</v>
      </c>
      <c r="D40" s="15" t="s">
        <v>604</v>
      </c>
      <c r="E40" s="16" t="s">
        <v>605</v>
      </c>
      <c r="F40" s="17" t="s">
        <v>606</v>
      </c>
    </row>
    <row r="41" spans="2:6" ht="19.5" customHeight="1">
      <c r="B41" s="14" t="s">
        <v>607</v>
      </c>
      <c r="C41" s="4" t="s">
        <v>608</v>
      </c>
      <c r="D41" s="15" t="s">
        <v>609</v>
      </c>
      <c r="E41" s="16" t="s">
        <v>605</v>
      </c>
      <c r="F41" s="17" t="s">
        <v>610</v>
      </c>
    </row>
    <row r="42" spans="2:6" ht="19.5" customHeight="1">
      <c r="B42" s="14" t="s">
        <v>611</v>
      </c>
      <c r="C42" s="4" t="s">
        <v>612</v>
      </c>
      <c r="D42" s="15" t="s">
        <v>613</v>
      </c>
      <c r="E42" s="16" t="s">
        <v>605</v>
      </c>
      <c r="F42" s="17" t="s">
        <v>614</v>
      </c>
    </row>
    <row r="43" spans="2:6" ht="19.5" customHeight="1">
      <c r="B43" s="14" t="s">
        <v>615</v>
      </c>
      <c r="C43" s="4" t="s">
        <v>616</v>
      </c>
      <c r="D43" s="15" t="s">
        <v>617</v>
      </c>
      <c r="E43" s="16" t="s">
        <v>605</v>
      </c>
      <c r="F43" s="17" t="s">
        <v>618</v>
      </c>
    </row>
    <row r="44" spans="2:6" ht="19.5" customHeight="1">
      <c r="B44" s="14" t="s">
        <v>619</v>
      </c>
      <c r="C44" s="4" t="s">
        <v>620</v>
      </c>
      <c r="D44" s="15" t="s">
        <v>621</v>
      </c>
      <c r="E44" s="16" t="s">
        <v>622</v>
      </c>
      <c r="F44" s="17" t="s">
        <v>623</v>
      </c>
    </row>
    <row r="45" spans="2:6" ht="19.5" customHeight="1">
      <c r="B45" s="14" t="s">
        <v>624</v>
      </c>
      <c r="C45" s="4" t="s">
        <v>625</v>
      </c>
      <c r="D45" s="15" t="s">
        <v>626</v>
      </c>
      <c r="E45" s="16" t="s">
        <v>605</v>
      </c>
      <c r="F45" s="17" t="s">
        <v>627</v>
      </c>
    </row>
    <row r="46" spans="2:6" ht="19.5" customHeight="1">
      <c r="B46" s="14" t="s">
        <v>628</v>
      </c>
      <c r="C46" s="4" t="s">
        <v>629</v>
      </c>
      <c r="D46" s="15" t="s">
        <v>630</v>
      </c>
      <c r="E46" s="16" t="s">
        <v>605</v>
      </c>
      <c r="F46" s="17" t="s">
        <v>606</v>
      </c>
    </row>
    <row r="47" spans="2:6" ht="7.5" customHeight="1"/>
    <row r="48" spans="2:6" ht="18" customHeight="1">
      <c r="B48" s="382" t="s">
        <v>631</v>
      </c>
      <c r="C48" s="333"/>
      <c r="D48" s="333"/>
      <c r="E48" s="333"/>
      <c r="F48" s="333"/>
    </row>
    <row r="49" spans="2:6" ht="19.5" customHeight="1">
      <c r="B49" s="2" t="s">
        <v>632</v>
      </c>
      <c r="C49" s="383" t="s">
        <v>633</v>
      </c>
      <c r="D49" s="333"/>
      <c r="E49" s="2" t="s">
        <v>634</v>
      </c>
      <c r="F49" s="2" t="s">
        <v>635</v>
      </c>
    </row>
    <row r="50" spans="2:6" ht="21" customHeight="1">
      <c r="B50" s="18" t="s">
        <v>636</v>
      </c>
      <c r="C50" s="376" t="s">
        <v>637</v>
      </c>
      <c r="D50" s="333"/>
      <c r="E50" s="6" t="s">
        <v>638</v>
      </c>
      <c r="F50" s="19" t="s">
        <v>511</v>
      </c>
    </row>
    <row r="51" spans="2:6" ht="21" customHeight="1">
      <c r="B51" s="18" t="s">
        <v>639</v>
      </c>
      <c r="C51" s="376" t="s">
        <v>640</v>
      </c>
      <c r="D51" s="333"/>
      <c r="E51" s="6" t="s">
        <v>641</v>
      </c>
      <c r="F51" s="19" t="s">
        <v>526</v>
      </c>
    </row>
    <row r="52" spans="2:6" ht="21" customHeight="1">
      <c r="B52" s="18" t="s">
        <v>642</v>
      </c>
      <c r="C52" s="376" t="s">
        <v>643</v>
      </c>
      <c r="D52" s="333"/>
      <c r="E52" s="6" t="s">
        <v>644</v>
      </c>
      <c r="F52" s="19" t="s">
        <v>526</v>
      </c>
    </row>
    <row r="53" spans="2:6" ht="7.5" customHeight="1"/>
    <row r="54" spans="2:6" ht="18" customHeight="1">
      <c r="B54" s="377" t="s">
        <v>645</v>
      </c>
      <c r="C54" s="333"/>
      <c r="D54" s="333"/>
      <c r="E54" s="333"/>
      <c r="F54" s="333"/>
    </row>
    <row r="55" spans="2:6" ht="39" customHeight="1">
      <c r="B55" s="378" t="s">
        <v>646</v>
      </c>
      <c r="C55" s="333"/>
      <c r="D55" s="333"/>
      <c r="E55" s="333"/>
      <c r="F55" s="333"/>
    </row>
    <row r="56" spans="2:6" ht="7.5" customHeight="1"/>
    <row r="57" spans="2:6" ht="24" customHeight="1">
      <c r="B57" s="379" t="s">
        <v>647</v>
      </c>
      <c r="C57" s="333"/>
      <c r="D57" s="333"/>
      <c r="E57" s="333"/>
      <c r="F57" s="333"/>
    </row>
    <row r="58" spans="2:6" ht="7.5" customHeight="1"/>
    <row r="59" spans="2:6" ht="18" customHeight="1">
      <c r="B59" s="380" t="s">
        <v>648</v>
      </c>
      <c r="C59" s="333"/>
      <c r="D59" s="333"/>
      <c r="E59" s="333"/>
      <c r="F59" s="333"/>
    </row>
    <row r="60" spans="2:6" ht="16.5" customHeight="1">
      <c r="B60" s="375" t="s">
        <v>649</v>
      </c>
      <c r="C60" s="333"/>
      <c r="D60" s="333"/>
      <c r="E60" s="333"/>
      <c r="F60" s="333"/>
    </row>
    <row r="61" spans="2:6" ht="16.5" customHeight="1">
      <c r="B61" s="375" t="s">
        <v>650</v>
      </c>
      <c r="C61" s="333"/>
      <c r="D61" s="333"/>
      <c r="E61" s="333"/>
      <c r="F61" s="333"/>
    </row>
    <row r="62" spans="2:6" ht="16.5" customHeight="1">
      <c r="B62" s="375" t="s">
        <v>651</v>
      </c>
      <c r="C62" s="333"/>
      <c r="D62" s="333"/>
      <c r="E62" s="333"/>
      <c r="F62" s="333"/>
    </row>
    <row r="63" spans="2:6" ht="16.5" customHeight="1">
      <c r="B63" s="375" t="s">
        <v>652</v>
      </c>
      <c r="C63" s="333"/>
      <c r="D63" s="333"/>
      <c r="E63" s="333"/>
      <c r="F63" s="333"/>
    </row>
    <row r="64" spans="2:6" ht="7.5" customHeight="1"/>
    <row r="65" spans="2:6" ht="18" customHeight="1">
      <c r="B65" s="357" t="s">
        <v>653</v>
      </c>
      <c r="C65" s="333"/>
      <c r="D65" s="333"/>
      <c r="E65" s="333"/>
      <c r="F65" s="333"/>
    </row>
  </sheetData>
  <sheetProtection algorithmName="SHA-512" hashValue="vLv9zm/Q7gSQ/Jb6T73/YmuIOM76wQHhFRjjCHAC5jkbQvlyNWkpN9LgOhVtia8PR/cWXrJVQYANgxzTnOQwqA==" saltValue="g3OCbA7BhNIyDRQztzQU2g==" spinCount="100000" sheet="1" objects="1" formatCells="0" formatColumns="0" formatRows="0" insertColumns="0" insertRows="0" insertHyperlinks="0" deleteColumns="0" deleteRows="0" sort="0" autoFilter="0" pivotTables="0"/>
  <mergeCells count="30">
    <mergeCell ref="A1:E1"/>
    <mergeCell ref="B2:F2"/>
    <mergeCell ref="B4:F4"/>
    <mergeCell ref="B16:F16"/>
    <mergeCell ref="B26:F26"/>
    <mergeCell ref="C27:F27"/>
    <mergeCell ref="C28:F28"/>
    <mergeCell ref="C29:F29"/>
    <mergeCell ref="C30:F30"/>
    <mergeCell ref="C31:F31"/>
    <mergeCell ref="C32:F32"/>
    <mergeCell ref="C33:F33"/>
    <mergeCell ref="C34:F34"/>
    <mergeCell ref="C35:F35"/>
    <mergeCell ref="C36:F36"/>
    <mergeCell ref="B38:F38"/>
    <mergeCell ref="B48:F48"/>
    <mergeCell ref="C49:D49"/>
    <mergeCell ref="C50:D50"/>
    <mergeCell ref="C51:D51"/>
    <mergeCell ref="C52:D52"/>
    <mergeCell ref="B54:F54"/>
    <mergeCell ref="B55:F55"/>
    <mergeCell ref="B57:F57"/>
    <mergeCell ref="B59:F59"/>
    <mergeCell ref="B60:F60"/>
    <mergeCell ref="B61:F61"/>
    <mergeCell ref="B62:F62"/>
    <mergeCell ref="B63:F63"/>
    <mergeCell ref="B65:F65"/>
  </mergeCells>
  <pageMargins left="0.75" right="0.75" top="1" bottom="1" header="0.5" footer="0.5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 otherUserPermission="visible"/>
  <rangeList sheetStid="2" master="" otherUserPermission="visible"/>
  <rangeList sheetStid="3" master="" otherUserPermission="visible"/>
  <rangeList sheetStid="4" master="" otherUserPermission="visible"/>
  <rangeList sheetStid="5" master="" otherUserPermission="visible"/>
  <rangeList sheetStid="6" master="" otherUserPermission="visible"/>
  <rangeList sheetStid="7" master="" otherUserPermission="visible"/>
  <rangeList sheetStid="8" master="" otherUserPermission="visible"/>
  <rangeList sheetStid="9" master="" otherUserPermission="visible"/>
  <rangeList sheetStid="10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SETTINGS</vt:lpstr>
      <vt:lpstr>PRODUCTION ORDER</vt:lpstr>
      <vt:lpstr>MASTER DATA</vt:lpstr>
      <vt:lpstr>EXPORT</vt:lpstr>
      <vt:lpstr>PACKING LIST</vt:lpstr>
      <vt:lpstr>RULES</vt:lpstr>
      <vt:lpstr>PACKING ENTRY</vt:lpstr>
      <vt:lpstr>SUMMARY</vt:lpstr>
      <vt:lpstr>DASHBOARD</vt:lpstr>
      <vt:lpstr>VBA SOURCE</vt:lpstr>
      <vt:lpstr>'PACKING LIST'!Print_Area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KPR CSO</dc:creator>
  <cp:lastModifiedBy>Yashwanth KV</cp:lastModifiedBy>
  <cp:lastPrinted>2025-07-18T07:20:00Z</cp:lastPrinted>
  <dcterms:created xsi:type="dcterms:W3CDTF">2016-07-25T14:04:00Z</dcterms:created>
  <dcterms:modified xsi:type="dcterms:W3CDTF">2026-07-03T19:20:08Z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700A2C7AFACF484FA3729F33E2718F31_13</vt:lpwstr>
  </property>
  <property fmtid="{D5CDD505-2E9C-101B-9397-08002B2CF9AE}" pid="3" name="KSOProductBuildVer">
    <vt:lpwstr>1033-12.1.0.26880</vt:lpwstr>
  </property>
  <property fmtid="{D5CDD505-2E9C-101B-9397-08002B2CF9AE}" pid="4" name="CalculationRule">
    <vt:i4>0</vt:i4>
  </property>
</Properties>
</file>