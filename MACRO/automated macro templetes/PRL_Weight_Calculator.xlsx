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00" tabRatio="500" activeTab="1"/>
  </bookViews>
  <sheets>
    <sheet name="Carton_DB" sheetId="1" r:id="rId1"/>
    <sheet name="Weight Calculato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<sst xmlns="http://schemas.openxmlformats.org/spreadsheetml/2006/main" count="100" uniqueCount="90">
  <si>
    <t>Carton Code</t>
  </si>
  <si>
    <t>Description</t>
  </si>
  <si>
    <t>Length (cm)</t>
  </si>
  <si>
    <t>Width (cm)</t>
  </si>
  <si>
    <t>Height (cm)</t>
  </si>
  <si>
    <t>Capacity (pcs)</t>
  </si>
  <si>
    <t>Empty Weight (kg)</t>
  </si>
  <si>
    <t>1-PCS</t>
  </si>
  <si>
    <t>54*38*6</t>
  </si>
  <si>
    <t>54*38*4.5</t>
  </si>
  <si>
    <t>2-PCS</t>
  </si>
  <si>
    <t>54*38*4</t>
  </si>
  <si>
    <t>3-PCS</t>
  </si>
  <si>
    <t>54*38*8</t>
  </si>
  <si>
    <t>4-PCS</t>
  </si>
  <si>
    <t>4 PCS PER BOX</t>
  </si>
  <si>
    <t>6 RATIO PCS</t>
  </si>
  <si>
    <t>48*38*14</t>
  </si>
  <si>
    <t>6 RRL</t>
  </si>
  <si>
    <t>6 PCS PER BOX</t>
  </si>
  <si>
    <t>48*38*13</t>
  </si>
  <si>
    <t>54*38*11</t>
  </si>
  <si>
    <t>8 RATIO PCS</t>
  </si>
  <si>
    <t>48*38*17</t>
  </si>
  <si>
    <t>10 RRL</t>
  </si>
  <si>
    <t>55*44*38</t>
  </si>
  <si>
    <t>10 PCS-29-10-2025</t>
  </si>
  <si>
    <t>48*38*26</t>
  </si>
  <si>
    <t>12 RATIO</t>
  </si>
  <si>
    <t>48*38*25</t>
  </si>
  <si>
    <t>54X38X18 CM</t>
  </si>
  <si>
    <t>48*38*32</t>
  </si>
  <si>
    <t>54*48*15</t>
  </si>
  <si>
    <t>54*38*21</t>
  </si>
  <si>
    <t>22 RATIO</t>
  </si>
  <si>
    <t>54*38*26</t>
  </si>
  <si>
    <t>48*38*44</t>
  </si>
  <si>
    <t>24 RATIO</t>
  </si>
  <si>
    <t>48*38*38</t>
  </si>
  <si>
    <t>25 PCS-29-10-2025</t>
  </si>
  <si>
    <t>54*38*32.5</t>
  </si>
  <si>
    <t>32 - NEW</t>
  </si>
  <si>
    <t>54*48*26</t>
  </si>
  <si>
    <t>54*38*37.5</t>
  </si>
  <si>
    <t>54*48*32.5</t>
  </si>
  <si>
    <t xml:space="preserve"> PRL CARTON WEIGHT CALCULATOR</t>
  </si>
  <si>
    <t>Style No.</t>
  </si>
  <si>
    <t>INR</t>
  </si>
  <si>
    <t xml:space="preserve">USD </t>
  </si>
  <si>
    <t>ITEM WEIGHT INPUT  (Single Piece Weights per Size)</t>
  </si>
  <si>
    <t>Size</t>
  </si>
  <si>
    <t>XS</t>
  </si>
  <si>
    <t>S</t>
  </si>
  <si>
    <t>M</t>
  </si>
  <si>
    <t>L</t>
  </si>
  <si>
    <t>XL</t>
  </si>
  <si>
    <t>XXL</t>
  </si>
  <si>
    <t>XXXL</t>
  </si>
  <si>
    <t>XXXXL</t>
  </si>
  <si>
    <t>Notes</t>
  </si>
  <si>
    <t>Single Pcs Weight (kg)</t>
  </si>
  <si>
    <t>← Blue = manual input</t>
  </si>
  <si>
    <t>No. of Pcs per Box</t>
  </si>
  <si>
    <t>Enter 0 if size not applicable</t>
  </si>
  <si>
    <t>CARTON SELECTION  (Choose from PRL Carton Database)</t>
  </si>
  <si>
    <t>← Select carton code from dropdown</t>
  </si>
  <si>
    <t>Carton Description</t>
  </si>
  <si>
    <t>Dimensions (L×W×H cm)</t>
  </si>
  <si>
    <t>← Auto-filled from DB</t>
  </si>
  <si>
    <t>Empty Box Weight (kg)</t>
  </si>
  <si>
    <t>Carton Capacity (pcs)</t>
  </si>
  <si>
    <t>CALCULATED FULL BOX WEIGHT  (Empty Carton + All Items)</t>
  </si>
  <si>
    <t>18</t>
  </si>
  <si>
    <t>18.5</t>
  </si>
  <si>
    <t>Formula Logic</t>
  </si>
  <si>
    <t>Full Box Weight (kg)</t>
  </si>
  <si>
    <t xml:space="preserve"> Empty Box + (Pcs Wt x No. Pcs)</t>
  </si>
  <si>
    <t>Items Weight Only (kg)</t>
  </si>
  <si>
    <t xml:space="preserve"> Pcs Wt x No. Pcs</t>
  </si>
  <si>
    <t>Avg. Weight / Piece (kg)</t>
  </si>
  <si>
    <t>QUICK SUMMARY</t>
  </si>
  <si>
    <t>Active Sizes (non-zero):</t>
  </si>
  <si>
    <t>Min Full Box Wt (kg):</t>
  </si>
  <si>
    <t>Empty Carton Weight (kg):</t>
  </si>
  <si>
    <t>Max Full Box Wt (kg):</t>
  </si>
  <si>
    <t>LEGEND</t>
  </si>
  <si>
    <t>🔵 Blue cells = Manual Input</t>
  </si>
  <si>
    <t>🟢 Green cells = Auto from DB</t>
  </si>
  <si>
    <t>🟡 Yellow cells = Key Outputs</t>
  </si>
  <si>
    <t>"-" = Size not filled 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</si>
</sst>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[$$-409]* #,##0.00_ ;_-[$$-409]* \-#,##0.00\ ;_-[$$-409]* &quot;-&quot;??_ ;_-@_ "/>
    <numFmt numFmtId="181" formatCode="0.000"/>
  </numFmts>
  <fonts count="48">
    <font>
      <sz val="11"/>
      <color theme="1"/>
      <name val="Calibri"/>
      <charset val="1"/>
    </font>
    <font>
      <b/>
      <sz val="16"/>
      <color rgb="FFFFFFFF"/>
      <name val="Arial"/>
      <charset val="134"/>
    </font>
    <font>
      <i/>
      <sz val="9"/>
      <color rgb="FF2E75B6"/>
      <name val="Arial"/>
      <charset val="134"/>
    </font>
    <font>
      <b/>
      <sz val="10"/>
      <color rgb="FFFFFFFF"/>
      <name val="Arial"/>
      <charset val="134"/>
    </font>
    <font>
      <b/>
      <sz val="12"/>
      <color rgb="FFE26B0A"/>
      <name val="Arial"/>
      <charset val="134"/>
    </font>
    <font>
      <b/>
      <sz val="11"/>
      <color rgb="FFE26B0A"/>
      <name val="Arial"/>
      <charset val="134"/>
    </font>
    <font>
      <sz val="11"/>
      <color theme="0"/>
      <name val="Calibri"/>
      <charset val="1"/>
    </font>
    <font>
      <b/>
      <sz val="10"/>
      <color rgb="FF000000"/>
      <name val="Arial"/>
      <charset val="134"/>
    </font>
    <font>
      <b/>
      <sz val="10"/>
      <color rgb="FF0000FF"/>
      <name val="Arial"/>
      <charset val="134"/>
    </font>
    <font>
      <i/>
      <sz val="10"/>
      <color rgb="FF0000FF"/>
      <name val="Arial"/>
      <charset val="134"/>
    </font>
    <font>
      <i/>
      <sz val="9"/>
      <color rgb="FF666666"/>
      <name val="Arial"/>
      <charset val="134"/>
    </font>
    <font>
      <i/>
      <sz val="9"/>
      <color rgb="FFE26B0A"/>
      <name val="Arial"/>
      <charset val="134"/>
    </font>
    <font>
      <sz val="10"/>
      <color rgb="FF375623"/>
      <name val="Arial"/>
      <charset val="134"/>
    </font>
    <font>
      <b/>
      <sz val="8"/>
      <color rgb="FF000000"/>
      <name val="Arial"/>
      <charset val="134"/>
    </font>
    <font>
      <i/>
      <sz val="10"/>
      <color rgb="FF375623"/>
      <name val="Arial"/>
      <charset val="134"/>
    </font>
    <font>
      <b/>
      <sz val="11"/>
      <color rgb="FF375623"/>
      <name val="Arial"/>
      <charset val="134"/>
    </font>
    <font>
      <b/>
      <sz val="9"/>
      <color rgb="FF000000"/>
      <name val="Arial"/>
      <charset val="134"/>
    </font>
    <font>
      <b/>
      <sz val="11"/>
      <color rgb="FFFFFFFF"/>
      <name val="Arial"/>
      <charset val="134"/>
    </font>
    <font>
      <i/>
      <sz val="8"/>
      <color rgb="FF375623"/>
      <name val="Arial"/>
      <charset val="134"/>
    </font>
    <font>
      <sz val="10"/>
      <color rgb="FF000000"/>
      <name val="Arial"/>
      <charset val="134"/>
    </font>
    <font>
      <i/>
      <sz val="8"/>
      <color rgb="FF666666"/>
      <name val="Arial"/>
      <charset val="134"/>
    </font>
    <font>
      <b/>
      <sz val="9"/>
      <color rgb="FF666666"/>
      <name val="Arial"/>
      <charset val="134"/>
    </font>
    <font>
      <sz val="9"/>
      <color rgb="FF0000FF"/>
      <name val="Arial"/>
      <charset val="134"/>
    </font>
    <font>
      <sz val="9"/>
      <color rgb="FF375623"/>
      <name val="Arial"/>
      <charset val="134"/>
    </font>
    <font>
      <sz val="9"/>
      <color rgb="FFE26B0A"/>
      <name val="Arial"/>
      <charset val="134"/>
    </font>
    <font>
      <sz val="9"/>
      <color rgb="FF666666"/>
      <name val="Arial"/>
      <charset val="134"/>
    </font>
    <font>
      <b/>
      <sz val="10"/>
      <color rgb="FFFFFFFF"/>
      <name val="HoloLens MDL2 Assets"/>
      <charset val="134"/>
    </font>
    <font>
      <sz val="10"/>
      <name val="HoloLens MDL2 Assets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BDD7EE"/>
        <bgColor rgb="FFCCCCCC"/>
      </patternFill>
    </fill>
    <fill>
      <patternFill patternType="solid">
        <fgColor rgb="FFDEEAF1"/>
        <bgColor rgb="FFE2EFDA"/>
      </patternFill>
    </fill>
    <fill>
      <patternFill patternType="solid">
        <fgColor rgb="FFF2F2F2"/>
        <bgColor rgb="FFEBF3FB"/>
      </patternFill>
    </fill>
    <fill>
      <patternFill patternType="solid">
        <fgColor rgb="FFE2EFDA"/>
        <bgColor rgb="FFDEEAF1"/>
      </patternFill>
    </fill>
    <fill>
      <patternFill patternType="solid">
        <fgColor rgb="FF375623"/>
        <bgColor rgb="FF333300"/>
      </patternFill>
    </fill>
    <fill>
      <patternFill patternType="solid">
        <fgColor rgb="FFE26B0A"/>
        <bgColor rgb="FFFF9900"/>
      </patternFill>
    </fill>
    <fill>
      <patternFill patternType="solid">
        <fgColor rgb="FFEBF3FB"/>
        <bgColor rgb="FFF2F2F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8" fillId="0" borderId="0" applyFont="0" applyFill="0" applyBorder="0" applyAlignment="0" applyProtection="0">
      <alignment vertical="center"/>
    </xf>
    <xf numFmtId="177" fontId="28" fillId="0" borderId="0" applyFont="0" applyFill="0" applyBorder="0" applyAlignment="0" applyProtection="0">
      <alignment vertical="center"/>
    </xf>
    <xf numFmtId="9" fontId="28" fillId="0" borderId="0" applyFont="0" applyFill="0" applyBorder="0" applyAlignment="0" applyProtection="0">
      <alignment vertical="center"/>
    </xf>
    <xf numFmtId="178" fontId="28" fillId="0" borderId="0" applyFont="0" applyFill="0" applyBorder="0" applyAlignment="0" applyProtection="0">
      <alignment vertical="center"/>
    </xf>
    <xf numFmtId="179" fontId="28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8" fillId="12" borderId="22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23" applyNumberFormat="0" applyFill="0" applyAlignment="0" applyProtection="0">
      <alignment vertical="center"/>
    </xf>
    <xf numFmtId="0" fontId="35" fillId="0" borderId="23" applyNumberFormat="0" applyFill="0" applyAlignment="0" applyProtection="0">
      <alignment vertical="center"/>
    </xf>
    <xf numFmtId="0" fontId="36" fillId="0" borderId="24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13" borderId="25" applyNumberFormat="0" applyAlignment="0" applyProtection="0">
      <alignment vertical="center"/>
    </xf>
    <xf numFmtId="0" fontId="38" fillId="14" borderId="26" applyNumberFormat="0" applyAlignment="0" applyProtection="0">
      <alignment vertical="center"/>
    </xf>
    <xf numFmtId="0" fontId="39" fillId="14" borderId="25" applyNumberFormat="0" applyAlignment="0" applyProtection="0">
      <alignment vertical="center"/>
    </xf>
    <xf numFmtId="0" fontId="40" fillId="15" borderId="27" applyNumberFormat="0" applyAlignment="0" applyProtection="0">
      <alignment vertical="center"/>
    </xf>
    <xf numFmtId="0" fontId="41" fillId="0" borderId="28" applyNumberFormat="0" applyFill="0" applyAlignment="0" applyProtection="0">
      <alignment vertical="center"/>
    </xf>
    <xf numFmtId="0" fontId="42" fillId="0" borderId="29" applyNumberFormat="0" applyFill="0" applyAlignment="0" applyProtection="0">
      <alignment vertical="center"/>
    </xf>
    <xf numFmtId="0" fontId="43" fillId="16" borderId="0" applyNumberFormat="0" applyBorder="0" applyAlignment="0" applyProtection="0">
      <alignment vertical="center"/>
    </xf>
    <xf numFmtId="0" fontId="44" fillId="17" borderId="0" applyNumberFormat="0" applyBorder="0" applyAlignment="0" applyProtection="0">
      <alignment vertical="center"/>
    </xf>
    <xf numFmtId="0" fontId="45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7" fillId="28" borderId="0" applyNumberFormat="0" applyBorder="0" applyAlignment="0" applyProtection="0">
      <alignment vertical="center"/>
    </xf>
    <xf numFmtId="0" fontId="47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7" fillId="32" borderId="0" applyNumberFormat="0" applyBorder="0" applyAlignment="0" applyProtection="0">
      <alignment vertical="center"/>
    </xf>
    <xf numFmtId="0" fontId="47" fillId="33" borderId="0" applyNumberFormat="0" applyBorder="0" applyAlignment="0" applyProtection="0">
      <alignment vertical="center"/>
    </xf>
    <xf numFmtId="0" fontId="46" fillId="34" borderId="0" applyNumberFormat="0" applyBorder="0" applyAlignment="0" applyProtection="0">
      <alignment vertical="center"/>
    </xf>
    <xf numFmtId="0" fontId="46" fillId="35" borderId="0" applyNumberFormat="0" applyBorder="0" applyAlignment="0" applyProtection="0">
      <alignment vertical="center"/>
    </xf>
    <xf numFmtId="0" fontId="47" fillId="36" borderId="0" applyNumberFormat="0" applyBorder="0" applyAlignment="0" applyProtection="0">
      <alignment vertical="center"/>
    </xf>
    <xf numFmtId="0" fontId="47" fillId="37" borderId="0" applyNumberFormat="0" applyBorder="0" applyAlignment="0" applyProtection="0">
      <alignment vertical="center"/>
    </xf>
    <xf numFmtId="0" fontId="46" fillId="38" borderId="0" applyNumberFormat="0" applyBorder="0" applyAlignment="0" applyProtection="0">
      <alignment vertical="center"/>
    </xf>
    <xf numFmtId="0" fontId="46" fillId="39" borderId="0" applyNumberFormat="0" applyBorder="0" applyAlignment="0" applyProtection="0">
      <alignment vertical="center"/>
    </xf>
    <xf numFmtId="0" fontId="47" fillId="40" borderId="0" applyNumberFormat="0" applyBorder="0" applyAlignment="0" applyProtection="0">
      <alignment vertical="center"/>
    </xf>
    <xf numFmtId="0" fontId="47" fillId="41" borderId="0" applyNumberFormat="0" applyBorder="0" applyAlignment="0" applyProtection="0">
      <alignment vertical="center"/>
    </xf>
    <xf numFmtId="0" fontId="46" fillId="42" borderId="0" applyNumberFormat="0" applyBorder="0" applyAlignment="0" applyProtection="0">
      <alignment vertical="center"/>
    </xf>
  </cellStyleXfs>
  <cellXfs count="101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0" fillId="0" borderId="7" xfId="0" applyBorder="1" applyAlignment="1"/>
    <xf numFmtId="0" fontId="0" fillId="0" borderId="8" xfId="0" applyBorder="1" applyAlignment="1"/>
    <xf numFmtId="0" fontId="0" fillId="0" borderId="9" xfId="0" applyBorder="1" applyAlignment="1"/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180" fontId="5" fillId="4" borderId="2" xfId="0" applyNumberFormat="1" applyFont="1" applyFill="1" applyBorder="1" applyAlignment="1">
      <alignment horizontal="center" vertical="center"/>
    </xf>
    <xf numFmtId="180" fontId="5" fillId="4" borderId="3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/>
    <xf numFmtId="0" fontId="0" fillId="0" borderId="11" xfId="0" applyBorder="1" applyAlignment="1"/>
    <xf numFmtId="0" fontId="6" fillId="0" borderId="11" xfId="0" applyFont="1" applyBorder="1" applyAlignment="1"/>
    <xf numFmtId="0" fontId="0" fillId="0" borderId="12" xfId="0" applyBorder="1" applyAlignment="1"/>
    <xf numFmtId="0" fontId="3" fillId="3" borderId="1" xfId="0" applyFont="1" applyFill="1" applyBorder="1" applyAlignment="1">
      <alignment horizontal="left" vertical="center" indent="1"/>
    </xf>
    <xf numFmtId="0" fontId="3" fillId="3" borderId="2" xfId="0" applyFont="1" applyFill="1" applyBorder="1" applyAlignment="1">
      <alignment horizontal="left" vertical="center" indent="1"/>
    </xf>
    <xf numFmtId="0" fontId="3" fillId="3" borderId="3" xfId="0" applyFont="1" applyFill="1" applyBorder="1" applyAlignment="1">
      <alignment horizontal="left" vertical="center" indent="1"/>
    </xf>
    <xf numFmtId="0" fontId="7" fillId="5" borderId="1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7" fillId="5" borderId="3" xfId="0" applyFont="1" applyFill="1" applyBorder="1" applyAlignment="1">
      <alignment horizontal="center" vertical="center"/>
    </xf>
    <xf numFmtId="0" fontId="8" fillId="6" borderId="13" xfId="0" applyFont="1" applyFill="1" applyBorder="1" applyAlignment="1">
      <alignment horizontal="left" vertical="center" indent="1"/>
    </xf>
    <xf numFmtId="0" fontId="8" fillId="6" borderId="14" xfId="0" applyFont="1" applyFill="1" applyBorder="1" applyAlignment="1">
      <alignment horizontal="left" vertical="center" indent="1"/>
    </xf>
    <xf numFmtId="181" fontId="8" fillId="4" borderId="14" xfId="0" applyNumberFormat="1" applyFont="1" applyFill="1" applyBorder="1" applyAlignment="1">
      <alignment horizontal="center" vertical="center"/>
    </xf>
    <xf numFmtId="0" fontId="9" fillId="7" borderId="14" xfId="0" applyFont="1" applyFill="1" applyBorder="1" applyAlignment="1">
      <alignment horizontal="left" vertical="center" indent="1"/>
    </xf>
    <xf numFmtId="0" fontId="9" fillId="7" borderId="15" xfId="0" applyFont="1" applyFill="1" applyBorder="1" applyAlignment="1">
      <alignment horizontal="left" vertical="center" indent="1"/>
    </xf>
    <xf numFmtId="0" fontId="8" fillId="6" borderId="16" xfId="0" applyFont="1" applyFill="1" applyBorder="1" applyAlignment="1">
      <alignment horizontal="left" vertical="center" indent="1"/>
    </xf>
    <xf numFmtId="0" fontId="8" fillId="6" borderId="17" xfId="0" applyFont="1" applyFill="1" applyBorder="1" applyAlignment="1">
      <alignment horizontal="left" vertical="center" indent="1"/>
    </xf>
    <xf numFmtId="1" fontId="8" fillId="4" borderId="17" xfId="0" applyNumberFormat="1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left" vertical="center" indent="1"/>
    </xf>
    <xf numFmtId="0" fontId="10" fillId="7" borderId="18" xfId="0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2" borderId="2" xfId="0" applyFont="1" applyFill="1" applyBorder="1" applyAlignment="1">
      <alignment horizontal="left" vertical="center" indent="1"/>
    </xf>
    <xf numFmtId="0" fontId="3" fillId="2" borderId="3" xfId="0" applyFont="1" applyFill="1" applyBorder="1" applyAlignment="1">
      <alignment horizontal="left" vertical="center" indent="1"/>
    </xf>
    <xf numFmtId="0" fontId="7" fillId="5" borderId="13" xfId="0" applyFont="1" applyFill="1" applyBorder="1" applyAlignment="1">
      <alignment horizontal="center" vertical="center"/>
    </xf>
    <xf numFmtId="0" fontId="7" fillId="5" borderId="14" xfId="0" applyFont="1" applyFill="1" applyBorder="1" applyAlignment="1">
      <alignment horizontal="center" vertical="center"/>
    </xf>
    <xf numFmtId="0" fontId="5" fillId="4" borderId="14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 wrapText="1"/>
    </xf>
    <xf numFmtId="0" fontId="0" fillId="0" borderId="14" xfId="0" applyBorder="1" applyAlignment="1"/>
    <xf numFmtId="0" fontId="0" fillId="0" borderId="15" xfId="0" applyBorder="1" applyAlignment="1"/>
    <xf numFmtId="0" fontId="7" fillId="6" borderId="19" xfId="0" applyFont="1" applyFill="1" applyBorder="1" applyAlignment="1">
      <alignment horizontal="center" vertical="center"/>
    </xf>
    <xf numFmtId="0" fontId="7" fillId="6" borderId="20" xfId="0" applyFont="1" applyFill="1" applyBorder="1" applyAlignment="1">
      <alignment horizontal="center" vertical="center"/>
    </xf>
    <xf numFmtId="0" fontId="12" fillId="8" borderId="20" xfId="0" applyFont="1" applyFill="1" applyBorder="1" applyAlignment="1">
      <alignment horizontal="center" vertical="center"/>
    </xf>
    <xf numFmtId="0" fontId="13" fillId="6" borderId="20" xfId="0" applyFont="1" applyFill="1" applyBorder="1" applyAlignment="1">
      <alignment horizontal="center" vertical="center" wrapText="1"/>
    </xf>
    <xf numFmtId="0" fontId="14" fillId="0" borderId="20" xfId="0" applyFont="1" applyBorder="1" applyAlignment="1">
      <alignment horizontal="center" vertical="center"/>
    </xf>
    <xf numFmtId="0" fontId="14" fillId="0" borderId="21" xfId="0" applyFont="1" applyBorder="1" applyAlignment="1">
      <alignment horizontal="center" vertical="center"/>
    </xf>
    <xf numFmtId="0" fontId="7" fillId="6" borderId="16" xfId="0" applyFont="1" applyFill="1" applyBorder="1" applyAlignment="1">
      <alignment horizontal="center" vertical="center"/>
    </xf>
    <xf numFmtId="0" fontId="7" fillId="6" borderId="17" xfId="0" applyFont="1" applyFill="1" applyBorder="1" applyAlignment="1">
      <alignment horizontal="center" vertical="center"/>
    </xf>
    <xf numFmtId="181" fontId="15" fillId="8" borderId="17" xfId="0" applyNumberFormat="1" applyFont="1" applyFill="1" applyBorder="1" applyAlignment="1">
      <alignment horizontal="center" vertical="center"/>
    </xf>
    <xf numFmtId="0" fontId="16" fillId="6" borderId="17" xfId="0" applyFont="1" applyFill="1" applyBorder="1" applyAlignment="1">
      <alignment horizontal="center" vertical="center"/>
    </xf>
    <xf numFmtId="0" fontId="12" fillId="8" borderId="17" xfId="0" applyFont="1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/>
    <xf numFmtId="0" fontId="3" fillId="9" borderId="1" xfId="0" applyFont="1" applyFill="1" applyBorder="1" applyAlignment="1">
      <alignment horizontal="left" vertical="center" indent="1"/>
    </xf>
    <xf numFmtId="0" fontId="3" fillId="9" borderId="2" xfId="0" applyFont="1" applyFill="1" applyBorder="1" applyAlignment="1">
      <alignment horizontal="left" vertical="center" indent="1"/>
    </xf>
    <xf numFmtId="0" fontId="3" fillId="9" borderId="3" xfId="0" applyFont="1" applyFill="1" applyBorder="1" applyAlignment="1">
      <alignment horizontal="left" vertical="center" indent="1"/>
    </xf>
    <xf numFmtId="0" fontId="7" fillId="8" borderId="1" xfId="0" applyFont="1" applyFill="1" applyBorder="1" applyAlignment="1">
      <alignment horizontal="center" vertical="center"/>
    </xf>
    <xf numFmtId="0" fontId="7" fillId="8" borderId="2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center" vertical="center"/>
    </xf>
    <xf numFmtId="0" fontId="3" fillId="9" borderId="13" xfId="0" applyFont="1" applyFill="1" applyBorder="1" applyAlignment="1">
      <alignment horizontal="left" vertical="center" indent="1"/>
    </xf>
    <xf numFmtId="0" fontId="3" fillId="9" borderId="14" xfId="0" applyFont="1" applyFill="1" applyBorder="1" applyAlignment="1">
      <alignment horizontal="left" vertical="center" indent="1"/>
    </xf>
    <xf numFmtId="2" fontId="17" fillId="9" borderId="14" xfId="0" applyNumberFormat="1" applyFont="1" applyFill="1" applyBorder="1" applyAlignment="1">
      <alignment horizontal="center" vertical="center"/>
    </xf>
    <xf numFmtId="0" fontId="18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2" fontId="19" fillId="6" borderId="20" xfId="0" applyNumberFormat="1" applyFont="1" applyFill="1" applyBorder="1" applyAlignment="1">
      <alignment horizontal="center" vertical="center"/>
    </xf>
    <xf numFmtId="0" fontId="20" fillId="0" borderId="20" xfId="0" applyFont="1" applyBorder="1" applyAlignment="1">
      <alignment horizontal="left" vertical="center"/>
    </xf>
    <xf numFmtId="0" fontId="0" fillId="0" borderId="21" xfId="0" applyBorder="1" applyAlignment="1"/>
    <xf numFmtId="181" fontId="19" fillId="6" borderId="17" xfId="0" applyNumberFormat="1" applyFont="1" applyFill="1" applyBorder="1" applyAlignment="1">
      <alignment horizontal="center" vertical="center"/>
    </xf>
    <xf numFmtId="0" fontId="0" fillId="0" borderId="17" xfId="0" applyBorder="1" applyAlignment="1"/>
    <xf numFmtId="0" fontId="3" fillId="10" borderId="1" xfId="0" applyFont="1" applyFill="1" applyBorder="1" applyAlignment="1">
      <alignment horizontal="left" vertical="center" indent="1"/>
    </xf>
    <xf numFmtId="0" fontId="3" fillId="10" borderId="2" xfId="0" applyFont="1" applyFill="1" applyBorder="1" applyAlignment="1">
      <alignment horizontal="left" vertical="center" indent="1"/>
    </xf>
    <xf numFmtId="0" fontId="3" fillId="10" borderId="3" xfId="0" applyFont="1" applyFill="1" applyBorder="1" applyAlignment="1">
      <alignment horizontal="left" vertical="center" indent="1"/>
    </xf>
    <xf numFmtId="0" fontId="7" fillId="4" borderId="13" xfId="0" applyFont="1" applyFill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/>
    </xf>
    <xf numFmtId="2" fontId="4" fillId="4" borderId="14" xfId="0" applyNumberFormat="1" applyFont="1" applyFill="1" applyBorder="1" applyAlignment="1">
      <alignment horizontal="center" vertical="center"/>
    </xf>
    <xf numFmtId="2" fontId="4" fillId="4" borderId="15" xfId="0" applyNumberFormat="1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0" fontId="7" fillId="4" borderId="17" xfId="0" applyFont="1" applyFill="1" applyBorder="1" applyAlignment="1">
      <alignment horizontal="center" vertical="center"/>
    </xf>
    <xf numFmtId="181" fontId="4" fillId="4" borderId="17" xfId="0" applyNumberFormat="1" applyFont="1" applyFill="1" applyBorder="1" applyAlignment="1">
      <alignment horizontal="center" vertical="center"/>
    </xf>
    <xf numFmtId="2" fontId="4" fillId="4" borderId="17" xfId="0" applyNumberFormat="1" applyFont="1" applyFill="1" applyBorder="1" applyAlignment="1">
      <alignment horizontal="center" vertical="center"/>
    </xf>
    <xf numFmtId="2" fontId="4" fillId="4" borderId="18" xfId="0" applyNumberFormat="1" applyFont="1" applyFill="1" applyBorder="1" applyAlignment="1">
      <alignment horizontal="center" vertical="center"/>
    </xf>
    <xf numFmtId="0" fontId="21" fillId="7" borderId="13" xfId="0" applyFont="1" applyFill="1" applyBorder="1" applyAlignment="1">
      <alignment horizontal="left" vertical="center"/>
    </xf>
    <xf numFmtId="0" fontId="21" fillId="7" borderId="14" xfId="0" applyFont="1" applyFill="1" applyBorder="1" applyAlignment="1">
      <alignment horizontal="left" vertical="center"/>
    </xf>
    <xf numFmtId="0" fontId="21" fillId="7" borderId="15" xfId="0" applyFont="1" applyFill="1" applyBorder="1" applyAlignment="1">
      <alignment horizontal="left" vertical="center"/>
    </xf>
    <xf numFmtId="0" fontId="22" fillId="7" borderId="16" xfId="0" applyFont="1" applyFill="1" applyBorder="1" applyAlignment="1">
      <alignment horizontal="center" vertical="center"/>
    </xf>
    <xf numFmtId="0" fontId="22" fillId="7" borderId="17" xfId="0" applyFont="1" applyFill="1" applyBorder="1" applyAlignment="1">
      <alignment horizontal="center" vertical="center"/>
    </xf>
    <xf numFmtId="0" fontId="23" fillId="7" borderId="17" xfId="0" applyFont="1" applyFill="1" applyBorder="1" applyAlignment="1">
      <alignment horizontal="center" vertical="center"/>
    </xf>
    <xf numFmtId="0" fontId="24" fillId="7" borderId="17" xfId="0" applyFont="1" applyFill="1" applyBorder="1" applyAlignment="1">
      <alignment horizontal="center" vertical="center"/>
    </xf>
    <xf numFmtId="0" fontId="25" fillId="7" borderId="17" xfId="0" applyFont="1" applyFill="1" applyBorder="1" applyAlignment="1">
      <alignment horizontal="center" vertical="center"/>
    </xf>
    <xf numFmtId="0" fontId="25" fillId="7" borderId="18" xfId="0" applyFont="1" applyFill="1" applyBorder="1" applyAlignment="1">
      <alignment horizontal="center" vertical="center"/>
    </xf>
    <xf numFmtId="0" fontId="26" fillId="2" borderId="20" xfId="0" applyFont="1" applyFill="1" applyBorder="1" applyAlignment="1">
      <alignment horizontal="center" vertical="center" wrapText="1"/>
    </xf>
    <xf numFmtId="0" fontId="27" fillId="11" borderId="20" xfId="0" applyFont="1" applyFill="1" applyBorder="1" applyAlignment="1">
      <alignment horizontal="center"/>
    </xf>
    <xf numFmtId="0" fontId="27" fillId="0" borderId="20" xfId="0" applyFont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2CC"/>
      <rgbColor rgb="00EBF3FB"/>
      <rgbColor rgb="00660066"/>
      <rgbColor rgb="00FF8080"/>
      <rgbColor rgb="000066CC"/>
      <rgbColor rgb="00BDD7EE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DEEAF1"/>
      <rgbColor rgb="00E2EFDA"/>
      <rgbColor rgb="00F2F2F2"/>
      <rgbColor rgb="0099CCFF"/>
      <rgbColor rgb="00FF99CC"/>
      <rgbColor rgb="00CC99FF"/>
      <rgbColor rgb="00FFCC99"/>
      <rgbColor rgb="002E75B6"/>
      <rgbColor rgb="0033CCCC"/>
      <rgbColor rgb="0099CC00"/>
      <rgbColor rgb="00FFCC00"/>
      <rgbColor rgb="00FF9900"/>
      <rgbColor rgb="00E26B0A"/>
      <rgbColor rgb="00666666"/>
      <rgbColor rgb="00969696"/>
      <rgbColor rgb="00003366"/>
      <rgbColor rgb="00339966"/>
      <rgbColor rgb="00003300"/>
      <rgbColor rgb="00333300"/>
      <rgbColor rgb="00993300"/>
      <rgbColor rgb="00993366"/>
      <rgbColor rgb="001F4E79"/>
      <rgbColor rgb="00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G27"/>
  <sheetViews>
    <sheetView workbookViewId="0">
      <pane ySplit="1" topLeftCell="A2" activePane="bottomLeft" state="frozen"/>
      <selection/>
      <selection pane="bottomLeft" activeCell="D30" sqref="D30"/>
    </sheetView>
  </sheetViews>
  <sheetFormatPr defaultColWidth="8.71428571428571" defaultRowHeight="15" outlineLevelCol="6"/>
  <cols>
    <col min="1" max="1" width="20" style="1" customWidth="1"/>
    <col min="2" max="2" width="22" style="1" customWidth="1"/>
    <col min="3" max="7" width="14" style="1" customWidth="1"/>
  </cols>
  <sheetData>
    <row r="1" ht="40.5" customHeight="1" spans="1:7">
      <c r="A1" s="98" t="s">
        <v>0</v>
      </c>
      <c r="B1" s="98" t="s">
        <v>1</v>
      </c>
      <c r="C1" s="98" t="s">
        <v>2</v>
      </c>
      <c r="D1" s="98" t="s">
        <v>3</v>
      </c>
      <c r="E1" s="98" t="s">
        <v>4</v>
      </c>
      <c r="F1" s="98" t="s">
        <v>5</v>
      </c>
      <c r="G1" s="98" t="s">
        <v>6</v>
      </c>
    </row>
    <row r="2" customHeight="1" spans="1:7">
      <c r="A2" s="99" t="s">
        <v>7</v>
      </c>
      <c r="B2" s="99" t="s">
        <v>8</v>
      </c>
      <c r="C2" s="99">
        <v>54</v>
      </c>
      <c r="D2" s="99">
        <v>38</v>
      </c>
      <c r="E2" s="99">
        <v>6</v>
      </c>
      <c r="F2" s="99">
        <v>1</v>
      </c>
      <c r="G2" s="99">
        <v>0.78</v>
      </c>
    </row>
    <row r="3" customHeight="1" spans="1:7">
      <c r="A3" s="100" t="s">
        <v>7</v>
      </c>
      <c r="B3" s="100" t="s">
        <v>9</v>
      </c>
      <c r="C3" s="100">
        <v>54</v>
      </c>
      <c r="D3" s="100">
        <v>38</v>
      </c>
      <c r="E3" s="100">
        <v>4.5</v>
      </c>
      <c r="F3" s="100">
        <v>1</v>
      </c>
      <c r="G3" s="100">
        <v>0.2</v>
      </c>
    </row>
    <row r="4" customHeight="1" spans="1:7">
      <c r="A4" s="99" t="s">
        <v>10</v>
      </c>
      <c r="B4" s="99" t="s">
        <v>11</v>
      </c>
      <c r="C4" s="99">
        <v>54</v>
      </c>
      <c r="D4" s="99">
        <v>38</v>
      </c>
      <c r="E4" s="99">
        <v>4</v>
      </c>
      <c r="F4" s="99">
        <v>2</v>
      </c>
      <c r="G4" s="99">
        <v>0.65</v>
      </c>
    </row>
    <row r="5" customHeight="1" spans="1:7">
      <c r="A5" s="100" t="s">
        <v>12</v>
      </c>
      <c r="B5" s="100" t="s">
        <v>13</v>
      </c>
      <c r="C5" s="100">
        <v>54</v>
      </c>
      <c r="D5" s="100">
        <v>38</v>
      </c>
      <c r="E5" s="100">
        <v>8</v>
      </c>
      <c r="F5" s="100">
        <v>3</v>
      </c>
      <c r="G5" s="100">
        <v>1</v>
      </c>
    </row>
    <row r="6" customHeight="1" spans="1:7">
      <c r="A6" s="99" t="s">
        <v>14</v>
      </c>
      <c r="B6" s="99" t="s">
        <v>15</v>
      </c>
      <c r="C6" s="99">
        <v>55</v>
      </c>
      <c r="D6" s="99">
        <v>45</v>
      </c>
      <c r="E6" s="99">
        <v>21</v>
      </c>
      <c r="F6" s="99">
        <v>4</v>
      </c>
      <c r="G6" s="99">
        <v>2.85</v>
      </c>
    </row>
    <row r="7" customHeight="1" spans="1:7">
      <c r="A7" s="100" t="s">
        <v>16</v>
      </c>
      <c r="B7" s="100" t="s">
        <v>17</v>
      </c>
      <c r="C7" s="100">
        <v>48</v>
      </c>
      <c r="D7" s="100">
        <v>38</v>
      </c>
      <c r="E7" s="100">
        <v>14</v>
      </c>
      <c r="F7" s="100">
        <v>6</v>
      </c>
      <c r="G7" s="100">
        <v>1.02</v>
      </c>
    </row>
    <row r="8" customHeight="1" spans="1:7">
      <c r="A8" s="99" t="s">
        <v>18</v>
      </c>
      <c r="B8" s="99" t="s">
        <v>19</v>
      </c>
      <c r="C8" s="99">
        <v>55</v>
      </c>
      <c r="D8" s="99">
        <v>45</v>
      </c>
      <c r="E8" s="99">
        <v>25</v>
      </c>
      <c r="F8" s="99">
        <v>6</v>
      </c>
      <c r="G8" s="99">
        <v>3.2</v>
      </c>
    </row>
    <row r="9" customHeight="1" spans="1:7">
      <c r="A9" s="100">
        <v>8</v>
      </c>
      <c r="B9" s="100" t="s">
        <v>20</v>
      </c>
      <c r="C9" s="100">
        <v>48</v>
      </c>
      <c r="D9" s="100">
        <v>38</v>
      </c>
      <c r="E9" s="100">
        <v>13</v>
      </c>
      <c r="F9" s="100">
        <v>8</v>
      </c>
      <c r="G9" s="100">
        <v>0.93</v>
      </c>
    </row>
    <row r="10" customHeight="1" spans="1:7">
      <c r="A10" s="99">
        <v>8</v>
      </c>
      <c r="B10" s="99" t="s">
        <v>21</v>
      </c>
      <c r="C10" s="99">
        <v>54</v>
      </c>
      <c r="D10" s="99">
        <v>38</v>
      </c>
      <c r="E10" s="99">
        <v>11</v>
      </c>
      <c r="F10" s="99">
        <v>8</v>
      </c>
      <c r="G10" s="99">
        <v>0.93</v>
      </c>
    </row>
    <row r="11" customHeight="1" spans="1:7">
      <c r="A11" s="100" t="s">
        <v>22</v>
      </c>
      <c r="B11" s="100" t="s">
        <v>23</v>
      </c>
      <c r="C11" s="100">
        <v>48</v>
      </c>
      <c r="D11" s="100">
        <v>38</v>
      </c>
      <c r="E11" s="100">
        <v>17</v>
      </c>
      <c r="F11" s="100">
        <v>8</v>
      </c>
      <c r="G11" s="100">
        <v>1.07</v>
      </c>
    </row>
    <row r="12" customHeight="1" spans="1:7">
      <c r="A12" s="99" t="s">
        <v>24</v>
      </c>
      <c r="B12" s="99" t="s">
        <v>25</v>
      </c>
      <c r="C12" s="99">
        <v>55</v>
      </c>
      <c r="D12" s="99">
        <v>44</v>
      </c>
      <c r="E12" s="99">
        <v>38</v>
      </c>
      <c r="F12" s="99">
        <v>10</v>
      </c>
      <c r="G12" s="99">
        <v>1.78</v>
      </c>
    </row>
    <row r="13" customHeight="1" spans="1:7">
      <c r="A13" s="100">
        <v>12</v>
      </c>
      <c r="B13" s="100" t="s">
        <v>26</v>
      </c>
      <c r="C13" s="100">
        <v>54</v>
      </c>
      <c r="D13" s="100">
        <v>38</v>
      </c>
      <c r="E13" s="100">
        <v>10</v>
      </c>
      <c r="F13" s="100">
        <v>12</v>
      </c>
      <c r="G13" s="100">
        <v>1.05</v>
      </c>
    </row>
    <row r="14" customHeight="1" spans="1:7">
      <c r="A14" s="99">
        <v>12</v>
      </c>
      <c r="B14" s="99" t="s">
        <v>27</v>
      </c>
      <c r="C14" s="99">
        <v>48</v>
      </c>
      <c r="D14" s="99">
        <v>38</v>
      </c>
      <c r="E14" s="99">
        <v>26</v>
      </c>
      <c r="F14" s="99">
        <v>12</v>
      </c>
      <c r="G14" s="99">
        <v>1.2</v>
      </c>
    </row>
    <row r="15" customHeight="1" spans="1:7">
      <c r="A15" s="100" t="s">
        <v>28</v>
      </c>
      <c r="B15" s="100" t="s">
        <v>29</v>
      </c>
      <c r="C15" s="100">
        <v>48</v>
      </c>
      <c r="D15" s="100">
        <v>38</v>
      </c>
      <c r="E15" s="100">
        <v>25</v>
      </c>
      <c r="F15" s="100">
        <v>12</v>
      </c>
      <c r="G15" s="100">
        <v>1.2</v>
      </c>
    </row>
    <row r="16" customHeight="1" spans="1:7">
      <c r="A16" s="99">
        <v>16</v>
      </c>
      <c r="B16" s="99" t="s">
        <v>30</v>
      </c>
      <c r="C16" s="99">
        <v>54</v>
      </c>
      <c r="D16" s="99">
        <v>38</v>
      </c>
      <c r="E16" s="99">
        <v>18</v>
      </c>
      <c r="F16" s="99">
        <v>16</v>
      </c>
      <c r="G16" s="99">
        <v>1.25</v>
      </c>
    </row>
    <row r="17" customHeight="1" spans="1:7">
      <c r="A17" s="100">
        <v>18</v>
      </c>
      <c r="B17" s="100" t="s">
        <v>31</v>
      </c>
      <c r="C17" s="100">
        <v>48</v>
      </c>
      <c r="D17" s="100">
        <v>38</v>
      </c>
      <c r="E17" s="100">
        <v>32</v>
      </c>
      <c r="F17" s="100">
        <v>18</v>
      </c>
      <c r="G17" s="100">
        <v>1.5</v>
      </c>
    </row>
    <row r="18" customHeight="1" spans="1:7">
      <c r="A18" s="99">
        <v>20</v>
      </c>
      <c r="B18" s="99" t="s">
        <v>32</v>
      </c>
      <c r="C18" s="99">
        <v>54</v>
      </c>
      <c r="D18" s="99">
        <v>48</v>
      </c>
      <c r="E18" s="99">
        <v>15</v>
      </c>
      <c r="F18" s="99">
        <v>20</v>
      </c>
      <c r="G18" s="99">
        <v>1.47</v>
      </c>
    </row>
    <row r="19" customHeight="1" spans="1:7">
      <c r="A19" s="100">
        <v>21</v>
      </c>
      <c r="B19" s="100" t="s">
        <v>33</v>
      </c>
      <c r="C19" s="100">
        <v>54</v>
      </c>
      <c r="D19" s="100">
        <v>38</v>
      </c>
      <c r="E19" s="100">
        <v>21</v>
      </c>
      <c r="F19" s="100">
        <v>21</v>
      </c>
      <c r="G19" s="100">
        <v>1.2</v>
      </c>
    </row>
    <row r="20" customHeight="1" spans="1:7">
      <c r="A20" s="99" t="s">
        <v>34</v>
      </c>
      <c r="B20" s="99" t="s">
        <v>35</v>
      </c>
      <c r="C20" s="99">
        <v>54</v>
      </c>
      <c r="D20" s="99">
        <v>38</v>
      </c>
      <c r="E20" s="99">
        <v>26</v>
      </c>
      <c r="F20" s="99">
        <v>22</v>
      </c>
      <c r="G20" s="99">
        <v>1.29</v>
      </c>
    </row>
    <row r="21" customHeight="1" spans="1:7">
      <c r="A21" s="100">
        <v>22</v>
      </c>
      <c r="B21" s="100" t="s">
        <v>36</v>
      </c>
      <c r="C21" s="100">
        <v>48</v>
      </c>
      <c r="D21" s="100">
        <v>38</v>
      </c>
      <c r="E21" s="100">
        <v>44</v>
      </c>
      <c r="F21" s="100">
        <v>22</v>
      </c>
      <c r="G21" s="100">
        <v>1.45</v>
      </c>
    </row>
    <row r="22" customHeight="1" spans="1:7">
      <c r="A22" s="99" t="s">
        <v>37</v>
      </c>
      <c r="B22" s="99" t="s">
        <v>38</v>
      </c>
      <c r="C22" s="99">
        <v>48</v>
      </c>
      <c r="D22" s="99">
        <v>38</v>
      </c>
      <c r="E22" s="99">
        <v>37.5</v>
      </c>
      <c r="F22" s="99">
        <v>24</v>
      </c>
      <c r="G22" s="99">
        <v>1.5</v>
      </c>
    </row>
    <row r="23" customHeight="1" spans="1:7">
      <c r="A23" s="100">
        <v>25</v>
      </c>
      <c r="B23" s="100" t="s">
        <v>39</v>
      </c>
      <c r="C23" s="100">
        <v>54</v>
      </c>
      <c r="D23" s="100">
        <v>38</v>
      </c>
      <c r="E23" s="100">
        <v>15</v>
      </c>
      <c r="F23" s="100">
        <v>25</v>
      </c>
      <c r="G23" s="100">
        <v>1.14</v>
      </c>
    </row>
    <row r="24" customHeight="1" spans="1:7">
      <c r="A24" s="99">
        <v>32</v>
      </c>
      <c r="B24" s="99" t="s">
        <v>40</v>
      </c>
      <c r="C24" s="99">
        <v>54</v>
      </c>
      <c r="D24" s="99">
        <v>38</v>
      </c>
      <c r="E24" s="99">
        <v>32.5</v>
      </c>
      <c r="F24" s="99">
        <v>32</v>
      </c>
      <c r="G24" s="99">
        <v>1.4</v>
      </c>
    </row>
    <row r="25" customHeight="1" spans="1:7">
      <c r="A25" s="100" t="s">
        <v>41</v>
      </c>
      <c r="B25" s="100" t="s">
        <v>42</v>
      </c>
      <c r="C25" s="100">
        <v>54</v>
      </c>
      <c r="D25" s="100">
        <v>48</v>
      </c>
      <c r="E25" s="100">
        <v>26</v>
      </c>
      <c r="F25" s="100">
        <v>32</v>
      </c>
      <c r="G25" s="100">
        <v>1.71</v>
      </c>
    </row>
    <row r="26" customHeight="1" spans="1:7">
      <c r="A26" s="99">
        <v>36</v>
      </c>
      <c r="B26" s="99" t="s">
        <v>43</v>
      </c>
      <c r="C26" s="99">
        <v>54</v>
      </c>
      <c r="D26" s="99">
        <v>38</v>
      </c>
      <c r="E26" s="99">
        <v>37.5</v>
      </c>
      <c r="F26" s="99">
        <v>36</v>
      </c>
      <c r="G26" s="99">
        <v>1.6</v>
      </c>
    </row>
    <row r="27" customHeight="1" spans="1:7">
      <c r="A27" s="100">
        <v>44</v>
      </c>
      <c r="B27" s="100" t="s">
        <v>44</v>
      </c>
      <c r="C27" s="100">
        <v>54</v>
      </c>
      <c r="D27" s="100">
        <v>48</v>
      </c>
      <c r="E27" s="100">
        <v>32.5</v>
      </c>
      <c r="F27" s="100">
        <v>44</v>
      </c>
      <c r="G27" s="100">
        <v>1.88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B2:N28"/>
  <sheetViews>
    <sheetView showGridLines="0" tabSelected="1" topLeftCell="A2" workbookViewId="0">
      <selection activeCell="T3" sqref="T3"/>
    </sheetView>
  </sheetViews>
  <sheetFormatPr defaultColWidth="8.71428571428571" defaultRowHeight="15"/>
  <cols>
    <col min="1" max="1" width="6.57142857142857" customWidth="1"/>
    <col min="2" max="2" width="16" style="1" customWidth="1"/>
    <col min="3" max="3" width="14" style="1" customWidth="1"/>
    <col min="4" max="11" width="10" style="1" customWidth="1"/>
    <col min="12" max="12" width="18" style="1" customWidth="1"/>
    <col min="13" max="13" width="14" style="1" customWidth="1"/>
  </cols>
  <sheetData>
    <row r="2" ht="36" customHeight="1" spans="2:14">
      <c r="B2" s="2" t="s">
        <v>45</v>
      </c>
      <c r="C2" s="3"/>
      <c r="D2" s="3"/>
      <c r="E2" s="3"/>
      <c r="F2" s="3"/>
      <c r="G2" s="3"/>
      <c r="H2" s="3"/>
      <c r="I2" s="3"/>
      <c r="J2" s="3"/>
      <c r="K2" s="3"/>
      <c r="L2" s="3"/>
      <c r="M2" s="4"/>
    </row>
    <row r="3" ht="18" customHeight="1" spans="2:14">
      <c r="B3" s="5"/>
      <c r="C3" s="6"/>
      <c r="D3" s="6"/>
      <c r="E3" s="6"/>
      <c r="F3" s="6"/>
      <c r="G3" s="6"/>
      <c r="H3" s="6"/>
      <c r="I3" s="6"/>
      <c r="J3" s="6"/>
      <c r="K3" s="6"/>
      <c r="L3" s="6"/>
      <c r="M3" s="7"/>
    </row>
    <row r="4" ht="7.5" customHeight="1" spans="2:14">
      <c r="B4" s="8"/>
      <c r="C4" s="9"/>
      <c r="D4" s="9"/>
      <c r="E4" s="9"/>
      <c r="F4" s="9"/>
      <c r="G4" s="9"/>
      <c r="H4" s="9"/>
      <c r="I4" s="9"/>
      <c r="J4" s="9"/>
      <c r="K4" s="9"/>
      <c r="L4" s="9"/>
      <c r="M4" s="10"/>
    </row>
    <row r="5" ht="24" customHeight="1" spans="2:14">
      <c r="B5" s="11" t="s">
        <v>46</v>
      </c>
      <c r="C5" s="12"/>
      <c r="D5" s="13">
        <v>710953355</v>
      </c>
      <c r="E5" s="13"/>
      <c r="F5" s="12" t="s">
        <v>47</v>
      </c>
      <c r="G5" s="12"/>
      <c r="H5" s="14">
        <v>103</v>
      </c>
      <c r="I5" s="14"/>
      <c r="J5" s="12" t="s">
        <v>48</v>
      </c>
      <c r="K5" s="12"/>
      <c r="L5" s="15">
        <f>H5/L6</f>
        <v>1.24096385542169</v>
      </c>
      <c r="M5" s="16"/>
      <c r="N5" s="17"/>
    </row>
    <row r="6" ht="7.5" customHeight="1" spans="2:14">
      <c r="B6" s="18"/>
      <c r="C6" s="19"/>
      <c r="D6" s="19"/>
      <c r="E6" s="19"/>
      <c r="F6" s="19"/>
      <c r="G6" s="19"/>
      <c r="H6" s="19"/>
      <c r="I6" s="19"/>
      <c r="J6" s="19"/>
      <c r="K6" s="19"/>
      <c r="L6" s="20">
        <v>83</v>
      </c>
      <c r="M6" s="21"/>
    </row>
    <row r="7" ht="21.75" customHeight="1" spans="2:14">
      <c r="B7" s="22" t="s">
        <v>49</v>
      </c>
      <c r="C7" s="23"/>
      <c r="D7" s="23"/>
      <c r="E7" s="23"/>
      <c r="F7" s="23"/>
      <c r="G7" s="23"/>
      <c r="H7" s="23"/>
      <c r="I7" s="23"/>
      <c r="J7" s="23"/>
      <c r="K7" s="23"/>
      <c r="L7" s="23"/>
      <c r="M7" s="24"/>
    </row>
    <row r="8" ht="19.5" customHeight="1" spans="2:14">
      <c r="B8" s="25" t="s">
        <v>50</v>
      </c>
      <c r="C8" s="26"/>
      <c r="D8" s="26" t="s">
        <v>51</v>
      </c>
      <c r="E8" s="26" t="s">
        <v>52</v>
      </c>
      <c r="F8" s="26" t="s">
        <v>53</v>
      </c>
      <c r="G8" s="26" t="s">
        <v>54</v>
      </c>
      <c r="H8" s="26" t="s">
        <v>55</v>
      </c>
      <c r="I8" s="26" t="s">
        <v>56</v>
      </c>
      <c r="J8" s="26" t="s">
        <v>57</v>
      </c>
      <c r="K8" s="26" t="s">
        <v>58</v>
      </c>
      <c r="L8" s="26" t="s">
        <v>59</v>
      </c>
      <c r="M8" s="27"/>
    </row>
    <row r="9" ht="21.75" customHeight="1" spans="2:14">
      <c r="B9" s="28" t="s">
        <v>60</v>
      </c>
      <c r="C9" s="29"/>
      <c r="D9" s="30">
        <v>0.398</v>
      </c>
      <c r="E9" s="30">
        <v>0.419</v>
      </c>
      <c r="F9" s="30">
        <v>0.449</v>
      </c>
      <c r="G9" s="30">
        <v>0.488</v>
      </c>
      <c r="H9" s="30">
        <v>0.517</v>
      </c>
      <c r="I9" s="30">
        <v>0.544</v>
      </c>
      <c r="J9" s="30"/>
      <c r="K9" s="30"/>
      <c r="L9" s="31" t="s">
        <v>61</v>
      </c>
      <c r="M9" s="32"/>
    </row>
    <row r="10" ht="21.75" customHeight="1" spans="2:14">
      <c r="B10" s="33" t="s">
        <v>62</v>
      </c>
      <c r="C10" s="34"/>
      <c r="D10" s="35">
        <f>+I15</f>
        <v>32</v>
      </c>
      <c r="E10" s="35">
        <f>+I15</f>
        <v>32</v>
      </c>
      <c r="F10" s="35">
        <f>+I15</f>
        <v>32</v>
      </c>
      <c r="G10" s="35">
        <f>+I15</f>
        <v>32</v>
      </c>
      <c r="H10" s="35">
        <f>+I15</f>
        <v>32</v>
      </c>
      <c r="I10" s="35">
        <f>+I15</f>
        <v>32</v>
      </c>
      <c r="J10" s="35"/>
      <c r="K10" s="35"/>
      <c r="L10" s="36" t="s">
        <v>63</v>
      </c>
      <c r="M10" s="37"/>
    </row>
    <row r="11" ht="7.5" customHeight="1" spans="2:14">
      <c r="B11" s="18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21"/>
    </row>
    <row r="12" ht="21.75" customHeight="1" spans="2:14">
      <c r="B12" s="38" t="s">
        <v>64</v>
      </c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40"/>
    </row>
    <row r="13" ht="24" customHeight="1" spans="2:14">
      <c r="B13" s="41" t="s">
        <v>0</v>
      </c>
      <c r="C13" s="42"/>
      <c r="D13" s="43" t="s">
        <v>41</v>
      </c>
      <c r="E13" s="43"/>
      <c r="F13" s="43"/>
      <c r="G13" s="44" t="s">
        <v>65</v>
      </c>
      <c r="H13" s="44"/>
      <c r="I13" s="45"/>
      <c r="J13" s="45"/>
      <c r="K13" s="45"/>
      <c r="L13" s="45"/>
      <c r="M13" s="46"/>
    </row>
    <row r="14" ht="21.75" customHeight="1" spans="2:14">
      <c r="B14" s="47" t="s">
        <v>66</v>
      </c>
      <c r="C14" s="48"/>
      <c r="D14" s="49" t="str">
        <f>IFERROR(VLOOKUP(D13,Carton_DB!A:G,2,0),"")</f>
        <v>54*48*26</v>
      </c>
      <c r="E14" s="49"/>
      <c r="F14" s="49"/>
      <c r="G14" s="50" t="s">
        <v>67</v>
      </c>
      <c r="H14" s="50"/>
      <c r="I14" s="49" t="str">
        <f>IFERROR(VLOOKUP(D13,Carton_DB!A:G,3,0)&amp;" × "&amp;VLOOKUP(D13,Carton_DB!A:G,4,0)&amp;" × "&amp;VLOOKUP(D13,Carton_DB!A:G,5,0)&amp;"","")</f>
        <v>54 × 48 × 26</v>
      </c>
      <c r="J14" s="49"/>
      <c r="K14" s="49"/>
      <c r="L14" s="51" t="s">
        <v>68</v>
      </c>
      <c r="M14" s="52"/>
    </row>
    <row r="15" ht="21.75" customHeight="1" spans="2:14">
      <c r="B15" s="53" t="s">
        <v>69</v>
      </c>
      <c r="C15" s="54"/>
      <c r="D15" s="55">
        <f>IFERROR(VLOOKUP(D13,Carton_DB!A:G,7,0),"")</f>
        <v>1.71</v>
      </c>
      <c r="E15" s="55"/>
      <c r="F15" s="55"/>
      <c r="G15" s="56" t="s">
        <v>70</v>
      </c>
      <c r="H15" s="56"/>
      <c r="I15" s="57">
        <f>IFERROR(VLOOKUP(D13,Carton_DB!A:G,6,0),"")</f>
        <v>32</v>
      </c>
      <c r="J15" s="57"/>
      <c r="K15" s="57"/>
      <c r="L15" s="58"/>
      <c r="M15" s="59"/>
    </row>
    <row r="16" ht="7.5" customHeight="1" spans="2:14">
      <c r="B16" s="18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21"/>
    </row>
    <row r="17" ht="21.75" customHeight="1" spans="2:13">
      <c r="B17" s="60" t="s">
        <v>71</v>
      </c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2"/>
    </row>
    <row r="18" ht="19.5" customHeight="1" spans="2:13">
      <c r="B18" s="63" t="s">
        <v>50</v>
      </c>
      <c r="C18" s="64"/>
      <c r="D18" s="64" t="s">
        <v>51</v>
      </c>
      <c r="E18" s="64" t="s">
        <v>52</v>
      </c>
      <c r="F18" s="64" t="s">
        <v>53</v>
      </c>
      <c r="G18" s="64" t="s">
        <v>54</v>
      </c>
      <c r="H18" s="64" t="s">
        <v>55</v>
      </c>
      <c r="I18" s="64" t="s">
        <v>56</v>
      </c>
      <c r="J18" s="64" t="s">
        <v>72</v>
      </c>
      <c r="K18" s="64" t="s">
        <v>73</v>
      </c>
      <c r="L18" s="64" t="s">
        <v>74</v>
      </c>
      <c r="M18" s="65"/>
    </row>
    <row r="19" ht="25.5" customHeight="1" spans="2:13">
      <c r="B19" s="66" t="s">
        <v>75</v>
      </c>
      <c r="C19" s="67"/>
      <c r="D19" s="68">
        <f>IF(OR(D9=0,D9="",D10=0,D10=""),"-",ROUND($D$15+(D9*D10),2))</f>
        <v>14.45</v>
      </c>
      <c r="E19" s="68">
        <f>IF(OR(E9=0,E9="",E10=0,E10=""),"-",ROUND($D$15+(E9*E10),2))</f>
        <v>15.12</v>
      </c>
      <c r="F19" s="68">
        <f>IF(OR(F9=0,F9="",F10=0,F10=""),"-",ROUND($D$15+(F9*F10),2))</f>
        <v>16.08</v>
      </c>
      <c r="G19" s="68">
        <f>IF(OR(G9=0,G9="",G10=0,G10=""),"-",ROUND($D$15+(G9*G10),2))</f>
        <v>17.33</v>
      </c>
      <c r="H19" s="68">
        <f t="shared" ref="D19:K19" si="0">IF(OR(H9=0,H9="",H10=0,H10=""),"-",ROUND($D$15+(H9*H10),2))</f>
        <v>18.25</v>
      </c>
      <c r="I19" s="68">
        <f t="shared" si="0"/>
        <v>19.12</v>
      </c>
      <c r="J19" s="68" t="str">
        <f t="shared" si="0"/>
        <v>-</v>
      </c>
      <c r="K19" s="68" t="str">
        <f t="shared" si="0"/>
        <v>-</v>
      </c>
      <c r="L19" s="69" t="s">
        <v>76</v>
      </c>
      <c r="M19" s="70"/>
    </row>
    <row r="20" ht="21.75" customHeight="1" spans="2:13">
      <c r="B20" s="47" t="s">
        <v>77</v>
      </c>
      <c r="C20" s="48"/>
      <c r="D20" s="71">
        <f>IF(OR(D9=0,D9="",D10=0,D10=""),"-",ROUND(D9*D10,2))</f>
        <v>12.74</v>
      </c>
      <c r="E20" s="71">
        <f t="shared" ref="D20:K20" si="1">IF(OR(E9=0,E9="",E10=0,E10=""),"-",ROUND(E9*E10,2))</f>
        <v>13.41</v>
      </c>
      <c r="F20" s="71">
        <f t="shared" si="1"/>
        <v>14.37</v>
      </c>
      <c r="G20" s="71">
        <f t="shared" si="1"/>
        <v>15.62</v>
      </c>
      <c r="H20" s="71">
        <f t="shared" si="1"/>
        <v>16.54</v>
      </c>
      <c r="I20" s="71">
        <f t="shared" si="1"/>
        <v>17.41</v>
      </c>
      <c r="J20" s="71" t="str">
        <f t="shared" si="1"/>
        <v>-</v>
      </c>
      <c r="K20" s="71" t="str">
        <f t="shared" si="1"/>
        <v>-</v>
      </c>
      <c r="L20" s="72" t="s">
        <v>78</v>
      </c>
      <c r="M20" s="73"/>
    </row>
    <row r="21" ht="21.75" customHeight="1" spans="2:13">
      <c r="B21" s="53" t="s">
        <v>79</v>
      </c>
      <c r="C21" s="54"/>
      <c r="D21" s="74">
        <f t="shared" ref="D21:K21" si="2">IF(OR(D9=0,D9="",D10=0,D10=""),"-",ROUND(D9,3))</f>
        <v>0.398</v>
      </c>
      <c r="E21" s="74">
        <f t="shared" si="2"/>
        <v>0.419</v>
      </c>
      <c r="F21" s="74">
        <f t="shared" si="2"/>
        <v>0.449</v>
      </c>
      <c r="G21" s="74">
        <f t="shared" si="2"/>
        <v>0.488</v>
      </c>
      <c r="H21" s="74">
        <f t="shared" si="2"/>
        <v>0.517</v>
      </c>
      <c r="I21" s="74">
        <f t="shared" si="2"/>
        <v>0.544</v>
      </c>
      <c r="J21" s="74" t="str">
        <f t="shared" si="2"/>
        <v>-</v>
      </c>
      <c r="K21" s="74" t="str">
        <f t="shared" si="2"/>
        <v>-</v>
      </c>
      <c r="L21" s="75"/>
      <c r="M21" s="59"/>
    </row>
    <row r="22" ht="7.5" customHeight="1" spans="2:13">
      <c r="B22" s="18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21"/>
    </row>
    <row r="23" ht="21.75" customHeight="1" spans="2:13">
      <c r="B23" s="76" t="s">
        <v>80</v>
      </c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8"/>
    </row>
    <row r="24" ht="21.75" customHeight="1" spans="2:13">
      <c r="B24" s="79" t="s">
        <v>81</v>
      </c>
      <c r="C24" s="80"/>
      <c r="D24" s="80"/>
      <c r="E24" s="81">
        <f>COUNTIF(D9:K9,"&gt;"&amp;0)</f>
        <v>6</v>
      </c>
      <c r="F24" s="81"/>
      <c r="G24" s="81"/>
      <c r="H24" s="80" t="s">
        <v>82</v>
      </c>
      <c r="I24" s="80"/>
      <c r="J24" s="80"/>
      <c r="K24" s="82">
        <f>IFERROR(MIN(IF(ISNUMBER(D19:K19),D19:K19)),"-")</f>
        <v>0</v>
      </c>
      <c r="L24" s="82"/>
      <c r="M24" s="83"/>
    </row>
    <row r="25" ht="21.75" customHeight="1" spans="2:13">
      <c r="B25" s="84" t="s">
        <v>83</v>
      </c>
      <c r="C25" s="85"/>
      <c r="D25" s="85"/>
      <c r="E25" s="86">
        <f>IFERROR(D15,"-")</f>
        <v>1.71</v>
      </c>
      <c r="F25" s="86"/>
      <c r="G25" s="86"/>
      <c r="H25" s="85" t="s">
        <v>84</v>
      </c>
      <c r="I25" s="85"/>
      <c r="J25" s="85"/>
      <c r="K25" s="87">
        <f>IFERROR(MAX(IF(ISNUMBER(D19:K19),D19:K19)),"-")</f>
        <v>0</v>
      </c>
      <c r="L25" s="87"/>
      <c r="M25" s="88"/>
    </row>
    <row r="26" ht="7.5" customHeight="1" spans="2:13">
      <c r="B26" s="18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21"/>
    </row>
    <row r="27" ht="15.75" customHeight="1" spans="2:13">
      <c r="B27" s="89" t="s">
        <v>85</v>
      </c>
      <c r="C27" s="90"/>
      <c r="D27" s="90"/>
      <c r="E27" s="90"/>
      <c r="F27" s="90"/>
      <c r="G27" s="90"/>
      <c r="H27" s="90"/>
      <c r="I27" s="90"/>
      <c r="J27" s="90"/>
      <c r="K27" s="90"/>
      <c r="L27" s="90"/>
      <c r="M27" s="91"/>
    </row>
    <row r="28" ht="18" customHeight="1" spans="2:13">
      <c r="B28" s="92" t="s">
        <v>86</v>
      </c>
      <c r="C28" s="93"/>
      <c r="D28" s="93"/>
      <c r="E28" s="94" t="s">
        <v>87</v>
      </c>
      <c r="F28" s="94"/>
      <c r="G28" s="94"/>
      <c r="H28" s="95" t="s">
        <v>88</v>
      </c>
      <c r="I28" s="95"/>
      <c r="J28" s="95"/>
      <c r="K28" s="96" t="s">
        <v>89</v>
      </c>
      <c r="L28" s="96"/>
      <c r="M28" s="97"/>
    </row>
  </sheetData>
  <mergeCells count="48">
    <mergeCell ref="B2:M2"/>
    <mergeCell ref="B3:M3"/>
    <mergeCell ref="B5:C5"/>
    <mergeCell ref="D5:E5"/>
    <mergeCell ref="F5:G5"/>
    <mergeCell ref="H5:I5"/>
    <mergeCell ref="J5:K5"/>
    <mergeCell ref="L5:M5"/>
    <mergeCell ref="B7:M7"/>
    <mergeCell ref="B8:C8"/>
    <mergeCell ref="L8:M8"/>
    <mergeCell ref="B9:C9"/>
    <mergeCell ref="L9:M9"/>
    <mergeCell ref="B10:C10"/>
    <mergeCell ref="L10:M10"/>
    <mergeCell ref="B12:M12"/>
    <mergeCell ref="B13:C13"/>
    <mergeCell ref="D13:F13"/>
    <mergeCell ref="G13:H13"/>
    <mergeCell ref="B14:C14"/>
    <mergeCell ref="D14:F14"/>
    <mergeCell ref="G14:H14"/>
    <mergeCell ref="I14:K14"/>
    <mergeCell ref="L14:M14"/>
    <mergeCell ref="B15:C15"/>
    <mergeCell ref="D15:F15"/>
    <mergeCell ref="G15:H15"/>
    <mergeCell ref="I15:K15"/>
    <mergeCell ref="B17:M17"/>
    <mergeCell ref="B18:C18"/>
    <mergeCell ref="L18:M18"/>
    <mergeCell ref="B19:C19"/>
    <mergeCell ref="B20:C20"/>
    <mergeCell ref="B21:C21"/>
    <mergeCell ref="B23:M23"/>
    <mergeCell ref="B24:D24"/>
    <mergeCell ref="E24:G24"/>
    <mergeCell ref="H24:J24"/>
    <mergeCell ref="K24:M24"/>
    <mergeCell ref="B25:D25"/>
    <mergeCell ref="E25:G25"/>
    <mergeCell ref="H25:J25"/>
    <mergeCell ref="K25:M25"/>
    <mergeCell ref="B27:M27"/>
    <mergeCell ref="B28:D28"/>
    <mergeCell ref="E28:G28"/>
    <mergeCell ref="H28:J28"/>
    <mergeCell ref="K28:M28"/>
  </mergeCells>
  <dataValidations count="1">
    <dataValidation type="list" allowBlank="1" sqref="D13:F13">
      <formula1>Carton_DB!$A$2:$A$27</formula1>
    </dataValidation>
  </dataValidation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Carton_DB</vt:lpstr>
      <vt:lpstr>Weight Calculator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</cp:lastModifiedBy>
  <cp:revision>0</cp:revision>
  <dcterms:created xsi:type="dcterms:W3CDTF">2026-06-23T11:01:00Z</dcterms:created>
  <dcterms:modified xsi:type="dcterms:W3CDTF">2026-06-24T07:05:25Z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523B6A7167D74F138224A0588AF07DCA_12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