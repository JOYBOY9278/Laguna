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00" tabRatio="500" activeTab="1"/>
  </bookViews>
  <sheets>
    <sheet name="Dashboard" sheetId="1" r:id="rId1"/>
    <sheet name="input " sheetId="2" r:id="rId2"/>
    <sheet name="outpu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<sst xmlns="http://schemas.openxmlformats.org/spreadsheetml/2006/main" count="133" uniqueCount="92">
  <si>
    <t xml:space="preserve">  HUGO BOSS  |  PACKING LIST DASHBOARD</t>
  </si>
  <si>
    <t>TOTAL ORDER QUANTITY</t>
  </si>
  <si>
    <t>TOTAL CARTONS PACKED</t>
  </si>
  <si>
    <t>SIZES IN ORDER</t>
  </si>
  <si>
    <t>pieces</t>
  </si>
  <si>
    <t>cartons</t>
  </si>
  <si>
    <t>active sizes</t>
  </si>
  <si>
    <t xml:space="preserve">  ▸  ORDER QUANTITY BY SIZE</t>
  </si>
  <si>
    <t>SIZE</t>
  </si>
  <si>
    <t>36</t>
  </si>
  <si>
    <t>37</t>
  </si>
  <si>
    <t>38</t>
  </si>
  <si>
    <t>39</t>
  </si>
  <si>
    <t>40</t>
  </si>
  <si>
    <t>41</t>
  </si>
  <si>
    <t>42</t>
  </si>
  <si>
    <t>43</t>
  </si>
  <si>
    <t>TOTAL</t>
  </si>
  <si>
    <t>Order Qty</t>
  </si>
  <si>
    <t>Packed Qty</t>
  </si>
  <si>
    <t>Variance</t>
  </si>
  <si>
    <t>Fill %</t>
  </si>
  <si>
    <t xml:space="preserve">  ▸  CARTON ALLOCATION SUMMARY</t>
  </si>
  <si>
    <t>Carton Range</t>
  </si>
  <si>
    <t>PO No</t>
  </si>
  <si>
    <t>Style No</t>
  </si>
  <si>
    <t>Sizes
Used</t>
  </si>
  <si>
    <t>N°
Ctns</t>
  </si>
  <si>
    <t>Pcs/
Ctn</t>
  </si>
  <si>
    <t>Total
Pcs</t>
  </si>
  <si>
    <t>GW
(kg)</t>
  </si>
  <si>
    <t>NW
(kg)</t>
  </si>
  <si>
    <t>Ctn Size</t>
  </si>
  <si>
    <t xml:space="preserve">  ▸  PACKING EFFICIENCY</t>
  </si>
  <si>
    <t>TOTAL CARTONS</t>
  </si>
  <si>
    <t>CARTON ROWS GENERATED</t>
  </si>
  <si>
    <t>FILL RATE</t>
  </si>
  <si>
    <t>ctns</t>
  </si>
  <si>
    <t>of order qty</t>
  </si>
  <si>
    <t xml:space="preserve">  PACKING LIST  |  INPUT SHEET</t>
  </si>
  <si>
    <t xml:space="preserve">  ORDER DETAILS</t>
  </si>
  <si>
    <t xml:space="preserve">  CARTON SETTINGS</t>
  </si>
  <si>
    <t>Capacity (pcs):</t>
  </si>
  <si>
    <t>Color</t>
  </si>
  <si>
    <t>Dark Blue</t>
  </si>
  <si>
    <t>Item</t>
  </si>
  <si>
    <t>00010</t>
  </si>
  <si>
    <t>Colour N°</t>
  </si>
  <si>
    <t>Form Name</t>
  </si>
  <si>
    <t xml:space="preserve"> H-HANK-SP-C1-271</t>
  </si>
  <si>
    <t>Form No</t>
  </si>
  <si>
    <t>Quality</t>
  </si>
  <si>
    <t xml:space="preserve">  ORDER QUANTITY BY SIZE</t>
  </si>
  <si>
    <t>ORDER QTY</t>
  </si>
  <si>
    <t xml:space="preserve">  HOW TO USE</t>
  </si>
  <si>
    <t>1.  Fill in Order Details: Style No, PO No, Color, Form No, Quality, Item</t>
  </si>
  <si>
    <t>2.  Enter order quantities by size in the yellow input cells (row 12)</t>
  </si>
  <si>
    <t>3.  Run macro:  Alt + F8  →  GeneratePackingList  →  Run</t>
  </si>
  <si>
    <t>4.  Check the Output sheet and Dashboard for the generated packing list</t>
  </si>
  <si>
    <t xml:space="preserve">  HUGO BOSS  |  PACKING LIST OUTPUT</t>
  </si>
  <si>
    <t>Supplier Name:</t>
  </si>
  <si>
    <t>Laguna Clothing PVT LTD</t>
  </si>
  <si>
    <t>143/2 Kalegowdana Doddi</t>
  </si>
  <si>
    <t>BM Road, NH 209, Kanakpura Taluk</t>
  </si>
  <si>
    <t>562117 RAMANAGARA</t>
  </si>
  <si>
    <t>India</t>
  </si>
  <si>
    <t>CON NO:</t>
  </si>
  <si>
    <t>Carton N°</t>
  </si>
  <si>
    <t>PO NO</t>
  </si>
  <si>
    <t>STYLE NO</t>
  </si>
  <si>
    <t>FORM NO</t>
  </si>
  <si>
    <t>FORM NAME</t>
  </si>
  <si>
    <t>QUALITY</t>
  </si>
  <si>
    <t>Colour</t>
  </si>
  <si>
    <t>ITEM</t>
  </si>
  <si>
    <t>N° Cartons</t>
  </si>
  <si>
    <t>Per CTN</t>
  </si>
  <si>
    <t>Total Pcs</t>
  </si>
  <si>
    <t>GW/ctn</t>
  </si>
  <si>
    <t>NW/ctn</t>
  </si>
  <si>
    <t>GW</t>
  </si>
  <si>
    <t>NW</t>
  </si>
  <si>
    <t>-</t>
  </si>
  <si>
    <t>584X382X312 MM</t>
  </si>
  <si>
    <t>S-TOTAL</t>
  </si>
  <si>
    <t xml:space="preserve">  SUMMARY  —  ORDER vs PACKED</t>
  </si>
  <si>
    <t>44</t>
  </si>
  <si>
    <t>45</t>
  </si>
  <si>
    <t>46</t>
  </si>
  <si>
    <t>47</t>
  </si>
  <si>
    <t>Order</t>
  </si>
  <si>
    <t>Packed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</si>
</sst>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0.000"/>
    <numFmt numFmtId="181" formatCode="dd/mmm/yyyy"/>
    <numFmt numFmtId="182" formatCode="#,##0;[Red]\-#,##0;\-"/>
  </numFmts>
  <fonts count="45">
    <font>
      <sz val="11"/>
      <color theme="1"/>
      <name val="Calibri"/>
      <charset val="1"/>
    </font>
    <font>
      <b/>
      <sz val="13"/>
      <color rgb="FFFFFFFF"/>
      <name val="Arial"/>
      <charset val="1"/>
    </font>
    <font>
      <b/>
      <sz val="8"/>
      <color rgb="FF3A3A3A"/>
      <name val="Arial"/>
      <charset val="1"/>
    </font>
    <font>
      <sz val="8"/>
      <color rgb="FF3A3A3A"/>
      <name val="Arial"/>
      <charset val="1"/>
    </font>
    <font>
      <b/>
      <sz val="8"/>
      <color rgb="FFFFFFFF"/>
      <name val="Arial"/>
      <charset val="1"/>
    </font>
    <font>
      <sz val="9"/>
      <color rgb="FF3A3A3A"/>
      <name val="Arial"/>
      <charset val="1"/>
    </font>
    <font>
      <b/>
      <sz val="9"/>
      <color rgb="FFFFFFFF"/>
      <name val="Arial"/>
      <charset val="1"/>
    </font>
    <font>
      <b/>
      <sz val="8"/>
      <color rgb="FF1A56A0"/>
      <name val="Arial"/>
      <charset val="1"/>
    </font>
    <font>
      <b/>
      <sz val="14"/>
      <color rgb="FFFFFFFF"/>
      <name val="Arial"/>
      <charset val="1"/>
    </font>
    <font>
      <b/>
      <sz val="9"/>
      <color rgb="FF1A56A0"/>
      <name val="Arial"/>
      <charset val="1"/>
    </font>
    <font>
      <sz val="10"/>
      <color rgb="FF3A3A3A"/>
      <name val="Arial"/>
      <charset val="1"/>
    </font>
    <font>
      <b/>
      <sz val="12"/>
      <color rgb="FF1A56A0"/>
      <name val="Arial"/>
      <charset val="1"/>
    </font>
    <font>
      <b/>
      <sz val="10"/>
      <color rgb="FFFFFFFF"/>
      <name val="Arial"/>
      <charset val="1"/>
    </font>
    <font>
      <b/>
      <sz val="11"/>
      <color rgb="FF0D1B40"/>
      <name val="Arial"/>
      <charset val="1"/>
    </font>
    <font>
      <b/>
      <sz val="11"/>
      <color rgb="FFFFFFFF"/>
      <name val="Arial"/>
      <charset val="1"/>
    </font>
    <font>
      <b/>
      <sz val="15"/>
      <color rgb="FFFFFFFF"/>
      <name val="Arial"/>
      <charset val="1"/>
    </font>
    <font>
      <sz val="9"/>
      <color rgb="FFAABBDD"/>
      <name val="Arial"/>
      <charset val="1"/>
    </font>
    <font>
      <b/>
      <sz val="8"/>
      <color rgb="FFB0C8E8"/>
      <name val="Arial"/>
      <charset val="1"/>
    </font>
    <font>
      <b/>
      <sz val="20"/>
      <color rgb="FFFFFFFF"/>
      <name val="Arial"/>
      <charset val="1"/>
    </font>
    <font>
      <i/>
      <sz val="8"/>
      <color rgb="FFB0C8E8"/>
      <name val="Arial"/>
      <charset val="1"/>
    </font>
    <font>
      <sz val="10"/>
      <color rgb="FF1E8449"/>
      <name val="Arial"/>
      <charset val="1"/>
    </font>
    <font>
      <b/>
      <sz val="8"/>
      <color rgb="FFD0E4FF"/>
      <name val="Arial"/>
      <charset val="1"/>
    </font>
    <font>
      <b/>
      <sz val="16"/>
      <color rgb="FFFFFFFF"/>
      <name val="Arial"/>
      <charset val="1"/>
    </font>
    <font>
      <i/>
      <sz val="8"/>
      <color rgb="FFD0E4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0D1B40"/>
        <bgColor rgb="FF003300"/>
      </patternFill>
    </fill>
    <fill>
      <patternFill patternType="solid">
        <fgColor rgb="FFF2F4F8"/>
        <bgColor rgb="FFFFFFFF"/>
      </patternFill>
    </fill>
    <fill>
      <patternFill patternType="solid">
        <fgColor rgb="FF1A56A0"/>
        <bgColor rgb="FF333399"/>
      </patternFill>
    </fill>
    <fill>
      <patternFill patternType="solid">
        <fgColor rgb="FFFFFFFF"/>
        <bgColor rgb="FFFFFDE7"/>
      </patternFill>
    </fill>
    <fill>
      <patternFill patternType="solid">
        <fgColor rgb="FFD6DCEC"/>
        <bgColor rgb="FFD0E4FF"/>
      </patternFill>
    </fill>
    <fill>
      <patternFill patternType="solid">
        <fgColor rgb="FFFFFDE7"/>
        <bgColor rgb="FFFFFFFF"/>
      </patternFill>
    </fill>
    <fill>
      <patternFill patternType="solid">
        <fgColor rgb="FF2E86C1"/>
        <bgColor rgb="FF008080"/>
      </patternFill>
    </fill>
    <fill>
      <patternFill patternType="solid">
        <fgColor rgb="FFE6970A"/>
        <bgColor rgb="FFFF6600"/>
      </patternFill>
    </fill>
    <fill>
      <patternFill patternType="solid">
        <fgColor rgb="FF1E8449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4" fillId="0" borderId="0" applyBorder="0" applyAlignment="0" applyProtection="0"/>
    <xf numFmtId="177" fontId="24" fillId="0" borderId="0" applyBorder="0" applyAlignment="0" applyProtection="0"/>
    <xf numFmtId="9" fontId="24" fillId="0" borderId="0" applyBorder="0" applyAlignment="0" applyProtection="0"/>
    <xf numFmtId="178" fontId="24" fillId="0" borderId="0" applyBorder="0" applyAlignment="0" applyProtection="0"/>
    <xf numFmtId="179" fontId="24" fillId="0" borderId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3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3" fillId="0" borderId="5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5" fillId="13" borderId="7" applyNumberFormat="0" applyAlignment="0" applyProtection="0">
      <alignment vertical="center"/>
    </xf>
    <xf numFmtId="0" fontId="36" fillId="13" borderId="6" applyNumberFormat="0" applyAlignment="0" applyProtection="0">
      <alignment vertical="center"/>
    </xf>
    <xf numFmtId="0" fontId="37" fillId="14" borderId="8" applyNumberFormat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</cellStyleXfs>
  <cellXfs count="76">
    <xf numFmtId="0" fontId="0" fillId="0" borderId="0" xfId="0"/>
    <xf numFmtId="0" fontId="0" fillId="0" borderId="0" xfId="0" applyAlignment="1"/>
    <xf numFmtId="0" fontId="1" fillId="2" borderId="0" xfId="0" applyFont="1" applyFill="1" applyBorder="1" applyAlignment="1">
      <alignment horizontal="left" vertical="center"/>
    </xf>
    <xf numFmtId="0" fontId="0" fillId="3" borderId="0" xfId="0" applyFill="1" applyAlignment="1"/>
    <xf numFmtId="0" fontId="2" fillId="3" borderId="0" xfId="0" applyFont="1" applyFill="1" applyBorder="1" applyAlignment="1">
      <alignment horizontal="left" vertical="center"/>
    </xf>
    <xf numFmtId="0" fontId="0" fillId="3" borderId="0" xfId="0" applyFill="1" applyAlignment="1">
      <alignment horizontal="center"/>
    </xf>
    <xf numFmtId="0" fontId="3" fillId="3" borderId="0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180" fontId="5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180" fontId="5" fillId="6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3" fontId="5" fillId="5" borderId="2" xfId="0" applyNumberFormat="1" applyFont="1" applyFill="1" applyBorder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3" fontId="5" fillId="6" borderId="2" xfId="0" applyNumberFormat="1" applyFont="1" applyFill="1" applyBorder="1" applyAlignment="1">
      <alignment horizontal="center" vertical="center"/>
    </xf>
    <xf numFmtId="0" fontId="0" fillId="2" borderId="0" xfId="0" applyFill="1" applyAlignment="1"/>
    <xf numFmtId="0" fontId="8" fillId="2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3" fontId="13" fillId="7" borderId="1" xfId="0" applyNumberFormat="1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81" fontId="16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3" fontId="18" fillId="4" borderId="1" xfId="0" applyNumberFormat="1" applyFont="1" applyFill="1" applyBorder="1" applyAlignment="1">
      <alignment horizontal="center" vertical="center"/>
    </xf>
    <xf numFmtId="3" fontId="18" fillId="8" borderId="1" xfId="0" applyNumberFormat="1" applyFont="1" applyFill="1" applyBorder="1" applyAlignment="1">
      <alignment horizontal="center" vertical="center"/>
    </xf>
    <xf numFmtId="1" fontId="18" fillId="2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3" fontId="10" fillId="5" borderId="1" xfId="0" applyNumberFormat="1" applyFont="1" applyFill="1" applyBorder="1" applyAlignment="1">
      <alignment horizontal="center" vertical="center"/>
    </xf>
    <xf numFmtId="3" fontId="12" fillId="4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3" fontId="20" fillId="6" borderId="1" xfId="0" applyNumberFormat="1" applyFont="1" applyFill="1" applyBorder="1" applyAlignment="1">
      <alignment horizontal="center" vertical="center"/>
    </xf>
    <xf numFmtId="182" fontId="10" fillId="5" borderId="1" xfId="0" applyNumberFormat="1" applyFont="1" applyFill="1" applyBorder="1" applyAlignment="1">
      <alignment horizontal="center" vertical="center"/>
    </xf>
    <xf numFmtId="182" fontId="12" fillId="4" borderId="1" xfId="0" applyNumberFormat="1" applyFont="1" applyFill="1" applyBorder="1" applyAlignment="1">
      <alignment horizontal="center" vertical="center"/>
    </xf>
    <xf numFmtId="9" fontId="10" fillId="6" borderId="1" xfId="0" applyNumberFormat="1" applyFont="1" applyFill="1" applyBorder="1" applyAlignment="1">
      <alignment horizontal="center" vertical="center"/>
    </xf>
    <xf numFmtId="9" fontId="12" fillId="4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3" fontId="22" fillId="4" borderId="1" xfId="0" applyNumberFormat="1" applyFont="1" applyFill="1" applyBorder="1" applyAlignment="1">
      <alignment horizontal="center" vertical="center"/>
    </xf>
    <xf numFmtId="3" fontId="22" fillId="9" borderId="1" xfId="0" applyNumberFormat="1" applyFont="1" applyFill="1" applyBorder="1" applyAlignment="1">
      <alignment horizontal="center" vertical="center"/>
    </xf>
    <xf numFmtId="9" fontId="22" fillId="10" borderId="1" xfId="0" applyNumberFormat="1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BBBBB"/>
      <rgbColor rgb="00808080"/>
      <rgbColor rgb="00AABBDD"/>
      <rgbColor rgb="00993366"/>
      <rgbColor rgb="00FFFDE7"/>
      <rgbColor rgb="00D0E4FF"/>
      <rgbColor rgb="00660066"/>
      <rgbColor rgb="00FF8080"/>
      <rgbColor rgb="001A56A0"/>
      <rgbColor rgb="00D6DCE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4F8"/>
      <rgbColor rgb="00CCFFCC"/>
      <rgbColor rgb="00FFFF99"/>
      <rgbColor rgb="00B0C8E8"/>
      <rgbColor rgb="00FF99CC"/>
      <rgbColor rgb="00CC99FF"/>
      <rgbColor rgb="00FFCC99"/>
      <rgbColor rgb="002E86C1"/>
      <rgbColor rgb="0033CCCC"/>
      <rgbColor rgb="0099CC00"/>
      <rgbColor rgb="00FFCC00"/>
      <rgbColor rgb="00E6970A"/>
      <rgbColor rgb="00FF6600"/>
      <rgbColor rgb="00666699"/>
      <rgbColor rgb="00969696"/>
      <rgbColor rgb="000D1B40"/>
      <rgbColor rgb="001E8449"/>
      <rgbColor rgb="00003300"/>
      <rgbColor rgb="00333300"/>
      <rgbColor rgb="00993300"/>
      <rgbColor rgb="00993366"/>
      <rgbColor rgb="00333399"/>
      <rgbColor rgb="00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0D1B40"/>
  </sheetPr>
  <dimension ref="A1:L65"/>
  <sheetViews>
    <sheetView showGridLines="0" workbookViewId="0">
      <selection activeCell="C10" sqref="C10:J10"/>
    </sheetView>
  </sheetViews>
  <sheetFormatPr defaultColWidth="8.67619047619048" defaultRowHeight="15"/>
  <cols>
    <col min="1" max="1" width="2" style="1" customWidth="1"/>
    <col min="2" max="2" width="18" style="1" customWidth="1"/>
    <col min="3" max="6" width="13" style="1" customWidth="1"/>
    <col min="7" max="7" width="3" style="1" customWidth="1"/>
    <col min="8" max="8" width="18" style="1" customWidth="1"/>
    <col min="9" max="11" width="13" style="1" customWidth="1"/>
    <col min="12" max="12" width="2" style="1" customWidth="1"/>
  </cols>
  <sheetData>
    <row r="1" ht="6" customHeight="1" spans="1:1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37.5" customHeight="1" spans="1:12">
      <c r="A2" s="41"/>
      <c r="B2" s="42" t="s">
        <v>0</v>
      </c>
      <c r="C2" s="42"/>
      <c r="D2" s="42"/>
      <c r="E2" s="42"/>
      <c r="F2" s="42"/>
      <c r="G2" s="42"/>
      <c r="H2" s="42"/>
      <c r="I2" s="42"/>
      <c r="J2" s="43">
        <f ca="1">TODAY()</f>
        <v>46191</v>
      </c>
      <c r="K2" s="43"/>
      <c r="L2" s="28"/>
    </row>
    <row r="3" ht="7.5" customHeight="1" spans="1:12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3"/>
    </row>
    <row r="4" ht="19.5" customHeight="1" spans="1:12">
      <c r="A4" s="44"/>
      <c r="B4" s="45" t="s">
        <v>1</v>
      </c>
      <c r="C4" s="45"/>
      <c r="D4" s="45"/>
      <c r="E4" s="45"/>
      <c r="F4" s="46" t="s">
        <v>2</v>
      </c>
      <c r="G4" s="46"/>
      <c r="H4" s="46"/>
      <c r="I4" s="46"/>
      <c r="J4" s="47" t="s">
        <v>3</v>
      </c>
      <c r="K4" s="47"/>
      <c r="L4" s="3"/>
    </row>
    <row r="5" ht="33.75" customHeight="1" spans="1:12">
      <c r="A5" s="44"/>
      <c r="B5" s="48">
        <f>IFERROR(SUM('input '!C12:J12),0)</f>
        <v>289</v>
      </c>
      <c r="C5" s="48"/>
      <c r="D5" s="48"/>
      <c r="E5" s="48"/>
      <c r="F5" s="49">
        <f>IFERROR(SUM(output!Z17:Z28),0)</f>
        <v>12</v>
      </c>
      <c r="G5" s="49"/>
      <c r="H5" s="49"/>
      <c r="I5" s="49"/>
      <c r="J5" s="50">
        <f>IFERROR(COUNTIF('input '!C12:J12,"&gt;0"),0)</f>
        <v>8</v>
      </c>
      <c r="K5" s="50"/>
      <c r="L5" s="3"/>
    </row>
    <row r="6" ht="15.75" customHeight="1" spans="1:12">
      <c r="A6" s="44"/>
      <c r="B6" s="51" t="s">
        <v>4</v>
      </c>
      <c r="C6" s="51"/>
      <c r="D6" s="51"/>
      <c r="E6" s="51"/>
      <c r="F6" s="52" t="s">
        <v>5</v>
      </c>
      <c r="G6" s="52"/>
      <c r="H6" s="52"/>
      <c r="I6" s="52"/>
      <c r="J6" s="53" t="s">
        <v>6</v>
      </c>
      <c r="K6" s="53"/>
      <c r="L6" s="3"/>
    </row>
    <row r="7" ht="9.75" customHeight="1" spans="1:12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3"/>
    </row>
    <row r="8" ht="21.75" customHeight="1" spans="1:12">
      <c r="A8" s="44"/>
      <c r="B8" s="54" t="s">
        <v>7</v>
      </c>
      <c r="C8" s="54"/>
      <c r="D8" s="54"/>
      <c r="E8" s="54"/>
      <c r="F8" s="54"/>
      <c r="G8" s="54"/>
      <c r="H8" s="54"/>
      <c r="I8" s="54"/>
      <c r="J8" s="54"/>
      <c r="K8" s="54"/>
      <c r="L8" s="3"/>
    </row>
    <row r="9" ht="19.5" customHeight="1" spans="1:12">
      <c r="A9" s="44"/>
      <c r="B9" s="34" t="s">
        <v>8</v>
      </c>
      <c r="C9" s="34" t="s">
        <v>9</v>
      </c>
      <c r="D9" s="34" t="s">
        <v>10</v>
      </c>
      <c r="E9" s="34" t="s">
        <v>11</v>
      </c>
      <c r="F9" s="34" t="s">
        <v>12</v>
      </c>
      <c r="G9" s="34" t="s">
        <v>13</v>
      </c>
      <c r="H9" s="34" t="s">
        <v>14</v>
      </c>
      <c r="I9" s="34" t="s">
        <v>15</v>
      </c>
      <c r="J9" s="34" t="s">
        <v>16</v>
      </c>
      <c r="K9" s="34" t="s">
        <v>17</v>
      </c>
      <c r="L9" s="3"/>
    </row>
    <row r="10" ht="19.5" customHeight="1" spans="1:12">
      <c r="A10" s="44"/>
      <c r="B10" s="31" t="s">
        <v>18</v>
      </c>
      <c r="C10" s="55">
        <f>'input '!C12</f>
        <v>3</v>
      </c>
      <c r="D10" s="55">
        <f>'input '!D12</f>
        <v>22</v>
      </c>
      <c r="E10" s="55">
        <f>'input '!E12</f>
        <v>44</v>
      </c>
      <c r="F10" s="55">
        <f>'input '!F12</f>
        <v>50</v>
      </c>
      <c r="G10" s="55">
        <f>'input '!G12</f>
        <v>61</v>
      </c>
      <c r="H10" s="55">
        <f>'input '!H12</f>
        <v>50</v>
      </c>
      <c r="I10" s="55">
        <f>'input '!I12</f>
        <v>37</v>
      </c>
      <c r="J10" s="55">
        <f>'input '!J12</f>
        <v>22</v>
      </c>
      <c r="K10" s="56">
        <f>SUM(C10:J10)</f>
        <v>289</v>
      </c>
      <c r="L10" s="3"/>
    </row>
    <row r="11" ht="19.5" customHeight="1" spans="1:12">
      <c r="A11" s="44"/>
      <c r="B11" s="57" t="s">
        <v>19</v>
      </c>
      <c r="C11" s="58">
        <f>output!M29</f>
        <v>0</v>
      </c>
      <c r="D11" s="58">
        <f>output!N29</f>
        <v>0</v>
      </c>
      <c r="E11" s="58">
        <f>output!O29</f>
        <v>0</v>
      </c>
      <c r="F11" s="58">
        <f>output!P29</f>
        <v>0</v>
      </c>
      <c r="G11" s="58">
        <f>output!Q29</f>
        <v>0</v>
      </c>
      <c r="H11" s="58">
        <f>output!R29</f>
        <v>0</v>
      </c>
      <c r="I11" s="58">
        <f>output!S29</f>
        <v>0</v>
      </c>
      <c r="J11" s="58">
        <f>output!T29</f>
        <v>0</v>
      </c>
      <c r="K11" s="56">
        <f>SUM(C11:J11)</f>
        <v>0</v>
      </c>
      <c r="L11" s="3"/>
    </row>
    <row r="12" ht="19.5" customHeight="1" spans="1:12">
      <c r="A12" s="44"/>
      <c r="B12" s="31" t="s">
        <v>20</v>
      </c>
      <c r="C12" s="59">
        <f t="shared" ref="C12:J12" si="0">C10-C11</f>
        <v>3</v>
      </c>
      <c r="D12" s="59">
        <f t="shared" si="0"/>
        <v>22</v>
      </c>
      <c r="E12" s="59">
        <f t="shared" si="0"/>
        <v>44</v>
      </c>
      <c r="F12" s="59">
        <f t="shared" si="0"/>
        <v>50</v>
      </c>
      <c r="G12" s="59">
        <f t="shared" si="0"/>
        <v>61</v>
      </c>
      <c r="H12" s="59">
        <f t="shared" si="0"/>
        <v>50</v>
      </c>
      <c r="I12" s="59">
        <f t="shared" si="0"/>
        <v>37</v>
      </c>
      <c r="J12" s="59">
        <f t="shared" si="0"/>
        <v>22</v>
      </c>
      <c r="K12" s="60">
        <f>SUM(C12:J12)</f>
        <v>289</v>
      </c>
      <c r="L12" s="3"/>
    </row>
    <row r="13" ht="19.5" customHeight="1" spans="1:12">
      <c r="A13" s="44"/>
      <c r="B13" s="57" t="s">
        <v>21</v>
      </c>
      <c r="C13" s="61">
        <f t="shared" ref="C13:K13" si="1">IFERROR(C11/C10,0)</f>
        <v>0</v>
      </c>
      <c r="D13" s="61">
        <f t="shared" si="1"/>
        <v>0</v>
      </c>
      <c r="E13" s="61">
        <f t="shared" si="1"/>
        <v>0</v>
      </c>
      <c r="F13" s="61">
        <f t="shared" si="1"/>
        <v>0</v>
      </c>
      <c r="G13" s="61">
        <f t="shared" si="1"/>
        <v>0</v>
      </c>
      <c r="H13" s="61">
        <f t="shared" si="1"/>
        <v>0</v>
      </c>
      <c r="I13" s="61">
        <f t="shared" si="1"/>
        <v>0</v>
      </c>
      <c r="J13" s="61">
        <f t="shared" si="1"/>
        <v>0</v>
      </c>
      <c r="K13" s="62">
        <f t="shared" si="1"/>
        <v>0</v>
      </c>
      <c r="L13" s="3"/>
    </row>
    <row r="14" ht="9.75" customHeight="1" spans="1:12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3"/>
    </row>
    <row r="15" ht="21.75" customHeight="1" spans="1:12">
      <c r="A15" s="44"/>
      <c r="B15" s="54" t="s">
        <v>22</v>
      </c>
      <c r="C15" s="54"/>
      <c r="D15" s="54"/>
      <c r="E15" s="54"/>
      <c r="F15" s="54"/>
      <c r="G15" s="54"/>
      <c r="H15" s="54"/>
      <c r="I15" s="54"/>
      <c r="J15" s="54"/>
      <c r="K15" s="54"/>
      <c r="L15" s="3"/>
    </row>
    <row r="16" ht="18" customHeight="1" spans="1:12">
      <c r="A16" s="44"/>
      <c r="B16" s="8" t="s">
        <v>23</v>
      </c>
      <c r="C16" s="8" t="s">
        <v>24</v>
      </c>
      <c r="D16" s="8" t="s">
        <v>25</v>
      </c>
      <c r="E16" s="8" t="s">
        <v>26</v>
      </c>
      <c r="F16" s="8" t="s">
        <v>27</v>
      </c>
      <c r="G16" s="8" t="s">
        <v>28</v>
      </c>
      <c r="H16" s="8" t="s">
        <v>29</v>
      </c>
      <c r="I16" s="8" t="s">
        <v>30</v>
      </c>
      <c r="J16" s="8" t="s">
        <v>31</v>
      </c>
      <c r="K16" s="8" t="s">
        <v>32</v>
      </c>
      <c r="L16" s="3"/>
    </row>
    <row r="17" ht="18" customHeight="1" spans="1:12">
      <c r="A17" s="44"/>
      <c r="B17" s="12" t="str">
        <f>IFERROR(output!A17&amp;" – "&amp;output!C17,"")</f>
        <v>1 – 1</v>
      </c>
      <c r="C17" s="12">
        <f>IFERROR(output!D17,"")</f>
        <v>0</v>
      </c>
      <c r="D17" s="12">
        <f>IFERROR(output!E17,"")</f>
        <v>0</v>
      </c>
      <c r="E17" s="63">
        <f>IFERROR(COUNTIF(output!M17:Y17,"&gt;0"),"")</f>
        <v>0</v>
      </c>
      <c r="F17" s="63">
        <f>IFERROR(output!Z17,"")</f>
        <v>1</v>
      </c>
      <c r="G17" s="63">
        <f>IFERROR(output!AA17,"")</f>
        <v>0</v>
      </c>
      <c r="H17" s="13">
        <f>IFERROR(output!AB17,"")</f>
        <v>0</v>
      </c>
      <c r="I17" s="64">
        <f>IFERROR(output!AC17,"")</f>
        <v>1.75</v>
      </c>
      <c r="J17" s="64">
        <f>IFERROR(output!AD17,"")</f>
        <v>0</v>
      </c>
      <c r="K17" s="12" t="str">
        <f>IFERROR(output!AG17,"")</f>
        <v>584X382X312 MM</v>
      </c>
      <c r="L17" s="3"/>
    </row>
    <row r="18" ht="18" customHeight="1" spans="1:12">
      <c r="A18" s="44"/>
      <c r="B18" s="15" t="str">
        <f>IFERROR(output!A18&amp;" – "&amp;output!C18,"")</f>
        <v>2 – 2</v>
      </c>
      <c r="C18" s="15">
        <f>IFERROR(output!D18,"")</f>
        <v>0</v>
      </c>
      <c r="D18" s="15">
        <f>IFERROR(output!E18,"")</f>
        <v>0</v>
      </c>
      <c r="E18" s="65">
        <f>IFERROR(COUNTIF(output!M18:Y18,"&gt;0"),"")</f>
        <v>0</v>
      </c>
      <c r="F18" s="65">
        <f>IFERROR(output!Z18,"")</f>
        <v>1</v>
      </c>
      <c r="G18" s="65">
        <f>IFERROR(output!AA18,"")</f>
        <v>0</v>
      </c>
      <c r="H18" s="16">
        <f>IFERROR(output!AB18,"")</f>
        <v>0</v>
      </c>
      <c r="I18" s="66">
        <f>IFERROR(output!AC18,"")</f>
        <v>1.75</v>
      </c>
      <c r="J18" s="66">
        <f>IFERROR(output!AD18,"")</f>
        <v>0</v>
      </c>
      <c r="K18" s="15" t="str">
        <f>IFERROR(output!AG18,"")</f>
        <v>584X382X312 MM</v>
      </c>
      <c r="L18" s="3"/>
    </row>
    <row r="19" ht="18" customHeight="1" spans="1:12">
      <c r="A19" s="44"/>
      <c r="B19" s="12" t="str">
        <f>IFERROR(output!A19&amp;" – "&amp;output!C19,"")</f>
        <v>3 – 3</v>
      </c>
      <c r="C19" s="12">
        <f>IFERROR(output!D19,"")</f>
        <v>0</v>
      </c>
      <c r="D19" s="12">
        <f>IFERROR(output!E19,"")</f>
        <v>0</v>
      </c>
      <c r="E19" s="63">
        <f>IFERROR(COUNTIF(output!M19:Y19,"&gt;0"),"")</f>
        <v>0</v>
      </c>
      <c r="F19" s="63">
        <f>IFERROR(output!Z19,"")</f>
        <v>1</v>
      </c>
      <c r="G19" s="63">
        <f>IFERROR(output!AA19,"")</f>
        <v>0</v>
      </c>
      <c r="H19" s="13">
        <f>IFERROR(output!AB19,"")</f>
        <v>0</v>
      </c>
      <c r="I19" s="64">
        <f>IFERROR(output!AC19,"")</f>
        <v>1.75</v>
      </c>
      <c r="J19" s="64">
        <f>IFERROR(output!AD19,"")</f>
        <v>0</v>
      </c>
      <c r="K19" s="12" t="str">
        <f>IFERROR(output!AG19,"")</f>
        <v>584X382X312 MM</v>
      </c>
      <c r="L19" s="3"/>
    </row>
    <row r="20" ht="18" customHeight="1" spans="1:12">
      <c r="A20" s="44"/>
      <c r="B20" s="15" t="str">
        <f>IFERROR(output!A20&amp;" – "&amp;output!C20,"")</f>
        <v>4 – 4</v>
      </c>
      <c r="C20" s="15">
        <f>IFERROR(output!D20,"")</f>
        <v>0</v>
      </c>
      <c r="D20" s="15">
        <f>IFERROR(output!E20,"")</f>
        <v>0</v>
      </c>
      <c r="E20" s="65">
        <f>IFERROR(COUNTIF(output!M20:Y20,"&gt;0"),"")</f>
        <v>0</v>
      </c>
      <c r="F20" s="65">
        <f>IFERROR(output!Z20,"")</f>
        <v>1</v>
      </c>
      <c r="G20" s="65">
        <f>IFERROR(output!AA20,"")</f>
        <v>0</v>
      </c>
      <c r="H20" s="16">
        <f>IFERROR(output!AB20,"")</f>
        <v>0</v>
      </c>
      <c r="I20" s="66">
        <f>IFERROR(output!AC20,"")</f>
        <v>1.75</v>
      </c>
      <c r="J20" s="66">
        <f>IFERROR(output!AD20,"")</f>
        <v>0</v>
      </c>
      <c r="K20" s="15" t="str">
        <f>IFERROR(output!AG20,"")</f>
        <v>584X382X312 MM</v>
      </c>
      <c r="L20" s="3"/>
    </row>
    <row r="21" ht="18" customHeight="1" spans="1:12">
      <c r="A21" s="44"/>
      <c r="B21" s="12" t="str">
        <f>IFERROR(output!A21&amp;" – "&amp;output!C21,"")</f>
        <v>5 – 5</v>
      </c>
      <c r="C21" s="12">
        <f>IFERROR(output!D21,"")</f>
        <v>0</v>
      </c>
      <c r="D21" s="12">
        <f>IFERROR(output!E21,"")</f>
        <v>0</v>
      </c>
      <c r="E21" s="63">
        <f>IFERROR(COUNTIF(output!M21:Y21,"&gt;0"),"")</f>
        <v>0</v>
      </c>
      <c r="F21" s="63">
        <f>IFERROR(output!Z21,"")</f>
        <v>1</v>
      </c>
      <c r="G21" s="63">
        <f>IFERROR(output!AA21,"")</f>
        <v>0</v>
      </c>
      <c r="H21" s="13">
        <f>IFERROR(output!AB21,"")</f>
        <v>0</v>
      </c>
      <c r="I21" s="64">
        <f>IFERROR(output!AC21,"")</f>
        <v>1.75</v>
      </c>
      <c r="J21" s="64">
        <f>IFERROR(output!AD21,"")</f>
        <v>0</v>
      </c>
      <c r="K21" s="12" t="str">
        <f>IFERROR(output!AG21,"")</f>
        <v>584X382X312 MM</v>
      </c>
      <c r="L21" s="3"/>
    </row>
    <row r="22" ht="18" customHeight="1" spans="1:12">
      <c r="A22" s="44"/>
      <c r="B22" s="15" t="str">
        <f>IFERROR(output!A22&amp;" – "&amp;output!C22,"")</f>
        <v>6 – 6</v>
      </c>
      <c r="C22" s="15">
        <f>IFERROR(output!D22,"")</f>
        <v>0</v>
      </c>
      <c r="D22" s="15">
        <f>IFERROR(output!E22,"")</f>
        <v>0</v>
      </c>
      <c r="E22" s="65">
        <f>IFERROR(COUNTIF(output!M22:Y22,"&gt;0"),"")</f>
        <v>0</v>
      </c>
      <c r="F22" s="65">
        <f>IFERROR(output!Z22,"")</f>
        <v>1</v>
      </c>
      <c r="G22" s="65">
        <f>IFERROR(output!AA22,"")</f>
        <v>0</v>
      </c>
      <c r="H22" s="16">
        <f>IFERROR(output!AB22,"")</f>
        <v>0</v>
      </c>
      <c r="I22" s="66">
        <f>IFERROR(output!AC22,"")</f>
        <v>1.75</v>
      </c>
      <c r="J22" s="66">
        <f>IFERROR(output!AD22,"")</f>
        <v>0</v>
      </c>
      <c r="K22" s="15" t="str">
        <f>IFERROR(output!AG22,"")</f>
        <v>584X382X312 MM</v>
      </c>
      <c r="L22" s="3"/>
    </row>
    <row r="23" ht="18" customHeight="1" spans="1:12">
      <c r="A23" s="44"/>
      <c r="B23" s="12" t="str">
        <f>IFERROR(output!A23&amp;" – "&amp;output!C23,"")</f>
        <v>7 – 7</v>
      </c>
      <c r="C23" s="12">
        <f>IFERROR(output!D23,"")</f>
        <v>0</v>
      </c>
      <c r="D23" s="12">
        <f>IFERROR(output!E23,"")</f>
        <v>0</v>
      </c>
      <c r="E23" s="63">
        <f>IFERROR(COUNTIF(output!M23:Y23,"&gt;0"),"")</f>
        <v>0</v>
      </c>
      <c r="F23" s="63">
        <f>IFERROR(output!Z23,"")</f>
        <v>1</v>
      </c>
      <c r="G23" s="63">
        <f>IFERROR(output!AA23,"")</f>
        <v>0</v>
      </c>
      <c r="H23" s="13">
        <f>IFERROR(output!AB23,"")</f>
        <v>0</v>
      </c>
      <c r="I23" s="64">
        <f>IFERROR(output!AC23,"")</f>
        <v>1.75</v>
      </c>
      <c r="J23" s="64">
        <f>IFERROR(output!AD23,"")</f>
        <v>0</v>
      </c>
      <c r="K23" s="12" t="str">
        <f>IFERROR(output!AG23,"")</f>
        <v>584X382X312 MM</v>
      </c>
      <c r="L23" s="3"/>
    </row>
    <row r="24" ht="18" customHeight="1" spans="1:12">
      <c r="A24" s="44"/>
      <c r="B24" s="15" t="str">
        <f>IFERROR(output!A24&amp;" – "&amp;output!C24,"")</f>
        <v>8 – 8</v>
      </c>
      <c r="C24" s="15">
        <f>IFERROR(output!D24,"")</f>
        <v>0</v>
      </c>
      <c r="D24" s="15">
        <f>IFERROR(output!E24,"")</f>
        <v>0</v>
      </c>
      <c r="E24" s="65">
        <f>IFERROR(COUNTIF(output!M24:Y24,"&gt;0"),"")</f>
        <v>0</v>
      </c>
      <c r="F24" s="65">
        <f>IFERROR(output!Z24,"")</f>
        <v>1</v>
      </c>
      <c r="G24" s="65">
        <f>IFERROR(output!AA24,"")</f>
        <v>0</v>
      </c>
      <c r="H24" s="16">
        <f>IFERROR(output!AB24,"")</f>
        <v>0</v>
      </c>
      <c r="I24" s="66">
        <f>IFERROR(output!AC24,"")</f>
        <v>1.75</v>
      </c>
      <c r="J24" s="66">
        <f>IFERROR(output!AD24,"")</f>
        <v>0</v>
      </c>
      <c r="K24" s="15" t="str">
        <f>IFERROR(output!AG24,"")</f>
        <v>584X382X312 MM</v>
      </c>
      <c r="L24" s="3"/>
    </row>
    <row r="25" ht="18" customHeight="1" spans="1:12">
      <c r="A25" s="44"/>
      <c r="B25" s="12" t="str">
        <f>IFERROR(output!A25&amp;" – "&amp;output!C25,"")</f>
        <v>9 – 9</v>
      </c>
      <c r="C25" s="12">
        <f>IFERROR(output!D25,"")</f>
        <v>0</v>
      </c>
      <c r="D25" s="12">
        <f>IFERROR(output!E25,"")</f>
        <v>0</v>
      </c>
      <c r="E25" s="63">
        <f>IFERROR(COUNTIF(output!M25:Y25,"&gt;0"),"")</f>
        <v>0</v>
      </c>
      <c r="F25" s="63">
        <f>IFERROR(output!Z25,"")</f>
        <v>1</v>
      </c>
      <c r="G25" s="63">
        <f>IFERROR(output!AA25,"")</f>
        <v>0</v>
      </c>
      <c r="H25" s="13">
        <f>IFERROR(output!AB25,"")</f>
        <v>0</v>
      </c>
      <c r="I25" s="64">
        <f>IFERROR(output!AC25,"")</f>
        <v>1.75</v>
      </c>
      <c r="J25" s="64">
        <f>IFERROR(output!AD25,"")</f>
        <v>0</v>
      </c>
      <c r="K25" s="12" t="str">
        <f>IFERROR(output!AG25,"")</f>
        <v>584X382X312 MM</v>
      </c>
      <c r="L25" s="3"/>
    </row>
    <row r="26" ht="18" customHeight="1" spans="1:12">
      <c r="A26" s="44"/>
      <c r="B26" s="15" t="str">
        <f>IFERROR(output!A26&amp;" – "&amp;output!C26,"")</f>
        <v>10 – 10</v>
      </c>
      <c r="C26" s="15">
        <f>IFERROR(output!D26,"")</f>
        <v>0</v>
      </c>
      <c r="D26" s="15">
        <f>IFERROR(output!E26,"")</f>
        <v>0</v>
      </c>
      <c r="E26" s="65">
        <f>IFERROR(COUNTIF(output!M26:Y26,"&gt;0"),"")</f>
        <v>0</v>
      </c>
      <c r="F26" s="65">
        <f>IFERROR(output!Z26,"")</f>
        <v>1</v>
      </c>
      <c r="G26" s="65">
        <f>IFERROR(output!AA26,"")</f>
        <v>0</v>
      </c>
      <c r="H26" s="16">
        <f>IFERROR(output!AB26,"")</f>
        <v>0</v>
      </c>
      <c r="I26" s="66">
        <f>IFERROR(output!AC26,"")</f>
        <v>1.75</v>
      </c>
      <c r="J26" s="66">
        <f>IFERROR(output!AD26,"")</f>
        <v>0</v>
      </c>
      <c r="K26" s="15" t="str">
        <f>IFERROR(output!AG26,"")</f>
        <v>584X382X312 MM</v>
      </c>
      <c r="L26" s="3"/>
    </row>
    <row r="27" ht="18" customHeight="1" spans="1:12">
      <c r="A27" s="44"/>
      <c r="B27" s="12" t="str">
        <f>IFERROR(output!A27&amp;" – "&amp;output!C27,"")</f>
        <v>11 – 11</v>
      </c>
      <c r="C27" s="12">
        <f>IFERROR(output!D27,"")</f>
        <v>0</v>
      </c>
      <c r="D27" s="12">
        <f>IFERROR(output!E27,"")</f>
        <v>0</v>
      </c>
      <c r="E27" s="63">
        <f>IFERROR(COUNTIF(output!M27:Y27,"&gt;0"),"")</f>
        <v>0</v>
      </c>
      <c r="F27" s="63">
        <f>IFERROR(output!Z27,"")</f>
        <v>1</v>
      </c>
      <c r="G27" s="63">
        <f>IFERROR(output!AA27,"")</f>
        <v>0</v>
      </c>
      <c r="H27" s="13">
        <f>IFERROR(output!AB27,"")</f>
        <v>0</v>
      </c>
      <c r="I27" s="64">
        <f>IFERROR(output!AC27,"")</f>
        <v>1.75</v>
      </c>
      <c r="J27" s="64">
        <f>IFERROR(output!AD27,"")</f>
        <v>0</v>
      </c>
      <c r="K27" s="12" t="str">
        <f>IFERROR(output!AG27,"")</f>
        <v>584X382X312 MM</v>
      </c>
      <c r="L27" s="3"/>
    </row>
    <row r="28" ht="18" customHeight="1" spans="1:12">
      <c r="A28" s="44"/>
      <c r="B28" s="15" t="str">
        <f>IFERROR(output!A28&amp;" – "&amp;output!C28,"")</f>
        <v>12 – 12</v>
      </c>
      <c r="C28" s="15">
        <f>IFERROR(output!D28,"")</f>
        <v>0</v>
      </c>
      <c r="D28" s="15">
        <f>IFERROR(output!E28,"")</f>
        <v>0</v>
      </c>
      <c r="E28" s="65">
        <f>IFERROR(COUNTIF(output!M28:Y28,"&gt;0"),"")</f>
        <v>0</v>
      </c>
      <c r="F28" s="65">
        <f>IFERROR(output!Z28,"")</f>
        <v>1</v>
      </c>
      <c r="G28" s="65">
        <f>IFERROR(output!AA28,"")</f>
        <v>0</v>
      </c>
      <c r="H28" s="16">
        <f>IFERROR(output!AB28,"")</f>
        <v>0</v>
      </c>
      <c r="I28" s="66">
        <f>IFERROR(output!AC28,"")</f>
        <v>1.75</v>
      </c>
      <c r="J28" s="66">
        <f>IFERROR(output!AD28,"")</f>
        <v>0</v>
      </c>
      <c r="K28" s="15" t="str">
        <f>IFERROR(output!AG28,"")</f>
        <v>584X382X312 MM</v>
      </c>
      <c r="L28" s="3"/>
    </row>
    <row r="29" ht="19.5" customHeight="1" spans="1:12">
      <c r="A29" s="44"/>
      <c r="B29" s="18" t="s">
        <v>17</v>
      </c>
      <c r="C29" s="18"/>
      <c r="D29" s="18"/>
      <c r="E29" s="18"/>
      <c r="F29" s="19">
        <f>SUM(F17:F28)</f>
        <v>12</v>
      </c>
      <c r="G29" s="18"/>
      <c r="H29" s="19">
        <f>SUM(H17:H28)</f>
        <v>0</v>
      </c>
      <c r="I29" s="20">
        <f>SUM(I17:I28)</f>
        <v>21</v>
      </c>
      <c r="J29" s="20">
        <f>SUM(J17:J28)</f>
        <v>0</v>
      </c>
      <c r="K29" s="18"/>
      <c r="L29" s="3"/>
    </row>
    <row r="30" ht="9.75" customHeight="1" spans="1:12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3"/>
    </row>
    <row r="31" ht="21.75" customHeight="1" spans="1:12">
      <c r="A31" s="44"/>
      <c r="B31" s="54" t="s">
        <v>33</v>
      </c>
      <c r="C31" s="54"/>
      <c r="D31" s="54"/>
      <c r="E31" s="54"/>
      <c r="F31" s="54"/>
      <c r="G31" s="54"/>
      <c r="H31" s="54"/>
      <c r="I31" s="54"/>
      <c r="J31" s="54"/>
      <c r="K31" s="54"/>
      <c r="L31" s="3"/>
    </row>
    <row r="32" ht="15.75" customHeight="1" spans="1:12">
      <c r="A32" s="44"/>
      <c r="B32" s="67" t="s">
        <v>34</v>
      </c>
      <c r="C32" s="67"/>
      <c r="D32" s="67"/>
      <c r="E32" s="67"/>
      <c r="F32" s="68" t="s">
        <v>35</v>
      </c>
      <c r="G32" s="68"/>
      <c r="H32" s="68"/>
      <c r="I32" s="68"/>
      <c r="J32" s="69" t="s">
        <v>36</v>
      </c>
      <c r="K32" s="69"/>
      <c r="L32" s="3"/>
    </row>
    <row r="33" ht="30" customHeight="1" spans="1:12">
      <c r="A33" s="44"/>
      <c r="B33" s="70">
        <f>IFERROR(SUM(output!Z17:Z28),0)</f>
        <v>12</v>
      </c>
      <c r="C33" s="70"/>
      <c r="D33" s="70"/>
      <c r="E33" s="70"/>
      <c r="F33" s="71">
        <f>IFERROR(COUNTA(output!D17:D28),0)</f>
        <v>0</v>
      </c>
      <c r="G33" s="71"/>
      <c r="H33" s="71"/>
      <c r="I33" s="71"/>
      <c r="J33" s="72">
        <f>IFERROR(SUM(output!M29:Y29)/SUM('input '!C12:J12),0)</f>
        <v>0</v>
      </c>
      <c r="K33" s="72"/>
      <c r="L33" s="3"/>
    </row>
    <row r="34" ht="15.75" customHeight="1" spans="1:12">
      <c r="A34" s="44"/>
      <c r="B34" s="73" t="s">
        <v>37</v>
      </c>
      <c r="C34" s="73"/>
      <c r="D34" s="73"/>
      <c r="E34" s="73"/>
      <c r="F34" s="74" t="s">
        <v>37</v>
      </c>
      <c r="G34" s="74"/>
      <c r="H34" s="74"/>
      <c r="I34" s="74"/>
      <c r="J34" s="75" t="s">
        <v>38</v>
      </c>
      <c r="K34" s="75"/>
      <c r="L34" s="3"/>
    </row>
    <row r="35" customHeight="1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Height="1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Height="1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Height="1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Height="1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Height="1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customHeight="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customHeight="1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customHeight="1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customHeight="1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customHeight="1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Height="1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customHeight="1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customHeight="1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customHeight="1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customHeight="1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Height="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Height="1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Height="1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Height="1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Height="1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Height="1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customHeight="1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customHeight="1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customHeight="1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customHeight="1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customHeight="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customHeight="1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customHeight="1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customHeight="1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customHeight="1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</sheetData>
  <mergeCells count="23">
    <mergeCell ref="B2:I2"/>
    <mergeCell ref="J2:K2"/>
    <mergeCell ref="B4:E4"/>
    <mergeCell ref="F4:I4"/>
    <mergeCell ref="J4:K4"/>
    <mergeCell ref="B5:E5"/>
    <mergeCell ref="F5:I5"/>
    <mergeCell ref="J5:K5"/>
    <mergeCell ref="B6:E6"/>
    <mergeCell ref="F6:I6"/>
    <mergeCell ref="J6:K6"/>
    <mergeCell ref="B8:K8"/>
    <mergeCell ref="B15:K15"/>
    <mergeCell ref="B31:K31"/>
    <mergeCell ref="B32:E32"/>
    <mergeCell ref="F32:I32"/>
    <mergeCell ref="J32:K32"/>
    <mergeCell ref="B33:E33"/>
    <mergeCell ref="F33:I33"/>
    <mergeCell ref="J33:K33"/>
    <mergeCell ref="B34:E34"/>
    <mergeCell ref="F34:I34"/>
    <mergeCell ref="J34:K3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1A56A0"/>
  </sheetPr>
  <dimension ref="A1:L30"/>
  <sheetViews>
    <sheetView showGridLines="0" tabSelected="1" workbookViewId="0">
      <selection activeCell="M9" sqref="M9"/>
    </sheetView>
  </sheetViews>
  <sheetFormatPr defaultColWidth="8.67619047619048" defaultRowHeight="15"/>
  <cols>
    <col min="1" max="1" width="2" style="1" customWidth="1"/>
    <col min="2" max="2" width="18" style="1" customWidth="1"/>
    <col min="3" max="10" width="13" style="1" customWidth="1"/>
    <col min="11" max="11" width="10" style="1" customWidth="1"/>
    <col min="12" max="12" width="2" style="1" customWidth="1"/>
  </cols>
  <sheetData>
    <row r="1" ht="19.5" customHeight="1" spans="1:1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36" customHeight="1" spans="1:12">
      <c r="A2" s="28"/>
      <c r="B2" s="29" t="s">
        <v>39</v>
      </c>
      <c r="C2" s="29"/>
      <c r="D2" s="29"/>
      <c r="E2" s="29"/>
      <c r="F2" s="29"/>
      <c r="G2" s="29"/>
      <c r="H2" s="29"/>
      <c r="I2" s="29"/>
      <c r="J2" s="29"/>
      <c r="K2" s="29"/>
      <c r="L2" s="28"/>
    </row>
    <row r="3" ht="9.75" customHeight="1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19.5" customHeight="1" spans="1:12">
      <c r="A4" s="3"/>
      <c r="B4" s="30" t="s">
        <v>40</v>
      </c>
      <c r="C4" s="30"/>
      <c r="D4" s="30"/>
      <c r="E4" s="30" t="s">
        <v>41</v>
      </c>
      <c r="F4" s="30"/>
      <c r="G4" s="30"/>
      <c r="H4" s="30"/>
      <c r="I4" s="30"/>
      <c r="J4" s="30"/>
      <c r="K4" s="30"/>
      <c r="L4" s="3"/>
    </row>
    <row r="5" ht="19.5" customHeight="1" spans="1:12">
      <c r="A5" s="3"/>
      <c r="B5" s="31" t="s">
        <v>25</v>
      </c>
      <c r="C5" s="32">
        <v>50576369</v>
      </c>
      <c r="D5" s="32"/>
      <c r="E5" s="31" t="s">
        <v>24</v>
      </c>
      <c r="F5" s="32">
        <v>4901895794</v>
      </c>
      <c r="G5" s="32"/>
      <c r="H5" s="31" t="s">
        <v>42</v>
      </c>
      <c r="I5" s="31"/>
      <c r="J5" s="33">
        <v>14</v>
      </c>
      <c r="K5" s="9"/>
      <c r="L5" s="3"/>
    </row>
    <row r="6" ht="19.5" customHeight="1" spans="1:12">
      <c r="A6" s="3"/>
      <c r="B6" s="31" t="s">
        <v>43</v>
      </c>
      <c r="C6" s="32" t="s">
        <v>44</v>
      </c>
      <c r="D6" s="32"/>
      <c r="E6" s="31" t="s">
        <v>45</v>
      </c>
      <c r="F6" s="76" t="s">
        <v>46</v>
      </c>
      <c r="G6" s="32"/>
      <c r="H6" s="9"/>
      <c r="I6" s="9"/>
      <c r="J6" s="9"/>
      <c r="K6" s="9"/>
      <c r="L6" s="3"/>
    </row>
    <row r="7" ht="19.5" customHeight="1" spans="1:12">
      <c r="A7" s="3"/>
      <c r="B7" s="31" t="s">
        <v>47</v>
      </c>
      <c r="C7" s="32">
        <v>404</v>
      </c>
      <c r="D7" s="32"/>
      <c r="E7" s="31" t="s">
        <v>48</v>
      </c>
      <c r="F7" s="32" t="s">
        <v>49</v>
      </c>
      <c r="G7" s="32"/>
      <c r="H7" s="9"/>
      <c r="I7" s="9"/>
      <c r="J7" s="9"/>
      <c r="K7" s="9"/>
      <c r="L7" s="3"/>
    </row>
    <row r="8" ht="19.5" customHeight="1" spans="1:12">
      <c r="A8" s="3"/>
      <c r="B8" s="31" t="s">
        <v>50</v>
      </c>
      <c r="C8" s="32">
        <v>326746</v>
      </c>
      <c r="D8" s="32"/>
      <c r="E8" s="31" t="s">
        <v>51</v>
      </c>
      <c r="F8" s="32">
        <v>10284557</v>
      </c>
      <c r="G8" s="32"/>
      <c r="H8" s="9"/>
      <c r="I8" s="9"/>
      <c r="J8" s="9"/>
      <c r="K8" s="9"/>
      <c r="L8" s="3"/>
    </row>
    <row r="9" ht="9.75" customHeight="1" spans="1:12">
      <c r="A9" s="3"/>
      <c r="B9" s="9"/>
      <c r="C9" s="9"/>
      <c r="D9" s="9"/>
      <c r="E9" s="9"/>
      <c r="F9" s="9"/>
      <c r="G9" s="9"/>
      <c r="H9" s="9"/>
      <c r="I9" s="9"/>
      <c r="J9" s="9"/>
      <c r="K9" s="9"/>
      <c r="L9" s="3"/>
    </row>
    <row r="10" ht="19.5" customHeight="1" spans="1:12">
      <c r="A10" s="3"/>
      <c r="B10" s="30" t="s">
        <v>52</v>
      </c>
      <c r="C10" s="30"/>
      <c r="D10" s="30"/>
      <c r="E10" s="30"/>
      <c r="F10" s="30"/>
      <c r="G10" s="30"/>
      <c r="H10" s="30"/>
      <c r="I10" s="30"/>
      <c r="J10" s="30"/>
      <c r="K10" s="30"/>
      <c r="L10" s="3"/>
    </row>
    <row r="11" ht="19.5" customHeight="1" spans="1:12">
      <c r="A11" s="3"/>
      <c r="B11" s="34" t="s">
        <v>8</v>
      </c>
      <c r="C11" s="35">
        <v>36</v>
      </c>
      <c r="D11" s="35">
        <v>37</v>
      </c>
      <c r="E11" s="35">
        <v>38</v>
      </c>
      <c r="F11" s="35">
        <v>39</v>
      </c>
      <c r="G11" s="35">
        <v>40</v>
      </c>
      <c r="H11" s="35">
        <v>41</v>
      </c>
      <c r="I11" s="35">
        <v>42</v>
      </c>
      <c r="J11" s="35">
        <v>43</v>
      </c>
      <c r="K11" s="36" t="s">
        <v>17</v>
      </c>
      <c r="L11" s="3"/>
    </row>
    <row r="12" ht="19.5" customHeight="1" spans="1:12">
      <c r="A12" s="3"/>
      <c r="B12" s="37" t="s">
        <v>53</v>
      </c>
      <c r="C12" s="38">
        <v>3</v>
      </c>
      <c r="D12" s="38">
        <v>22</v>
      </c>
      <c r="E12" s="38">
        <v>44</v>
      </c>
      <c r="F12" s="38">
        <v>50</v>
      </c>
      <c r="G12" s="38">
        <v>61</v>
      </c>
      <c r="H12" s="38">
        <v>50</v>
      </c>
      <c r="I12" s="38">
        <v>37</v>
      </c>
      <c r="J12" s="38">
        <v>22</v>
      </c>
      <c r="K12" s="39">
        <f>SUM(C12:J12)</f>
        <v>289</v>
      </c>
      <c r="L12" s="3"/>
    </row>
    <row r="13" customHeight="1" spans="1:12">
      <c r="A13" s="3"/>
      <c r="B13" s="9"/>
      <c r="C13" s="9">
        <v>36</v>
      </c>
      <c r="D13" s="9">
        <v>37</v>
      </c>
      <c r="E13" s="9">
        <v>38</v>
      </c>
      <c r="F13" s="9">
        <v>39</v>
      </c>
      <c r="G13" s="9">
        <v>40</v>
      </c>
      <c r="H13" s="9">
        <v>41</v>
      </c>
      <c r="I13" s="9">
        <v>42</v>
      </c>
      <c r="J13" s="9">
        <v>43</v>
      </c>
      <c r="K13" s="9"/>
      <c r="L13" s="3"/>
    </row>
    <row r="14" ht="9.75" customHeight="1" spans="1:12">
      <c r="A14" s="3"/>
      <c r="B14" s="9"/>
      <c r="C14" s="9"/>
      <c r="D14" s="9"/>
      <c r="E14" s="9"/>
      <c r="F14" s="9"/>
      <c r="G14" s="9"/>
      <c r="H14" s="9"/>
      <c r="I14" s="9"/>
      <c r="J14" s="9"/>
      <c r="K14" s="9"/>
      <c r="L14" s="3"/>
    </row>
    <row r="15" ht="19.5" customHeight="1" spans="1:12">
      <c r="A15" s="3"/>
      <c r="B15" s="34" t="s">
        <v>54</v>
      </c>
      <c r="C15" s="34"/>
      <c r="D15" s="34"/>
      <c r="E15" s="34"/>
      <c r="F15" s="34"/>
      <c r="G15" s="34"/>
      <c r="H15" s="34"/>
      <c r="I15" s="34"/>
      <c r="J15" s="34"/>
      <c r="K15" s="34"/>
      <c r="L15" s="3"/>
    </row>
    <row r="16" ht="19.5" customHeight="1" spans="1:12">
      <c r="A16" s="3"/>
      <c r="B16" s="40" t="s">
        <v>55</v>
      </c>
      <c r="C16" s="40"/>
      <c r="D16" s="40"/>
      <c r="E16" s="40"/>
      <c r="F16" s="40"/>
      <c r="G16" s="40"/>
      <c r="H16" s="40"/>
      <c r="I16" s="40"/>
      <c r="J16" s="40"/>
      <c r="K16" s="40"/>
      <c r="L16" s="3"/>
    </row>
    <row r="17" ht="19.5" customHeight="1" spans="1:12">
      <c r="A17" s="3"/>
      <c r="B17" s="40" t="s">
        <v>56</v>
      </c>
      <c r="C17" s="40"/>
      <c r="D17" s="40"/>
      <c r="E17" s="40"/>
      <c r="F17" s="40"/>
      <c r="G17" s="40"/>
      <c r="H17" s="40"/>
      <c r="I17" s="40"/>
      <c r="J17" s="40"/>
      <c r="K17" s="40"/>
      <c r="L17" s="3"/>
    </row>
    <row r="18" ht="19.5" customHeight="1" spans="1:12">
      <c r="A18" s="3"/>
      <c r="B18" s="40" t="s">
        <v>57</v>
      </c>
      <c r="C18" s="40"/>
      <c r="D18" s="40"/>
      <c r="E18" s="40"/>
      <c r="F18" s="40"/>
      <c r="G18" s="40"/>
      <c r="H18" s="40"/>
      <c r="I18" s="40"/>
      <c r="J18" s="40"/>
      <c r="K18" s="40"/>
      <c r="L18" s="3"/>
    </row>
    <row r="19" ht="19.5" customHeight="1" spans="1:12">
      <c r="A19" s="3"/>
      <c r="B19" s="40" t="s">
        <v>58</v>
      </c>
      <c r="C19" s="40"/>
      <c r="D19" s="40"/>
      <c r="E19" s="40"/>
      <c r="F19" s="40"/>
      <c r="G19" s="40"/>
      <c r="H19" s="40"/>
      <c r="I19" s="40"/>
      <c r="J19" s="40"/>
      <c r="K19" s="40"/>
      <c r="L19" s="3"/>
    </row>
    <row r="20" ht="19.5" customHeight="1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19.5" customHeight="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19.5" customHeight="1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19.5" customHeight="1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ht="19.5" customHeight="1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ht="19.5" customHeight="1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ht="19.5" customHeight="1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ht="19.5" customHeight="1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ht="19.5" customHeight="1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ht="19.5" customHeight="1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Height="1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</sheetData>
  <mergeCells count="18">
    <mergeCell ref="B2:K2"/>
    <mergeCell ref="B4:D4"/>
    <mergeCell ref="E4:K4"/>
    <mergeCell ref="C5:D5"/>
    <mergeCell ref="F5:G5"/>
    <mergeCell ref="H5:I5"/>
    <mergeCell ref="C6:D6"/>
    <mergeCell ref="F6:G6"/>
    <mergeCell ref="C7:D7"/>
    <mergeCell ref="F7:G7"/>
    <mergeCell ref="C8:D8"/>
    <mergeCell ref="F8:G8"/>
    <mergeCell ref="B10:K10"/>
    <mergeCell ref="B15:K15"/>
    <mergeCell ref="B16:K16"/>
    <mergeCell ref="B17:K17"/>
    <mergeCell ref="B18:K18"/>
    <mergeCell ref="B19:K1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1E8449"/>
  </sheetPr>
  <dimension ref="A1:AG50"/>
  <sheetViews>
    <sheetView showGridLines="0" workbookViewId="0">
      <selection activeCell="AB10" sqref="AB10"/>
    </sheetView>
  </sheetViews>
  <sheetFormatPr defaultColWidth="8.67619047619048" defaultRowHeight="15"/>
  <cols>
    <col min="1" max="1" width="8" style="1" customWidth="1"/>
    <col min="2" max="2" width="3" style="1" customWidth="1"/>
    <col min="3" max="3" width="8" style="1" customWidth="1"/>
    <col min="4" max="4" width="12" style="1" customWidth="1"/>
    <col min="5" max="5" width="14" style="1" customWidth="1"/>
    <col min="6" max="6" width="10" style="1" customWidth="1"/>
    <col min="7" max="7" width="16" style="1" customWidth="1"/>
    <col min="8" max="11" width="10" style="1" customWidth="1"/>
    <col min="12" max="12" width="3" style="1" customWidth="1"/>
    <col min="13" max="25" width="5" style="1" customWidth="1"/>
    <col min="26" max="27" width="8" style="1" customWidth="1"/>
    <col min="28" max="30" width="9" style="1" customWidth="1"/>
    <col min="31" max="32" width="8" style="1" customWidth="1"/>
    <col min="33" max="33" width="16" style="1" customWidth="1"/>
  </cols>
  <sheetData>
    <row r="1" ht="31.5" customHeight="1" spans="1:33">
      <c r="A1" s="2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Height="1" spans="1:3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 t="s">
        <v>60</v>
      </c>
      <c r="AA2" s="4"/>
      <c r="AB2" s="4"/>
      <c r="AC2" s="4"/>
      <c r="AD2" s="4"/>
      <c r="AE2" s="4"/>
      <c r="AF2" s="4"/>
      <c r="AG2" s="5"/>
    </row>
    <row r="3" customHeight="1" spans="1:3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6" t="s">
        <v>61</v>
      </c>
      <c r="AA3" s="6"/>
      <c r="AB3" s="6"/>
      <c r="AC3" s="6"/>
      <c r="AD3" s="6"/>
      <c r="AE3" s="6"/>
      <c r="AF3" s="6"/>
      <c r="AG3" s="5"/>
    </row>
    <row r="4" customHeight="1" spans="1:3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6" t="s">
        <v>62</v>
      </c>
      <c r="AA4" s="6"/>
      <c r="AB4" s="6"/>
      <c r="AC4" s="6"/>
      <c r="AD4" s="6"/>
      <c r="AE4" s="6"/>
      <c r="AF4" s="6"/>
      <c r="AG4" s="5"/>
    </row>
    <row r="5" customHeight="1" spans="1:3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6" t="s">
        <v>63</v>
      </c>
      <c r="AA5" s="6"/>
      <c r="AB5" s="6"/>
      <c r="AC5" s="6"/>
      <c r="AD5" s="6"/>
      <c r="AE5" s="6"/>
      <c r="AF5" s="6"/>
      <c r="AG5" s="5"/>
    </row>
    <row r="6" customHeight="1" spans="1:3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6" t="s">
        <v>64</v>
      </c>
      <c r="AA6" s="6"/>
      <c r="AB6" s="6"/>
      <c r="AC6" s="6"/>
      <c r="AD6" s="6"/>
      <c r="AE6" s="6"/>
      <c r="AF6" s="6"/>
      <c r="AG6" s="5"/>
    </row>
    <row r="7" customHeight="1" spans="1:3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6" t="s">
        <v>65</v>
      </c>
      <c r="AA7" s="6"/>
      <c r="AB7" s="6"/>
      <c r="AC7" s="6"/>
      <c r="AD7" s="6"/>
      <c r="AE7" s="6"/>
      <c r="AF7" s="6"/>
      <c r="AG7" s="5"/>
    </row>
    <row r="8" customHeight="1" spans="1:3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customHeight="1" spans="1:3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customHeight="1" spans="1:3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customHeight="1" spans="1:3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7" t="s">
        <v>66</v>
      </c>
      <c r="AA11" s="3"/>
      <c r="AB11" s="3"/>
      <c r="AC11" s="3"/>
      <c r="AD11" s="3"/>
      <c r="AE11" s="3"/>
      <c r="AF11" s="3"/>
      <c r="AG11" s="3"/>
    </row>
    <row r="12" customHeight="1" spans="1:3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customHeight="1" spans="1:3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ht="12" customHeight="1" spans="1:3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ht="21.75" customHeight="1" spans="1:33">
      <c r="A15" s="8" t="s">
        <v>67</v>
      </c>
      <c r="B15" s="9"/>
      <c r="C15" s="9"/>
      <c r="D15" s="8" t="s">
        <v>68</v>
      </c>
      <c r="E15" s="8" t="s">
        <v>69</v>
      </c>
      <c r="F15" s="8" t="s">
        <v>70</v>
      </c>
      <c r="G15" s="8" t="s">
        <v>71</v>
      </c>
      <c r="H15" s="8" t="s">
        <v>72</v>
      </c>
      <c r="I15" s="8" t="s">
        <v>47</v>
      </c>
      <c r="J15" s="8" t="s">
        <v>73</v>
      </c>
      <c r="K15" s="8" t="s">
        <v>74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ht="19.5" customHeight="1" spans="1:3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10">
        <v>36</v>
      </c>
      <c r="N16" s="10">
        <v>37</v>
      </c>
      <c r="O16" s="10">
        <v>38</v>
      </c>
      <c r="P16" s="10">
        <v>39</v>
      </c>
      <c r="Q16" s="10">
        <v>40</v>
      </c>
      <c r="R16" s="10">
        <v>41</v>
      </c>
      <c r="S16" s="10">
        <v>42</v>
      </c>
      <c r="T16" s="10">
        <v>43</v>
      </c>
      <c r="U16" s="10">
        <v>44</v>
      </c>
      <c r="V16" s="10">
        <v>45</v>
      </c>
      <c r="W16" s="10">
        <v>46</v>
      </c>
      <c r="X16" s="10">
        <v>47</v>
      </c>
      <c r="Y16" s="10">
        <v>48</v>
      </c>
      <c r="Z16" s="11" t="s">
        <v>75</v>
      </c>
      <c r="AA16" s="11" t="s">
        <v>76</v>
      </c>
      <c r="AB16" s="11" t="s">
        <v>77</v>
      </c>
      <c r="AC16" s="11" t="s">
        <v>78</v>
      </c>
      <c r="AD16" s="11" t="s">
        <v>79</v>
      </c>
      <c r="AE16" s="11" t="s">
        <v>80</v>
      </c>
      <c r="AF16" s="11" t="s">
        <v>81</v>
      </c>
      <c r="AG16" s="11" t="s">
        <v>32</v>
      </c>
    </row>
    <row r="17" ht="18" customHeight="1" spans="1:33">
      <c r="A17" s="12">
        <v>1</v>
      </c>
      <c r="B17" s="12" t="s">
        <v>82</v>
      </c>
      <c r="C17" s="12">
        <f t="shared" ref="C17:C28" si="0">+A17+Z17-1</f>
        <v>1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>
        <v>1</v>
      </c>
      <c r="AA17" s="12">
        <f t="shared" ref="AA17:AA28" si="1">SUM(M17:Y17)</f>
        <v>0</v>
      </c>
      <c r="AB17" s="13">
        <f t="shared" ref="AB17:AB28" si="2">AA17*Z17</f>
        <v>0</v>
      </c>
      <c r="AC17" s="14">
        <f t="shared" ref="AC17:AC28" si="3">1.75*Z17+AD17</f>
        <v>1.75</v>
      </c>
      <c r="AD17" s="14">
        <f t="shared" ref="AD17:AD28" si="4">0.257*M17+0.259*N17+0.268*O17+0.27*P17+0.278*Q17+0.281*R17+0.288*S17+0.293*T17+0.3*U17+0.307*V17+0.314*W17+0.321*X17+0.328*Y17</f>
        <v>0</v>
      </c>
      <c r="AE17" s="14">
        <f t="shared" ref="AE17:AE28" si="5">AC17</f>
        <v>1.75</v>
      </c>
      <c r="AF17" s="14">
        <f t="shared" ref="AF17:AF28" si="6">AD17</f>
        <v>0</v>
      </c>
      <c r="AG17" s="12" t="s">
        <v>83</v>
      </c>
    </row>
    <row r="18" ht="18" customHeight="1" spans="1:33">
      <c r="A18" s="15">
        <f t="shared" ref="A18:A28" si="7">+C17+1</f>
        <v>2</v>
      </c>
      <c r="B18" s="15" t="s">
        <v>82</v>
      </c>
      <c r="C18" s="15">
        <f t="shared" si="0"/>
        <v>2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>
        <v>1</v>
      </c>
      <c r="AA18" s="15">
        <f t="shared" si="1"/>
        <v>0</v>
      </c>
      <c r="AB18" s="16">
        <f t="shared" si="2"/>
        <v>0</v>
      </c>
      <c r="AC18" s="17">
        <f t="shared" si="3"/>
        <v>1.75</v>
      </c>
      <c r="AD18" s="17">
        <f t="shared" si="4"/>
        <v>0</v>
      </c>
      <c r="AE18" s="17">
        <f t="shared" si="5"/>
        <v>1.75</v>
      </c>
      <c r="AF18" s="17">
        <f t="shared" si="6"/>
        <v>0</v>
      </c>
      <c r="AG18" s="15" t="s">
        <v>83</v>
      </c>
    </row>
    <row r="19" ht="18" customHeight="1" spans="1:33">
      <c r="A19" s="12">
        <f t="shared" si="7"/>
        <v>3</v>
      </c>
      <c r="B19" s="12" t="s">
        <v>82</v>
      </c>
      <c r="C19" s="12">
        <f t="shared" si="0"/>
        <v>3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>
        <v>1</v>
      </c>
      <c r="AA19" s="12">
        <f t="shared" si="1"/>
        <v>0</v>
      </c>
      <c r="AB19" s="13">
        <f t="shared" si="2"/>
        <v>0</v>
      </c>
      <c r="AC19" s="14">
        <f t="shared" si="3"/>
        <v>1.75</v>
      </c>
      <c r="AD19" s="14">
        <f t="shared" si="4"/>
        <v>0</v>
      </c>
      <c r="AE19" s="14">
        <f t="shared" si="5"/>
        <v>1.75</v>
      </c>
      <c r="AF19" s="14">
        <f t="shared" si="6"/>
        <v>0</v>
      </c>
      <c r="AG19" s="12" t="s">
        <v>83</v>
      </c>
    </row>
    <row r="20" ht="18" customHeight="1" spans="1:33">
      <c r="A20" s="15">
        <f t="shared" si="7"/>
        <v>4</v>
      </c>
      <c r="B20" s="15" t="s">
        <v>82</v>
      </c>
      <c r="C20" s="15">
        <f t="shared" si="0"/>
        <v>4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>
        <v>1</v>
      </c>
      <c r="AA20" s="15">
        <f t="shared" si="1"/>
        <v>0</v>
      </c>
      <c r="AB20" s="16">
        <f t="shared" si="2"/>
        <v>0</v>
      </c>
      <c r="AC20" s="17">
        <f t="shared" si="3"/>
        <v>1.75</v>
      </c>
      <c r="AD20" s="17">
        <f t="shared" si="4"/>
        <v>0</v>
      </c>
      <c r="AE20" s="17">
        <f t="shared" si="5"/>
        <v>1.75</v>
      </c>
      <c r="AF20" s="17">
        <f t="shared" si="6"/>
        <v>0</v>
      </c>
      <c r="AG20" s="15" t="s">
        <v>83</v>
      </c>
    </row>
    <row r="21" ht="18" customHeight="1" spans="1:33">
      <c r="A21" s="12">
        <f t="shared" si="7"/>
        <v>5</v>
      </c>
      <c r="B21" s="12" t="s">
        <v>82</v>
      </c>
      <c r="C21" s="12">
        <f t="shared" si="0"/>
        <v>5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>
        <v>1</v>
      </c>
      <c r="AA21" s="12">
        <f t="shared" si="1"/>
        <v>0</v>
      </c>
      <c r="AB21" s="13">
        <f t="shared" si="2"/>
        <v>0</v>
      </c>
      <c r="AC21" s="14">
        <f t="shared" si="3"/>
        <v>1.75</v>
      </c>
      <c r="AD21" s="14">
        <f t="shared" si="4"/>
        <v>0</v>
      </c>
      <c r="AE21" s="14">
        <f t="shared" si="5"/>
        <v>1.75</v>
      </c>
      <c r="AF21" s="14">
        <f t="shared" si="6"/>
        <v>0</v>
      </c>
      <c r="AG21" s="12" t="s">
        <v>83</v>
      </c>
    </row>
    <row r="22" ht="18" customHeight="1" spans="1:33">
      <c r="A22" s="15">
        <f t="shared" si="7"/>
        <v>6</v>
      </c>
      <c r="B22" s="15" t="s">
        <v>82</v>
      </c>
      <c r="C22" s="15">
        <f t="shared" si="0"/>
        <v>6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>
        <v>1</v>
      </c>
      <c r="AA22" s="15">
        <f t="shared" si="1"/>
        <v>0</v>
      </c>
      <c r="AB22" s="16">
        <f t="shared" si="2"/>
        <v>0</v>
      </c>
      <c r="AC22" s="17">
        <f t="shared" si="3"/>
        <v>1.75</v>
      </c>
      <c r="AD22" s="17">
        <f t="shared" si="4"/>
        <v>0</v>
      </c>
      <c r="AE22" s="17">
        <f t="shared" si="5"/>
        <v>1.75</v>
      </c>
      <c r="AF22" s="17">
        <f t="shared" si="6"/>
        <v>0</v>
      </c>
      <c r="AG22" s="15" t="s">
        <v>83</v>
      </c>
    </row>
    <row r="23" ht="18" customHeight="1" spans="1:33">
      <c r="A23" s="12">
        <f t="shared" si="7"/>
        <v>7</v>
      </c>
      <c r="B23" s="12" t="s">
        <v>82</v>
      </c>
      <c r="C23" s="12">
        <f t="shared" si="0"/>
        <v>7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>
        <v>1</v>
      </c>
      <c r="AA23" s="12">
        <f t="shared" si="1"/>
        <v>0</v>
      </c>
      <c r="AB23" s="13">
        <f t="shared" si="2"/>
        <v>0</v>
      </c>
      <c r="AC23" s="14">
        <f t="shared" si="3"/>
        <v>1.75</v>
      </c>
      <c r="AD23" s="14">
        <f t="shared" si="4"/>
        <v>0</v>
      </c>
      <c r="AE23" s="14">
        <f t="shared" si="5"/>
        <v>1.75</v>
      </c>
      <c r="AF23" s="14">
        <f t="shared" si="6"/>
        <v>0</v>
      </c>
      <c r="AG23" s="12" t="s">
        <v>83</v>
      </c>
    </row>
    <row r="24" ht="18" customHeight="1" spans="1:33">
      <c r="A24" s="15">
        <f t="shared" si="7"/>
        <v>8</v>
      </c>
      <c r="B24" s="15" t="s">
        <v>82</v>
      </c>
      <c r="C24" s="15">
        <f t="shared" si="0"/>
        <v>8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>
        <v>1</v>
      </c>
      <c r="AA24" s="15">
        <f t="shared" si="1"/>
        <v>0</v>
      </c>
      <c r="AB24" s="16">
        <f t="shared" si="2"/>
        <v>0</v>
      </c>
      <c r="AC24" s="17">
        <f t="shared" si="3"/>
        <v>1.75</v>
      </c>
      <c r="AD24" s="17">
        <f t="shared" si="4"/>
        <v>0</v>
      </c>
      <c r="AE24" s="17">
        <f t="shared" si="5"/>
        <v>1.75</v>
      </c>
      <c r="AF24" s="17">
        <f t="shared" si="6"/>
        <v>0</v>
      </c>
      <c r="AG24" s="15" t="s">
        <v>83</v>
      </c>
    </row>
    <row r="25" ht="18" customHeight="1" spans="1:33">
      <c r="A25" s="12">
        <f t="shared" si="7"/>
        <v>9</v>
      </c>
      <c r="B25" s="12" t="s">
        <v>82</v>
      </c>
      <c r="C25" s="12">
        <f t="shared" si="0"/>
        <v>9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>
        <v>1</v>
      </c>
      <c r="AA25" s="12">
        <f t="shared" si="1"/>
        <v>0</v>
      </c>
      <c r="AB25" s="13">
        <f t="shared" si="2"/>
        <v>0</v>
      </c>
      <c r="AC25" s="14">
        <f t="shared" si="3"/>
        <v>1.75</v>
      </c>
      <c r="AD25" s="14">
        <f t="shared" si="4"/>
        <v>0</v>
      </c>
      <c r="AE25" s="14">
        <f t="shared" si="5"/>
        <v>1.75</v>
      </c>
      <c r="AF25" s="14">
        <f t="shared" si="6"/>
        <v>0</v>
      </c>
      <c r="AG25" s="12" t="s">
        <v>83</v>
      </c>
    </row>
    <row r="26" ht="18" customHeight="1" spans="1:33">
      <c r="A26" s="15">
        <f t="shared" si="7"/>
        <v>10</v>
      </c>
      <c r="B26" s="15" t="s">
        <v>82</v>
      </c>
      <c r="C26" s="15">
        <f t="shared" si="0"/>
        <v>10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>
        <v>1</v>
      </c>
      <c r="AA26" s="15">
        <f t="shared" si="1"/>
        <v>0</v>
      </c>
      <c r="AB26" s="16">
        <f t="shared" si="2"/>
        <v>0</v>
      </c>
      <c r="AC26" s="17">
        <f t="shared" si="3"/>
        <v>1.75</v>
      </c>
      <c r="AD26" s="17">
        <f t="shared" si="4"/>
        <v>0</v>
      </c>
      <c r="AE26" s="17">
        <f t="shared" si="5"/>
        <v>1.75</v>
      </c>
      <c r="AF26" s="17">
        <f t="shared" si="6"/>
        <v>0</v>
      </c>
      <c r="AG26" s="15" t="s">
        <v>83</v>
      </c>
    </row>
    <row r="27" ht="18" customHeight="1" spans="1:33">
      <c r="A27" s="12">
        <f t="shared" si="7"/>
        <v>11</v>
      </c>
      <c r="B27" s="12" t="s">
        <v>82</v>
      </c>
      <c r="C27" s="12">
        <f t="shared" si="0"/>
        <v>11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>
        <v>1</v>
      </c>
      <c r="AA27" s="12">
        <f t="shared" si="1"/>
        <v>0</v>
      </c>
      <c r="AB27" s="13">
        <f t="shared" si="2"/>
        <v>0</v>
      </c>
      <c r="AC27" s="14">
        <f t="shared" si="3"/>
        <v>1.75</v>
      </c>
      <c r="AD27" s="14">
        <f t="shared" si="4"/>
        <v>0</v>
      </c>
      <c r="AE27" s="14">
        <f t="shared" si="5"/>
        <v>1.75</v>
      </c>
      <c r="AF27" s="14">
        <f t="shared" si="6"/>
        <v>0</v>
      </c>
      <c r="AG27" s="12" t="s">
        <v>83</v>
      </c>
    </row>
    <row r="28" ht="18" customHeight="1" spans="1:33">
      <c r="A28" s="15">
        <f t="shared" si="7"/>
        <v>12</v>
      </c>
      <c r="B28" s="15" t="s">
        <v>82</v>
      </c>
      <c r="C28" s="15">
        <f t="shared" si="0"/>
        <v>12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>
        <v>1</v>
      </c>
      <c r="AA28" s="15">
        <f t="shared" si="1"/>
        <v>0</v>
      </c>
      <c r="AB28" s="16">
        <f t="shared" si="2"/>
        <v>0</v>
      </c>
      <c r="AC28" s="17">
        <f t="shared" si="3"/>
        <v>1.75</v>
      </c>
      <c r="AD28" s="17">
        <f t="shared" si="4"/>
        <v>0</v>
      </c>
      <c r="AE28" s="17">
        <f t="shared" si="5"/>
        <v>1.75</v>
      </c>
      <c r="AF28" s="17">
        <f t="shared" si="6"/>
        <v>0</v>
      </c>
      <c r="AG28" s="15" t="s">
        <v>83</v>
      </c>
    </row>
    <row r="29" ht="21.75" customHeight="1" spans="1:33">
      <c r="A29" s="18" t="s">
        <v>84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9">
        <f t="shared" ref="M29:Z29" si="8">SUM(M17:M28)</f>
        <v>0</v>
      </c>
      <c r="N29" s="19">
        <f t="shared" si="8"/>
        <v>0</v>
      </c>
      <c r="O29" s="19">
        <f t="shared" si="8"/>
        <v>0</v>
      </c>
      <c r="P29" s="19">
        <f t="shared" si="8"/>
        <v>0</v>
      </c>
      <c r="Q29" s="19">
        <f t="shared" si="8"/>
        <v>0</v>
      </c>
      <c r="R29" s="19">
        <f t="shared" si="8"/>
        <v>0</v>
      </c>
      <c r="S29" s="19">
        <f t="shared" si="8"/>
        <v>0</v>
      </c>
      <c r="T29" s="19">
        <f t="shared" si="8"/>
        <v>0</v>
      </c>
      <c r="U29" s="19">
        <f t="shared" si="8"/>
        <v>0</v>
      </c>
      <c r="V29" s="19">
        <f t="shared" si="8"/>
        <v>0</v>
      </c>
      <c r="W29" s="19">
        <f t="shared" si="8"/>
        <v>0</v>
      </c>
      <c r="X29" s="19">
        <f t="shared" si="8"/>
        <v>0</v>
      </c>
      <c r="Y29" s="19">
        <f t="shared" si="8"/>
        <v>0</v>
      </c>
      <c r="Z29" s="19">
        <f t="shared" si="8"/>
        <v>12</v>
      </c>
      <c r="AA29" s="18"/>
      <c r="AB29" s="19">
        <f>SUM(AB17:AB28)</f>
        <v>0</v>
      </c>
      <c r="AC29" s="20">
        <f>SUM(AC17:AC28)</f>
        <v>21</v>
      </c>
      <c r="AD29" s="20">
        <f>SUM(AD17:AD28)</f>
        <v>0</v>
      </c>
      <c r="AE29" s="20">
        <f>SUM(AE17:AE28)</f>
        <v>21</v>
      </c>
      <c r="AF29" s="20">
        <f>SUM(AF17:AF28)</f>
        <v>0</v>
      </c>
      <c r="AG29" s="18"/>
    </row>
    <row r="30" customHeight="1" spans="1:3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customHeight="1" spans="1:3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ht="13.5" customHeight="1" spans="1:3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ht="21.75" customHeight="1" spans="1:33">
      <c r="A33" s="3"/>
      <c r="B33" s="3"/>
      <c r="C33" s="3"/>
      <c r="D33" s="3"/>
      <c r="E33" s="3"/>
      <c r="F33" s="3"/>
      <c r="G33" s="3"/>
      <c r="H33" s="3"/>
      <c r="I33" s="3"/>
      <c r="J33" s="3"/>
      <c r="K33" s="21" t="s">
        <v>85</v>
      </c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3"/>
      <c r="AA33" s="3"/>
      <c r="AB33" s="3"/>
      <c r="AC33" s="3"/>
      <c r="AD33" s="3"/>
      <c r="AE33" s="3"/>
      <c r="AF33" s="3"/>
      <c r="AG33" s="3"/>
    </row>
    <row r="34" customHeight="1" spans="1:3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22" t="s">
        <v>82</v>
      </c>
      <c r="M34" s="22" t="s">
        <v>9</v>
      </c>
      <c r="N34" s="22" t="s">
        <v>10</v>
      </c>
      <c r="O34" s="22" t="s">
        <v>11</v>
      </c>
      <c r="P34" s="22" t="s">
        <v>12</v>
      </c>
      <c r="Q34" s="22" t="s">
        <v>13</v>
      </c>
      <c r="R34" s="22" t="s">
        <v>14</v>
      </c>
      <c r="S34" s="22" t="s">
        <v>15</v>
      </c>
      <c r="T34" s="22" t="s">
        <v>16</v>
      </c>
      <c r="U34" s="22" t="s">
        <v>86</v>
      </c>
      <c r="V34" s="22" t="s">
        <v>87</v>
      </c>
      <c r="W34" s="22" t="s">
        <v>88</v>
      </c>
      <c r="X34" s="22" t="s">
        <v>89</v>
      </c>
      <c r="Y34" s="22" t="s">
        <v>17</v>
      </c>
      <c r="Z34" s="3"/>
      <c r="AA34" s="3"/>
      <c r="AB34" s="3"/>
      <c r="AC34" s="3"/>
      <c r="AD34" s="3"/>
      <c r="AE34" s="3"/>
      <c r="AF34" s="3"/>
      <c r="AG34" s="3"/>
    </row>
    <row r="35" ht="18" customHeight="1" spans="1:3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23" t="s">
        <v>90</v>
      </c>
      <c r="M35" s="24">
        <f>'input '!C12</f>
        <v>3</v>
      </c>
      <c r="N35" s="24">
        <f>'input '!D12</f>
        <v>22</v>
      </c>
      <c r="O35" s="24">
        <f>'input '!E12</f>
        <v>44</v>
      </c>
      <c r="P35" s="24">
        <f>'input '!F12</f>
        <v>50</v>
      </c>
      <c r="Q35" s="24">
        <f>'input '!G12</f>
        <v>61</v>
      </c>
      <c r="R35" s="24">
        <f>'input '!H12</f>
        <v>50</v>
      </c>
      <c r="S35" s="24">
        <f>'input '!I12</f>
        <v>37</v>
      </c>
      <c r="T35" s="24">
        <f>'input '!J12</f>
        <v>22</v>
      </c>
      <c r="U35" s="3"/>
      <c r="V35" s="3"/>
      <c r="W35" s="3"/>
      <c r="X35" s="3"/>
      <c r="Y35" s="25">
        <f>SUM(M35:T35)</f>
        <v>289</v>
      </c>
      <c r="Z35" s="3"/>
      <c r="AA35" s="3"/>
      <c r="AB35" s="3"/>
      <c r="AC35" s="3"/>
      <c r="AD35" s="3"/>
      <c r="AE35" s="3"/>
      <c r="AF35" s="3"/>
      <c r="AG35" s="3"/>
    </row>
    <row r="36" ht="18" customHeight="1" spans="1:3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26" t="s">
        <v>91</v>
      </c>
      <c r="M36" s="27">
        <f t="shared" ref="M36:T36" si="9">M29</f>
        <v>0</v>
      </c>
      <c r="N36" s="27">
        <f t="shared" si="9"/>
        <v>0</v>
      </c>
      <c r="O36" s="27">
        <f t="shared" si="9"/>
        <v>0</v>
      </c>
      <c r="P36" s="27">
        <f t="shared" si="9"/>
        <v>0</v>
      </c>
      <c r="Q36" s="27">
        <f t="shared" si="9"/>
        <v>0</v>
      </c>
      <c r="R36" s="27">
        <f t="shared" si="9"/>
        <v>0</v>
      </c>
      <c r="S36" s="27">
        <f t="shared" si="9"/>
        <v>0</v>
      </c>
      <c r="T36" s="27">
        <f t="shared" si="9"/>
        <v>0</v>
      </c>
      <c r="U36" s="3"/>
      <c r="V36" s="3"/>
      <c r="W36" s="3"/>
      <c r="X36" s="3"/>
      <c r="Y36" s="25">
        <f>SUM(M36:T36)</f>
        <v>0</v>
      </c>
      <c r="Z36" s="3"/>
      <c r="AA36" s="3"/>
      <c r="AB36" s="3"/>
      <c r="AC36" s="3"/>
      <c r="AD36" s="3"/>
      <c r="AE36" s="3"/>
      <c r="AF36" s="3"/>
      <c r="AG36" s="3"/>
    </row>
    <row r="37" ht="18" customHeight="1" spans="1:3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23" t="s">
        <v>20</v>
      </c>
      <c r="M37" s="24">
        <f t="shared" ref="M37:T37" si="10">M35-M36</f>
        <v>3</v>
      </c>
      <c r="N37" s="24">
        <f t="shared" si="10"/>
        <v>22</v>
      </c>
      <c r="O37" s="24">
        <f t="shared" si="10"/>
        <v>44</v>
      </c>
      <c r="P37" s="24">
        <f t="shared" si="10"/>
        <v>50</v>
      </c>
      <c r="Q37" s="24">
        <f t="shared" si="10"/>
        <v>61</v>
      </c>
      <c r="R37" s="24">
        <f t="shared" si="10"/>
        <v>50</v>
      </c>
      <c r="S37" s="24">
        <f t="shared" si="10"/>
        <v>37</v>
      </c>
      <c r="T37" s="24">
        <f t="shared" si="10"/>
        <v>22</v>
      </c>
      <c r="U37" s="3"/>
      <c r="V37" s="3"/>
      <c r="W37" s="3"/>
      <c r="X37" s="3"/>
      <c r="Y37" s="25">
        <f>SUM(M37:T37)</f>
        <v>289</v>
      </c>
      <c r="Z37" s="3"/>
      <c r="AA37" s="3"/>
      <c r="AB37" s="3"/>
      <c r="AC37" s="3"/>
      <c r="AD37" s="3"/>
      <c r="AE37" s="3"/>
      <c r="AF37" s="3"/>
      <c r="AG37" s="3"/>
    </row>
    <row r="38" customHeight="1" spans="1:3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customHeight="1" spans="1:3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customHeight="1" spans="1:3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customHeight="1" spans="1:3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customHeight="1" spans="1:3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customHeight="1" spans="1:3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customHeight="1" spans="1:3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customHeight="1" spans="1:3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customHeight="1" spans="1:3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customHeight="1" spans="1:3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customHeight="1" spans="1:3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customHeight="1" spans="1:3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customHeight="1" spans="1:3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</sheetData>
  <mergeCells count="8">
    <mergeCell ref="A1:AG1"/>
    <mergeCell ref="Z2:AF2"/>
    <mergeCell ref="Z3:AF3"/>
    <mergeCell ref="Z4:AF4"/>
    <mergeCell ref="Z5:AF5"/>
    <mergeCell ref="Z6:AF6"/>
    <mergeCell ref="Z7:AF7"/>
    <mergeCell ref="K33:Y33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input </vt:lpstr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</cp:lastModifiedBy>
  <cp:revision>0</cp:revision>
  <dcterms:created xsi:type="dcterms:W3CDTF">2026-06-17T20:30:00Z</dcterms:created>
  <dcterms:modified xsi:type="dcterms:W3CDTF">2026-06-17T20:44:49Z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C39D5333C14940EE936E53BA7B5F8101_12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