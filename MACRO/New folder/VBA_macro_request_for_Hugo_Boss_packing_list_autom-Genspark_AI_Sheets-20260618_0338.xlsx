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trlProps/ctrlProp1.xml" ContentType="application/vnd.ms-excel.control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 tabRatio="500"/>
  </bookViews>
  <sheets>
    <sheet r:id="rId1" name="input " sheetId="1"/>
    <sheet r:id="rId2" name="output" sheetId="2"/>
    <sheet r:id="rId3" name="VBA_Macro" sheetId="3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<sst xmlns="http://schemas.openxmlformats.org/spreadsheetml/2006/main" count="229" uniqueCount="229">
  <si>
    <t xml:space="preserve">  PACKING LIST  |  INPUT SHEET</t>
  </si>
  <si>
    <t xml:space="preserve">  ORDER DETAILS</t>
  </si>
  <si>
    <t xml:space="preserve">  CARTON SETTINGS</t>
  </si>
  <si>
    <t>Style No</t>
  </si>
  <si>
    <t>PO No</t>
  </si>
  <si>
    <t>Capacity (pcs):</t>
  </si>
  <si>
    <t>Color</t>
  </si>
  <si>
    <t>Dark Blue</t>
  </si>
  <si>
    <t>Item</t>
  </si>
  <si>
    <t>00010</t>
  </si>
  <si>
    <t>Colour N°</t>
  </si>
  <si>
    <t>Form Name</t>
  </si>
  <si>
    <t xml:space="preserve"> H-HANK-SP-C1-271</t>
  </si>
  <si>
    <t>Form No</t>
  </si>
  <si>
    <t>Quality</t>
  </si>
  <si>
    <t xml:space="preserve">  ORDER QUANTITY BY SIZE</t>
  </si>
  <si>
    <t>SIZE</t>
  </si>
  <si>
    <t>TOTAL</t>
  </si>
  <si>
    <t>ORDER QTY</t>
  </si>
  <si>
    <t xml:space="preserve">  HOW TO USE</t>
  </si>
  <si>
    <t>1.  Fill in Order Details: Style No, PO No, Color, Form No, Quality, Item</t>
  </si>
  <si>
    <t>2.  Enter order quantities by size in the yellow input cells (row 12)</t>
  </si>
  <si>
    <t>3.  Run macro:  Alt + F8  →  GeneratePackingList  →  Run</t>
  </si>
  <si>
    <t>4.  Check the Output sheet and Dashboard for the generated packing list</t>
  </si>
  <si>
    <t xml:space="preserve">  HUGO BOSS  |  PACKING LIST OUTPUT</t>
  </si>
  <si>
    <t>Supplier Name:</t>
  </si>
  <si>
    <t>Laguna Clothing PVT LTD</t>
  </si>
  <si>
    <t>143/2 Kalegowdana Doddi</t>
  </si>
  <si>
    <t>BM Road, NH 209, Kanakpura Taluk</t>
  </si>
  <si>
    <t>562117 RAMANAGARA</t>
  </si>
  <si>
    <t>India</t>
  </si>
  <si>
    <t>CON NO:</t>
  </si>
  <si>
    <t>Carton N°</t>
  </si>
  <si>
    <t>PO NO</t>
  </si>
  <si>
    <t>STYLE NO</t>
  </si>
  <si>
    <t>FORM NO</t>
  </si>
  <si>
    <t>FORM NAME</t>
  </si>
  <si>
    <t>QUALITY</t>
  </si>
  <si>
    <t>Colour</t>
  </si>
  <si>
    <t>ITEM</t>
  </si>
  <si>
    <t>N° Cartons</t>
  </si>
  <si>
    <t>Per CTN</t>
  </si>
  <si>
    <t>Total Pcs</t>
  </si>
  <si>
    <t>GW/ctn</t>
  </si>
  <si>
    <t>NW/ctn</t>
  </si>
  <si>
    <t>GW</t>
  </si>
  <si>
    <t>NW</t>
  </si>
  <si>
    <t>Ctn Size</t>
  </si>
  <si>
    <t>-</t>
  </si>
  <si>
    <t>H-HANK-SP-C1-271</t>
  </si>
  <si>
    <t>584X382X312 MM</t>
  </si>
  <si>
    <t>MIX</t>
  </si>
  <si>
    <t>PARTIAL</t>
  </si>
  <si>
    <t>S-TOTAL</t>
  </si>
  <si>
    <t>SUMMARY — ORDER vs PACKED</t>
  </si>
  <si>
    <t>Order</t>
  </si>
  <si>
    <t>Packed</t>
  </si>
  <si>
    <t>Variance</t>
  </si>
  <si>
    <t>Hugo Boss Packing List — VBA Macro Code</t>
  </si>
  <si>
    <t>Instructions: Press Alt+F11 → Insert → Module → paste the code below → Save as .xlsm → Run via Alt+F8 → GeneratePackingList</t>
  </si>
  <si>
    <t>Option Explicit</t>
  </si>
  <si>
    <t>' =====================================================================</t>
  </si>
  <si>
    <t>'  Hugo Boss Packing List Generator</t>
  </si>
  <si>
    <t>'  Reads order data from "input " sheet and writes a calculated</t>
  </si>
  <si>
    <t>'  packing list into the "output" sheet.</t>
  </si>
  <si>
    <t>'  Logic:</t>
  </si>
  <si>
    <t>'   1. Carton capacity = 14 pcs (configurable in input!J5)</t>
  </si>
  <si>
    <t>'   2. SINGLE-SIZE PRIORITY: pack full single-size cartons first</t>
  </si>
  <si>
    <t>'   3. MIXED CARTONS: consolidate remainders into cartons of exactly 14</t>
  </si>
  <si>
    <t>'      with a maximum of 3 different sizes per carton.</t>
  </si>
  <si>
    <t>'   4. If the grand total is not a multiple of 14, the final carton</t>
  </si>
  <si>
    <t>'      will be a partial carton (flagged in the output).</t>
  </si>
  <si>
    <t>Public Sub GeneratePackingList()</t>
  </si>
  <si>
    <t xml:space="preserve">    Dim wsIn As Worksheet, wsOut As Worksheet</t>
  </si>
  <si>
    <t xml:space="preserve">    Dim capacity As Long, i As Long, j As Long</t>
  </si>
  <si>
    <t xml:space="preserve">    Dim sizes As Variant, qty() As Long, rem_() As Long</t>
  </si>
  <si>
    <t xml:space="preserve">    Dim styleNo As String, poNo As String, formNo As String</t>
  </si>
  <si>
    <t xml:space="preserve">    Dim formName As String, quality As String, colourNo As String</t>
  </si>
  <si>
    <t xml:space="preserve">    Dim colour As String, itemNo As String</t>
  </si>
  <si>
    <t xml:space="preserve">    Dim cartonRow As Long, cartonNo As Long</t>
  </si>
  <si>
    <t xml:space="preserve">    Dim totalPcs As Long</t>
  </si>
  <si>
    <t xml:space="preserve">    Dim sheetIn As String, sheetOut As String</t>
  </si>
  <si>
    <t xml:space="preserve">    sheetIn = "input "        ' note the trailing space in the sheet name</t>
  </si>
  <si>
    <t xml:space="preserve">    sheetOut = "output"</t>
  </si>
  <si>
    <t xml:space="preserve">    Set wsIn = ThisWorkbook.Worksheets(sheetIn)</t>
  </si>
  <si>
    <t xml:space="preserve">    Set wsOut = ThisWorkbook.Worksheets(sheetOut)</t>
  </si>
  <si>
    <t xml:space="preserve">    capacity = CLng(wsIn.Range("J5").Value)</t>
  </si>
  <si>
    <t xml:space="preserve">    If capacity &lt;= 0 Then capacity = 14</t>
  </si>
  <si>
    <t xml:space="preserve">    ' Read order header</t>
  </si>
  <si>
    <t xml:space="preserve">    styleNo = CStr(wsIn.Range("D5").Value)</t>
  </si>
  <si>
    <t xml:space="preserve">    poNo = CStr(wsIn.Range("G5").Value)</t>
  </si>
  <si>
    <t xml:space="preserve">    itemNo = CStr(wsIn.Range("G6").Value)</t>
  </si>
  <si>
    <t xml:space="preserve">    formName = CStr(wsIn.Range("G7").Value)</t>
  </si>
  <si>
    <t xml:space="preserve">    quality = CStr(wsIn.Range("G8").Value)</t>
  </si>
  <si>
    <t xml:space="preserve">    colour = CStr(wsIn.Range("D6").Value)</t>
  </si>
  <si>
    <t xml:space="preserve">    colourNo = CStr(wsIn.Range("D7").Value)</t>
  </si>
  <si>
    <t xml:space="preserve">    formNo = CStr(wsIn.Range("D8").Value)</t>
  </si>
  <si>
    <t xml:space="preserve">    sizes = Array(36, 37, 38, 39, 40, 41, 42, 43)</t>
  </si>
  <si>
    <t xml:space="preserve">    ReDim qty(0 To 7)</t>
  </si>
  <si>
    <t xml:space="preserve">    ReDim rem_(0 To 7)</t>
  </si>
  <si>
    <t xml:space="preserve">    For i = 0 To 7</t>
  </si>
  <si>
    <t xml:space="preserve">        qty(i) = CLng(Val(wsIn.Cells(12, 3 + i).Value))</t>
  </si>
  <si>
    <t xml:space="preserve">        rem_(i) = qty(i)</t>
  </si>
  <si>
    <t xml:space="preserve">        totalPcs = totalPcs + qty(i)</t>
  </si>
  <si>
    <t xml:space="preserve">    Next i</t>
  </si>
  <si>
    <t xml:space="preserve">    wsOut.Range("A17:AG200").ClearContents</t>
  </si>
  <si>
    <t xml:space="preserve">    ' --- STEP 1: Single-size full cartons ---</t>
  </si>
  <si>
    <t xml:space="preserve">    cartonRow = 17</t>
  </si>
  <si>
    <t xml:space="preserve">    cartonNo = 1</t>
  </si>
  <si>
    <t xml:space="preserve">        Dim nFull As Long</t>
  </si>
  <si>
    <t xml:space="preserve">        nFull = qty(i) \ capacity</t>
  </si>
  <si>
    <t xml:space="preserve">        For j = 1 To nFull</t>
  </si>
  <si>
    <t xml:space="preserve">            Call WriteCarton(wsOut, cartonRow, cartonNo, poNo, styleNo, formNo, _</t>
  </si>
  <si>
    <t xml:space="preserve">                             formName, quality, colourNo, colour, itemNo, _</t>
  </si>
  <si>
    <t xml:space="preserve">                             i, capacity, False)</t>
  </si>
  <si>
    <t xml:space="preserve">            cartonRow = cartonRow + 1</t>
  </si>
  <si>
    <t xml:space="preserve">            cartonNo = cartonNo + 1</t>
  </si>
  <si>
    <t xml:space="preserve">        Next j</t>
  </si>
  <si>
    <t xml:space="preserve">        rem_(i) = qty(i) - nFull * capacity</t>
  </si>
  <si>
    <t xml:space="preserve">    ' --- STEP 2: Mixed cartons (max 3 sizes, exactly 14 pcs) ---</t>
  </si>
  <si>
    <t xml:space="preserve">    Dim usedSizes(0 To 2) As Long, usedQty(0 To 2) As Long, used As Long</t>
  </si>
  <si>
    <t xml:space="preserve">    Dim cartonPcs As Long, biggestIdx As Long, biggestQty As Long</t>
  </si>
  <si>
    <t xml:space="preserve">    Dim safety As Long</t>
  </si>
  <si>
    <t xml:space="preserve">    Do While SumArr(rem_) &gt; 0</t>
  </si>
  <si>
    <t xml:space="preserve">        used = 0</t>
  </si>
  <si>
    <t xml:space="preserve">        cartonPcs = 0</t>
  </si>
  <si>
    <t xml:space="preserve">        ReDim usedSizes(0 To 2)</t>
  </si>
  <si>
    <t xml:space="preserve">        ReDim usedQty(0 To 2)</t>
  </si>
  <si>
    <t xml:space="preserve">        Do While used &lt; 3 And cartonPcs &lt; capacity</t>
  </si>
  <si>
    <t xml:space="preserve">            biggestIdx = -1: biggestQty = 0</t>
  </si>
  <si>
    <t xml:space="preserve">            For i = 0 To 7</t>
  </si>
  <si>
    <t xml:space="preserve">                If rem_(i) &gt; biggestQty Then</t>
  </si>
  <si>
    <t xml:space="preserve">                    biggestQty = rem_(i)</t>
  </si>
  <si>
    <t xml:space="preserve">                    biggestIdx = i</t>
  </si>
  <si>
    <t xml:space="preserve">                End If</t>
  </si>
  <si>
    <t xml:space="preserve">            Next i</t>
  </si>
  <si>
    <t xml:space="preserve">            If biggestIdx = -1 Then Exit Do</t>
  </si>
  <si>
    <t xml:space="preserve">            Dim takeQty As Long</t>
  </si>
  <si>
    <t xml:space="preserve">            takeQty = WorksheetFunction.Min(rem_(biggestIdx), capacity - cartonPcs)</t>
  </si>
  <si>
    <t xml:space="preserve">            usedSizes(used) = biggestIdx</t>
  </si>
  <si>
    <t xml:space="preserve">            usedQty(used) = takeQty</t>
  </si>
  <si>
    <t xml:space="preserve">            rem_(biggestIdx) = rem_(biggestIdx) - takeQty</t>
  </si>
  <si>
    <t xml:space="preserve">            cartonPcs = cartonPcs + takeQty</t>
  </si>
  <si>
    <t xml:space="preserve">            used = used + 1</t>
  </si>
  <si>
    <t xml:space="preserve">            If SumArr(rem_) = 0 Then Exit Do</t>
  </si>
  <si>
    <t xml:space="preserve">        Loop</t>
  </si>
  <si>
    <t xml:space="preserve">        Call WriteMixCarton(wsOut, cartonRow, cartonNo, poNo, styleNo, formNo, _</t>
  </si>
  <si>
    <t xml:space="preserve">                            formName, quality, colourNo, colour, itemNo, _</t>
  </si>
  <si>
    <t xml:space="preserve">                            usedSizes, usedQty, used, cartonPcs)</t>
  </si>
  <si>
    <t xml:space="preserve">        cartonRow = cartonRow + 1</t>
  </si>
  <si>
    <t xml:space="preserve">        cartonNo = cartonNo + 1</t>
  </si>
  <si>
    <t xml:space="preserve">        safety = safety + 1</t>
  </si>
  <si>
    <t xml:space="preserve">        If safety &gt; 500 Then Exit Do</t>
  </si>
  <si>
    <t xml:space="preserve">    Loop</t>
  </si>
  <si>
    <t xml:space="preserve">    ' --- STEP 3: Write S-TOTAL row ---</t>
  </si>
  <si>
    <t xml:space="preserve">    Dim totRow As Long</t>
  </si>
  <si>
    <t xml:space="preserve">    totRow = cartonRow</t>
  </si>
  <si>
    <t xml:space="preserve">    wsOut.Cells(totRow, 1).Value = "S-TOTAL"</t>
  </si>
  <si>
    <t xml:space="preserve">    wsOut.Cells(totRow, 1).Font.Bold = True</t>
  </si>
  <si>
    <t xml:space="preserve">    For i = 0 To 12</t>
  </si>
  <si>
    <t xml:space="preserve">        wsOut.Cells(totRow, 13 + i).Formula = "=SUM(" &amp; wsOut.Cells(17, 13 + i).Address(False, False) &amp; ":" &amp; wsOut.Cells(totRow - 1, 13 + i).Address(False, False) &amp; ")"</t>
  </si>
  <si>
    <t xml:space="preserve">    wsOut.Cells(totRow, 26).Formula = "=SUM(Z17:Z" &amp; (totRow - 1) &amp; ")"</t>
  </si>
  <si>
    <t xml:space="preserve">    wsOut.Cells(totRow, 28).Formula = "=SUM(AB17:AB" &amp; (totRow - 1) &amp; ")"</t>
  </si>
  <si>
    <t xml:space="preserve">    wsOut.Range(wsOut.Cells(totRow, 1), wsOut.Cells(totRow, 33)).Interior.Color = RGB(230, 230, 230)</t>
  </si>
  <si>
    <t xml:space="preserve">    wsOut.Range(wsOut.Cells(totRow, 1), wsOut.Cells(totRow, 33)).Font.Bold = True</t>
  </si>
  <si>
    <t xml:space="preserve">    ' --- STEP 4: Summary block ---</t>
  </si>
  <si>
    <t xml:space="preserve">    Dim sumStart As Long: sumStart = totRow + 3</t>
  </si>
  <si>
    <t xml:space="preserve">    wsOut.Cells(sumStart, 12).Value = "SUMMARY — ORDER vs PACKED"</t>
  </si>
  <si>
    <t xml:space="preserve">    wsOut.Cells(sumStart, 12).Font.Bold = True</t>
  </si>
  <si>
    <t xml:space="preserve">    wsOut.Range(wsOut.Cells(sumStart, 12), wsOut.Cells(sumStart, 25)).Merge</t>
  </si>
  <si>
    <t xml:space="preserve">    wsOut.Cells(sumStart, 12).HorizontalAlignment = xlCenter</t>
  </si>
  <si>
    <t xml:space="preserve">    wsOut.Cells(sumStart, 12).Interior.Color = RGB(217, 234, 247)</t>
  </si>
  <si>
    <t xml:space="preserve">    Dim hdrRow As Long: hdrRow = sumStart + 1</t>
  </si>
  <si>
    <t xml:space="preserve">    wsOut.Cells(hdrRow, 12).Value = "-"</t>
  </si>
  <si>
    <t xml:space="preserve">        wsOut.Cells(hdrRow, 13 + i).Value = sizes(i)</t>
  </si>
  <si>
    <t xml:space="preserve">    wsOut.Cells(hdrRow, 25).Value = "TOTAL"</t>
  </si>
  <si>
    <t xml:space="preserve">    wsOut.Range(wsOut.Cells(hdrRow, 12), wsOut.Cells(hdrRow, 25)).Font.Bold = True</t>
  </si>
  <si>
    <t xml:space="preserve">    wsOut.Cells(hdrRow + 1, 12).Value = "Order"</t>
  </si>
  <si>
    <t xml:space="preserve">    wsOut.Cells(hdrRow + 2, 12).Value = "Packed"</t>
  </si>
  <si>
    <t xml:space="preserve">    wsOut.Cells(hdrRow + 3, 12).Value = "Variance"</t>
  </si>
  <si>
    <t xml:space="preserve">        wsOut.Cells(hdrRow + 1, 13 + i).Formula = "='" &amp; sheetIn &amp; "'!" &amp; wsIn.Cells(12, 3 + i).Address(False, False)</t>
  </si>
  <si>
    <t xml:space="preserve">        wsOut.Cells(hdrRow + 2, 13 + i).Formula = "=" &amp; wsOut.Cells(totRow, 13 + i).Address(False, False)</t>
  </si>
  <si>
    <t xml:space="preserve">        wsOut.Cells(hdrRow + 3, 13 + i).Formula = "=" &amp; wsOut.Cells(hdrRow + 1, 13 + i).Address(False, False) &amp; "-" &amp; wsOut.Cells(hdrRow + 2, 13 + i).Address(False, False)</t>
  </si>
  <si>
    <t xml:space="preserve">    wsOut.Cells(hdrRow + 1, 25).Formula = "=SUM(" &amp; wsOut.Cells(hdrRow + 1, 13).Address(False, False) &amp; ":" &amp; wsOut.Cells(hdrRow + 1, 20).Address(False, False) &amp; ")"</t>
  </si>
  <si>
    <t xml:space="preserve">    wsOut.Cells(hdrRow + 2, 25).Formula = "=SUM(" &amp; wsOut.Cells(hdrRow + 2, 13).Address(False, False) &amp; ":" &amp; wsOut.Cells(hdrRow + 2, 20).Address(False, False) &amp; ")"</t>
  </si>
  <si>
    <t xml:space="preserve">    wsOut.Cells(hdrRow + 3, 25).Formula = "=SUM(" &amp; wsOut.Cells(hdrRow + 3, 13).Address(False, False) &amp; ":" &amp; wsOut.Cells(hdrRow + 3, 20).Address(False, False) &amp; ")"</t>
  </si>
  <si>
    <t xml:space="preserve">    wsOut.Range(wsOut.Cells(hdrRow + 3, 12), wsOut.Cells(hdrRow + 3, 25)).Font.Color = RGB(192, 0, 0)</t>
  </si>
  <si>
    <t xml:space="preserve">    MsgBox "Packing list generated: " &amp; (cartonNo - 1) &amp; " cartons, " &amp; totalPcs &amp; " pcs total.", vbInformation, "Hugo Boss Packing List"</t>
  </si>
  <si>
    <t>End Sub</t>
  </si>
  <si>
    <t>Private Sub WriteCarton(ws As Worksheet, r As Long, cNo As Long, _</t>
  </si>
  <si>
    <t xml:space="preserve">                        po As String, style As String, formN As String, _</t>
  </si>
  <si>
    <t xml:space="preserve">                        formNm As String, qlty As String, cNoCol As String, _</t>
  </si>
  <si>
    <t xml:space="preserve">                        col As String, item As String, sizeIdx As Long, _</t>
  </si>
  <si>
    <t xml:space="preserve">                        qtyPcs As Long, isMix As Boolean)</t>
  </si>
  <si>
    <t xml:space="preserve">    ws.Cells(r, 1).Value = cNo</t>
  </si>
  <si>
    <t xml:space="preserve">    ws.Cells(r, 2).Value = "-"</t>
  </si>
  <si>
    <t xml:space="preserve">    ws.Cells(r, 3).Value = cNo</t>
  </si>
  <si>
    <t xml:space="preserve">    ws.Cells(r, 4).Value = po</t>
  </si>
  <si>
    <t xml:space="preserve">    ws.Cells(r, 5).Value = style</t>
  </si>
  <si>
    <t xml:space="preserve">    ws.Cells(r, 6).Value = formN</t>
  </si>
  <si>
    <t xml:space="preserve">    ws.Cells(r, 7).Value = formNm</t>
  </si>
  <si>
    <t xml:space="preserve">    ws.Cells(r, 8).Value = qlty</t>
  </si>
  <si>
    <t xml:space="preserve">    ws.Cells(r, 9).Value = cNoCol</t>
  </si>
  <si>
    <t xml:space="preserve">    ws.Cells(r, 10).Value = col</t>
  </si>
  <si>
    <t xml:space="preserve">    ws.Cells(r, 11).Value = item</t>
  </si>
  <si>
    <t xml:space="preserve">    ws.Cells(r, 13 + sizeIdx).Value = qtyPcs</t>
  </si>
  <si>
    <t xml:space="preserve">    ws.Cells(r, 26).Value = 1</t>
  </si>
  <si>
    <t xml:space="preserve">    ws.Cells(r, 27).Formula = "=SUM(M" &amp; r &amp; ":Y" &amp; r &amp; ")"</t>
  </si>
  <si>
    <t xml:space="preserve">    ws.Cells(r, 28).Formula = "=AA" &amp; r &amp; "*Z" &amp; r</t>
  </si>
  <si>
    <t xml:space="preserve">    ws.Cells(r, 33).Value = "584X382X312 MM"</t>
  </si>
  <si>
    <t>Private Sub WriteMixCarton(ws As Worksheet, r As Long, cNo As Long, _</t>
  </si>
  <si>
    <t xml:space="preserve">                           po As String, style As String, formN As String, _</t>
  </si>
  <si>
    <t xml:space="preserve">                           formNm As String, qlty As String, cNoCol As String, _</t>
  </si>
  <si>
    <t xml:space="preserve">                           col As String, item As String, _</t>
  </si>
  <si>
    <t xml:space="preserve">                           usedSizes() As Long, usedQty() As Long, _</t>
  </si>
  <si>
    <t xml:space="preserve">                           used As Long, cartonPcs As Long)</t>
  </si>
  <si>
    <t xml:space="preserve">    Dim k As Long</t>
  </si>
  <si>
    <t xml:space="preserve">    ws.Cells(r, 2).Value = IIf(cartonPcs &lt; 14, "PARTIAL", "MIX")</t>
  </si>
  <si>
    <t xml:space="preserve">    For k = 0 To used - 1</t>
  </si>
  <si>
    <t xml:space="preserve">        ws.Cells(r, 13 + usedSizes(k)).Value = usedQty(k)</t>
  </si>
  <si>
    <t xml:space="preserve">    Next k</t>
  </si>
  <si>
    <t xml:space="preserve">    ws.Range(ws.Cells(r, 1), ws.Cells(r, 11)).Interior.Color = RGB(255, 249, 230)</t>
  </si>
  <si>
    <t xml:space="preserve">    If cartonPcs &lt; 14 Then ws.Cells(r, 2).Font.Color = RGB(192, 0, 0)</t>
  </si>
  <si>
    <t>Private Function SumArr(a() As Long) As Long</t>
  </si>
  <si>
    <t xml:space="preserve">    Dim i As Long, s As Long</t>
  </si>
  <si>
    <t xml:space="preserve">    For i = LBound(a) To UBound(a)</t>
  </si>
  <si>
    <t xml:space="preserve">        s = s + a(i)</t>
  </si>
  <si>
    <t xml:space="preserve">    SumArr = s</t>
  </si>
  <si>
    <t>End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</si>
</sst>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79" formatCode="_ * #,##0.00_ ;_ * \-#,##0.00_ ;_ * &quot;-&quot;??_ ;_ @_ "/>
    <numFmt numFmtId="280" formatCode="_ &quot;₹&quot;\ * #,##0.00_ ;_ &quot;₹&quot;\ * \-#,##0.00_ ;_ &quot;₹&quot;\ * &quot;-&quot;??_ ;_ @_ "/>
    <numFmt numFmtId="281" formatCode="_ * #,##0_ ;_ * \-#,##0_ ;_ * &quot;-&quot;_ ;_ @_ "/>
    <numFmt numFmtId="282" formatCode="_ &quot;₹&quot;\ * #,##0_ ;_ &quot;₹&quot;\ * \-#,##0_ ;_ &quot;₹&quot;\ * &quot;-&quot;_ ;_ @_ "/>
    <numFmt numFmtId="283" formatCode="0.000"/>
  </numFmts>
  <fonts count="42">
    <font>
      <b val="0"/>
      <i val="0"/>
      <sz val="11"/>
      <color theme="1"/>
      <name val="Calibri"/>
    </font>
    <font>
      <b val="0"/>
      <i val="0"/>
      <sz val="10"/>
      <color auto="1"/>
      <name val="Arial"/>
    </font>
    <font>
      <b val="0"/>
      <i val="0"/>
      <u/>
      <sz val="11"/>
      <color rgb="FF0000FF"/>
      <name val="Calibri"/>
      <scheme val="minor"/>
    </font>
    <font>
      <b val="0"/>
      <i val="0"/>
      <u/>
      <sz val="11"/>
      <color rgb="FF800080"/>
      <name val="Calibri"/>
      <scheme val="minor"/>
    </font>
    <font>
      <b val="0"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  <font>
      <b/>
      <i val="0"/>
      <sz val="18"/>
      <color theme="3"/>
      <name val="Calibri"/>
      <scheme val="minor"/>
    </font>
    <font>
      <b val="0"/>
      <i/>
      <sz val="11"/>
      <color rgb="FF7F7F7F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/>
      <i val="0"/>
      <sz val="11"/>
      <color rgb="FF3F3F3F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rgb="FFFFFFFF"/>
      <name val="Calibri"/>
      <scheme val="minor"/>
    </font>
    <font>
      <b val="0"/>
      <i val="0"/>
      <sz val="11"/>
      <color rgb="FFFA7D00"/>
      <name val="Calibri"/>
      <scheme val="minor"/>
    </font>
    <font>
      <b/>
      <i val="0"/>
      <sz val="11"/>
      <color theme="1"/>
      <name val="Calibri"/>
      <scheme val="minor"/>
    </font>
    <font>
      <b val="0"/>
      <i val="0"/>
      <sz val="11"/>
      <color rgb="FF006100"/>
      <name val="Calibri"/>
      <scheme val="minor"/>
    </font>
    <font>
      <b val="0"/>
      <i val="0"/>
      <sz val="11"/>
      <color rgb="FF9C0006"/>
      <name val="Calibri"/>
      <scheme val="minor"/>
    </font>
    <font>
      <b val="0"/>
      <i val="0"/>
      <sz val="11"/>
      <color rgb="FF9C6500"/>
      <name val="Calibri"/>
      <scheme val="minor"/>
    </font>
    <font>
      <b val="0"/>
      <i val="0"/>
      <sz val="11"/>
      <color theme="0"/>
      <name val="Calibri"/>
      <scheme val="minor"/>
    </font>
    <font>
      <b/>
      <i val="0"/>
      <sz val="13"/>
      <color rgb="FFFFFFFF"/>
      <name val="Arial"/>
    </font>
    <font>
      <b/>
      <i val="0"/>
      <sz val="8"/>
      <color rgb="FF3A3A3A"/>
      <name val="Arial"/>
    </font>
    <font>
      <b val="0"/>
      <i val="0"/>
      <sz val="8"/>
      <color rgb="FF3A3A3A"/>
      <name val="Arial"/>
    </font>
    <font>
      <b/>
      <i val="0"/>
      <sz val="8"/>
      <color rgb="FFFFFFFF"/>
      <name val="Arial"/>
    </font>
    <font>
      <b val="0"/>
      <i val="0"/>
      <sz val="9"/>
      <color rgb="FF3A3A3A"/>
      <name val="Arial"/>
    </font>
    <font>
      <b/>
      <i val="0"/>
      <sz val="9"/>
      <color rgb="FFFFFFFF"/>
      <name val="Arial"/>
    </font>
    <font>
      <b/>
      <i val="0"/>
      <sz val="8"/>
      <color rgb="FF1A56A0"/>
      <name val="Arial"/>
    </font>
    <font>
      <b/>
      <i val="0"/>
      <sz val="14"/>
      <color rgb="FFFFFFFF"/>
      <name val="Arial"/>
    </font>
    <font>
      <b/>
      <i val="0"/>
      <sz val="9"/>
      <color rgb="FF1A56A0"/>
      <name val="Arial"/>
    </font>
    <font>
      <b val="0"/>
      <i val="0"/>
      <sz val="10"/>
      <color rgb="FF3A3A3A"/>
      <name val="Arial"/>
    </font>
    <font>
      <b/>
      <i val="0"/>
      <sz val="12"/>
      <color rgb="FF1A56A0"/>
      <name val="Arial"/>
    </font>
    <font>
      <b/>
      <i val="0"/>
      <sz val="10"/>
      <color rgb="FFFFFFFF"/>
      <name val="Arial"/>
    </font>
    <font>
      <b/>
      <i val="0"/>
      <sz val="11"/>
      <color rgb="FF0D1B40"/>
      <name val="Arial"/>
    </font>
    <font>
      <b/>
      <i val="0"/>
      <sz val="11"/>
      <color rgb="FFFFFFFF"/>
      <name val="Arial"/>
    </font>
    <font>
      <b val="0"/>
      <i val="0"/>
      <sz val="14.65"/>
      <color theme="1"/>
      <name val="Calibri"/>
    </font>
    <font>
      <b/>
      <i val="0"/>
      <sz val="11"/>
      <color rgb="FFC00000"/>
      <name val="Calibri"/>
    </font>
    <font>
      <b/>
      <i val="0"/>
      <sz val="11"/>
      <color theme="1"/>
      <name val="Calibri"/>
    </font>
    <font>
      <b/>
      <i val="0"/>
      <sz val="12"/>
      <color theme="1"/>
      <name val="Calibri"/>
    </font>
    <font>
      <b/>
      <i val="0"/>
      <sz val="16"/>
      <color rgb="FF1F3864"/>
      <name val="Calibri"/>
    </font>
    <font>
      <b val="0"/>
      <i/>
      <sz val="10"/>
      <color rgb="FF666666"/>
      <name val="Calibri"/>
    </font>
    <font>
      <b val="0"/>
      <i val="0"/>
      <sz val="10"/>
      <name val="Consolas"/>
    </font>
  </fonts>
  <fills count="4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8"/>
      </patternFill>
    </fill>
    <fill>
      <patternFill patternType="solid">
        <fgColor theme="4" tint="0.6"/>
      </patternFill>
    </fill>
    <fill>
      <patternFill patternType="solid">
        <fgColor theme="4" tint="0.4"/>
      </patternFill>
    </fill>
    <fill>
      <patternFill patternType="solid">
        <fgColor theme="5"/>
      </patternFill>
    </fill>
    <fill>
      <patternFill patternType="solid">
        <fgColor theme="5" tint="0.8"/>
      </patternFill>
    </fill>
    <fill>
      <patternFill patternType="solid">
        <fgColor theme="5" tint="0.6"/>
      </patternFill>
    </fill>
    <fill>
      <patternFill patternType="solid">
        <fgColor theme="5" tint="0.4"/>
      </patternFill>
    </fill>
    <fill>
      <patternFill patternType="solid">
        <fgColor theme="6"/>
      </patternFill>
    </fill>
    <fill>
      <patternFill patternType="solid">
        <fgColor theme="6" tint="0.8"/>
      </patternFill>
    </fill>
    <fill>
      <patternFill patternType="solid">
        <fgColor theme="6" tint="0.6"/>
      </patternFill>
    </fill>
    <fill>
      <patternFill patternType="solid">
        <fgColor theme="6" tint="0.4"/>
      </patternFill>
    </fill>
    <fill>
      <patternFill patternType="solid">
        <fgColor theme="7"/>
      </patternFill>
    </fill>
    <fill>
      <patternFill patternType="solid">
        <fgColor theme="7" tint="0.8"/>
      </patternFill>
    </fill>
    <fill>
      <patternFill patternType="solid">
        <fgColor theme="7" tint="0.6"/>
      </patternFill>
    </fill>
    <fill>
      <patternFill patternType="solid">
        <fgColor theme="7" tint="0.4"/>
      </patternFill>
    </fill>
    <fill>
      <patternFill patternType="solid">
        <fgColor theme="8"/>
      </patternFill>
    </fill>
    <fill>
      <patternFill patternType="solid">
        <fgColor theme="8" tint="0.8"/>
      </patternFill>
    </fill>
    <fill>
      <patternFill patternType="solid">
        <fgColor theme="8" tint="0.6"/>
      </patternFill>
    </fill>
    <fill>
      <patternFill patternType="solid">
        <fgColor theme="8" tint="0.4"/>
      </patternFill>
    </fill>
    <fill>
      <patternFill patternType="solid">
        <fgColor theme="9"/>
      </patternFill>
    </fill>
    <fill>
      <patternFill patternType="solid">
        <fgColor theme="9" tint="0.8"/>
      </patternFill>
    </fill>
    <fill>
      <patternFill patternType="solid">
        <fgColor theme="9" tint="0.6"/>
      </patternFill>
    </fill>
    <fill>
      <patternFill patternType="solid">
        <fgColor theme="9" tint="0.4"/>
      </patternFill>
    </fill>
    <fill>
      <patternFill patternType="solid">
        <fgColor rgb="FF0D1B40"/>
      </patternFill>
    </fill>
    <fill>
      <patternFill patternType="solid">
        <fgColor rgb="FFF2F4F8"/>
      </patternFill>
    </fill>
    <fill>
      <patternFill patternType="solid">
        <fgColor rgb="FF1A56A0"/>
      </patternFill>
    </fill>
    <fill>
      <patternFill patternType="solid">
        <fgColor rgb="FFFFFFFF"/>
      </patternFill>
    </fill>
    <fill>
      <patternFill patternType="solid">
        <fgColor rgb="FFD6DCEC"/>
      </patternFill>
    </fill>
    <fill>
      <patternFill patternType="solid">
        <fgColor rgb="FFFFFDE7"/>
      </patternFill>
    </fill>
    <fill>
      <patternFill patternType="solid">
        <fgColor rgb="FFFFF9E6"/>
      </patternFill>
    </fill>
    <fill>
      <patternFill patternType="solid">
        <fgColor rgb="FFE6E6E6"/>
      </patternFill>
    </fill>
    <fill>
      <patternFill patternType="solid">
        <fgColor rgb="FFD9EAF7"/>
      </patternFill>
    </fill>
    <fill>
      <patternFill patternType="solid">
        <fgColor rgb="FFF8F8F8"/>
      </patternFill>
    </fill>
  </fills>
  <borders count="15">
    <border>
      <left/>
      <right/>
      <top/>
      <bottom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medium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medium">
        <color rgb="FFCCCCCC"/>
      </bottom>
    </border>
  </borders>
  <cellStyleXfs count="49">
    <xf numFmtId="0" fontId="0" fillId="0" borderId="1"/>
    <xf numFmtId="279" fontId="1" fillId="0" borderId="1" applyBorder="0" applyAlignment="0" applyProtection="0"/>
    <xf numFmtId="280" fontId="1" fillId="0" borderId="1" applyBorder="0" applyAlignment="0" applyProtection="0"/>
    <xf numFmtId="9" fontId="1" fillId="0" borderId="1" applyBorder="0" applyAlignment="0" applyProtection="0"/>
    <xf numFmtId="281" fontId="1" fillId="0" borderId="1" applyBorder="0" applyAlignment="0" applyProtection="0"/>
    <xf numFmtId="282" fontId="1" fillId="0" borderId="1" applyBorder="0" applyAlignment="0" applyProtection="0"/>
    <xf numFmtId="0" fontId="2" fillId="0" borderId="1" applyFill="0" applyBorder="0" applyNumberFormat="0" applyAlignment="0" applyProtection="0">
      <alignment horizontal="general" vertical="center"/>
    </xf>
    <xf numFmtId="0" fontId="3" fillId="0" borderId="1" applyFill="0" applyBorder="0" applyNumberFormat="0" applyAlignment="0" applyProtection="0">
      <alignment horizontal="general" vertical="center"/>
    </xf>
    <xf numFmtId="0" fontId="4" fillId="2" borderId="2" applyFont="0" applyNumberFormat="0" applyAlignment="0" applyProtection="0">
      <alignment horizontal="general" vertical="center"/>
    </xf>
    <xf numFmtId="0" fontId="5" fillId="0" borderId="1" applyFill="0" applyBorder="0" applyNumberFormat="0" applyAlignment="0" applyProtection="0">
      <alignment horizontal="general" vertical="center"/>
    </xf>
    <xf numFmtId="0" fontId="6" fillId="0" borderId="1" applyFill="0" applyBorder="0" applyNumberFormat="0" applyAlignment="0" applyProtection="0">
      <alignment horizontal="general" vertical="center"/>
    </xf>
    <xf numFmtId="0" fontId="7" fillId="0" borderId="1" applyFill="0" applyBorder="0" applyNumberFormat="0" applyAlignment="0" applyProtection="0">
      <alignment horizontal="general" vertical="center"/>
    </xf>
    <xf numFmtId="0" fontId="8" fillId="0" borderId="3" applyFill="0" applyNumberFormat="0" applyAlignment="0" applyProtection="0">
      <alignment horizontal="general" vertical="center"/>
    </xf>
    <xf numFmtId="0" fontId="9" fillId="0" borderId="3" applyFill="0" applyNumberFormat="0" applyAlignment="0" applyProtection="0">
      <alignment horizontal="general" vertical="center"/>
    </xf>
    <xf numFmtId="0" fontId="10" fillId="0" borderId="4" applyFill="0" applyNumberFormat="0" applyAlignment="0" applyProtection="0">
      <alignment horizontal="general" vertical="center"/>
    </xf>
    <xf numFmtId="0" fontId="10" fillId="0" borderId="1" applyFill="0" applyBorder="0" applyNumberFormat="0" applyAlignment="0" applyProtection="0">
      <alignment horizontal="general" vertical="center"/>
    </xf>
    <xf numFmtId="0" fontId="11" fillId="3" borderId="5" applyNumberFormat="0" applyAlignment="0" applyProtection="0">
      <alignment horizontal="general" vertical="center"/>
    </xf>
    <xf numFmtId="0" fontId="12" fillId="4" borderId="6" applyNumberFormat="0" applyAlignment="0" applyProtection="0">
      <alignment horizontal="general" vertical="center"/>
    </xf>
    <xf numFmtId="0" fontId="13" fillId="4" borderId="5" applyNumberFormat="0" applyAlignment="0" applyProtection="0">
      <alignment horizontal="general" vertical="center"/>
    </xf>
    <xf numFmtId="0" fontId="14" fillId="5" borderId="7" applyNumberFormat="0" applyAlignment="0" applyProtection="0">
      <alignment horizontal="general" vertical="center"/>
    </xf>
    <xf numFmtId="0" fontId="15" fillId="0" borderId="8" applyFill="0" applyNumberFormat="0" applyAlignment="0" applyProtection="0">
      <alignment horizontal="general" vertical="center"/>
    </xf>
    <xf numFmtId="0" fontId="16" fillId="0" borderId="9" applyFill="0" applyNumberFormat="0" applyAlignment="0" applyProtection="0">
      <alignment horizontal="general" vertical="center"/>
    </xf>
    <xf numFmtId="0" fontId="17" fillId="6" borderId="1" applyBorder="0" applyNumberFormat="0" applyAlignment="0" applyProtection="0">
      <alignment horizontal="general" vertical="center"/>
    </xf>
    <xf numFmtId="0" fontId="18" fillId="7" borderId="1" applyBorder="0" applyNumberFormat="0" applyAlignment="0" applyProtection="0">
      <alignment horizontal="general" vertical="center"/>
    </xf>
    <xf numFmtId="0" fontId="19" fillId="8" borderId="1" applyBorder="0" applyNumberFormat="0" applyAlignment="0" applyProtection="0">
      <alignment horizontal="general" vertical="center"/>
    </xf>
    <xf numFmtId="0" fontId="20" fillId="9" borderId="1" applyBorder="0" applyNumberFormat="0" applyAlignment="0" applyProtection="0">
      <alignment horizontal="general" vertical="center"/>
    </xf>
    <xf numFmtId="0" fontId="4" fillId="10" borderId="1" applyBorder="0" applyNumberFormat="0" applyAlignment="0" applyProtection="0">
      <alignment horizontal="general" vertical="center"/>
    </xf>
    <xf numFmtId="0" fontId="4" fillId="11" borderId="1" applyBorder="0" applyNumberFormat="0" applyAlignment="0" applyProtection="0">
      <alignment horizontal="general" vertical="center"/>
    </xf>
    <xf numFmtId="0" fontId="20" fillId="12" borderId="1" applyBorder="0" applyNumberFormat="0" applyAlignment="0" applyProtection="0">
      <alignment horizontal="general" vertical="center"/>
    </xf>
    <xf numFmtId="0" fontId="20" fillId="13" borderId="1" applyBorder="0" applyNumberFormat="0" applyAlignment="0" applyProtection="0">
      <alignment horizontal="general" vertical="center"/>
    </xf>
    <xf numFmtId="0" fontId="4" fillId="14" borderId="1" applyBorder="0" applyNumberFormat="0" applyAlignment="0" applyProtection="0">
      <alignment horizontal="general" vertical="center"/>
    </xf>
    <xf numFmtId="0" fontId="4" fillId="15" borderId="1" applyBorder="0" applyNumberFormat="0" applyAlignment="0" applyProtection="0">
      <alignment horizontal="general" vertical="center"/>
    </xf>
    <xf numFmtId="0" fontId="20" fillId="16" borderId="1" applyBorder="0" applyNumberFormat="0" applyAlignment="0" applyProtection="0">
      <alignment horizontal="general" vertical="center"/>
    </xf>
    <xf numFmtId="0" fontId="20" fillId="17" borderId="1" applyBorder="0" applyNumberFormat="0" applyAlignment="0" applyProtection="0">
      <alignment horizontal="general" vertical="center"/>
    </xf>
    <xf numFmtId="0" fontId="4" fillId="18" borderId="1" applyBorder="0" applyNumberFormat="0" applyAlignment="0" applyProtection="0">
      <alignment horizontal="general" vertical="center"/>
    </xf>
    <xf numFmtId="0" fontId="4" fillId="19" borderId="1" applyBorder="0" applyNumberFormat="0" applyAlignment="0" applyProtection="0">
      <alignment horizontal="general" vertical="center"/>
    </xf>
    <xf numFmtId="0" fontId="20" fillId="20" borderId="1" applyBorder="0" applyNumberFormat="0" applyAlignment="0" applyProtection="0">
      <alignment horizontal="general" vertical="center"/>
    </xf>
    <xf numFmtId="0" fontId="20" fillId="21" borderId="1" applyBorder="0" applyNumberFormat="0" applyAlignment="0" applyProtection="0">
      <alignment horizontal="general" vertical="center"/>
    </xf>
    <xf numFmtId="0" fontId="4" fillId="22" borderId="1" applyBorder="0" applyNumberFormat="0" applyAlignment="0" applyProtection="0">
      <alignment horizontal="general" vertical="center"/>
    </xf>
    <xf numFmtId="0" fontId="4" fillId="23" borderId="1" applyBorder="0" applyNumberFormat="0" applyAlignment="0" applyProtection="0">
      <alignment horizontal="general" vertical="center"/>
    </xf>
    <xf numFmtId="0" fontId="20" fillId="24" borderId="1" applyBorder="0" applyNumberFormat="0" applyAlignment="0" applyProtection="0">
      <alignment horizontal="general" vertical="center"/>
    </xf>
    <xf numFmtId="0" fontId="20" fillId="25" borderId="1" applyBorder="0" applyNumberFormat="0" applyAlignment="0" applyProtection="0">
      <alignment horizontal="general" vertical="center"/>
    </xf>
    <xf numFmtId="0" fontId="4" fillId="26" borderId="1" applyBorder="0" applyNumberFormat="0" applyAlignment="0" applyProtection="0">
      <alignment horizontal="general" vertical="center"/>
    </xf>
    <xf numFmtId="0" fontId="4" fillId="27" borderId="1" applyBorder="0" applyNumberFormat="0" applyAlignment="0" applyProtection="0">
      <alignment horizontal="general" vertical="center"/>
    </xf>
    <xf numFmtId="0" fontId="20" fillId="28" borderId="1" applyBorder="0" applyNumberFormat="0" applyAlignment="0" applyProtection="0">
      <alignment horizontal="general" vertical="center"/>
    </xf>
    <xf numFmtId="0" fontId="20" fillId="29" borderId="1" applyBorder="0" applyNumberFormat="0" applyAlignment="0" applyProtection="0">
      <alignment horizontal="general" vertical="center"/>
    </xf>
    <xf numFmtId="0" fontId="4" fillId="30" borderId="1" applyBorder="0" applyNumberFormat="0" applyAlignment="0" applyProtection="0">
      <alignment horizontal="general" vertical="center"/>
    </xf>
    <xf numFmtId="0" fontId="4" fillId="31" borderId="1" applyBorder="0" applyNumberFormat="0" applyAlignment="0" applyProtection="0">
      <alignment horizontal="general" vertical="center"/>
    </xf>
    <xf numFmtId="0" fontId="20" fillId="32" borderId="1" applyBorder="0" applyNumberFormat="0" applyAlignment="0" applyProtection="0">
      <alignment horizontal="general" vertical="center"/>
    </xf>
  </cellStyleXfs>
  <cellXfs count="52">
    <xf numFmtId="0" fontId="0" fillId="0" borderId="1" xfId="0"/>
    <xf numFmtId="0" fontId="0" fillId="34" borderId="1" xfId="0"/>
    <xf numFmtId="0" fontId="0" fillId="33" borderId="1" xfId="0"/>
    <xf numFmtId="0" fontId="28" fillId="33" borderId="10" xfId="0">
      <alignment horizontal="left" vertical="center"/>
    </xf>
    <xf numFmtId="0" fontId="26" fillId="35" borderId="10" xfId="0">
      <alignment horizontal="center" vertical="center"/>
    </xf>
    <xf numFmtId="0" fontId="29" fillId="36" borderId="10" xfId="0">
      <alignment horizontal="center" vertical="center"/>
    </xf>
    <xf numFmtId="0" fontId="30" fillId="38" borderId="10" xfId="0">
      <alignment horizontal="center" vertical="center"/>
    </xf>
    <xf numFmtId="0" fontId="31" fillId="38" borderId="10" xfId="0">
      <alignment horizontal="center" vertical="center"/>
    </xf>
    <xf numFmtId="0" fontId="0" fillId="34" borderId="10" xfId="0">
      <alignment horizontal="center" vertical="bottom"/>
    </xf>
    <xf numFmtId="0" fontId="30" fillId="38" borderId="10" xfId="0" quotePrefix="1">
      <alignment horizontal="center" vertical="center"/>
    </xf>
    <xf numFmtId="0" fontId="26" fillId="33" borderId="10" xfId="0">
      <alignment horizontal="center" vertical="center"/>
    </xf>
    <xf numFmtId="0" fontId="32" fillId="33" borderId="10" xfId="0">
      <alignment horizontal="center" vertical="center"/>
    </xf>
    <xf numFmtId="3" fontId="33" fillId="38" borderId="10" xfId="0">
      <alignment horizontal="center" vertical="center"/>
    </xf>
    <xf numFmtId="3" fontId="34" fillId="35" borderId="10" xfId="0">
      <alignment horizontal="center" vertical="center"/>
    </xf>
    <xf numFmtId="0" fontId="25" fillId="36" borderId="10" xfId="0">
      <alignment horizontal="left" vertical="center"/>
    </xf>
    <xf numFmtId="0" fontId="0" fillId="0" borderId="1" xfId="0"/>
    <xf numFmtId="0" fontId="21" fillId="33" borderId="1" xfId="0">
      <alignment horizontal="left" vertical="center"/>
    </xf>
    <xf numFmtId="0" fontId="22" fillId="34" borderId="1" xfId="0">
      <alignment horizontal="left" vertical="center"/>
    </xf>
    <xf numFmtId="0" fontId="0" fillId="34" borderId="1" xfId="0">
      <alignment horizontal="center" vertical="bottom"/>
    </xf>
    <xf numFmtId="0" fontId="23" fillId="34" borderId="1" xfId="0">
      <alignment horizontal="left" vertical="center"/>
    </xf>
    <xf numFmtId="0" fontId="22" fillId="34" borderId="1" xfId="0"/>
    <xf numFmtId="0" fontId="24" fillId="33" borderId="10" xfId="0">
      <alignment horizontal="center" vertical="center" wrapText="1"/>
    </xf>
    <xf numFmtId="0" fontId="24" fillId="35" borderId="10" xfId="0">
      <alignment horizontal="center" vertical="center"/>
    </xf>
    <xf numFmtId="0" fontId="24" fillId="35" borderId="10" xfId="0">
      <alignment horizontal="center" vertical="center" wrapText="1"/>
    </xf>
    <xf numFmtId="0" fontId="25" fillId="36" borderId="10" xfId="0">
      <alignment horizontal="center" vertical="center"/>
    </xf>
    <xf numFmtId="3" fontId="25" fillId="36" borderId="10" xfId="0">
      <alignment horizontal="center" vertical="center"/>
    </xf>
    <xf numFmtId="283" fontId="25" fillId="36" borderId="10" xfId="0">
      <alignment horizontal="center" vertical="center"/>
    </xf>
    <xf numFmtId="0" fontId="25" fillId="37" borderId="10" xfId="0">
      <alignment horizontal="center" vertical="center"/>
    </xf>
    <xf numFmtId="3" fontId="25" fillId="37" borderId="10" xfId="0">
      <alignment horizontal="center" vertical="center"/>
    </xf>
    <xf numFmtId="283" fontId="25" fillId="37" borderId="10" xfId="0">
      <alignment horizontal="center" vertical="center"/>
    </xf>
    <xf numFmtId="3" fontId="26" fillId="35" borderId="10" xfId="0">
      <alignment horizontal="center" vertical="center"/>
    </xf>
    <xf numFmtId="2" fontId="26" fillId="35" borderId="10" xfId="0">
      <alignment horizontal="center" vertical="center"/>
    </xf>
    <xf numFmtId="0" fontId="26" fillId="33" borderId="1" xfId="0">
      <alignment horizontal="left" vertical="center"/>
    </xf>
    <xf numFmtId="0" fontId="35" fillId="39" borderId="1" xfId="0"/>
    <xf numFmtId="0" fontId="24" fillId="35" borderId="11" xfId="0">
      <alignment horizontal="center" vertical="center"/>
    </xf>
    <xf numFmtId="0" fontId="27" fillId="36" borderId="11" xfId="0">
      <alignment horizontal="left" vertical="center"/>
    </xf>
    <xf numFmtId="3" fontId="25" fillId="36" borderId="11" xfId="0">
      <alignment horizontal="center" vertical="center"/>
    </xf>
    <xf numFmtId="3" fontId="26" fillId="35" borderId="1" xfId="0">
      <alignment horizontal="center" vertical="center"/>
    </xf>
    <xf numFmtId="0" fontId="27" fillId="37" borderId="11" xfId="0">
      <alignment horizontal="left" vertical="center"/>
    </xf>
    <xf numFmtId="3" fontId="25" fillId="37" borderId="11" xfId="0">
      <alignment horizontal="center" vertical="center"/>
    </xf>
    <xf numFmtId="0" fontId="36" fillId="39" borderId="1" xfId="0"/>
    <xf numFmtId="0" fontId="37" fillId="40" borderId="1" xfId="0"/>
    <xf numFmtId="0" fontId="38" fillId="41" borderId="1" xfId="0">
      <alignment horizontal="center" vertical="bottom"/>
    </xf>
    <xf numFmtId="0" fontId="37" fillId="34" borderId="1" xfId="0">
      <alignment horizontal="center" vertical="bottom"/>
    </xf>
    <xf numFmtId="49" fontId="37" fillId="34" borderId="1" xfId="0">
      <alignment horizontal="center" vertical="bottom"/>
    </xf>
    <xf numFmtId="0" fontId="37" fillId="34" borderId="1" xfId="0"/>
    <xf numFmtId="0" fontId="36" fillId="34" borderId="1" xfId="0"/>
    <xf numFmtId="0" fontId="39" fillId="0" borderId="0" xfId="0">
      <alignment vertical="top"/>
    </xf>
    <xf numFmtId="0" fontId="40" fillId="0" borderId="0" xfId="0">
      <alignment vertical="top"/>
    </xf>
    <xf numFmtId="49" fontId="41" fillId="42" borderId="12" xfId="0">
      <alignment vertical="top"/>
    </xf>
    <xf numFmtId="49" fontId="41" fillId="42" borderId="13" xfId="0">
      <alignment vertical="top"/>
    </xf>
    <xf numFmtId="49" fontId="41" fillId="42" borderId="14" xfId="0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/>
    <cellStyle name="Followed Hyperlink" xfId="7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top style="double">
          <color theme="4"/>
        </top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4"/>
        </horizontal>
      </border>
    </dxf>
    <dxf>
      <font>
        <b/>
        <color theme="1"/>
      </font>
    </dxf>
    <dxf>
      <fill>
        <patternFill patternType="solid">
          <fgColor theme="4" tint="0.8"/>
          <bgColor theme="4" tint="0.8"/>
        </patternFill>
      </fill>
    </dxf>
  </dxfs>
  <tableStyles defaultPivotStyle="PivotStyleLight16" defaultTableStyle="TableStylePreset3_Accent1" count="1">
    <tableStyle name="TableStylePreset3_Accent1" count="11" pivot="0">
      <tableStyleElement type="headerRow" dxfId="0"/>
      <tableStyleElement type="totalRow" dxfId="1"/>
      <tableStyleElement type="wholeTable" dxfId="2"/>
      <tableStyleElement type="lastColumn" dxfId="3"/>
      <tableStyleElement type="firstColumn" dxfId="3"/>
      <tableStyleElement type="firstRowStripe" dxfId="4"/>
      <tableStyleElement type="firstColumnStripe" dxfId="4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20</xdr:row>
          <xdr:rowOff>0</xdr:rowOff>
        </xdr:from>
        <xdr:to>
          <xdr:col>10</xdr:col>
          <xdr:colOff>409575</xdr:colOff>
          <xdr:row>22</xdr:row>
          <xdr:rowOff>0</xdr:rowOff>
        </xdr:to>
        <xdr:sp>
          <xdr:nvSpPr>
            <xdr:cNvPr id="1025" name="Button 1" hidden="1">
              <a:extLst>
                <a:ext uri="{63B3BB69-23CF-44E3-9099-C40C66FF867C}">
                  <a14:compatExt spid="_x0000_s2049"/>
                </a:ext>
              </a:extLst>
            </xdr:cNvPr>
            <xdr:cNvSpPr>
              <a:spLocks noChangeAspect="0"/>
            </xdr:cNvSpPr>
          </xdr:nvSpPr>
          <xdr:spPr>
            <a:xfrm>
              <a:off x="314325" y="4733925"/>
              <a:ext cx="8362950" cy="495300"/>
            </a:xfrm>
            <a:prstGeom prst="rect">
              <a:avLst/>
            </a:prstGeom>
            <a:noFill/>
            <a:ln w="9525" cmpd="sng">
              <a:noFill/>
              <a:miter lim="800000"/>
            </a:ln>
          </xdr:spPr>
          <xdr:style>
            <a:lnRef idx="2">
              <a:schemeClr val="accent1"/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rgbClr val="000000"/>
            </a:fontRef>
          </xdr:style>
          <xdr:txBody>
            <a:bodyPr wrap="square" anchor="ctr" vert="horz">
              <a:noAutofit/>
            </a:bodyPr>
            <a:p>
              <a:pPr algn="ctr" rtl="0">
                <a:defRPr sz="1100">
                  <a:solidFill>
                    <a:srgbClr val="333333"/>
                  </a:solidFill>
                  <a:latin typeface="Tahoma"/>
                </a:defRPr>
              </a:pPr>
              <a:r>
                <a:rPr sz="1100">
                  <a:solidFill>
                    <a:srgbClr val="333333"/>
                  </a:solidFill>
                  <a:latin typeface="Tahoma"/>
                </a:rPr>
                <a:t>GeneratePackingList</a:t>
              </a:r>
              <a:endParaRPr lang="zh-CN" altLang="en-US">
                <a:solidFill>
                  <a:srgbClr val="333333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 fPrintsWithSheet="0"/>
      </xdr:twoCellAnchor>
    </mc:Choice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F6DF778-7114-AED8-A309-46D5F8AFBCC8}" mc:Ignorable="x14ac xr xr2 xr3">
  <sheetPr>
    <tabColor rgb="FF1A56A0"/>
  </sheetPr>
  <dimension ref="A1:GR1000"/>
  <sheetViews>
    <sheetView showGridLines="0" topLeftCell="A1" workbookViewId="0">
      <selection activeCell="O17" sqref="O17"/>
    </sheetView>
  </sheetViews>
  <sheetFormatPr defaultRowHeight="15" defaultColWidth="8.7109375" customHeight="1"/>
  <cols>
    <col min="1" max="1" style="15" width="2.00390625" customWidth="1"/>
    <col min="2" max="2" style="15" width="18.00390625" customWidth="1"/>
    <col min="3" max="10" style="15" width="13.00390625" customWidth="1"/>
    <col min="11" max="11" style="15" width="10.00390625" customWidth="1"/>
    <col min="12" max="12" style="15" width="2.00390625" customWidth="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6" customHeight="1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2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9.5" customHeight="1">
      <c r="A4" s="1"/>
      <c r="B4" s="4" t="s">
        <v>1</v>
      </c>
      <c r="C4" s="4"/>
      <c r="D4" s="4"/>
      <c r="E4" s="4" t="s">
        <v>2</v>
      </c>
      <c r="F4" s="4"/>
      <c r="G4" s="4"/>
      <c r="H4" s="4"/>
      <c r="I4" s="4"/>
      <c r="J4" s="4"/>
      <c r="K4" s="4"/>
      <c r="L4" s="1"/>
    </row>
    <row r="5" ht="19.5" customHeight="1">
      <c r="A5" s="1"/>
      <c r="B5" s="5" t="s">
        <v>3</v>
      </c>
      <c r="C5" s="6">
        <v>50576369</v>
      </c>
      <c r="D5" s="6"/>
      <c r="E5" s="5" t="s">
        <v>4</v>
      </c>
      <c r="F5" s="6">
        <v>4901895794</v>
      </c>
      <c r="G5" s="6"/>
      <c r="H5" s="5" t="s">
        <v>5</v>
      </c>
      <c r="I5" s="5"/>
      <c r="J5" s="7">
        <v>14</v>
      </c>
      <c r="K5" s="8"/>
      <c r="L5" s="1"/>
    </row>
    <row r="6" ht="19.5" customHeight="1">
      <c r="A6" s="1"/>
      <c r="B6" s="5" t="s">
        <v>6</v>
      </c>
      <c r="C6" s="6" t="s">
        <v>7</v>
      </c>
      <c r="D6" s="6"/>
      <c r="E6" s="5" t="s">
        <v>8</v>
      </c>
      <c r="F6" s="9" t="s">
        <v>9</v>
      </c>
      <c r="G6" s="6"/>
      <c r="H6" s="8"/>
      <c r="I6" s="8"/>
      <c r="J6" s="8"/>
      <c r="K6" s="8"/>
      <c r="L6" s="1"/>
    </row>
    <row r="7" ht="19.5" customHeight="1">
      <c r="A7" s="1"/>
      <c r="B7" s="5" t="s">
        <v>10</v>
      </c>
      <c r="C7" s="6">
        <v>404</v>
      </c>
      <c r="D7" s="6"/>
      <c r="E7" s="5" t="s">
        <v>11</v>
      </c>
      <c r="F7" s="6" t="s">
        <v>12</v>
      </c>
      <c r="G7" s="6"/>
      <c r="H7" s="8"/>
      <c r="I7" s="8"/>
      <c r="J7" s="8"/>
      <c r="K7" s="8"/>
      <c r="L7" s="1"/>
    </row>
    <row r="8" ht="19.5" customHeight="1">
      <c r="A8" s="1"/>
      <c r="B8" s="5" t="s">
        <v>13</v>
      </c>
      <c r="C8" s="6">
        <v>326746</v>
      </c>
      <c r="D8" s="6"/>
      <c r="E8" s="5" t="s">
        <v>14</v>
      </c>
      <c r="F8" s="6">
        <v>10284557</v>
      </c>
      <c r="G8" s="6"/>
      <c r="H8" s="8"/>
      <c r="I8" s="8"/>
      <c r="J8" s="8"/>
      <c r="K8" s="8"/>
      <c r="L8" s="1"/>
    </row>
    <row r="9" ht="9.75" customHeight="1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1"/>
    </row>
    <row r="10" ht="19.5" customHeight="1">
      <c r="A10" s="1"/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1"/>
    </row>
    <row r="11" ht="19.5" customHeight="1">
      <c r="A11" s="1"/>
      <c r="B11" s="10" t="s">
        <v>16</v>
      </c>
      <c r="C11" s="11">
        <v>36</v>
      </c>
      <c r="D11" s="11">
        <v>37</v>
      </c>
      <c r="E11" s="11">
        <v>38</v>
      </c>
      <c r="F11" s="11">
        <v>39</v>
      </c>
      <c r="G11" s="11">
        <v>40</v>
      </c>
      <c r="H11" s="11">
        <v>41</v>
      </c>
      <c r="I11" s="11">
        <v>42</v>
      </c>
      <c r="J11" s="11">
        <v>43</v>
      </c>
      <c r="K11" s="10" t="s">
        <v>17</v>
      </c>
      <c r="L11" s="1"/>
    </row>
    <row r="12" ht="19.5" customHeight="1">
      <c r="A12" s="1"/>
      <c r="B12" s="5" t="s">
        <v>18</v>
      </c>
      <c r="C12" s="12">
        <v>3</v>
      </c>
      <c r="D12" s="12">
        <v>22</v>
      </c>
      <c r="E12" s="12">
        <v>44</v>
      </c>
      <c r="F12" s="12">
        <v>50</v>
      </c>
      <c r="G12" s="12">
        <v>61</v>
      </c>
      <c r="H12" s="12">
        <v>50</v>
      </c>
      <c r="I12" s="12">
        <v>37</v>
      </c>
      <c r="J12" s="12">
        <v>22</v>
      </c>
      <c r="K12" s="13">
        <f>SUM(C12:J12)</f>
        <v>289</v>
      </c>
      <c r="L12" s="1"/>
    </row>
    <row r="13" ht="15" customHeight="1">
      <c r="A13" s="1"/>
      <c r="B13" s="8"/>
      <c r="C13" s="8">
        <v>36</v>
      </c>
      <c r="D13" s="8">
        <v>37</v>
      </c>
      <c r="E13" s="8">
        <v>38</v>
      </c>
      <c r="F13" s="8">
        <v>39</v>
      </c>
      <c r="G13" s="8">
        <v>40</v>
      </c>
      <c r="H13" s="8">
        <v>41</v>
      </c>
      <c r="I13" s="8">
        <v>42</v>
      </c>
      <c r="J13" s="8">
        <v>43</v>
      </c>
      <c r="K13" s="8"/>
      <c r="L13" s="1"/>
    </row>
    <row r="14" ht="9.75" customHeight="1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1"/>
    </row>
    <row r="15" ht="19.5" customHeight="1">
      <c r="A15" s="1"/>
      <c r="B15" s="10" t="s">
        <v>19</v>
      </c>
      <c r="C15" s="10"/>
      <c r="D15" s="10"/>
      <c r="E15" s="10"/>
      <c r="F15" s="10"/>
      <c r="G15" s="10"/>
      <c r="H15" s="10"/>
      <c r="I15" s="10"/>
      <c r="J15" s="10"/>
      <c r="K15" s="10"/>
      <c r="L15" s="1"/>
    </row>
    <row r="16" ht="19.5" customHeight="1">
      <c r="A16" s="1"/>
      <c r="B16" s="14" t="s">
        <v>20</v>
      </c>
      <c r="C16" s="14"/>
      <c r="D16" s="14"/>
      <c r="E16" s="14"/>
      <c r="F16" s="14"/>
      <c r="G16" s="14"/>
      <c r="H16" s="14"/>
      <c r="I16" s="14"/>
      <c r="J16" s="14"/>
      <c r="K16" s="14"/>
      <c r="L16" s="1"/>
    </row>
    <row r="17" ht="19.5" customHeight="1">
      <c r="A17" s="1"/>
      <c r="B17" s="14" t="s">
        <v>21</v>
      </c>
      <c r="C17" s="14"/>
      <c r="D17" s="14"/>
      <c r="E17" s="14"/>
      <c r="F17" s="14"/>
      <c r="G17" s="14"/>
      <c r="H17" s="14"/>
      <c r="I17" s="14"/>
      <c r="J17" s="14"/>
      <c r="K17" s="14"/>
      <c r="L17" s="1"/>
    </row>
    <row r="18" ht="19.5" customHeight="1">
      <c r="A18" s="1"/>
      <c r="B18" s="14" t="s">
        <v>22</v>
      </c>
      <c r="C18" s="14"/>
      <c r="D18" s="14"/>
      <c r="E18" s="14"/>
      <c r="F18" s="14"/>
      <c r="G18" s="14"/>
      <c r="H18" s="14"/>
      <c r="I18" s="14"/>
      <c r="J18" s="14"/>
      <c r="K18" s="14"/>
      <c r="L18" s="1"/>
    </row>
    <row r="19" ht="19.5" customHeight="1">
      <c r="A19" s="1"/>
      <c r="B19" s="14" t="s">
        <v>23</v>
      </c>
      <c r="C19" s="14"/>
      <c r="D19" s="14"/>
      <c r="E19" s="14"/>
      <c r="F19" s="14"/>
      <c r="G19" s="14"/>
      <c r="H19" s="14"/>
      <c r="I19" s="14"/>
      <c r="J19" s="14"/>
      <c r="K19" s="14"/>
      <c r="L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>
    <mergeCell ref="B2:K2"/>
    <mergeCell ref="B4:D4"/>
    <mergeCell ref="E4:K4"/>
    <mergeCell ref="C5:D5"/>
    <mergeCell ref="F5:G5"/>
    <mergeCell ref="H5:I5"/>
    <mergeCell ref="C6:D6"/>
    <mergeCell ref="F6:G6"/>
    <mergeCell ref="C7:D7"/>
    <mergeCell ref="F7:G7"/>
    <mergeCell ref="C8:D8"/>
    <mergeCell ref="F8:G8"/>
    <mergeCell ref="B10:K10"/>
    <mergeCell ref="B15:K15"/>
    <mergeCell ref="B16:K16"/>
    <mergeCell ref="B17:K17"/>
    <mergeCell ref="B18:K18"/>
    <mergeCell ref="B19:K19"/>
  </mergeCells>
  <printOptions/>
  <pageMargins left="0.75" right="0.75" top="1" bottom="1" header="0.51" footer="0.51"/>
  <pageSetup paperSize="9" pageOrder="downThenOver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defaultSize="0" autoPict="0" print="0">
                <anchor moveWithCells="1" sizeWithCells="1">
                  <from>
                    <xdr:col>1</xdr:col>
                    <xdr:colOff>180975</xdr:colOff>
                    <xdr:row>20</xdr:row>
                    <xdr:rowOff>0</xdr:rowOff>
                  </from>
                  <to>
                    <xdr:col>10</xdr:col>
                    <xdr:colOff>409575</xdr:colOff>
                    <xdr:row>22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757DD8-8268-49C8-57AF-395705D32951}" mc:Ignorable="x14ac xr xr2 xr3">
  <sheetPr>
    <tabColor rgb="FF1E8449"/>
  </sheetPr>
  <dimension ref="A1:GR1000"/>
  <sheetViews>
    <sheetView showGridLines="0" topLeftCell="A1" workbookViewId="0">
      <selection activeCell="A1" sqref="A1:AG1"/>
    </sheetView>
  </sheetViews>
  <sheetFormatPr defaultRowHeight="15" defaultColWidth="8.7109375" customHeight="1"/>
  <cols>
    <col min="1" max="1" style="15" width="8.00390625" customWidth="1"/>
    <col min="2" max="2" style="15" width="3.00390625" customWidth="1"/>
    <col min="3" max="3" style="15" width="8.00390625" customWidth="1"/>
    <col min="4" max="4" style="15" width="12.00390625" customWidth="1"/>
    <col min="5" max="5" style="15" width="14.00390625" customWidth="1"/>
    <col min="6" max="6" style="15" width="10.00390625" customWidth="1"/>
    <col min="7" max="7" style="15" width="16.00390625" customWidth="1"/>
    <col min="8" max="11" style="15" width="10.00390625" customWidth="1"/>
    <col min="12" max="12" style="15" width="3.00390625" customWidth="1"/>
    <col min="13" max="25" style="15" width="5.00390625" customWidth="1"/>
    <col min="26" max="27" style="15" width="8.00390625" customWidth="1"/>
    <col min="28" max="30" style="15" width="9.00390625" customWidth="1"/>
    <col min="31" max="32" style="15" width="8.00390625" customWidth="1"/>
    <col min="33" max="33" style="15" width="16.00390625" customWidth="1"/>
  </cols>
  <sheetData>
    <row r="1" ht="31.5" customHeight="1">
      <c r="A1" s="16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7" t="s">
        <v>25</v>
      </c>
      <c r="AA2" s="17"/>
      <c r="AB2" s="17"/>
      <c r="AC2" s="17"/>
      <c r="AD2" s="17"/>
      <c r="AE2" s="17"/>
      <c r="AF2" s="17"/>
      <c r="AG2" s="18"/>
    </row>
    <row r="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9" t="s">
        <v>26</v>
      </c>
      <c r="AA3" s="19"/>
      <c r="AB3" s="19"/>
      <c r="AC3" s="19"/>
      <c r="AD3" s="19"/>
      <c r="AE3" s="19"/>
      <c r="AF3" s="19"/>
      <c r="AG3" s="18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9" t="s">
        <v>27</v>
      </c>
      <c r="AA4" s="19"/>
      <c r="AB4" s="19"/>
      <c r="AC4" s="19"/>
      <c r="AD4" s="19"/>
      <c r="AE4" s="19"/>
      <c r="AF4" s="19"/>
      <c r="AG4" s="18"/>
    </row>
    <row r="5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9" t="s">
        <v>28</v>
      </c>
      <c r="AA5" s="19"/>
      <c r="AB5" s="19"/>
      <c r="AC5" s="19"/>
      <c r="AD5" s="19"/>
      <c r="AE5" s="19"/>
      <c r="AF5" s="19"/>
      <c r="AG5" s="18"/>
    </row>
    <row r="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9" t="s">
        <v>29</v>
      </c>
      <c r="AA6" s="19"/>
      <c r="AB6" s="19"/>
      <c r="AC6" s="19"/>
      <c r="AD6" s="19"/>
      <c r="AE6" s="19"/>
      <c r="AF6" s="19"/>
      <c r="AG6" s="18"/>
    </row>
    <row r="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9" t="s">
        <v>30</v>
      </c>
      <c r="AA7" s="19"/>
      <c r="AB7" s="19"/>
      <c r="AC7" s="19"/>
      <c r="AD7" s="19"/>
      <c r="AE7" s="19"/>
      <c r="AF7" s="19"/>
      <c r="AG7" s="18"/>
    </row>
    <row r="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0" t="s">
        <v>31</v>
      </c>
      <c r="AA11" s="1"/>
      <c r="AB11" s="1"/>
      <c r="AC11" s="1"/>
      <c r="AD11" s="1"/>
      <c r="AE11" s="1"/>
      <c r="AF11" s="1"/>
      <c r="AG11" s="1"/>
    </row>
    <row r="1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1.75" customHeight="1">
      <c r="A15" s="21" t="s">
        <v>32</v>
      </c>
      <c r="B15" s="8"/>
      <c r="C15" s="8"/>
      <c r="D15" s="21" t="s">
        <v>33</v>
      </c>
      <c r="E15" s="21" t="s">
        <v>34</v>
      </c>
      <c r="F15" s="21" t="s">
        <v>35</v>
      </c>
      <c r="G15" s="21" t="s">
        <v>36</v>
      </c>
      <c r="H15" s="21" t="s">
        <v>37</v>
      </c>
      <c r="I15" s="21" t="s">
        <v>10</v>
      </c>
      <c r="J15" s="21" t="s">
        <v>38</v>
      </c>
      <c r="K15" s="21" t="s">
        <v>39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22">
        <v>36</v>
      </c>
      <c r="N16" s="22">
        <v>37</v>
      </c>
      <c r="O16" s="22">
        <v>38</v>
      </c>
      <c r="P16" s="22">
        <v>39</v>
      </c>
      <c r="Q16" s="22">
        <v>40</v>
      </c>
      <c r="R16" s="22">
        <v>41</v>
      </c>
      <c r="S16" s="22">
        <v>42</v>
      </c>
      <c r="T16" s="22">
        <v>43</v>
      </c>
      <c r="U16" s="22">
        <v>44</v>
      </c>
      <c r="V16" s="22">
        <v>45</v>
      </c>
      <c r="W16" s="22">
        <v>46</v>
      </c>
      <c r="X16" s="22">
        <v>47</v>
      </c>
      <c r="Y16" s="22">
        <v>48</v>
      </c>
      <c r="Z16" s="23" t="s">
        <v>40</v>
      </c>
      <c r="AA16" s="23" t="s">
        <v>41</v>
      </c>
      <c r="AB16" s="23" t="s">
        <v>42</v>
      </c>
      <c r="AC16" s="23" t="s">
        <v>43</v>
      </c>
      <c r="AD16" s="23" t="s">
        <v>44</v>
      </c>
      <c r="AE16" s="23" t="s">
        <v>45</v>
      </c>
      <c r="AF16" s="23" t="s">
        <v>46</v>
      </c>
      <c r="AG16" s="23" t="s">
        <v>47</v>
      </c>
    </row>
    <row r="17" ht="18" customHeight="1">
      <c r="A17" s="24">
        <v>1</v>
      </c>
      <c r="B17" s="24" t="s">
        <v>48</v>
      </c>
      <c r="C17" s="24">
        <v>1</v>
      </c>
      <c r="D17" s="24">
        <v>4901895794</v>
      </c>
      <c r="E17" s="24">
        <v>50576369</v>
      </c>
      <c r="F17" s="24">
        <v>326746</v>
      </c>
      <c r="G17" s="24" t="s">
        <v>49</v>
      </c>
      <c r="H17" s="24">
        <v>10284557</v>
      </c>
      <c r="I17" s="24">
        <v>404</v>
      </c>
      <c r="J17" s="24" t="s">
        <v>7</v>
      </c>
      <c r="K17" s="24">
        <v>10</v>
      </c>
      <c r="L17" s="24"/>
      <c r="M17" s="24"/>
      <c r="N17" s="24">
        <v>14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>
        <v>1</v>
      </c>
      <c r="AA17" s="24">
        <f t="shared" si="0" ref="AA17:AA37">SUM(M17:Y17)</f>
        <v>14</v>
      </c>
      <c r="AB17" s="25">
        <f t="shared" si="1" ref="AB17:AB37">AA17*Z17</f>
        <v>14</v>
      </c>
      <c r="AC17" s="26"/>
      <c r="AD17" s="26"/>
      <c r="AE17" s="26"/>
      <c r="AF17" s="26"/>
      <c r="AG17" s="24" t="s">
        <v>50</v>
      </c>
    </row>
    <row r="18" ht="18" customHeight="1">
      <c r="A18" s="27">
        <v>2</v>
      </c>
      <c r="B18" s="27" t="s">
        <v>48</v>
      </c>
      <c r="C18" s="27">
        <v>2</v>
      </c>
      <c r="D18" s="27">
        <v>4901895794</v>
      </c>
      <c r="E18" s="27">
        <v>50576369</v>
      </c>
      <c r="F18" s="27">
        <v>326746</v>
      </c>
      <c r="G18" s="27" t="s">
        <v>49</v>
      </c>
      <c r="H18" s="27">
        <v>10284557</v>
      </c>
      <c r="I18" s="27">
        <v>404</v>
      </c>
      <c r="J18" s="27" t="s">
        <v>7</v>
      </c>
      <c r="K18" s="27">
        <v>10</v>
      </c>
      <c r="L18" s="27"/>
      <c r="M18" s="27"/>
      <c r="N18" s="27"/>
      <c r="O18" s="27">
        <v>14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>
        <v>1</v>
      </c>
      <c r="AA18" s="27">
        <f t="shared" si="0"/>
        <v>14</v>
      </c>
      <c r="AB18" s="28">
        <f t="shared" si="1"/>
        <v>14</v>
      </c>
      <c r="AC18" s="29"/>
      <c r="AD18" s="29"/>
      <c r="AE18" s="29"/>
      <c r="AF18" s="29"/>
      <c r="AG18" s="27" t="s">
        <v>50</v>
      </c>
    </row>
    <row r="19" ht="18" customHeight="1">
      <c r="A19" s="24">
        <v>3</v>
      </c>
      <c r="B19" s="24" t="s">
        <v>48</v>
      </c>
      <c r="C19" s="24">
        <v>3</v>
      </c>
      <c r="D19" s="24">
        <v>4901895794</v>
      </c>
      <c r="E19" s="24">
        <v>50576369</v>
      </c>
      <c r="F19" s="24">
        <v>326746</v>
      </c>
      <c r="G19" s="24" t="s">
        <v>49</v>
      </c>
      <c r="H19" s="24">
        <v>10284557</v>
      </c>
      <c r="I19" s="24">
        <v>404</v>
      </c>
      <c r="J19" s="24" t="s">
        <v>7</v>
      </c>
      <c r="K19" s="24">
        <v>10</v>
      </c>
      <c r="L19" s="24"/>
      <c r="M19" s="24"/>
      <c r="N19" s="24"/>
      <c r="O19" s="24">
        <v>14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>
        <v>1</v>
      </c>
      <c r="AA19" s="24">
        <f t="shared" si="0"/>
        <v>14</v>
      </c>
      <c r="AB19" s="25">
        <f t="shared" si="1"/>
        <v>14</v>
      </c>
      <c r="AC19" s="26"/>
      <c r="AD19" s="26"/>
      <c r="AE19" s="26"/>
      <c r="AF19" s="26"/>
      <c r="AG19" s="24" t="s">
        <v>50</v>
      </c>
    </row>
    <row r="20" ht="18" customHeight="1">
      <c r="A20" s="27">
        <v>4</v>
      </c>
      <c r="B20" s="27" t="s">
        <v>48</v>
      </c>
      <c r="C20" s="27">
        <v>4</v>
      </c>
      <c r="D20" s="27">
        <v>4901895794</v>
      </c>
      <c r="E20" s="27">
        <v>50576369</v>
      </c>
      <c r="F20" s="27">
        <v>326746</v>
      </c>
      <c r="G20" s="27" t="s">
        <v>49</v>
      </c>
      <c r="H20" s="27">
        <v>10284557</v>
      </c>
      <c r="I20" s="27">
        <v>404</v>
      </c>
      <c r="J20" s="27" t="s">
        <v>7</v>
      </c>
      <c r="K20" s="27">
        <v>10</v>
      </c>
      <c r="L20" s="27"/>
      <c r="M20" s="27"/>
      <c r="N20" s="27"/>
      <c r="O20" s="27">
        <v>14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>
        <v>1</v>
      </c>
      <c r="AA20" s="27">
        <f t="shared" si="0"/>
        <v>14</v>
      </c>
      <c r="AB20" s="28">
        <f t="shared" si="1"/>
        <v>14</v>
      </c>
      <c r="AC20" s="29"/>
      <c r="AD20" s="29"/>
      <c r="AE20" s="29"/>
      <c r="AF20" s="29"/>
      <c r="AG20" s="27" t="s">
        <v>50</v>
      </c>
    </row>
    <row r="21" ht="18" customHeight="1">
      <c r="A21" s="24">
        <v>5</v>
      </c>
      <c r="B21" s="24" t="s">
        <v>48</v>
      </c>
      <c r="C21" s="24">
        <v>5</v>
      </c>
      <c r="D21" s="24">
        <v>4901895794</v>
      </c>
      <c r="E21" s="24">
        <v>50576369</v>
      </c>
      <c r="F21" s="24">
        <v>326746</v>
      </c>
      <c r="G21" s="24" t="s">
        <v>49</v>
      </c>
      <c r="H21" s="24">
        <v>10284557</v>
      </c>
      <c r="I21" s="24">
        <v>404</v>
      </c>
      <c r="J21" s="24" t="s">
        <v>7</v>
      </c>
      <c r="K21" s="24">
        <v>10</v>
      </c>
      <c r="L21" s="24"/>
      <c r="M21" s="24"/>
      <c r="N21" s="24"/>
      <c r="O21" s="24"/>
      <c r="P21" s="24">
        <v>14</v>
      </c>
      <c r="Q21" s="24"/>
      <c r="R21" s="24"/>
      <c r="S21" s="24"/>
      <c r="T21" s="24"/>
      <c r="U21" s="24"/>
      <c r="V21" s="24"/>
      <c r="W21" s="24"/>
      <c r="X21" s="24"/>
      <c r="Y21" s="24"/>
      <c r="Z21" s="24">
        <v>1</v>
      </c>
      <c r="AA21" s="24">
        <f t="shared" si="0"/>
        <v>14</v>
      </c>
      <c r="AB21" s="25">
        <f t="shared" si="1"/>
        <v>14</v>
      </c>
      <c r="AC21" s="26"/>
      <c r="AD21" s="26"/>
      <c r="AE21" s="26"/>
      <c r="AF21" s="26"/>
      <c r="AG21" s="24" t="s">
        <v>50</v>
      </c>
    </row>
    <row r="22" ht="18" customHeight="1">
      <c r="A22" s="27">
        <v>6</v>
      </c>
      <c r="B22" s="27" t="s">
        <v>48</v>
      </c>
      <c r="C22" s="27">
        <v>6</v>
      </c>
      <c r="D22" s="27">
        <v>4901895794</v>
      </c>
      <c r="E22" s="27">
        <v>50576369</v>
      </c>
      <c r="F22" s="27">
        <v>326746</v>
      </c>
      <c r="G22" s="27" t="s">
        <v>49</v>
      </c>
      <c r="H22" s="27">
        <v>10284557</v>
      </c>
      <c r="I22" s="27">
        <v>404</v>
      </c>
      <c r="J22" s="27" t="s">
        <v>7</v>
      </c>
      <c r="K22" s="27">
        <v>10</v>
      </c>
      <c r="L22" s="27"/>
      <c r="M22" s="27"/>
      <c r="N22" s="27"/>
      <c r="O22" s="27"/>
      <c r="P22" s="27">
        <v>14</v>
      </c>
      <c r="Q22" s="27"/>
      <c r="R22" s="27"/>
      <c r="S22" s="27"/>
      <c r="T22" s="27"/>
      <c r="U22" s="27"/>
      <c r="V22" s="27"/>
      <c r="W22" s="27"/>
      <c r="X22" s="27"/>
      <c r="Y22" s="27"/>
      <c r="Z22" s="27">
        <v>1</v>
      </c>
      <c r="AA22" s="27">
        <f t="shared" si="0"/>
        <v>14</v>
      </c>
      <c r="AB22" s="28">
        <f t="shared" si="1"/>
        <v>14</v>
      </c>
      <c r="AC22" s="29"/>
      <c r="AD22" s="29"/>
      <c r="AE22" s="29"/>
      <c r="AF22" s="29"/>
      <c r="AG22" s="27" t="s">
        <v>50</v>
      </c>
    </row>
    <row r="23" ht="18" customHeight="1">
      <c r="A23" s="24">
        <v>7</v>
      </c>
      <c r="B23" s="24" t="s">
        <v>48</v>
      </c>
      <c r="C23" s="24">
        <v>7</v>
      </c>
      <c r="D23" s="24">
        <v>4901895794</v>
      </c>
      <c r="E23" s="24">
        <v>50576369</v>
      </c>
      <c r="F23" s="24">
        <v>326746</v>
      </c>
      <c r="G23" s="24" t="s">
        <v>49</v>
      </c>
      <c r="H23" s="24">
        <v>10284557</v>
      </c>
      <c r="I23" s="24">
        <v>404</v>
      </c>
      <c r="J23" s="24" t="s">
        <v>7</v>
      </c>
      <c r="K23" s="24">
        <v>10</v>
      </c>
      <c r="L23" s="24"/>
      <c r="M23" s="24"/>
      <c r="N23" s="24"/>
      <c r="O23" s="24"/>
      <c r="P23" s="24">
        <v>14</v>
      </c>
      <c r="Q23" s="24"/>
      <c r="R23" s="24"/>
      <c r="S23" s="24"/>
      <c r="T23" s="24"/>
      <c r="U23" s="24"/>
      <c r="V23" s="24"/>
      <c r="W23" s="24"/>
      <c r="X23" s="24"/>
      <c r="Y23" s="24"/>
      <c r="Z23" s="24">
        <v>1</v>
      </c>
      <c r="AA23" s="24">
        <f t="shared" si="0"/>
        <v>14</v>
      </c>
      <c r="AB23" s="25">
        <f t="shared" si="1"/>
        <v>14</v>
      </c>
      <c r="AC23" s="26"/>
      <c r="AD23" s="26"/>
      <c r="AE23" s="26"/>
      <c r="AF23" s="26"/>
      <c r="AG23" s="24" t="s">
        <v>50</v>
      </c>
    </row>
    <row r="24" ht="18" customHeight="1">
      <c r="A24" s="27">
        <v>8</v>
      </c>
      <c r="B24" s="27" t="s">
        <v>48</v>
      </c>
      <c r="C24" s="27">
        <v>8</v>
      </c>
      <c r="D24" s="27">
        <v>4901895794</v>
      </c>
      <c r="E24" s="27">
        <v>50576369</v>
      </c>
      <c r="F24" s="27">
        <v>326746</v>
      </c>
      <c r="G24" s="27" t="s">
        <v>49</v>
      </c>
      <c r="H24" s="27">
        <v>10284557</v>
      </c>
      <c r="I24" s="27">
        <v>404</v>
      </c>
      <c r="J24" s="27" t="s">
        <v>7</v>
      </c>
      <c r="K24" s="27">
        <v>10</v>
      </c>
      <c r="L24" s="27"/>
      <c r="M24" s="27"/>
      <c r="N24" s="27"/>
      <c r="O24" s="27"/>
      <c r="P24" s="27"/>
      <c r="Q24" s="27">
        <v>14</v>
      </c>
      <c r="R24" s="27"/>
      <c r="S24" s="27"/>
      <c r="T24" s="27"/>
      <c r="U24" s="27"/>
      <c r="V24" s="27"/>
      <c r="W24" s="27"/>
      <c r="X24" s="27"/>
      <c r="Y24" s="27"/>
      <c r="Z24" s="27">
        <v>1</v>
      </c>
      <c r="AA24" s="27">
        <f t="shared" si="0"/>
        <v>14</v>
      </c>
      <c r="AB24" s="28">
        <f t="shared" si="1"/>
        <v>14</v>
      </c>
      <c r="AC24" s="29"/>
      <c r="AD24" s="29"/>
      <c r="AE24" s="29"/>
      <c r="AF24" s="29"/>
      <c r="AG24" s="27" t="s">
        <v>50</v>
      </c>
    </row>
    <row r="25" ht="18" customHeight="1">
      <c r="A25" s="24">
        <v>9</v>
      </c>
      <c r="B25" s="24" t="s">
        <v>48</v>
      </c>
      <c r="C25" s="24">
        <v>9</v>
      </c>
      <c r="D25" s="24">
        <v>4901895794</v>
      </c>
      <c r="E25" s="24">
        <v>50576369</v>
      </c>
      <c r="F25" s="24">
        <v>326746</v>
      </c>
      <c r="G25" s="24" t="s">
        <v>49</v>
      </c>
      <c r="H25" s="24">
        <v>10284557</v>
      </c>
      <c r="I25" s="24">
        <v>404</v>
      </c>
      <c r="J25" s="24" t="s">
        <v>7</v>
      </c>
      <c r="K25" s="24">
        <v>10</v>
      </c>
      <c r="L25" s="24"/>
      <c r="M25" s="24"/>
      <c r="N25" s="24"/>
      <c r="O25" s="24"/>
      <c r="P25" s="24"/>
      <c r="Q25" s="24">
        <v>14</v>
      </c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>
        <f t="shared" si="0"/>
        <v>14</v>
      </c>
      <c r="AB25" s="25">
        <f t="shared" si="1"/>
        <v>14</v>
      </c>
      <c r="AC25" s="26"/>
      <c r="AD25" s="26"/>
      <c r="AE25" s="26"/>
      <c r="AF25" s="26"/>
      <c r="AG25" s="24" t="s">
        <v>50</v>
      </c>
    </row>
    <row r="26" ht="18" customHeight="1">
      <c r="A26" s="27">
        <v>10</v>
      </c>
      <c r="B26" s="27" t="s">
        <v>48</v>
      </c>
      <c r="C26" s="27">
        <v>10</v>
      </c>
      <c r="D26" s="27">
        <v>4901895794</v>
      </c>
      <c r="E26" s="27">
        <v>50576369</v>
      </c>
      <c r="F26" s="27">
        <v>326746</v>
      </c>
      <c r="G26" s="27" t="s">
        <v>49</v>
      </c>
      <c r="H26" s="27">
        <v>10284557</v>
      </c>
      <c r="I26" s="27">
        <v>404</v>
      </c>
      <c r="J26" s="27" t="s">
        <v>7</v>
      </c>
      <c r="K26" s="27">
        <v>10</v>
      </c>
      <c r="L26" s="27"/>
      <c r="M26" s="27"/>
      <c r="N26" s="27"/>
      <c r="O26" s="27"/>
      <c r="P26" s="27"/>
      <c r="Q26" s="27">
        <v>14</v>
      </c>
      <c r="R26" s="27"/>
      <c r="S26" s="27"/>
      <c r="T26" s="27"/>
      <c r="U26" s="27"/>
      <c r="V26" s="27"/>
      <c r="W26" s="27"/>
      <c r="X26" s="27"/>
      <c r="Y26" s="27"/>
      <c r="Z26" s="27">
        <v>1</v>
      </c>
      <c r="AA26" s="27">
        <f t="shared" si="0"/>
        <v>14</v>
      </c>
      <c r="AB26" s="28">
        <f t="shared" si="1"/>
        <v>14</v>
      </c>
      <c r="AC26" s="29"/>
      <c r="AD26" s="29"/>
      <c r="AE26" s="29"/>
      <c r="AF26" s="29"/>
      <c r="AG26" s="27" t="s">
        <v>50</v>
      </c>
    </row>
    <row r="27" ht="18" customHeight="1">
      <c r="A27" s="24">
        <v>11</v>
      </c>
      <c r="B27" s="24" t="s">
        <v>48</v>
      </c>
      <c r="C27" s="24">
        <v>11</v>
      </c>
      <c r="D27" s="24">
        <v>4901895794</v>
      </c>
      <c r="E27" s="24">
        <v>50576369</v>
      </c>
      <c r="F27" s="24">
        <v>326746</v>
      </c>
      <c r="G27" s="24" t="s">
        <v>49</v>
      </c>
      <c r="H27" s="24">
        <v>10284557</v>
      </c>
      <c r="I27" s="24">
        <v>404</v>
      </c>
      <c r="J27" s="24" t="s">
        <v>7</v>
      </c>
      <c r="K27" s="24">
        <v>10</v>
      </c>
      <c r="L27" s="24"/>
      <c r="M27" s="24"/>
      <c r="N27" s="24"/>
      <c r="O27" s="24"/>
      <c r="P27" s="24"/>
      <c r="Q27" s="24">
        <v>14</v>
      </c>
      <c r="R27" s="24"/>
      <c r="S27" s="24"/>
      <c r="T27" s="24"/>
      <c r="U27" s="24"/>
      <c r="V27" s="24"/>
      <c r="W27" s="24"/>
      <c r="X27" s="24"/>
      <c r="Y27" s="24"/>
      <c r="Z27" s="24">
        <v>1</v>
      </c>
      <c r="AA27" s="24">
        <f t="shared" si="0"/>
        <v>14</v>
      </c>
      <c r="AB27" s="25">
        <f t="shared" si="1"/>
        <v>14</v>
      </c>
      <c r="AC27" s="26"/>
      <c r="AD27" s="26"/>
      <c r="AE27" s="26"/>
      <c r="AF27" s="26"/>
      <c r="AG27" s="24" t="s">
        <v>50</v>
      </c>
    </row>
    <row r="28" ht="18" customHeight="1">
      <c r="A28" s="27">
        <v>12</v>
      </c>
      <c r="B28" s="27" t="s">
        <v>48</v>
      </c>
      <c r="C28" s="27">
        <v>12</v>
      </c>
      <c r="D28" s="27">
        <v>4901895794</v>
      </c>
      <c r="E28" s="27">
        <v>50576369</v>
      </c>
      <c r="F28" s="27">
        <v>326746</v>
      </c>
      <c r="G28" s="27" t="s">
        <v>49</v>
      </c>
      <c r="H28" s="27">
        <v>10284557</v>
      </c>
      <c r="I28" s="27">
        <v>404</v>
      </c>
      <c r="J28" s="27" t="s">
        <v>7</v>
      </c>
      <c r="K28" s="27">
        <v>10</v>
      </c>
      <c r="L28" s="27"/>
      <c r="M28" s="27"/>
      <c r="N28" s="27"/>
      <c r="O28" s="27"/>
      <c r="P28" s="27"/>
      <c r="Q28" s="27"/>
      <c r="R28" s="27">
        <v>14</v>
      </c>
      <c r="S28" s="27"/>
      <c r="T28" s="27"/>
      <c r="U28" s="27"/>
      <c r="V28" s="27"/>
      <c r="W28" s="27"/>
      <c r="X28" s="27"/>
      <c r="Y28" s="27"/>
      <c r="Z28" s="27">
        <v>1</v>
      </c>
      <c r="AA28" s="27">
        <f t="shared" si="0"/>
        <v>14</v>
      </c>
      <c r="AB28" s="28">
        <f t="shared" si="1"/>
        <v>14</v>
      </c>
      <c r="AC28" s="29"/>
      <c r="AD28" s="29"/>
      <c r="AE28" s="29"/>
      <c r="AF28" s="29"/>
      <c r="AG28" s="27" t="s">
        <v>50</v>
      </c>
    </row>
    <row r="29" ht="21.75" customHeight="1">
      <c r="A29" s="4">
        <v>13</v>
      </c>
      <c r="B29" s="4" t="s">
        <v>48</v>
      </c>
      <c r="C29" s="4">
        <v>13</v>
      </c>
      <c r="D29" s="4">
        <v>4901895794</v>
      </c>
      <c r="E29" s="4">
        <v>50576369</v>
      </c>
      <c r="F29" s="4">
        <v>326746</v>
      </c>
      <c r="G29" s="4" t="s">
        <v>49</v>
      </c>
      <c r="H29" s="4">
        <v>10284557</v>
      </c>
      <c r="I29" s="4">
        <v>404</v>
      </c>
      <c r="J29" s="4" t="s">
        <v>7</v>
      </c>
      <c r="K29" s="4">
        <v>10</v>
      </c>
      <c r="L29" s="4"/>
      <c r="M29" s="30"/>
      <c r="N29" s="30"/>
      <c r="O29" s="30"/>
      <c r="P29" s="30"/>
      <c r="Q29" s="30"/>
      <c r="R29" s="30">
        <v>14</v>
      </c>
      <c r="S29" s="30"/>
      <c r="T29" s="30"/>
      <c r="U29" s="30"/>
      <c r="V29" s="30"/>
      <c r="W29" s="30"/>
      <c r="X29" s="30"/>
      <c r="Y29" s="30"/>
      <c r="Z29" s="30">
        <v>1</v>
      </c>
      <c r="AA29" s="4">
        <f t="shared" si="0"/>
        <v>14</v>
      </c>
      <c r="AB29" s="30">
        <f t="shared" si="1"/>
        <v>14</v>
      </c>
      <c r="AC29" s="31"/>
      <c r="AD29" s="31"/>
      <c r="AE29" s="31"/>
      <c r="AF29" s="31"/>
      <c r="AG29" s="4" t="s">
        <v>50</v>
      </c>
    </row>
    <row r="30" ht="15" customHeight="1">
      <c r="A30" s="1">
        <v>14</v>
      </c>
      <c r="B30" s="1" t="s">
        <v>48</v>
      </c>
      <c r="C30" s="1">
        <v>14</v>
      </c>
      <c r="D30" s="1">
        <v>4901895794</v>
      </c>
      <c r="E30" s="1">
        <v>50576369</v>
      </c>
      <c r="F30" s="1">
        <v>326746</v>
      </c>
      <c r="G30" s="1" t="s">
        <v>49</v>
      </c>
      <c r="H30" s="1">
        <v>10284557</v>
      </c>
      <c r="I30" s="1">
        <v>404</v>
      </c>
      <c r="J30" s="1" t="s">
        <v>7</v>
      </c>
      <c r="K30" s="1">
        <v>10</v>
      </c>
      <c r="L30" s="1"/>
      <c r="M30" s="1"/>
      <c r="N30" s="1"/>
      <c r="O30" s="1"/>
      <c r="P30" s="1"/>
      <c r="Q30" s="1"/>
      <c r="R30" s="1">
        <v>14</v>
      </c>
      <c r="S30" s="1"/>
      <c r="T30" s="1"/>
      <c r="U30" s="1"/>
      <c r="V30" s="1"/>
      <c r="W30" s="1"/>
      <c r="X30" s="1"/>
      <c r="Y30" s="1"/>
      <c r="Z30" s="1">
        <v>1</v>
      </c>
      <c r="AA30" s="1">
        <f t="shared" si="0"/>
        <v>14</v>
      </c>
      <c r="AB30" s="1">
        <f t="shared" si="1"/>
        <v>14</v>
      </c>
      <c r="AC30" s="1"/>
      <c r="AD30" s="1"/>
      <c r="AE30" s="1"/>
      <c r="AF30" s="1"/>
      <c r="AG30" s="1" t="s">
        <v>50</v>
      </c>
    </row>
    <row r="31" ht="15" customHeight="1">
      <c r="A31" s="1">
        <v>15</v>
      </c>
      <c r="B31" s="1" t="s">
        <v>48</v>
      </c>
      <c r="C31" s="1">
        <v>15</v>
      </c>
      <c r="D31" s="1">
        <v>4901895794</v>
      </c>
      <c r="E31" s="1">
        <v>50576369</v>
      </c>
      <c r="F31" s="1">
        <v>326746</v>
      </c>
      <c r="G31" s="1" t="s">
        <v>49</v>
      </c>
      <c r="H31" s="1">
        <v>10284557</v>
      </c>
      <c r="I31" s="1">
        <v>404</v>
      </c>
      <c r="J31" s="1" t="s">
        <v>7</v>
      </c>
      <c r="K31" s="1">
        <v>10</v>
      </c>
      <c r="L31" s="1"/>
      <c r="M31" s="1"/>
      <c r="N31" s="1"/>
      <c r="O31" s="1"/>
      <c r="P31" s="1"/>
      <c r="Q31" s="1"/>
      <c r="R31" s="1"/>
      <c r="S31" s="1">
        <v>14</v>
      </c>
      <c r="T31" s="1"/>
      <c r="U31" s="1"/>
      <c r="V31" s="1"/>
      <c r="W31" s="1"/>
      <c r="X31" s="1"/>
      <c r="Y31" s="1"/>
      <c r="Z31" s="1">
        <v>1</v>
      </c>
      <c r="AA31" s="1">
        <f t="shared" si="0"/>
        <v>14</v>
      </c>
      <c r="AB31" s="1">
        <f t="shared" si="1"/>
        <v>14</v>
      </c>
      <c r="AC31" s="1"/>
      <c r="AD31" s="1"/>
      <c r="AE31" s="1"/>
      <c r="AF31" s="1"/>
      <c r="AG31" s="1" t="s">
        <v>50</v>
      </c>
    </row>
    <row r="32" ht="13.5" customHeight="1">
      <c r="A32" s="1">
        <v>16</v>
      </c>
      <c r="B32" s="1" t="s">
        <v>48</v>
      </c>
      <c r="C32" s="1">
        <v>16</v>
      </c>
      <c r="D32" s="1">
        <v>4901895794</v>
      </c>
      <c r="E32" s="1">
        <v>50576369</v>
      </c>
      <c r="F32" s="1">
        <v>326746</v>
      </c>
      <c r="G32" s="1" t="s">
        <v>49</v>
      </c>
      <c r="H32" s="1">
        <v>10284557</v>
      </c>
      <c r="I32" s="1">
        <v>404</v>
      </c>
      <c r="J32" s="1" t="s">
        <v>7</v>
      </c>
      <c r="K32" s="1">
        <v>10</v>
      </c>
      <c r="L32" s="1"/>
      <c r="M32" s="1"/>
      <c r="N32" s="1"/>
      <c r="O32" s="1"/>
      <c r="P32" s="1"/>
      <c r="Q32" s="1"/>
      <c r="R32" s="1"/>
      <c r="S32" s="1">
        <v>14</v>
      </c>
      <c r="T32" s="1"/>
      <c r="U32" s="1"/>
      <c r="V32" s="1"/>
      <c r="W32" s="1"/>
      <c r="X32" s="1"/>
      <c r="Y32" s="1"/>
      <c r="Z32" s="1">
        <v>1</v>
      </c>
      <c r="AA32" s="1">
        <f t="shared" si="0"/>
        <v>14</v>
      </c>
      <c r="AB32" s="1">
        <f t="shared" si="1"/>
        <v>14</v>
      </c>
      <c r="AC32" s="1"/>
      <c r="AD32" s="1"/>
      <c r="AE32" s="1"/>
      <c r="AF32" s="1"/>
      <c r="AG32" s="1" t="s">
        <v>50</v>
      </c>
    </row>
    <row r="33" ht="21.75" customHeight="1">
      <c r="A33" s="1">
        <v>17</v>
      </c>
      <c r="B33" s="1" t="s">
        <v>48</v>
      </c>
      <c r="C33" s="1">
        <v>17</v>
      </c>
      <c r="D33" s="1">
        <v>4901895794</v>
      </c>
      <c r="E33" s="1">
        <v>50576369</v>
      </c>
      <c r="F33" s="1">
        <v>326746</v>
      </c>
      <c r="G33" s="1" t="s">
        <v>49</v>
      </c>
      <c r="H33" s="1">
        <v>10284557</v>
      </c>
      <c r="I33" s="1">
        <v>404</v>
      </c>
      <c r="J33" s="1" t="s">
        <v>7</v>
      </c>
      <c r="K33" s="32">
        <v>10</v>
      </c>
      <c r="L33" s="32"/>
      <c r="M33" s="32"/>
      <c r="N33" s="32"/>
      <c r="O33" s="32"/>
      <c r="P33" s="32"/>
      <c r="Q33" s="32"/>
      <c r="R33" s="32"/>
      <c r="S33" s="32"/>
      <c r="T33" s="32">
        <v>14</v>
      </c>
      <c r="U33" s="32"/>
      <c r="V33" s="32"/>
      <c r="W33" s="32"/>
      <c r="X33" s="32"/>
      <c r="Y33" s="32"/>
      <c r="Z33" s="1">
        <v>1</v>
      </c>
      <c r="AA33" s="1">
        <f t="shared" si="0"/>
        <v>14</v>
      </c>
      <c r="AB33" s="1">
        <f t="shared" si="1"/>
        <v>14</v>
      </c>
      <c r="AC33" s="1"/>
      <c r="AD33" s="1"/>
      <c r="AE33" s="1"/>
      <c r="AF33" s="1"/>
      <c r="AG33" s="1" t="s">
        <v>50</v>
      </c>
    </row>
    <row r="34" ht="15" customHeight="1">
      <c r="A34" s="33">
        <v>18</v>
      </c>
      <c r="B34" s="33" t="s">
        <v>51</v>
      </c>
      <c r="C34" s="33">
        <v>18</v>
      </c>
      <c r="D34" s="33">
        <v>4901895794</v>
      </c>
      <c r="E34" s="33">
        <v>50576369</v>
      </c>
      <c r="F34" s="33">
        <v>326746</v>
      </c>
      <c r="G34" s="33" t="s">
        <v>49</v>
      </c>
      <c r="H34" s="33">
        <v>10284557</v>
      </c>
      <c r="I34" s="33">
        <v>404</v>
      </c>
      <c r="J34" s="33" t="s">
        <v>7</v>
      </c>
      <c r="K34" s="33">
        <v>10</v>
      </c>
      <c r="L34" s="34"/>
      <c r="M34" s="34"/>
      <c r="N34" s="34">
        <v>2</v>
      </c>
      <c r="O34" s="34"/>
      <c r="P34" s="34"/>
      <c r="Q34" s="34"/>
      <c r="R34" s="34">
        <v>3</v>
      </c>
      <c r="S34" s="34">
        <v>9</v>
      </c>
      <c r="T34" s="34"/>
      <c r="U34" s="34"/>
      <c r="V34" s="34"/>
      <c r="W34" s="34"/>
      <c r="X34" s="34"/>
      <c r="Y34" s="34"/>
      <c r="Z34" s="1">
        <v>1</v>
      </c>
      <c r="AA34" s="1">
        <f t="shared" si="0"/>
        <v>14</v>
      </c>
      <c r="AB34" s="1">
        <f t="shared" si="1"/>
        <v>14</v>
      </c>
      <c r="AC34" s="1"/>
      <c r="AD34" s="1"/>
      <c r="AE34" s="1"/>
      <c r="AF34" s="1"/>
      <c r="AG34" s="1" t="s">
        <v>50</v>
      </c>
    </row>
    <row r="35" ht="18" customHeight="1">
      <c r="A35" s="33">
        <v>19</v>
      </c>
      <c r="B35" s="33" t="s">
        <v>51</v>
      </c>
      <c r="C35" s="33">
        <v>19</v>
      </c>
      <c r="D35" s="33">
        <v>4901895794</v>
      </c>
      <c r="E35" s="33">
        <v>50576369</v>
      </c>
      <c r="F35" s="33">
        <v>326746</v>
      </c>
      <c r="G35" s="33" t="s">
        <v>49</v>
      </c>
      <c r="H35" s="33">
        <v>10284557</v>
      </c>
      <c r="I35" s="33">
        <v>404</v>
      </c>
      <c r="J35" s="33" t="s">
        <v>7</v>
      </c>
      <c r="K35" s="33">
        <v>10</v>
      </c>
      <c r="L35" s="35"/>
      <c r="M35" s="36">
        <v>1</v>
      </c>
      <c r="N35" s="36"/>
      <c r="O35" s="36"/>
      <c r="P35" s="36">
        <v>8</v>
      </c>
      <c r="Q35" s="36">
        <v>5</v>
      </c>
      <c r="R35" s="36"/>
      <c r="S35" s="36"/>
      <c r="T35" s="36"/>
      <c r="U35" s="1"/>
      <c r="V35" s="1"/>
      <c r="W35" s="1"/>
      <c r="X35" s="1"/>
      <c r="Y35" s="37"/>
      <c r="Z35" s="1">
        <v>1</v>
      </c>
      <c r="AA35" s="1">
        <f t="shared" si="0"/>
        <v>14</v>
      </c>
      <c r="AB35" s="1">
        <f t="shared" si="1"/>
        <v>14</v>
      </c>
      <c r="AC35" s="1"/>
      <c r="AD35" s="1"/>
      <c r="AE35" s="1"/>
      <c r="AF35" s="1"/>
      <c r="AG35" s="1" t="s">
        <v>50</v>
      </c>
    </row>
    <row r="36" ht="18" customHeight="1">
      <c r="A36" s="33">
        <v>20</v>
      </c>
      <c r="B36" s="33" t="s">
        <v>51</v>
      </c>
      <c r="C36" s="33">
        <v>20</v>
      </c>
      <c r="D36" s="33">
        <v>4901895794</v>
      </c>
      <c r="E36" s="33">
        <v>50576369</v>
      </c>
      <c r="F36" s="33">
        <v>326746</v>
      </c>
      <c r="G36" s="33" t="s">
        <v>49</v>
      </c>
      <c r="H36" s="33">
        <v>10284557</v>
      </c>
      <c r="I36" s="33">
        <v>404</v>
      </c>
      <c r="J36" s="33" t="s">
        <v>7</v>
      </c>
      <c r="K36" s="33">
        <v>10</v>
      </c>
      <c r="L36" s="38"/>
      <c r="M36" s="39"/>
      <c r="N36" s="39"/>
      <c r="O36" s="39">
        <v>1</v>
      </c>
      <c r="P36" s="39"/>
      <c r="Q36" s="39"/>
      <c r="R36" s="39">
        <v>5</v>
      </c>
      <c r="S36" s="39"/>
      <c r="T36" s="39">
        <v>8</v>
      </c>
      <c r="U36" s="1"/>
      <c r="V36" s="1"/>
      <c r="W36" s="1"/>
      <c r="X36" s="1"/>
      <c r="Y36" s="37"/>
      <c r="Z36" s="1">
        <v>1</v>
      </c>
      <c r="AA36" s="1">
        <f t="shared" si="0"/>
        <v>14</v>
      </c>
      <c r="AB36" s="1">
        <f t="shared" si="1"/>
        <v>14</v>
      </c>
      <c r="AC36" s="1"/>
      <c r="AD36" s="1"/>
      <c r="AE36" s="1"/>
      <c r="AF36" s="1"/>
      <c r="AG36" s="1" t="s">
        <v>50</v>
      </c>
    </row>
    <row r="37" ht="18" customHeight="1">
      <c r="A37" s="33">
        <v>21</v>
      </c>
      <c r="B37" s="40" t="s">
        <v>52</v>
      </c>
      <c r="C37" s="33">
        <v>21</v>
      </c>
      <c r="D37" s="33">
        <v>4901895794</v>
      </c>
      <c r="E37" s="33">
        <v>50576369</v>
      </c>
      <c r="F37" s="33">
        <v>326746</v>
      </c>
      <c r="G37" s="33" t="s">
        <v>49</v>
      </c>
      <c r="H37" s="33">
        <v>10284557</v>
      </c>
      <c r="I37" s="33">
        <v>404</v>
      </c>
      <c r="J37" s="33" t="s">
        <v>7</v>
      </c>
      <c r="K37" s="33">
        <v>10</v>
      </c>
      <c r="L37" s="35"/>
      <c r="M37" s="36">
        <v>2</v>
      </c>
      <c r="N37" s="36">
        <v>6</v>
      </c>
      <c r="O37" s="36">
        <v>1</v>
      </c>
      <c r="P37" s="36"/>
      <c r="Q37" s="36"/>
      <c r="R37" s="36"/>
      <c r="S37" s="36"/>
      <c r="T37" s="36"/>
      <c r="U37" s="1"/>
      <c r="V37" s="1"/>
      <c r="W37" s="1"/>
      <c r="X37" s="1"/>
      <c r="Y37" s="37"/>
      <c r="Z37" s="1">
        <v>1</v>
      </c>
      <c r="AA37" s="1">
        <f t="shared" si="0"/>
        <v>9</v>
      </c>
      <c r="AB37" s="1">
        <f t="shared" si="1"/>
        <v>9</v>
      </c>
      <c r="AC37" s="1"/>
      <c r="AD37" s="1"/>
      <c r="AE37" s="1"/>
      <c r="AF37" s="1"/>
      <c r="AG37" s="1" t="s">
        <v>50</v>
      </c>
    </row>
    <row r="38" ht="15" customHeight="1">
      <c r="A38" s="41" t="s">
        <v>53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>
        <f t="shared" si="2" ref="M38:AB38">SUM(M17:M37)</f>
        <v>3</v>
      </c>
      <c r="N38" s="41">
        <f t="shared" si="2"/>
        <v>22</v>
      </c>
      <c r="O38" s="41">
        <f t="shared" si="2"/>
        <v>44</v>
      </c>
      <c r="P38" s="41">
        <f t="shared" si="2"/>
        <v>50</v>
      </c>
      <c r="Q38" s="41">
        <f t="shared" si="2"/>
        <v>61</v>
      </c>
      <c r="R38" s="41">
        <f t="shared" si="2"/>
        <v>50</v>
      </c>
      <c r="S38" s="41">
        <f t="shared" si="2"/>
        <v>37</v>
      </c>
      <c r="T38" s="41">
        <f t="shared" si="2"/>
        <v>22</v>
      </c>
      <c r="U38" s="41">
        <f t="shared" si="2"/>
        <v>0</v>
      </c>
      <c r="V38" s="41">
        <f t="shared" si="2"/>
        <v>0</v>
      </c>
      <c r="W38" s="41">
        <f t="shared" si="2"/>
        <v>0</v>
      </c>
      <c r="X38" s="41">
        <f t="shared" si="2"/>
        <v>0</v>
      </c>
      <c r="Y38" s="41">
        <f t="shared" si="2"/>
        <v>0</v>
      </c>
      <c r="Z38" s="41">
        <f t="shared" si="2"/>
        <v>21</v>
      </c>
      <c r="AA38" s="41"/>
      <c r="AB38" s="41">
        <f t="shared" si="2"/>
        <v>289</v>
      </c>
      <c r="AC38" s="41"/>
      <c r="AD38" s="41"/>
      <c r="AE38" s="41"/>
      <c r="AF38" s="41"/>
      <c r="AG38" s="41"/>
    </row>
    <row r="3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42" t="s">
        <v>54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43" t="s">
        <v>48</v>
      </c>
      <c r="M42" s="44">
        <v>36</v>
      </c>
      <c r="N42" s="44">
        <v>37</v>
      </c>
      <c r="O42" s="44">
        <v>38</v>
      </c>
      <c r="P42" s="44">
        <v>39</v>
      </c>
      <c r="Q42" s="44">
        <v>40</v>
      </c>
      <c r="R42" s="44">
        <v>41</v>
      </c>
      <c r="S42" s="44">
        <v>42</v>
      </c>
      <c r="T42" s="44">
        <v>43</v>
      </c>
      <c r="U42" s="1"/>
      <c r="V42" s="1"/>
      <c r="W42" s="1"/>
      <c r="X42" s="1"/>
      <c r="Y42" s="43" t="s">
        <v>17</v>
      </c>
      <c r="Z42" s="1"/>
      <c r="AA42" s="1"/>
      <c r="AB42" s="1"/>
      <c r="AC42" s="1"/>
      <c r="AD42" s="1"/>
      <c r="AE42" s="1"/>
      <c r="AF42" s="1"/>
      <c r="AG42" s="1"/>
    </row>
    <row r="4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45" t="s">
        <v>55</v>
      </c>
      <c r="M43" s="1" cm="1">
        <f t="array" ref="M43">'input '!C12</f>
        <v>3</v>
      </c>
      <c r="N43" s="1" cm="1">
        <f t="array" ref="N43">'input '!D12</f>
        <v>22</v>
      </c>
      <c r="O43" s="1" cm="1">
        <f t="array" ref="O43">'input '!E12</f>
        <v>44</v>
      </c>
      <c r="P43" s="1" cm="1">
        <f t="array" ref="P43">'input '!F12</f>
        <v>50</v>
      </c>
      <c r="Q43" s="1" cm="1">
        <f t="array" ref="Q43">'input '!G12</f>
        <v>61</v>
      </c>
      <c r="R43" s="1" cm="1">
        <f t="array" ref="R43">'input '!H12</f>
        <v>50</v>
      </c>
      <c r="S43" s="1" cm="1">
        <f t="array" ref="S43">'input '!I12</f>
        <v>37</v>
      </c>
      <c r="T43" s="1" cm="1">
        <f t="array" ref="T43">'input '!J12</f>
        <v>22</v>
      </c>
      <c r="U43" s="1"/>
      <c r="V43" s="1"/>
      <c r="W43" s="1"/>
      <c r="X43" s="1"/>
      <c r="Y43" s="45">
        <f t="shared" si="3" ref="Y43:Y45">SUM(M43:T43)</f>
        <v>289</v>
      </c>
      <c r="Z43" s="1"/>
      <c r="AA43" s="1"/>
      <c r="AB43" s="1"/>
      <c r="AC43" s="1"/>
      <c r="AD43" s="1"/>
      <c r="AE43" s="1"/>
      <c r="AF43" s="1"/>
      <c r="AG43" s="1"/>
    </row>
    <row r="4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5" t="s">
        <v>56</v>
      </c>
      <c r="M44" s="1" cm="1">
        <f t="array" ref="M44">M38</f>
        <v>3</v>
      </c>
      <c r="N44" s="1" cm="1">
        <f t="array" ref="N44">N38</f>
        <v>22</v>
      </c>
      <c r="O44" s="1" cm="1">
        <f t="array" ref="O44">O38</f>
        <v>44</v>
      </c>
      <c r="P44" s="1" cm="1">
        <f t="array" ref="P44">P38</f>
        <v>50</v>
      </c>
      <c r="Q44" s="1" cm="1">
        <f t="array" ref="Q44">Q38</f>
        <v>61</v>
      </c>
      <c r="R44" s="1" cm="1">
        <f t="array" ref="R44">R38</f>
        <v>50</v>
      </c>
      <c r="S44" s="1" cm="1">
        <f t="array" ref="S44">S38</f>
        <v>37</v>
      </c>
      <c r="T44" s="1" cm="1">
        <f t="array" ref="T44">T38</f>
        <v>22</v>
      </c>
      <c r="U44" s="1"/>
      <c r="V44" s="1"/>
      <c r="W44" s="1"/>
      <c r="X44" s="1"/>
      <c r="Y44" s="45">
        <f t="shared" si="3"/>
        <v>289</v>
      </c>
      <c r="Z44" s="1"/>
      <c r="AA44" s="1"/>
      <c r="AB44" s="1"/>
      <c r="AC44" s="1"/>
      <c r="AD44" s="1"/>
      <c r="AE44" s="1"/>
      <c r="AF44" s="1"/>
      <c r="AG44" s="1"/>
    </row>
    <row r="4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6" t="s">
        <v>57</v>
      </c>
      <c r="M45" s="46">
        <f t="shared" si="4" ref="M45:T45">M43-M44</f>
        <v>0</v>
      </c>
      <c r="N45" s="46">
        <f t="shared" si="4"/>
        <v>0</v>
      </c>
      <c r="O45" s="46">
        <f t="shared" si="4"/>
        <v>0</v>
      </c>
      <c r="P45" s="46">
        <f t="shared" si="4"/>
        <v>0</v>
      </c>
      <c r="Q45" s="46">
        <f t="shared" si="4"/>
        <v>0</v>
      </c>
      <c r="R45" s="46">
        <f t="shared" si="4"/>
        <v>0</v>
      </c>
      <c r="S45" s="46">
        <f t="shared" si="4"/>
        <v>0</v>
      </c>
      <c r="T45" s="46">
        <f t="shared" si="4"/>
        <v>0</v>
      </c>
      <c r="U45" s="1"/>
      <c r="V45" s="1"/>
      <c r="W45" s="1"/>
      <c r="X45" s="1"/>
      <c r="Y45" s="46">
        <f t="shared" si="3"/>
        <v>0</v>
      </c>
      <c r="Z45" s="1"/>
      <c r="AA45" s="1"/>
      <c r="AB45" s="1"/>
      <c r="AC45" s="1"/>
      <c r="AD45" s="1"/>
      <c r="AE45" s="1"/>
      <c r="AF45" s="1"/>
      <c r="AG45" s="1"/>
    </row>
    <row r="4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</sheetData>
  <mergeCells>
    <mergeCell ref="A1:AG1"/>
    <mergeCell ref="Z2:AF2"/>
    <mergeCell ref="Z3:AF3"/>
    <mergeCell ref="Z4:AF4"/>
    <mergeCell ref="Z5:AF5"/>
    <mergeCell ref="Z6:AF6"/>
    <mergeCell ref="Z7:AF7"/>
    <mergeCell ref="K33:Y33"/>
    <mergeCell ref="L41:Y41"/>
  </mergeCells>
  <printOptions/>
  <pageMargins left="0.75" right="0.75" top="1" bottom="1" header="0.51" footer="0.51"/>
  <pageSetup paperSize="9" pageOrder="downThenOver" orientation="portrait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E6EBCE-0BB8-DD28-BD88-98995F2F7BE8}" mc:Ignorable="x14ac xr xr2 xr3">
  <dimension ref="A1:GR1000"/>
  <sheetViews>
    <sheetView topLeftCell="A1" workbookViewId="0" tabSelected="1">
      <selection activeCell="A4" sqref="A4"/>
    </sheetView>
  </sheetViews>
  <sheetFormatPr defaultRowHeight="15" defaultColWidth="8.8515625" customHeight="1"/>
  <cols>
    <col min="1" max="1" width="128.57421875" customWidth="1"/>
  </cols>
  <sheetData>
    <row r="1" ht="15" customHeight="1">
      <c r="A1" s="47" t="s">
        <v>58</v>
      </c>
    </row>
    <row r="2" ht="15" customHeight="1">
      <c r="A2" s="48" t="s">
        <v>59</v>
      </c>
    </row>
    <row r="4" ht="15" customHeight="1">
      <c r="A4" s="49" t="s">
        <v>60</v>
      </c>
    </row>
    <row r="5" ht="15" customHeight="1">
      <c r="A5" s="50"/>
    </row>
    <row r="6" ht="15" customHeight="1">
      <c r="A6" s="50" t="s">
        <v>61</v>
      </c>
    </row>
    <row r="7" ht="15" customHeight="1">
      <c r="A7" s="50" t="s">
        <v>62</v>
      </c>
    </row>
    <row r="8" ht="15" customHeight="1">
      <c r="A8" s="50" t="s">
        <v>63</v>
      </c>
    </row>
    <row r="9" ht="15" customHeight="1">
      <c r="A9" s="50" t="s">
        <v>64</v>
      </c>
    </row>
    <row r="10" ht="15" customHeight="1">
      <c r="A10" s="50" t="s">
        <v>65</v>
      </c>
    </row>
    <row r="11" ht="15" customHeight="1">
      <c r="A11" s="50" t="s">
        <v>66</v>
      </c>
    </row>
    <row r="12" ht="15" customHeight="1">
      <c r="A12" s="50" t="s">
        <v>67</v>
      </c>
    </row>
    <row r="13" ht="15" customHeight="1">
      <c r="A13" s="50" t="s">
        <v>68</v>
      </c>
    </row>
    <row r="14" ht="15" customHeight="1">
      <c r="A14" s="50" t="s">
        <v>69</v>
      </c>
    </row>
    <row r="15" ht="15" customHeight="1">
      <c r="A15" s="50" t="s">
        <v>70</v>
      </c>
    </row>
    <row r="16" ht="15" customHeight="1">
      <c r="A16" s="50" t="s">
        <v>71</v>
      </c>
    </row>
    <row r="17" ht="15" customHeight="1">
      <c r="A17" s="50" t="s">
        <v>61</v>
      </c>
    </row>
    <row r="18" ht="15" customHeight="1">
      <c r="A18" s="50"/>
    </row>
    <row r="19" ht="15" customHeight="1">
      <c r="A19" s="50" t="s">
        <v>72</v>
      </c>
    </row>
    <row r="20" ht="15" customHeight="1">
      <c r="A20" s="50" t="s">
        <v>73</v>
      </c>
    </row>
    <row r="21" ht="15" customHeight="1">
      <c r="A21" s="50" t="s">
        <v>74</v>
      </c>
    </row>
    <row r="22" ht="15" customHeight="1">
      <c r="A22" s="50" t="s">
        <v>75</v>
      </c>
    </row>
    <row r="23" ht="15" customHeight="1">
      <c r="A23" s="50" t="s">
        <v>76</v>
      </c>
    </row>
    <row r="24" ht="15" customHeight="1">
      <c r="A24" s="50" t="s">
        <v>77</v>
      </c>
    </row>
    <row r="25" ht="15" customHeight="1">
      <c r="A25" s="50" t="s">
        <v>78</v>
      </c>
    </row>
    <row r="26" ht="15" customHeight="1">
      <c r="A26" s="50" t="s">
        <v>79</v>
      </c>
    </row>
    <row r="27" ht="15" customHeight="1">
      <c r="A27" s="50" t="s">
        <v>80</v>
      </c>
    </row>
    <row r="28" ht="15" customHeight="1">
      <c r="A28" s="50" t="s">
        <v>81</v>
      </c>
    </row>
    <row r="29" ht="15" customHeight="1">
      <c r="A29" s="50"/>
    </row>
    <row r="30" ht="15" customHeight="1">
      <c r="A30" s="50" t="s">
        <v>82</v>
      </c>
    </row>
    <row r="31" ht="15" customHeight="1">
      <c r="A31" s="50" t="s">
        <v>83</v>
      </c>
    </row>
    <row r="32" ht="15" customHeight="1">
      <c r="A32" s="50"/>
    </row>
    <row r="33" ht="15" customHeight="1">
      <c r="A33" s="50" t="s">
        <v>84</v>
      </c>
    </row>
    <row r="34" ht="15" customHeight="1">
      <c r="A34" s="50" t="s">
        <v>85</v>
      </c>
    </row>
    <row r="35" ht="15" customHeight="1">
      <c r="A35" s="50"/>
    </row>
    <row r="36" ht="15" customHeight="1">
      <c r="A36" s="50" t="s">
        <v>86</v>
      </c>
    </row>
    <row r="37" ht="15" customHeight="1">
      <c r="A37" s="50" t="s">
        <v>87</v>
      </c>
    </row>
    <row r="38" ht="15" customHeight="1">
      <c r="A38" s="50"/>
    </row>
    <row r="39" ht="15" customHeight="1">
      <c r="A39" s="50" t="s">
        <v>88</v>
      </c>
    </row>
    <row r="40" ht="15" customHeight="1">
      <c r="A40" s="50" t="s">
        <v>89</v>
      </c>
    </row>
    <row r="41" ht="15" customHeight="1">
      <c r="A41" s="50" t="s">
        <v>90</v>
      </c>
    </row>
    <row r="42" ht="15" customHeight="1">
      <c r="A42" s="50" t="s">
        <v>91</v>
      </c>
    </row>
    <row r="43" ht="15" customHeight="1">
      <c r="A43" s="50" t="s">
        <v>92</v>
      </c>
    </row>
    <row r="44" ht="15" customHeight="1">
      <c r="A44" s="50" t="s">
        <v>93</v>
      </c>
    </row>
    <row r="45" ht="15" customHeight="1">
      <c r="A45" s="50" t="s">
        <v>94</v>
      </c>
    </row>
    <row r="46" ht="15" customHeight="1">
      <c r="A46" s="50" t="s">
        <v>95</v>
      </c>
    </row>
    <row r="47" ht="15" customHeight="1">
      <c r="A47" s="50" t="s">
        <v>96</v>
      </c>
    </row>
    <row r="48" ht="15" customHeight="1">
      <c r="A48" s="50"/>
    </row>
    <row r="49" ht="15" customHeight="1">
      <c r="A49" s="50" t="s">
        <v>97</v>
      </c>
    </row>
    <row r="50" ht="15" customHeight="1">
      <c r="A50" s="50" t="s">
        <v>98</v>
      </c>
    </row>
    <row r="51" ht="15" customHeight="1">
      <c r="A51" s="50" t="s">
        <v>99</v>
      </c>
    </row>
    <row r="52" ht="15" customHeight="1">
      <c r="A52" s="50" t="s">
        <v>100</v>
      </c>
    </row>
    <row r="53" ht="15" customHeight="1">
      <c r="A53" s="50" t="s">
        <v>101</v>
      </c>
    </row>
    <row r="54" ht="15" customHeight="1">
      <c r="A54" s="50" t="s">
        <v>102</v>
      </c>
    </row>
    <row r="55" ht="15" customHeight="1">
      <c r="A55" s="50" t="s">
        <v>103</v>
      </c>
    </row>
    <row r="56" ht="15" customHeight="1">
      <c r="A56" s="50" t="s">
        <v>104</v>
      </c>
    </row>
    <row r="57" ht="15" customHeight="1">
      <c r="A57" s="50"/>
    </row>
    <row r="58" ht="15" customHeight="1">
      <c r="A58" s="50" t="s">
        <v>105</v>
      </c>
    </row>
    <row r="59" ht="15" customHeight="1">
      <c r="A59" s="50"/>
    </row>
    <row r="60" ht="15" customHeight="1">
      <c r="A60" s="50" t="s">
        <v>106</v>
      </c>
    </row>
    <row r="61" ht="15" customHeight="1">
      <c r="A61" s="50" t="s">
        <v>107</v>
      </c>
    </row>
    <row r="62" ht="15" customHeight="1">
      <c r="A62" s="50" t="s">
        <v>108</v>
      </c>
    </row>
    <row r="63" ht="15" customHeight="1">
      <c r="A63" s="50" t="s">
        <v>100</v>
      </c>
    </row>
    <row r="64" ht="15" customHeight="1">
      <c r="A64" s="50" t="s">
        <v>109</v>
      </c>
    </row>
    <row r="65" ht="15" customHeight="1">
      <c r="A65" s="50" t="s">
        <v>110</v>
      </c>
    </row>
    <row r="66" ht="15" customHeight="1">
      <c r="A66" s="50" t="s">
        <v>111</v>
      </c>
    </row>
    <row r="67" ht="15" customHeight="1">
      <c r="A67" s="50" t="s">
        <v>112</v>
      </c>
    </row>
    <row r="68" ht="15" customHeight="1">
      <c r="A68" s="50" t="s">
        <v>113</v>
      </c>
    </row>
    <row r="69" ht="15" customHeight="1">
      <c r="A69" s="50" t="s">
        <v>114</v>
      </c>
    </row>
    <row r="70" ht="15" customHeight="1">
      <c r="A70" s="50" t="s">
        <v>115</v>
      </c>
    </row>
    <row r="71" ht="15" customHeight="1">
      <c r="A71" s="50" t="s">
        <v>116</v>
      </c>
    </row>
    <row r="72" ht="15" customHeight="1">
      <c r="A72" s="50" t="s">
        <v>117</v>
      </c>
    </row>
    <row r="73" ht="15" customHeight="1">
      <c r="A73" s="50" t="s">
        <v>118</v>
      </c>
    </row>
    <row r="74" ht="15" customHeight="1">
      <c r="A74" s="50" t="s">
        <v>104</v>
      </c>
    </row>
    <row r="75" ht="15" customHeight="1">
      <c r="A75" s="50"/>
    </row>
    <row r="76" ht="15" customHeight="1">
      <c r="A76" s="50" t="s">
        <v>119</v>
      </c>
    </row>
    <row r="77" ht="15" customHeight="1">
      <c r="A77" s="50" t="s">
        <v>120</v>
      </c>
    </row>
    <row r="78" ht="15" customHeight="1">
      <c r="A78" s="50" t="s">
        <v>121</v>
      </c>
    </row>
    <row r="79" ht="15" customHeight="1">
      <c r="A79" s="50" t="s">
        <v>122</v>
      </c>
    </row>
    <row r="80" ht="15" customHeight="1">
      <c r="A80" s="50"/>
    </row>
    <row r="81" ht="15" customHeight="1">
      <c r="A81" s="50" t="s">
        <v>123</v>
      </c>
    </row>
    <row r="82" ht="15" customHeight="1">
      <c r="A82" s="50" t="s">
        <v>124</v>
      </c>
    </row>
    <row r="83" ht="15" customHeight="1">
      <c r="A83" s="50" t="s">
        <v>125</v>
      </c>
    </row>
    <row r="84" ht="15" customHeight="1">
      <c r="A84" s="50" t="s">
        <v>126</v>
      </c>
    </row>
    <row r="85" ht="15" customHeight="1">
      <c r="A85" s="50" t="s">
        <v>127</v>
      </c>
    </row>
    <row r="86" ht="15" customHeight="1">
      <c r="A86" s="50"/>
    </row>
    <row r="87" ht="15" customHeight="1">
      <c r="A87" s="50" t="s">
        <v>128</v>
      </c>
    </row>
    <row r="88" ht="15" customHeight="1">
      <c r="A88" s="50" t="s">
        <v>129</v>
      </c>
    </row>
    <row r="89" ht="15" customHeight="1">
      <c r="A89" s="50" t="s">
        <v>130</v>
      </c>
    </row>
    <row r="90" ht="15" customHeight="1">
      <c r="A90" s="50" t="s">
        <v>131</v>
      </c>
    </row>
    <row r="91" ht="15" customHeight="1">
      <c r="A91" s="50" t="s">
        <v>132</v>
      </c>
    </row>
    <row r="92" ht="15" customHeight="1">
      <c r="A92" s="50" t="s">
        <v>133</v>
      </c>
    </row>
    <row r="93" ht="15" customHeight="1">
      <c r="A93" s="50" t="s">
        <v>134</v>
      </c>
    </row>
    <row r="94" ht="15" customHeight="1">
      <c r="A94" s="50" t="s">
        <v>135</v>
      </c>
    </row>
    <row r="95" ht="15" customHeight="1">
      <c r="A95" s="50" t="s">
        <v>136</v>
      </c>
    </row>
    <row r="96" ht="15" customHeight="1">
      <c r="A96" s="50"/>
    </row>
    <row r="97" ht="15" customHeight="1">
      <c r="A97" s="50" t="s">
        <v>137</v>
      </c>
    </row>
    <row r="98" ht="15" customHeight="1">
      <c r="A98" s="50" t="s">
        <v>138</v>
      </c>
    </row>
    <row r="99" ht="15" customHeight="1">
      <c r="A99" s="50" t="s">
        <v>139</v>
      </c>
    </row>
    <row r="100" ht="15" customHeight="1">
      <c r="A100" s="50" t="s">
        <v>140</v>
      </c>
    </row>
    <row r="101" ht="15" customHeight="1">
      <c r="A101" s="50" t="s">
        <v>141</v>
      </c>
    </row>
    <row r="102" ht="15" customHeight="1">
      <c r="A102" s="50" t="s">
        <v>142</v>
      </c>
    </row>
    <row r="103" ht="15" customHeight="1">
      <c r="A103" s="50" t="s">
        <v>143</v>
      </c>
    </row>
    <row r="104" ht="15" customHeight="1">
      <c r="A104" s="50"/>
    </row>
    <row r="105" ht="15" customHeight="1">
      <c r="A105" s="50" t="s">
        <v>144</v>
      </c>
    </row>
    <row r="106" ht="15" customHeight="1">
      <c r="A106" s="50" t="s">
        <v>145</v>
      </c>
    </row>
    <row r="107" ht="15" customHeight="1">
      <c r="A107" s="50"/>
    </row>
    <row r="108" ht="15" customHeight="1">
      <c r="A108" s="50" t="s">
        <v>146</v>
      </c>
    </row>
    <row r="109" ht="15" customHeight="1">
      <c r="A109" s="50" t="s">
        <v>147</v>
      </c>
    </row>
    <row r="110" ht="15" customHeight="1">
      <c r="A110" s="50" t="s">
        <v>148</v>
      </c>
    </row>
    <row r="111" ht="15" customHeight="1">
      <c r="A111" s="50" t="s">
        <v>149</v>
      </c>
    </row>
    <row r="112" ht="15" customHeight="1">
      <c r="A112" s="50" t="s">
        <v>150</v>
      </c>
    </row>
    <row r="113" ht="15" customHeight="1">
      <c r="A113" s="50"/>
    </row>
    <row r="114" ht="15" customHeight="1">
      <c r="A114" s="50" t="s">
        <v>151</v>
      </c>
    </row>
    <row r="115" ht="15" customHeight="1">
      <c r="A115" s="50" t="s">
        <v>152</v>
      </c>
    </row>
    <row r="116" ht="15" customHeight="1">
      <c r="A116" s="50" t="s">
        <v>153</v>
      </c>
    </row>
    <row r="117" ht="15" customHeight="1">
      <c r="A117" s="50"/>
    </row>
    <row r="118" ht="15" customHeight="1">
      <c r="A118" s="50" t="s">
        <v>154</v>
      </c>
    </row>
    <row r="119" ht="15" customHeight="1">
      <c r="A119" s="50" t="s">
        <v>155</v>
      </c>
    </row>
    <row r="120" ht="15" customHeight="1">
      <c r="A120" s="50" t="s">
        <v>156</v>
      </c>
    </row>
    <row r="121" ht="15" customHeight="1">
      <c r="A121" s="50" t="s">
        <v>157</v>
      </c>
    </row>
    <row r="122" ht="15" customHeight="1">
      <c r="A122" s="50" t="s">
        <v>158</v>
      </c>
    </row>
    <row r="123" ht="15" customHeight="1">
      <c r="A123" s="50" t="s">
        <v>159</v>
      </c>
    </row>
    <row r="124" ht="15" customHeight="1">
      <c r="A124" s="50" t="s">
        <v>160</v>
      </c>
    </row>
    <row r="125" ht="15" customHeight="1">
      <c r="A125" s="50" t="s">
        <v>104</v>
      </c>
    </row>
    <row r="126" ht="15" customHeight="1">
      <c r="A126" s="50" t="s">
        <v>161</v>
      </c>
    </row>
    <row r="127" ht="15" customHeight="1">
      <c r="A127" s="50" t="s">
        <v>162</v>
      </c>
    </row>
    <row r="128" ht="15" customHeight="1">
      <c r="A128" s="50" t="s">
        <v>163</v>
      </c>
    </row>
    <row r="129" ht="15" customHeight="1">
      <c r="A129" s="50" t="s">
        <v>164</v>
      </c>
    </row>
    <row r="130" ht="15" customHeight="1">
      <c r="A130" s="50"/>
    </row>
    <row r="131" ht="15" customHeight="1">
      <c r="A131" s="50" t="s">
        <v>165</v>
      </c>
    </row>
    <row r="132" ht="15" customHeight="1">
      <c r="A132" s="50" t="s">
        <v>166</v>
      </c>
    </row>
    <row r="133" ht="15" customHeight="1">
      <c r="A133" s="50" t="s">
        <v>167</v>
      </c>
    </row>
    <row r="134" ht="15" customHeight="1">
      <c r="A134" s="50" t="s">
        <v>168</v>
      </c>
    </row>
    <row r="135" ht="15" customHeight="1">
      <c r="A135" s="50" t="s">
        <v>169</v>
      </c>
    </row>
    <row r="136" ht="15" customHeight="1">
      <c r="A136" s="50" t="s">
        <v>170</v>
      </c>
    </row>
    <row r="137" ht="15" customHeight="1">
      <c r="A137" s="50" t="s">
        <v>171</v>
      </c>
    </row>
    <row r="138" ht="15" customHeight="1">
      <c r="A138" s="50"/>
    </row>
    <row r="139" ht="15" customHeight="1">
      <c r="A139" s="50" t="s">
        <v>172</v>
      </c>
    </row>
    <row r="140" ht="15" customHeight="1">
      <c r="A140" s="50" t="s">
        <v>173</v>
      </c>
    </row>
    <row r="141" ht="15" customHeight="1">
      <c r="A141" s="50" t="s">
        <v>100</v>
      </c>
    </row>
    <row r="142" ht="15" customHeight="1">
      <c r="A142" s="50" t="s">
        <v>174</v>
      </c>
    </row>
    <row r="143" ht="15" customHeight="1">
      <c r="A143" s="50" t="s">
        <v>104</v>
      </c>
    </row>
    <row r="144" ht="15" customHeight="1">
      <c r="A144" s="50" t="s">
        <v>175</v>
      </c>
    </row>
    <row r="145" ht="15" customHeight="1">
      <c r="A145" s="50" t="s">
        <v>176</v>
      </c>
    </row>
    <row r="146" ht="15" customHeight="1">
      <c r="A146" s="50"/>
    </row>
    <row r="147" ht="15" customHeight="1">
      <c r="A147" s="50" t="s">
        <v>177</v>
      </c>
    </row>
    <row r="148" ht="15" customHeight="1">
      <c r="A148" s="50" t="s">
        <v>178</v>
      </c>
    </row>
    <row r="149" ht="15" customHeight="1">
      <c r="A149" s="50" t="s">
        <v>179</v>
      </c>
    </row>
    <row r="150" ht="15" customHeight="1">
      <c r="A150" s="50" t="s">
        <v>100</v>
      </c>
    </row>
    <row r="151" ht="15" customHeight="1">
      <c r="A151" s="50" t="s">
        <v>180</v>
      </c>
    </row>
    <row r="152" ht="15" customHeight="1">
      <c r="A152" s="50" t="s">
        <v>181</v>
      </c>
    </row>
    <row r="153" ht="15" customHeight="1">
      <c r="A153" s="50" t="s">
        <v>182</v>
      </c>
    </row>
    <row r="154" ht="15" customHeight="1">
      <c r="A154" s="50" t="s">
        <v>104</v>
      </c>
    </row>
    <row r="155" ht="15" customHeight="1">
      <c r="A155" s="50" t="s">
        <v>183</v>
      </c>
    </row>
    <row r="156" ht="15" customHeight="1">
      <c r="A156" s="50" t="s">
        <v>184</v>
      </c>
    </row>
    <row r="157" ht="15" customHeight="1">
      <c r="A157" s="50" t="s">
        <v>185</v>
      </c>
    </row>
    <row r="158" ht="15" customHeight="1">
      <c r="A158" s="50" t="s">
        <v>186</v>
      </c>
    </row>
    <row r="159" ht="15" customHeight="1">
      <c r="A159" s="50"/>
    </row>
    <row r="160" ht="15" customHeight="1">
      <c r="A160" s="50" t="s">
        <v>187</v>
      </c>
    </row>
    <row r="161" ht="15" customHeight="1">
      <c r="A161" s="50" t="s">
        <v>188</v>
      </c>
    </row>
    <row r="162" ht="15" customHeight="1">
      <c r="A162" s="50"/>
    </row>
    <row r="163" ht="15" customHeight="1">
      <c r="A163" s="50" t="s">
        <v>189</v>
      </c>
    </row>
    <row r="164" ht="15" customHeight="1">
      <c r="A164" s="50" t="s">
        <v>190</v>
      </c>
    </row>
    <row r="165" ht="15" customHeight="1">
      <c r="A165" s="50" t="s">
        <v>191</v>
      </c>
    </row>
    <row r="166" ht="15" customHeight="1">
      <c r="A166" s="50" t="s">
        <v>192</v>
      </c>
    </row>
    <row r="167" ht="15" customHeight="1">
      <c r="A167" s="50" t="s">
        <v>193</v>
      </c>
    </row>
    <row r="168" ht="15" customHeight="1">
      <c r="A168" s="50" t="s">
        <v>194</v>
      </c>
    </row>
    <row r="169" ht="15" customHeight="1">
      <c r="A169" s="50" t="s">
        <v>195</v>
      </c>
    </row>
    <row r="170" ht="15" customHeight="1">
      <c r="A170" s="50" t="s">
        <v>196</v>
      </c>
    </row>
    <row r="171" ht="15" customHeight="1">
      <c r="A171" s="50" t="s">
        <v>197</v>
      </c>
    </row>
    <row r="172" ht="15" customHeight="1">
      <c r="A172" s="50" t="s">
        <v>198</v>
      </c>
    </row>
    <row r="173" ht="15" customHeight="1">
      <c r="A173" s="50" t="s">
        <v>199</v>
      </c>
    </row>
    <row r="174" ht="15" customHeight="1">
      <c r="A174" s="50" t="s">
        <v>200</v>
      </c>
    </row>
    <row r="175" ht="15" customHeight="1">
      <c r="A175" s="50" t="s">
        <v>201</v>
      </c>
    </row>
    <row r="176" ht="15" customHeight="1">
      <c r="A176" s="50" t="s">
        <v>202</v>
      </c>
    </row>
    <row r="177" ht="15" customHeight="1">
      <c r="A177" s="50" t="s">
        <v>203</v>
      </c>
    </row>
    <row r="178" ht="15" customHeight="1">
      <c r="A178" s="50" t="s">
        <v>204</v>
      </c>
    </row>
    <row r="179" ht="15" customHeight="1">
      <c r="A179" s="50" t="s">
        <v>205</v>
      </c>
    </row>
    <row r="180" ht="15" customHeight="1">
      <c r="A180" s="50" t="s">
        <v>206</v>
      </c>
    </row>
    <row r="181" ht="15" customHeight="1">
      <c r="A181" s="50" t="s">
        <v>207</v>
      </c>
    </row>
    <row r="182" ht="15" customHeight="1">
      <c r="A182" s="50" t="s">
        <v>208</v>
      </c>
    </row>
    <row r="183" ht="15" customHeight="1">
      <c r="A183" s="50" t="s">
        <v>209</v>
      </c>
    </row>
    <row r="184" ht="15" customHeight="1">
      <c r="A184" s="50" t="s">
        <v>188</v>
      </c>
    </row>
    <row r="185" ht="15" customHeight="1">
      <c r="A185" s="50"/>
    </row>
    <row r="186" ht="15" customHeight="1">
      <c r="A186" s="50" t="s">
        <v>210</v>
      </c>
    </row>
    <row r="187" ht="15" customHeight="1">
      <c r="A187" s="50" t="s">
        <v>211</v>
      </c>
    </row>
    <row r="188" ht="15" customHeight="1">
      <c r="A188" s="50" t="s">
        <v>212</v>
      </c>
    </row>
    <row r="189" ht="15" customHeight="1">
      <c r="A189" s="50" t="s">
        <v>213</v>
      </c>
    </row>
    <row r="190" ht="15" customHeight="1">
      <c r="A190" s="50" t="s">
        <v>214</v>
      </c>
    </row>
    <row r="191" ht="15" customHeight="1">
      <c r="A191" s="50" t="s">
        <v>215</v>
      </c>
    </row>
    <row r="192" ht="15" customHeight="1">
      <c r="A192" s="50" t="s">
        <v>216</v>
      </c>
    </row>
    <row r="193" ht="15" customHeight="1">
      <c r="A193" s="50" t="s">
        <v>194</v>
      </c>
    </row>
    <row r="194" ht="15" customHeight="1">
      <c r="A194" s="50" t="s">
        <v>217</v>
      </c>
    </row>
    <row r="195" ht="15" customHeight="1">
      <c r="A195" s="50" t="s">
        <v>196</v>
      </c>
    </row>
    <row r="196" ht="15" customHeight="1">
      <c r="A196" s="50" t="s">
        <v>197</v>
      </c>
    </row>
    <row r="197" ht="15" customHeight="1">
      <c r="A197" s="50" t="s">
        <v>198</v>
      </c>
    </row>
    <row r="198" ht="15" customHeight="1">
      <c r="A198" s="50" t="s">
        <v>199</v>
      </c>
    </row>
    <row r="199" ht="15" customHeight="1">
      <c r="A199" s="50" t="s">
        <v>200</v>
      </c>
    </row>
    <row r="200" ht="15" customHeight="1">
      <c r="A200" s="50" t="s">
        <v>201</v>
      </c>
    </row>
    <row r="201" ht="15" customHeight="1">
      <c r="A201" s="50" t="s">
        <v>202</v>
      </c>
    </row>
    <row r="202" ht="15" customHeight="1">
      <c r="A202" s="50" t="s">
        <v>203</v>
      </c>
    </row>
    <row r="203" ht="15" customHeight="1">
      <c r="A203" s="50" t="s">
        <v>204</v>
      </c>
    </row>
    <row r="204" ht="15" customHeight="1">
      <c r="A204" s="50" t="s">
        <v>218</v>
      </c>
    </row>
    <row r="205" ht="15" customHeight="1">
      <c r="A205" s="50" t="s">
        <v>219</v>
      </c>
    </row>
    <row r="206" ht="15" customHeight="1">
      <c r="A206" s="50" t="s">
        <v>220</v>
      </c>
    </row>
    <row r="207" ht="15" customHeight="1">
      <c r="A207" s="50" t="s">
        <v>206</v>
      </c>
    </row>
    <row r="208" ht="15" customHeight="1">
      <c r="A208" s="50" t="s">
        <v>207</v>
      </c>
    </row>
    <row r="209" ht="15" customHeight="1">
      <c r="A209" s="50" t="s">
        <v>208</v>
      </c>
    </row>
    <row r="210" ht="15" customHeight="1">
      <c r="A210" s="50" t="s">
        <v>209</v>
      </c>
    </row>
    <row r="211" ht="15" customHeight="1">
      <c r="A211" s="50" t="s">
        <v>221</v>
      </c>
    </row>
    <row r="212" ht="15" customHeight="1">
      <c r="A212" s="50" t="s">
        <v>222</v>
      </c>
    </row>
    <row r="213" ht="15" customHeight="1">
      <c r="A213" s="50" t="s">
        <v>188</v>
      </c>
    </row>
    <row r="214" ht="15" customHeight="1">
      <c r="A214" s="50"/>
    </row>
    <row r="215" ht="15" customHeight="1">
      <c r="A215" s="50" t="s">
        <v>223</v>
      </c>
    </row>
    <row r="216" ht="15" customHeight="1">
      <c r="A216" s="50" t="s">
        <v>224</v>
      </c>
    </row>
    <row r="217" ht="15" customHeight="1">
      <c r="A217" s="50" t="s">
        <v>225</v>
      </c>
    </row>
    <row r="218" ht="15" customHeight="1">
      <c r="A218" s="50" t="s">
        <v>226</v>
      </c>
    </row>
    <row r="219" ht="15" customHeight="1">
      <c r="A219" s="50" t="s">
        <v>104</v>
      </c>
    </row>
    <row r="220" ht="15" customHeight="1">
      <c r="A220" s="50" t="s">
        <v>227</v>
      </c>
    </row>
    <row r="221" ht="15" customHeight="1">
      <c r="A221" s="51" t="s">
        <v>228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 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</cp:lastModifiedBy>
  <cp:revision>0</cp:revision>
  <dcterms:created xsi:type="dcterms:W3CDTF">2026-06-17T20:30:00Z</dcterms:created>
  <dcterms:modified xsi:type="dcterms:W3CDTF">2026-06-17T21:56:54Z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79FE67D9BBF64207A50108B22D093CFF_13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