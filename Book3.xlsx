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definedNames>
    <definedName name="_xlnm._FilterDatabase" localSheetId="0" hidden="1">Sheet1!$G$39:$P$75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<sst xmlns="http://schemas.openxmlformats.org/spreadsheetml/2006/main" count="317" uniqueCount="112">
  <si>
    <t>CON NO.</t>
  </si>
  <si>
    <t>PO NO.</t>
  </si>
  <si>
    <t>COUNTRY/country</t>
  </si>
  <si>
    <t>SLEEVE</t>
  </si>
  <si>
    <t>Style</t>
  </si>
  <si>
    <t>Color</t>
  </si>
  <si>
    <t>FABRIC</t>
  </si>
  <si>
    <t>Ordered</t>
  </si>
  <si>
    <t>SCANING QTY</t>
  </si>
  <si>
    <t>TOTAL CTNS</t>
  </si>
  <si>
    <t>LC/LCT/25/11485.2</t>
  </si>
  <si>
    <t>Singapore</t>
  </si>
  <si>
    <t>SS</t>
  </si>
  <si>
    <t>CH2312-10</t>
  </si>
  <si>
    <t>T01 RILL</t>
  </si>
  <si>
    <t>70s Poplin</t>
  </si>
  <si>
    <t>LC/LCT/25/11485.3</t>
  </si>
  <si>
    <t>USA</t>
  </si>
  <si>
    <t>CH2312-51</t>
  </si>
  <si>
    <t>LC/LCT/25/11485.5</t>
  </si>
  <si>
    <t>Vietnam</t>
  </si>
  <si>
    <t>LC/LCT/25/11487.1</t>
  </si>
  <si>
    <t>Great Britain</t>
  </si>
  <si>
    <t>LS</t>
  </si>
  <si>
    <t>CH2316-00</t>
  </si>
  <si>
    <t>LC/LCT/25/11487.5</t>
  </si>
  <si>
    <t>CH2316-23</t>
  </si>
  <si>
    <t>LC/LCT/25/11491.1</t>
  </si>
  <si>
    <t>CH6250-10</t>
  </si>
  <si>
    <t>LC/LCT/25/11491.2</t>
  </si>
  <si>
    <t>LC/LCT/25/11491.7</t>
  </si>
  <si>
    <t>Thailand</t>
  </si>
  <si>
    <t>LC/LCT/25/11522.1</t>
  </si>
  <si>
    <t>CH2316-51</t>
  </si>
  <si>
    <t>BIG ANGIE</t>
  </si>
  <si>
    <t>LC/LCT/25/11522.3</t>
  </si>
  <si>
    <t>MEXICO</t>
  </si>
  <si>
    <t>CH2316-20</t>
  </si>
  <si>
    <t>LC/LCT/25/11548.2</t>
  </si>
  <si>
    <t>france</t>
  </si>
  <si>
    <t>3LA BUFFALO</t>
  </si>
  <si>
    <t>LC/LCT/25/11562.4</t>
  </si>
  <si>
    <t>CH2346-10</t>
  </si>
  <si>
    <t>522 WHITE/NAVY BLUE</t>
  </si>
  <si>
    <t>LC/LCT/25/11570.1</t>
  </si>
  <si>
    <t>LC/LCT/25/11572.3</t>
  </si>
  <si>
    <t>FRANCE</t>
  </si>
  <si>
    <t>CH5692-00</t>
  </si>
  <si>
    <t>100% LINEN</t>
  </si>
  <si>
    <t xml:space="preserve">TOTAL </t>
  </si>
  <si>
    <t>FINAL QTY</t>
  </si>
  <si>
    <t>KA05C9401</t>
  </si>
  <si>
    <t>LC/LCT/25/11445.1</t>
  </si>
  <si>
    <t>LC/LCT/25/11485.8</t>
  </si>
  <si>
    <t>LC/LCT/25/11485.9</t>
  </si>
  <si>
    <t>LC/LCT/25/11491.4</t>
  </si>
  <si>
    <t>LC/LCT/25/11491.5</t>
  </si>
  <si>
    <t>LC/LCT/25/11491.6</t>
  </si>
  <si>
    <t>Philippines</t>
  </si>
  <si>
    <t>LC/LCT/25/11491.8</t>
  </si>
  <si>
    <t>LC/LCT/25/11505.2</t>
  </si>
  <si>
    <t xml:space="preserve">001 WHITE </t>
  </si>
  <si>
    <t>LC/LCT/25/11522.2</t>
  </si>
  <si>
    <t>GREAT BRITAIN</t>
  </si>
  <si>
    <t>LC/LCT/25/11526.5</t>
  </si>
  <si>
    <t>166 NAVY BLUE</t>
  </si>
  <si>
    <t>LC/LCT/25/11526.6</t>
  </si>
  <si>
    <t>LC/LCT/25/11545.1</t>
  </si>
  <si>
    <t>CH2339-10</t>
  </si>
  <si>
    <t>056 NATUREL CLAIR</t>
  </si>
  <si>
    <t>LC/LCT/25/11545.10</t>
  </si>
  <si>
    <t>LC/LCT/25/11545.3</t>
  </si>
  <si>
    <t>Japan</t>
  </si>
  <si>
    <t>CH2339-99</t>
  </si>
  <si>
    <t>LC/LCT/25/11545.7</t>
  </si>
  <si>
    <t>CH2339-00</t>
  </si>
  <si>
    <t>LC/LCT/25/11547.1</t>
  </si>
  <si>
    <t>CH5699-10</t>
  </si>
  <si>
    <t xml:space="preserve"> 056 NATUREL CLAIR</t>
  </si>
  <si>
    <t>LC/LCT/25/11547.2</t>
  </si>
  <si>
    <t>CH5699-51</t>
  </si>
  <si>
    <t>LC/LCT/25/11547.3</t>
  </si>
  <si>
    <t>LC/LCT/25/11548.1</t>
  </si>
  <si>
    <t>LC/LCT/25/11549.1</t>
  </si>
  <si>
    <t xml:space="preserve"> UI2 MIAMI</t>
  </si>
  <si>
    <t>LC/LCT/25/11549.7</t>
  </si>
  <si>
    <t>LC/LCT/25/11562.2</t>
  </si>
  <si>
    <t>CH2346-00</t>
  </si>
  <si>
    <t>LC/LCT/25/11562.8</t>
  </si>
  <si>
    <t>LC/LCT/25/11562.9</t>
  </si>
  <si>
    <t>LC/LCT/25/11569.3</t>
  </si>
  <si>
    <t>VIETNAM</t>
  </si>
  <si>
    <t>CH5975-10</t>
  </si>
  <si>
    <t>29I PHOENIX BLUE/FLOUR</t>
  </si>
  <si>
    <t>LC/LCT/25/11570.2</t>
  </si>
  <si>
    <t>LC/LCT/25/11570.3</t>
  </si>
  <si>
    <t>LC/LCT/25/11570.4</t>
  </si>
  <si>
    <t>China</t>
  </si>
  <si>
    <t>CH6250-98</t>
  </si>
  <si>
    <t>LC/LCT/25/11571.2</t>
  </si>
  <si>
    <t>Australia</t>
  </si>
  <si>
    <t>CH2346-11</t>
  </si>
  <si>
    <t>9AR WHITE/PHOENIX BLUE</t>
  </si>
  <si>
    <t>LC/LCT/25/11571.9</t>
  </si>
  <si>
    <t>LC/LCT/25/11572.2</t>
  </si>
  <si>
    <t>LC/LCT/25/11526.7</t>
  </si>
  <si>
    <t>LC/LCT/25/11675.1</t>
  </si>
  <si>
    <t>ZCM SOYA</t>
  </si>
  <si>
    <t>LC/LCT/25/11675.2</t>
  </si>
  <si>
    <t>CH2339-51</t>
  </si>
  <si>
    <t>LC/LCT/25/11689.1</t>
  </si>
  <si>
    <t>CH6235-98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</si>
</sst>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6">
    <font>
      <sz val="11"/>
      <color theme="1"/>
      <name val="Calibri"/>
      <charset val="134"/>
      <scheme val="minor"/>
    </font>
    <font>
      <sz val="10"/>
      <color indexed="8"/>
      <name val="Calibri"/>
      <charset val="134"/>
    </font>
    <font>
      <sz val="1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5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3" borderId="1" xfId="49" applyFont="1" applyFill="1" applyBorder="1" applyAlignment="1">
      <alignment horizontal="center" vertical="center"/>
    </xf>
    <xf numFmtId="180" fontId="0" fillId="4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4" fillId="3" borderId="1" xfId="0" applyFont="1" applyFill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3 1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6:V79"/>
  <sheetViews>
    <sheetView tabSelected="1" topLeftCell="A41" workbookViewId="0">
      <selection activeCell="L49" sqref="L48:L49"/>
    </sheetView>
  </sheetViews>
  <sheetFormatPr defaultColWidth="9" defaultRowHeight="15"/>
  <cols>
    <col min="7" max="7" width="18.4285714285714" customWidth="1"/>
    <col min="8" max="8" width="8.14285714285714" customWidth="1"/>
    <col min="9" max="9" width="14.7142857142857" customWidth="1"/>
    <col min="10" max="10" width="7.14285714285714" customWidth="1"/>
    <col min="11" max="11" width="10.2857142857143" customWidth="1"/>
    <col min="12" max="12" width="24.8571428571429" customWidth="1"/>
    <col min="13" max="13" width="11.4285714285714" customWidth="1"/>
    <col min="14" max="14" width="8.57142857142857" customWidth="1"/>
    <col min="15" max="15" width="10" customWidth="1"/>
    <col min="16" max="16" width="6.57142857142857" customWidth="1"/>
  </cols>
  <sheetData>
    <row r="6" ht="30" spans="7:16">
      <c r="G6" s="1" t="s">
        <v>0</v>
      </c>
      <c r="H6" s="1" t="s">
        <v>1</v>
      </c>
      <c r="I6" s="1" t="s">
        <v>2</v>
      </c>
      <c r="J6" s="15" t="s">
        <v>3</v>
      </c>
      <c r="K6" s="1" t="s">
        <v>4</v>
      </c>
      <c r="L6" s="1" t="s">
        <v>5</v>
      </c>
      <c r="M6" s="1" t="s">
        <v>6</v>
      </c>
      <c r="N6" s="1" t="s">
        <v>7</v>
      </c>
      <c r="O6" s="1" t="s">
        <v>8</v>
      </c>
      <c r="P6" s="1" t="s">
        <v>9</v>
      </c>
    </row>
    <row r="7" spans="7:16">
      <c r="G7" s="2" t="s">
        <v>10</v>
      </c>
      <c r="H7" s="3">
        <v>7279626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>
        <v>232</v>
      </c>
      <c r="O7" s="3">
        <v>232</v>
      </c>
      <c r="P7" s="3">
        <v>11</v>
      </c>
    </row>
    <row r="8" spans="7:16">
      <c r="G8" s="4" t="s">
        <v>16</v>
      </c>
      <c r="H8" s="4">
        <v>7279642</v>
      </c>
      <c r="I8" s="4" t="s">
        <v>17</v>
      </c>
      <c r="J8" s="4" t="s">
        <v>12</v>
      </c>
      <c r="K8" s="4" t="s">
        <v>18</v>
      </c>
      <c r="L8" s="4" t="s">
        <v>14</v>
      </c>
      <c r="M8" s="4" t="s">
        <v>15</v>
      </c>
      <c r="N8" s="4">
        <v>1578</v>
      </c>
      <c r="O8" s="4">
        <v>1588</v>
      </c>
      <c r="P8" s="4">
        <v>54</v>
      </c>
    </row>
    <row r="9" spans="7:16">
      <c r="G9" s="2" t="s">
        <v>19</v>
      </c>
      <c r="H9" s="3">
        <v>7279650</v>
      </c>
      <c r="I9" s="3" t="s">
        <v>20</v>
      </c>
      <c r="J9" s="3" t="s">
        <v>12</v>
      </c>
      <c r="K9" s="3" t="s">
        <v>13</v>
      </c>
      <c r="L9" s="3" t="s">
        <v>14</v>
      </c>
      <c r="M9" s="3" t="s">
        <v>15</v>
      </c>
      <c r="N9" s="3">
        <v>360</v>
      </c>
      <c r="O9" s="3">
        <v>360</v>
      </c>
      <c r="P9" s="3">
        <v>14</v>
      </c>
    </row>
    <row r="10" spans="7:16">
      <c r="G10" s="4" t="s">
        <v>21</v>
      </c>
      <c r="H10" s="4">
        <v>7279622</v>
      </c>
      <c r="I10" s="4" t="s">
        <v>22</v>
      </c>
      <c r="J10" s="4" t="s">
        <v>23</v>
      </c>
      <c r="K10" s="4" t="s">
        <v>24</v>
      </c>
      <c r="L10" s="4" t="s">
        <v>14</v>
      </c>
      <c r="M10" s="4" t="s">
        <v>15</v>
      </c>
      <c r="N10" s="4">
        <v>151</v>
      </c>
      <c r="O10" s="4">
        <v>117</v>
      </c>
      <c r="P10" s="4">
        <v>9</v>
      </c>
    </row>
    <row r="11" spans="7:16">
      <c r="G11" s="2" t="s">
        <v>25</v>
      </c>
      <c r="H11" s="3">
        <v>7279692</v>
      </c>
      <c r="I11" s="3" t="s">
        <v>11</v>
      </c>
      <c r="J11" s="3" t="s">
        <v>23</v>
      </c>
      <c r="K11" s="3" t="s">
        <v>26</v>
      </c>
      <c r="L11" s="3" t="s">
        <v>14</v>
      </c>
      <c r="M11" s="3" t="s">
        <v>15</v>
      </c>
      <c r="N11" s="3">
        <v>730</v>
      </c>
      <c r="O11" s="3">
        <v>720</v>
      </c>
      <c r="P11" s="3">
        <v>32</v>
      </c>
    </row>
    <row r="12" spans="7:16">
      <c r="G12" s="2" t="s">
        <v>27</v>
      </c>
      <c r="H12" s="3">
        <v>7279615</v>
      </c>
      <c r="I12" s="3" t="s">
        <v>11</v>
      </c>
      <c r="J12" s="3" t="s">
        <v>23</v>
      </c>
      <c r="K12" s="3" t="s">
        <v>28</v>
      </c>
      <c r="L12" s="3" t="s">
        <v>14</v>
      </c>
      <c r="M12" s="3" t="s">
        <v>15</v>
      </c>
      <c r="N12" s="3">
        <v>358</v>
      </c>
      <c r="O12" s="3">
        <v>358</v>
      </c>
      <c r="P12" s="3">
        <v>16</v>
      </c>
    </row>
    <row r="13" spans="7:16">
      <c r="G13" s="2" t="s">
        <v>29</v>
      </c>
      <c r="H13" s="3">
        <v>7279626</v>
      </c>
      <c r="I13" s="3" t="s">
        <v>11</v>
      </c>
      <c r="J13" s="3" t="s">
        <v>23</v>
      </c>
      <c r="K13" s="3" t="s">
        <v>28</v>
      </c>
      <c r="L13" s="3" t="s">
        <v>14</v>
      </c>
      <c r="M13" s="3" t="s">
        <v>15</v>
      </c>
      <c r="N13" s="3">
        <v>249</v>
      </c>
      <c r="O13" s="3">
        <v>246</v>
      </c>
      <c r="P13" s="3">
        <v>14</v>
      </c>
    </row>
    <row r="14" spans="7:16">
      <c r="G14" s="2" t="s">
        <v>30</v>
      </c>
      <c r="H14" s="3">
        <v>7279675</v>
      </c>
      <c r="I14" s="3" t="s">
        <v>31</v>
      </c>
      <c r="J14" s="3" t="s">
        <v>23</v>
      </c>
      <c r="K14" s="3" t="s">
        <v>28</v>
      </c>
      <c r="L14" s="3" t="s">
        <v>14</v>
      </c>
      <c r="M14" s="3" t="s">
        <v>15</v>
      </c>
      <c r="N14" s="3">
        <v>450</v>
      </c>
      <c r="O14" s="3">
        <v>441</v>
      </c>
      <c r="P14" s="3">
        <v>19</v>
      </c>
    </row>
    <row r="15" spans="7:16">
      <c r="G15" s="2" t="s">
        <v>32</v>
      </c>
      <c r="H15" s="3">
        <v>7279629</v>
      </c>
      <c r="I15" s="3" t="s">
        <v>17</v>
      </c>
      <c r="J15" s="3" t="s">
        <v>23</v>
      </c>
      <c r="K15" s="3" t="s">
        <v>33</v>
      </c>
      <c r="L15" s="3" t="s">
        <v>34</v>
      </c>
      <c r="M15" s="3" t="s">
        <v>15</v>
      </c>
      <c r="N15" s="3">
        <v>401</v>
      </c>
      <c r="O15" s="3">
        <v>401</v>
      </c>
      <c r="P15" s="3">
        <v>17</v>
      </c>
    </row>
    <row r="16" spans="7:16">
      <c r="G16" s="2" t="s">
        <v>35</v>
      </c>
      <c r="H16" s="3">
        <v>7279669</v>
      </c>
      <c r="I16" s="3" t="s">
        <v>36</v>
      </c>
      <c r="J16" s="3" t="s">
        <v>23</v>
      </c>
      <c r="K16" s="3" t="s">
        <v>37</v>
      </c>
      <c r="L16" s="3" t="s">
        <v>34</v>
      </c>
      <c r="M16" s="3" t="s">
        <v>15</v>
      </c>
      <c r="N16" s="3">
        <v>983</v>
      </c>
      <c r="O16" s="3">
        <v>993</v>
      </c>
      <c r="P16" s="3">
        <v>41</v>
      </c>
    </row>
    <row r="17" spans="7:16">
      <c r="G17" s="4" t="s">
        <v>38</v>
      </c>
      <c r="H17" s="5">
        <v>7279652</v>
      </c>
      <c r="I17" s="4" t="s">
        <v>39</v>
      </c>
      <c r="J17" s="4" t="s">
        <v>23</v>
      </c>
      <c r="K17" s="4" t="s">
        <v>24</v>
      </c>
      <c r="L17" s="4" t="s">
        <v>40</v>
      </c>
      <c r="M17" s="4" t="s">
        <v>15</v>
      </c>
      <c r="N17" s="4">
        <v>1049</v>
      </c>
      <c r="O17" s="5">
        <v>1040</v>
      </c>
      <c r="P17" s="5">
        <v>44</v>
      </c>
    </row>
    <row r="18" spans="7:16">
      <c r="G18" s="2" t="s">
        <v>41</v>
      </c>
      <c r="H18" s="6">
        <v>7279626</v>
      </c>
      <c r="I18" s="3" t="s">
        <v>11</v>
      </c>
      <c r="J18" s="3" t="s">
        <v>12</v>
      </c>
      <c r="K18" s="3" t="s">
        <v>42</v>
      </c>
      <c r="L18" s="3" t="s">
        <v>43</v>
      </c>
      <c r="M18" s="3" t="s">
        <v>15</v>
      </c>
      <c r="N18" s="3">
        <v>219</v>
      </c>
      <c r="O18" s="6">
        <v>219</v>
      </c>
      <c r="P18" s="6">
        <v>10</v>
      </c>
    </row>
    <row r="19" spans="7:16">
      <c r="G19" s="2" t="s">
        <v>44</v>
      </c>
      <c r="H19" s="6">
        <v>7279626</v>
      </c>
      <c r="I19" s="3" t="s">
        <v>11</v>
      </c>
      <c r="J19" s="3" t="s">
        <v>23</v>
      </c>
      <c r="K19" s="3" t="s">
        <v>28</v>
      </c>
      <c r="L19" s="3" t="s">
        <v>40</v>
      </c>
      <c r="M19" s="3" t="s">
        <v>15</v>
      </c>
      <c r="N19" s="3">
        <v>239</v>
      </c>
      <c r="O19" s="6">
        <v>239</v>
      </c>
      <c r="P19" s="6">
        <v>14</v>
      </c>
    </row>
    <row r="20" spans="7:16">
      <c r="G20" s="2" t="s">
        <v>45</v>
      </c>
      <c r="H20" s="6">
        <v>7279694</v>
      </c>
      <c r="I20" s="3" t="s">
        <v>46</v>
      </c>
      <c r="J20" s="3" t="s">
        <v>23</v>
      </c>
      <c r="K20" s="3" t="s">
        <v>47</v>
      </c>
      <c r="L20" s="3" t="s">
        <v>40</v>
      </c>
      <c r="M20" s="3" t="s">
        <v>48</v>
      </c>
      <c r="N20" s="3">
        <v>1042</v>
      </c>
      <c r="O20" s="6">
        <v>1016</v>
      </c>
      <c r="P20" s="6">
        <v>42</v>
      </c>
    </row>
    <row r="21" spans="7:16">
      <c r="G21" s="7"/>
      <c r="H21" s="7"/>
      <c r="I21" s="7"/>
      <c r="J21" s="7"/>
      <c r="K21" s="7"/>
      <c r="L21" s="16" t="s">
        <v>49</v>
      </c>
      <c r="M21" s="7"/>
      <c r="N21" s="17">
        <f>SUM(N7:N20)</f>
        <v>8041</v>
      </c>
      <c r="O21" s="17">
        <f>SUM(O7:O20)</f>
        <v>7970</v>
      </c>
      <c r="P21" s="17">
        <f>SUM(P7:P20)</f>
        <v>337</v>
      </c>
    </row>
    <row r="39" ht="30" spans="7:22">
      <c r="G39" s="1" t="s">
        <v>0</v>
      </c>
      <c r="H39" s="1" t="s">
        <v>1</v>
      </c>
      <c r="I39" s="1" t="s">
        <v>2</v>
      </c>
      <c r="J39" s="15" t="s">
        <v>3</v>
      </c>
      <c r="K39" s="1" t="s">
        <v>4</v>
      </c>
      <c r="L39" s="1" t="s">
        <v>5</v>
      </c>
      <c r="M39" s="1" t="s">
        <v>6</v>
      </c>
      <c r="N39" s="1" t="s">
        <v>7</v>
      </c>
      <c r="O39" s="15" t="s">
        <v>50</v>
      </c>
      <c r="P39" s="1" t="s">
        <v>9</v>
      </c>
      <c r="Q39" s="18" t="s">
        <v>51</v>
      </c>
      <c r="R39" s="18"/>
      <c r="S39" s="18"/>
      <c r="T39" s="18"/>
      <c r="U39" s="18"/>
      <c r="V39" s="18"/>
    </row>
    <row r="40" spans="7:22">
      <c r="G40" s="8" t="s">
        <v>52</v>
      </c>
      <c r="H40" s="9">
        <v>7279617</v>
      </c>
      <c r="I40" s="9" t="s">
        <v>17</v>
      </c>
      <c r="J40" s="9" t="s">
        <v>23</v>
      </c>
      <c r="K40" s="9" t="s">
        <v>33</v>
      </c>
      <c r="L40" s="9" t="s">
        <v>40</v>
      </c>
      <c r="M40" s="9" t="s">
        <v>15</v>
      </c>
      <c r="N40" s="9">
        <v>314</v>
      </c>
      <c r="O40" s="9">
        <v>309</v>
      </c>
      <c r="P40" s="9">
        <v>14</v>
      </c>
      <c r="Q40" s="18"/>
      <c r="R40" s="18"/>
      <c r="S40" s="18"/>
      <c r="T40" s="18"/>
      <c r="U40" s="18"/>
      <c r="V40" s="18"/>
    </row>
    <row r="41" spans="7:22">
      <c r="G41" s="8" t="s">
        <v>53</v>
      </c>
      <c r="H41" s="9">
        <v>7279675</v>
      </c>
      <c r="I41" s="9" t="s">
        <v>31</v>
      </c>
      <c r="J41" s="9" t="s">
        <v>12</v>
      </c>
      <c r="K41" s="9" t="s">
        <v>13</v>
      </c>
      <c r="L41" s="9" t="s">
        <v>14</v>
      </c>
      <c r="M41" s="9" t="s">
        <v>15</v>
      </c>
      <c r="N41" s="9">
        <v>450</v>
      </c>
      <c r="O41" s="9">
        <v>423</v>
      </c>
      <c r="P41" s="9">
        <v>15</v>
      </c>
      <c r="Q41" s="18"/>
      <c r="R41" s="18"/>
      <c r="S41" s="18"/>
      <c r="T41" s="18"/>
      <c r="U41" s="18"/>
      <c r="V41" s="18"/>
    </row>
    <row r="42" spans="7:22">
      <c r="G42" s="8" t="s">
        <v>54</v>
      </c>
      <c r="H42" s="9">
        <v>7280186</v>
      </c>
      <c r="I42" s="9" t="s">
        <v>11</v>
      </c>
      <c r="J42" s="9" t="s">
        <v>12</v>
      </c>
      <c r="K42" s="9" t="s">
        <v>13</v>
      </c>
      <c r="L42" s="9" t="s">
        <v>14</v>
      </c>
      <c r="M42" s="9" t="s">
        <v>15</v>
      </c>
      <c r="N42" s="9">
        <v>60</v>
      </c>
      <c r="O42" s="9">
        <v>60</v>
      </c>
      <c r="P42" s="9">
        <v>5</v>
      </c>
      <c r="Q42" s="18"/>
      <c r="R42" s="18"/>
      <c r="S42" s="18"/>
      <c r="T42" s="18"/>
      <c r="U42" s="18"/>
      <c r="V42" s="18"/>
    </row>
    <row r="43" spans="7:22">
      <c r="G43" s="8" t="s">
        <v>55</v>
      </c>
      <c r="H43" s="9">
        <v>7279650</v>
      </c>
      <c r="I43" s="9" t="s">
        <v>20</v>
      </c>
      <c r="J43" s="9" t="s">
        <v>23</v>
      </c>
      <c r="K43" s="9" t="s">
        <v>28</v>
      </c>
      <c r="L43" s="9" t="s">
        <v>14</v>
      </c>
      <c r="M43" s="9" t="s">
        <v>15</v>
      </c>
      <c r="N43" s="9">
        <v>220</v>
      </c>
      <c r="O43" s="9">
        <v>220</v>
      </c>
      <c r="P43" s="9">
        <v>11</v>
      </c>
      <c r="Q43" s="18"/>
      <c r="R43" s="18"/>
      <c r="S43" s="18"/>
      <c r="T43" s="18"/>
      <c r="U43" s="18"/>
      <c r="V43" s="18"/>
    </row>
    <row r="44" spans="7:22">
      <c r="G44" s="8" t="s">
        <v>56</v>
      </c>
      <c r="H44" s="9">
        <v>7279659</v>
      </c>
      <c r="I44" s="9" t="s">
        <v>11</v>
      </c>
      <c r="J44" s="9" t="s">
        <v>23</v>
      </c>
      <c r="K44" s="9" t="s">
        <v>28</v>
      </c>
      <c r="L44" s="9" t="s">
        <v>14</v>
      </c>
      <c r="M44" s="9" t="s">
        <v>15</v>
      </c>
      <c r="N44" s="9">
        <v>12</v>
      </c>
      <c r="O44" s="9">
        <v>12</v>
      </c>
      <c r="P44" s="9">
        <v>6</v>
      </c>
      <c r="Q44" s="18"/>
      <c r="R44" s="18"/>
      <c r="S44" s="18"/>
      <c r="T44" s="18"/>
      <c r="U44" s="18"/>
      <c r="V44" s="18"/>
    </row>
    <row r="45" spans="7:22">
      <c r="G45" s="8" t="s">
        <v>57</v>
      </c>
      <c r="H45" s="9">
        <v>7279673</v>
      </c>
      <c r="I45" s="9" t="s">
        <v>58</v>
      </c>
      <c r="J45" s="9" t="s">
        <v>23</v>
      </c>
      <c r="K45" s="9" t="s">
        <v>28</v>
      </c>
      <c r="L45" s="9" t="s">
        <v>14</v>
      </c>
      <c r="M45" s="9" t="s">
        <v>15</v>
      </c>
      <c r="N45" s="9">
        <v>300</v>
      </c>
      <c r="O45" s="9">
        <v>276</v>
      </c>
      <c r="P45" s="9">
        <v>14</v>
      </c>
      <c r="Q45" s="18"/>
      <c r="R45" s="18"/>
      <c r="S45" s="18"/>
      <c r="T45" s="18"/>
      <c r="U45" s="18"/>
      <c r="V45" s="18"/>
    </row>
    <row r="46" spans="7:22">
      <c r="G46" s="8" t="s">
        <v>59</v>
      </c>
      <c r="H46" s="9">
        <v>7280186</v>
      </c>
      <c r="I46" s="9" t="s">
        <v>11</v>
      </c>
      <c r="J46" s="9" t="s">
        <v>23</v>
      </c>
      <c r="K46" s="9" t="s">
        <v>28</v>
      </c>
      <c r="L46" s="9" t="s">
        <v>14</v>
      </c>
      <c r="M46" s="9" t="s">
        <v>15</v>
      </c>
      <c r="N46" s="9">
        <v>55</v>
      </c>
      <c r="O46" s="9">
        <v>55</v>
      </c>
      <c r="P46" s="9">
        <v>5</v>
      </c>
      <c r="Q46" s="18"/>
      <c r="R46" s="18"/>
      <c r="S46" s="18"/>
      <c r="T46" s="18"/>
      <c r="U46" s="18"/>
      <c r="V46" s="18"/>
    </row>
    <row r="47" spans="7:22">
      <c r="G47" s="10" t="s">
        <v>60</v>
      </c>
      <c r="H47" s="11">
        <v>7279692</v>
      </c>
      <c r="I47" s="11" t="s">
        <v>11</v>
      </c>
      <c r="J47" s="9" t="s">
        <v>23</v>
      </c>
      <c r="K47" s="9" t="s">
        <v>26</v>
      </c>
      <c r="L47" s="9" t="s">
        <v>61</v>
      </c>
      <c r="M47" s="9" t="s">
        <v>15</v>
      </c>
      <c r="N47" s="9">
        <v>196</v>
      </c>
      <c r="O47" s="13">
        <v>196</v>
      </c>
      <c r="P47" s="13">
        <v>11</v>
      </c>
      <c r="Q47" s="18"/>
      <c r="R47" s="18"/>
      <c r="S47" s="18"/>
      <c r="T47" s="18"/>
      <c r="U47" s="18"/>
      <c r="V47" s="18"/>
    </row>
    <row r="48" spans="7:22">
      <c r="G48" s="8" t="s">
        <v>62</v>
      </c>
      <c r="H48" s="9">
        <v>7279654</v>
      </c>
      <c r="I48" s="9" t="s">
        <v>63</v>
      </c>
      <c r="J48" s="9" t="s">
        <v>23</v>
      </c>
      <c r="K48" s="9" t="s">
        <v>24</v>
      </c>
      <c r="L48" s="9" t="s">
        <v>34</v>
      </c>
      <c r="M48" s="9" t="s">
        <v>15</v>
      </c>
      <c r="N48" s="9">
        <v>50</v>
      </c>
      <c r="O48" s="9">
        <v>50</v>
      </c>
      <c r="P48" s="9">
        <v>9</v>
      </c>
      <c r="Q48" s="18"/>
      <c r="R48" s="18"/>
      <c r="S48" s="18"/>
      <c r="T48" s="18"/>
      <c r="U48" s="18"/>
      <c r="V48" s="18"/>
    </row>
    <row r="49" spans="7:22">
      <c r="G49" s="8" t="s">
        <v>64</v>
      </c>
      <c r="H49" s="9">
        <v>7279650</v>
      </c>
      <c r="I49" s="9" t="s">
        <v>20</v>
      </c>
      <c r="J49" s="9" t="s">
        <v>12</v>
      </c>
      <c r="K49" s="9" t="s">
        <v>13</v>
      </c>
      <c r="L49" s="9" t="s">
        <v>65</v>
      </c>
      <c r="M49" s="9" t="s">
        <v>15</v>
      </c>
      <c r="N49" s="9">
        <v>320</v>
      </c>
      <c r="O49" s="9">
        <v>320</v>
      </c>
      <c r="P49" s="9">
        <v>12</v>
      </c>
      <c r="Q49" s="18"/>
      <c r="R49" s="18"/>
      <c r="S49" s="18"/>
      <c r="T49" s="18"/>
      <c r="U49" s="18"/>
      <c r="V49" s="18"/>
    </row>
    <row r="50" spans="7:22">
      <c r="G50" s="8" t="s">
        <v>66</v>
      </c>
      <c r="H50" s="9">
        <v>7279673</v>
      </c>
      <c r="I50" s="9" t="s">
        <v>58</v>
      </c>
      <c r="J50" s="9" t="s">
        <v>12</v>
      </c>
      <c r="K50" s="9" t="s">
        <v>13</v>
      </c>
      <c r="L50" s="9" t="s">
        <v>65</v>
      </c>
      <c r="M50" s="9" t="s">
        <v>15</v>
      </c>
      <c r="N50" s="9">
        <v>300</v>
      </c>
      <c r="O50" s="9">
        <v>300</v>
      </c>
      <c r="P50" s="9">
        <v>12</v>
      </c>
      <c r="Q50" s="18"/>
      <c r="R50" s="18"/>
      <c r="S50" s="18"/>
      <c r="T50" s="18"/>
      <c r="U50" s="18"/>
      <c r="V50" s="18"/>
    </row>
    <row r="51" spans="7:22">
      <c r="G51" s="12" t="s">
        <v>67</v>
      </c>
      <c r="H51" s="13">
        <v>7279609</v>
      </c>
      <c r="I51" s="9" t="s">
        <v>58</v>
      </c>
      <c r="J51" s="9" t="s">
        <v>12</v>
      </c>
      <c r="K51" s="9" t="s">
        <v>68</v>
      </c>
      <c r="L51" s="9" t="s">
        <v>69</v>
      </c>
      <c r="M51" s="9" t="s">
        <v>48</v>
      </c>
      <c r="N51" s="9">
        <v>300</v>
      </c>
      <c r="O51" s="13">
        <v>300</v>
      </c>
      <c r="P51" s="13">
        <v>10</v>
      </c>
      <c r="Q51" s="18"/>
      <c r="R51" s="18"/>
      <c r="S51" s="18"/>
      <c r="T51" s="18"/>
      <c r="U51" s="18"/>
      <c r="V51" s="18"/>
    </row>
    <row r="52" spans="7:22">
      <c r="G52" s="12" t="s">
        <v>70</v>
      </c>
      <c r="H52" s="13">
        <v>7279674</v>
      </c>
      <c r="I52" s="9" t="s">
        <v>31</v>
      </c>
      <c r="J52" s="9" t="s">
        <v>12</v>
      </c>
      <c r="K52" s="9" t="s">
        <v>68</v>
      </c>
      <c r="L52" s="9" t="s">
        <v>69</v>
      </c>
      <c r="M52" s="9" t="s">
        <v>48</v>
      </c>
      <c r="N52" s="9">
        <v>400</v>
      </c>
      <c r="O52" s="13">
        <v>400</v>
      </c>
      <c r="P52" s="13">
        <v>10</v>
      </c>
      <c r="Q52" s="18"/>
      <c r="R52" s="18"/>
      <c r="S52" s="18"/>
      <c r="T52" s="18"/>
      <c r="U52" s="18"/>
      <c r="V52" s="18"/>
    </row>
    <row r="53" spans="7:22">
      <c r="G53" s="12" t="s">
        <v>71</v>
      </c>
      <c r="H53" s="13">
        <v>7279619</v>
      </c>
      <c r="I53" s="9" t="s">
        <v>72</v>
      </c>
      <c r="J53" s="9" t="s">
        <v>12</v>
      </c>
      <c r="K53" s="9" t="s">
        <v>73</v>
      </c>
      <c r="L53" s="9" t="s">
        <v>69</v>
      </c>
      <c r="M53" s="9" t="s">
        <v>48</v>
      </c>
      <c r="N53" s="9">
        <v>1640</v>
      </c>
      <c r="O53" s="13">
        <v>1636</v>
      </c>
      <c r="P53" s="13">
        <v>33</v>
      </c>
      <c r="Q53" s="18"/>
      <c r="R53" s="18"/>
      <c r="S53" s="18"/>
      <c r="T53" s="18"/>
      <c r="U53" s="18"/>
      <c r="V53" s="18"/>
    </row>
    <row r="54" spans="7:22">
      <c r="G54" s="12" t="s">
        <v>74</v>
      </c>
      <c r="H54" s="13">
        <v>7279664</v>
      </c>
      <c r="I54" s="9" t="s">
        <v>22</v>
      </c>
      <c r="J54" s="9" t="s">
        <v>12</v>
      </c>
      <c r="K54" s="9" t="s">
        <v>75</v>
      </c>
      <c r="L54" s="9" t="s">
        <v>69</v>
      </c>
      <c r="M54" s="9" t="s">
        <v>48</v>
      </c>
      <c r="N54" s="9">
        <v>121</v>
      </c>
      <c r="O54" s="13">
        <v>121</v>
      </c>
      <c r="P54" s="13">
        <v>9</v>
      </c>
      <c r="Q54" s="18"/>
      <c r="R54" s="18"/>
      <c r="S54" s="18"/>
      <c r="T54" s="18"/>
      <c r="U54" s="18"/>
      <c r="V54" s="18"/>
    </row>
    <row r="55" spans="7:22">
      <c r="G55" s="8" t="s">
        <v>76</v>
      </c>
      <c r="H55" s="13">
        <v>7279637</v>
      </c>
      <c r="I55" s="9" t="s">
        <v>20</v>
      </c>
      <c r="J55" s="9" t="s">
        <v>12</v>
      </c>
      <c r="K55" s="9" t="s">
        <v>77</v>
      </c>
      <c r="L55" s="9" t="s">
        <v>78</v>
      </c>
      <c r="M55" s="9" t="s">
        <v>48</v>
      </c>
      <c r="N55" s="9">
        <v>120</v>
      </c>
      <c r="O55" s="13">
        <v>120</v>
      </c>
      <c r="P55" s="13">
        <v>6</v>
      </c>
      <c r="Q55" s="18"/>
      <c r="R55" s="18"/>
      <c r="S55" s="18"/>
      <c r="T55" s="18"/>
      <c r="U55" s="18"/>
      <c r="V55" s="18"/>
    </row>
    <row r="56" spans="7:22">
      <c r="G56" s="8" t="s">
        <v>79</v>
      </c>
      <c r="H56" s="13">
        <v>7279671</v>
      </c>
      <c r="I56" s="9" t="s">
        <v>17</v>
      </c>
      <c r="J56" s="9" t="s">
        <v>12</v>
      </c>
      <c r="K56" s="9" t="s">
        <v>80</v>
      </c>
      <c r="L56" s="9" t="s">
        <v>78</v>
      </c>
      <c r="M56" s="9" t="s">
        <v>48</v>
      </c>
      <c r="N56" s="9">
        <v>746</v>
      </c>
      <c r="O56" s="13">
        <v>746</v>
      </c>
      <c r="P56" s="13">
        <v>28</v>
      </c>
      <c r="Q56" s="18"/>
      <c r="R56" s="18"/>
      <c r="S56" s="18"/>
      <c r="T56" s="18"/>
      <c r="U56" s="18"/>
      <c r="V56" s="18"/>
    </row>
    <row r="57" spans="7:22">
      <c r="G57" s="8" t="s">
        <v>81</v>
      </c>
      <c r="H57" s="13">
        <v>7279674</v>
      </c>
      <c r="I57" s="9" t="s">
        <v>31</v>
      </c>
      <c r="J57" s="9" t="s">
        <v>12</v>
      </c>
      <c r="K57" s="9" t="s">
        <v>77</v>
      </c>
      <c r="L57" s="9" t="s">
        <v>78</v>
      </c>
      <c r="M57" s="9" t="s">
        <v>48</v>
      </c>
      <c r="N57" s="9">
        <v>450</v>
      </c>
      <c r="O57" s="13">
        <v>450</v>
      </c>
      <c r="P57" s="13">
        <v>16</v>
      </c>
      <c r="Q57" s="18"/>
      <c r="R57" s="18"/>
      <c r="S57" s="18"/>
      <c r="T57" s="18"/>
      <c r="U57" s="18"/>
      <c r="V57" s="18"/>
    </row>
    <row r="58" spans="7:22">
      <c r="G58" s="14" t="s">
        <v>82</v>
      </c>
      <c r="H58" s="14">
        <v>7279643</v>
      </c>
      <c r="I58" s="14" t="s">
        <v>17</v>
      </c>
      <c r="J58" s="14" t="s">
        <v>23</v>
      </c>
      <c r="K58" s="14" t="s">
        <v>33</v>
      </c>
      <c r="L58" s="14" t="s">
        <v>40</v>
      </c>
      <c r="M58" s="14" t="s">
        <v>15</v>
      </c>
      <c r="N58" s="14">
        <v>87</v>
      </c>
      <c r="O58" s="14">
        <v>87</v>
      </c>
      <c r="P58" s="14">
        <v>5</v>
      </c>
      <c r="Q58" s="18"/>
      <c r="R58" s="18"/>
      <c r="S58" s="18"/>
      <c r="T58" s="18"/>
      <c r="U58" s="18"/>
      <c r="V58" s="18"/>
    </row>
    <row r="59" spans="7:22">
      <c r="G59" s="8" t="s">
        <v>83</v>
      </c>
      <c r="H59" s="13">
        <v>7279609</v>
      </c>
      <c r="I59" s="9" t="s">
        <v>58</v>
      </c>
      <c r="J59" s="9" t="s">
        <v>12</v>
      </c>
      <c r="K59" s="9" t="s">
        <v>68</v>
      </c>
      <c r="L59" s="9" t="s">
        <v>84</v>
      </c>
      <c r="M59" s="9" t="s">
        <v>48</v>
      </c>
      <c r="N59" s="9">
        <v>200</v>
      </c>
      <c r="O59" s="13">
        <v>200</v>
      </c>
      <c r="P59" s="13">
        <v>8</v>
      </c>
      <c r="Q59" s="18"/>
      <c r="R59" s="18"/>
      <c r="S59" s="18"/>
      <c r="T59" s="18"/>
      <c r="U59" s="18"/>
      <c r="V59" s="18"/>
    </row>
    <row r="60" spans="7:22">
      <c r="G60" s="8" t="s">
        <v>85</v>
      </c>
      <c r="H60" s="13">
        <v>7279674</v>
      </c>
      <c r="I60" s="9" t="s">
        <v>31</v>
      </c>
      <c r="J60" s="9" t="s">
        <v>12</v>
      </c>
      <c r="K60" s="9" t="s">
        <v>68</v>
      </c>
      <c r="L60" s="9" t="s">
        <v>84</v>
      </c>
      <c r="M60" s="9" t="s">
        <v>48</v>
      </c>
      <c r="N60" s="9">
        <v>350</v>
      </c>
      <c r="O60" s="13">
        <v>350</v>
      </c>
      <c r="P60" s="13">
        <v>9</v>
      </c>
      <c r="Q60" s="18"/>
      <c r="R60" s="18"/>
      <c r="S60" s="18"/>
      <c r="T60" s="18"/>
      <c r="U60" s="18"/>
      <c r="V60" s="18"/>
    </row>
    <row r="61" spans="7:22">
      <c r="G61" s="8" t="s">
        <v>86</v>
      </c>
      <c r="H61" s="13">
        <v>7279622</v>
      </c>
      <c r="I61" s="9" t="s">
        <v>22</v>
      </c>
      <c r="J61" s="9" t="s">
        <v>12</v>
      </c>
      <c r="K61" s="9" t="s">
        <v>87</v>
      </c>
      <c r="L61" s="9" t="s">
        <v>43</v>
      </c>
      <c r="M61" s="9" t="s">
        <v>15</v>
      </c>
      <c r="N61" s="9">
        <v>257</v>
      </c>
      <c r="O61" s="13">
        <v>261</v>
      </c>
      <c r="P61" s="13">
        <v>13</v>
      </c>
      <c r="Q61" s="18"/>
      <c r="R61" s="18"/>
      <c r="S61" s="18"/>
      <c r="T61" s="18"/>
      <c r="U61" s="18"/>
      <c r="V61" s="18"/>
    </row>
    <row r="62" spans="7:22">
      <c r="G62" s="8" t="s">
        <v>88</v>
      </c>
      <c r="H62" s="13">
        <v>7279673</v>
      </c>
      <c r="I62" s="9" t="s">
        <v>58</v>
      </c>
      <c r="J62" s="9" t="s">
        <v>12</v>
      </c>
      <c r="K62" s="9" t="s">
        <v>42</v>
      </c>
      <c r="L62" s="9" t="s">
        <v>43</v>
      </c>
      <c r="M62" s="9" t="s">
        <v>15</v>
      </c>
      <c r="N62" s="9">
        <v>300</v>
      </c>
      <c r="O62" s="13">
        <v>300</v>
      </c>
      <c r="P62" s="13">
        <v>12</v>
      </c>
      <c r="Q62" s="18"/>
      <c r="R62" s="18"/>
      <c r="S62" s="18"/>
      <c r="T62" s="18"/>
      <c r="U62" s="18"/>
      <c r="V62" s="18"/>
    </row>
    <row r="63" spans="7:22">
      <c r="G63" s="8" t="s">
        <v>89</v>
      </c>
      <c r="H63" s="13">
        <v>7279675</v>
      </c>
      <c r="I63" s="9" t="s">
        <v>31</v>
      </c>
      <c r="J63" s="9" t="s">
        <v>12</v>
      </c>
      <c r="K63" s="9" t="s">
        <v>42</v>
      </c>
      <c r="L63" s="9" t="s">
        <v>43</v>
      </c>
      <c r="M63" s="9" t="s">
        <v>15</v>
      </c>
      <c r="N63" s="9">
        <v>400</v>
      </c>
      <c r="O63" s="13">
        <v>400</v>
      </c>
      <c r="P63" s="13">
        <v>15</v>
      </c>
      <c r="Q63" s="18"/>
      <c r="R63" s="18"/>
      <c r="S63" s="18"/>
      <c r="T63" s="18"/>
      <c r="U63" s="18"/>
      <c r="V63" s="18"/>
    </row>
    <row r="64" spans="7:22">
      <c r="G64" s="8" t="s">
        <v>90</v>
      </c>
      <c r="H64" s="13">
        <v>7279637</v>
      </c>
      <c r="I64" s="9" t="s">
        <v>91</v>
      </c>
      <c r="J64" s="9" t="s">
        <v>23</v>
      </c>
      <c r="K64" s="9" t="s">
        <v>92</v>
      </c>
      <c r="L64" s="9" t="s">
        <v>93</v>
      </c>
      <c r="M64" s="9" t="s">
        <v>48</v>
      </c>
      <c r="N64" s="9">
        <v>120</v>
      </c>
      <c r="O64" s="13">
        <v>120</v>
      </c>
      <c r="P64" s="13">
        <v>8</v>
      </c>
      <c r="Q64" s="18"/>
      <c r="R64" s="18"/>
      <c r="S64" s="18"/>
      <c r="T64" s="18"/>
      <c r="U64" s="18"/>
      <c r="V64" s="18"/>
    </row>
    <row r="65" spans="7:22">
      <c r="G65" s="8" t="s">
        <v>94</v>
      </c>
      <c r="H65" s="13">
        <v>7279650</v>
      </c>
      <c r="I65" s="9" t="s">
        <v>20</v>
      </c>
      <c r="J65" s="9" t="s">
        <v>23</v>
      </c>
      <c r="K65" s="9" t="s">
        <v>28</v>
      </c>
      <c r="L65" s="9" t="s">
        <v>40</v>
      </c>
      <c r="M65" s="9" t="s">
        <v>15</v>
      </c>
      <c r="N65" s="9">
        <v>200</v>
      </c>
      <c r="O65" s="13">
        <v>200</v>
      </c>
      <c r="P65" s="13">
        <v>9</v>
      </c>
      <c r="Q65" s="18"/>
      <c r="R65" s="18"/>
      <c r="S65" s="18"/>
      <c r="T65" s="18"/>
      <c r="U65" s="18"/>
      <c r="V65" s="18"/>
    </row>
    <row r="66" spans="7:22">
      <c r="G66" s="8" t="s">
        <v>95</v>
      </c>
      <c r="H66" s="13">
        <v>7279675</v>
      </c>
      <c r="I66" s="9" t="s">
        <v>31</v>
      </c>
      <c r="J66" s="9" t="s">
        <v>23</v>
      </c>
      <c r="K66" s="9" t="s">
        <v>28</v>
      </c>
      <c r="L66" s="9" t="s">
        <v>40</v>
      </c>
      <c r="M66" s="9" t="s">
        <v>15</v>
      </c>
      <c r="N66" s="9">
        <v>450</v>
      </c>
      <c r="O66" s="13">
        <v>450</v>
      </c>
      <c r="P66" s="13">
        <v>19</v>
      </c>
      <c r="Q66" s="18"/>
      <c r="R66" s="18"/>
      <c r="S66" s="18"/>
      <c r="T66" s="18"/>
      <c r="U66" s="18"/>
      <c r="V66" s="18"/>
    </row>
    <row r="67" spans="7:22">
      <c r="G67" s="8" t="s">
        <v>96</v>
      </c>
      <c r="H67" s="13">
        <v>7279676</v>
      </c>
      <c r="I67" s="9" t="s">
        <v>97</v>
      </c>
      <c r="J67" s="9" t="s">
        <v>23</v>
      </c>
      <c r="K67" s="9" t="s">
        <v>98</v>
      </c>
      <c r="L67" s="9" t="s">
        <v>40</v>
      </c>
      <c r="M67" s="9" t="s">
        <v>15</v>
      </c>
      <c r="N67" s="9">
        <v>431</v>
      </c>
      <c r="O67" s="13">
        <v>427</v>
      </c>
      <c r="P67" s="13">
        <v>18</v>
      </c>
      <c r="Q67" s="18"/>
      <c r="R67" s="18"/>
      <c r="S67" s="18"/>
      <c r="T67" s="18"/>
      <c r="U67" s="18"/>
      <c r="V67" s="18"/>
    </row>
    <row r="68" spans="7:22">
      <c r="G68" s="9" t="s">
        <v>99</v>
      </c>
      <c r="H68" s="13">
        <v>7279623</v>
      </c>
      <c r="I68" s="9" t="s">
        <v>100</v>
      </c>
      <c r="J68" s="9" t="s">
        <v>12</v>
      </c>
      <c r="K68" s="9" t="s">
        <v>101</v>
      </c>
      <c r="L68" s="9" t="s">
        <v>102</v>
      </c>
      <c r="M68" s="9" t="s">
        <v>15</v>
      </c>
      <c r="N68" s="9">
        <v>36</v>
      </c>
      <c r="O68" s="13">
        <v>36</v>
      </c>
      <c r="P68" s="13">
        <v>5</v>
      </c>
      <c r="Q68" s="18"/>
      <c r="R68" s="18"/>
      <c r="S68" s="18"/>
      <c r="T68" s="18"/>
      <c r="U68" s="18"/>
      <c r="V68" s="18"/>
    </row>
    <row r="69" spans="7:22">
      <c r="G69" s="9" t="s">
        <v>103</v>
      </c>
      <c r="H69" s="13">
        <v>7280186</v>
      </c>
      <c r="I69" s="9" t="s">
        <v>11</v>
      </c>
      <c r="J69" s="9" t="s">
        <v>12</v>
      </c>
      <c r="K69" s="9" t="s">
        <v>42</v>
      </c>
      <c r="L69" s="9" t="s">
        <v>102</v>
      </c>
      <c r="M69" s="9" t="s">
        <v>15</v>
      </c>
      <c r="N69" s="9">
        <v>70</v>
      </c>
      <c r="O69" s="13">
        <v>70</v>
      </c>
      <c r="P69" s="13">
        <v>7</v>
      </c>
      <c r="Q69" s="18"/>
      <c r="R69" s="18"/>
      <c r="S69" s="18"/>
      <c r="T69" s="18"/>
      <c r="U69" s="18"/>
      <c r="V69" s="18"/>
    </row>
    <row r="70" spans="7:22">
      <c r="G70" s="8" t="s">
        <v>104</v>
      </c>
      <c r="H70" s="13">
        <v>7279664</v>
      </c>
      <c r="I70" s="9" t="s">
        <v>22</v>
      </c>
      <c r="J70" s="9" t="s">
        <v>23</v>
      </c>
      <c r="K70" s="9" t="s">
        <v>47</v>
      </c>
      <c r="L70" s="9" t="s">
        <v>40</v>
      </c>
      <c r="M70" s="9" t="s">
        <v>48</v>
      </c>
      <c r="N70" s="9">
        <v>103</v>
      </c>
      <c r="O70" s="13">
        <v>103</v>
      </c>
      <c r="P70" s="13">
        <v>9</v>
      </c>
      <c r="Q70" s="18"/>
      <c r="R70" s="18"/>
      <c r="S70" s="18"/>
      <c r="T70" s="18"/>
      <c r="U70" s="18"/>
      <c r="V70" s="18"/>
    </row>
    <row r="71" spans="7:22">
      <c r="G71" s="8" t="s">
        <v>105</v>
      </c>
      <c r="H71" s="13">
        <v>7279675</v>
      </c>
      <c r="I71" s="9" t="s">
        <v>31</v>
      </c>
      <c r="J71" s="9" t="s">
        <v>12</v>
      </c>
      <c r="K71" s="9" t="s">
        <v>13</v>
      </c>
      <c r="L71" s="9" t="s">
        <v>65</v>
      </c>
      <c r="M71" s="9" t="s">
        <v>15</v>
      </c>
      <c r="N71" s="9">
        <v>450</v>
      </c>
      <c r="O71" s="13">
        <v>450</v>
      </c>
      <c r="P71" s="13">
        <v>17</v>
      </c>
      <c r="Q71" s="18"/>
      <c r="R71" s="18"/>
      <c r="S71" s="18"/>
      <c r="T71" s="18"/>
      <c r="U71" s="18"/>
      <c r="V71" s="18"/>
    </row>
    <row r="72" spans="7:22">
      <c r="G72" s="8" t="s">
        <v>106</v>
      </c>
      <c r="H72" s="13">
        <v>7279639</v>
      </c>
      <c r="I72" s="9" t="s">
        <v>22</v>
      </c>
      <c r="J72" s="9" t="s">
        <v>12</v>
      </c>
      <c r="K72" s="9" t="s">
        <v>75</v>
      </c>
      <c r="L72" s="9" t="s">
        <v>107</v>
      </c>
      <c r="M72" s="9" t="s">
        <v>48</v>
      </c>
      <c r="N72" s="9">
        <v>45</v>
      </c>
      <c r="O72" s="13">
        <v>45</v>
      </c>
      <c r="P72" s="13">
        <v>8</v>
      </c>
      <c r="Q72" s="18"/>
      <c r="R72" s="18"/>
      <c r="S72" s="18"/>
      <c r="T72" s="18"/>
      <c r="U72" s="18"/>
      <c r="V72" s="18"/>
    </row>
    <row r="73" spans="7:22">
      <c r="G73" s="19" t="s">
        <v>108</v>
      </c>
      <c r="H73" s="20">
        <v>7279641</v>
      </c>
      <c r="I73" s="22" t="s">
        <v>17</v>
      </c>
      <c r="J73" s="22" t="s">
        <v>12</v>
      </c>
      <c r="K73" s="22" t="s">
        <v>109</v>
      </c>
      <c r="L73" s="22" t="s">
        <v>107</v>
      </c>
      <c r="M73" s="22" t="s">
        <v>48</v>
      </c>
      <c r="N73" s="22">
        <v>59</v>
      </c>
      <c r="O73" s="20">
        <v>59</v>
      </c>
      <c r="P73" s="20">
        <v>6</v>
      </c>
      <c r="Q73" s="18"/>
      <c r="R73" s="18"/>
      <c r="S73" s="18"/>
      <c r="T73" s="18"/>
      <c r="U73" s="18"/>
      <c r="V73" s="18"/>
    </row>
    <row r="74" spans="7:22">
      <c r="G74" s="8" t="s">
        <v>110</v>
      </c>
      <c r="H74" s="13">
        <v>7279676</v>
      </c>
      <c r="I74" s="9" t="s">
        <v>97</v>
      </c>
      <c r="J74" s="9" t="s">
        <v>23</v>
      </c>
      <c r="K74" s="9" t="s">
        <v>111</v>
      </c>
      <c r="L74" s="9" t="s">
        <v>102</v>
      </c>
      <c r="M74" s="9" t="s">
        <v>15</v>
      </c>
      <c r="N74" s="9">
        <v>191</v>
      </c>
      <c r="O74" s="13">
        <v>193</v>
      </c>
      <c r="P74" s="13">
        <v>9</v>
      </c>
      <c r="Q74" s="18"/>
      <c r="R74" s="18"/>
      <c r="S74" s="18"/>
      <c r="T74" s="18"/>
      <c r="U74" s="18"/>
      <c r="V74" s="18"/>
    </row>
    <row r="75" spans="7:22">
      <c r="G75" s="21"/>
      <c r="H75" s="21"/>
      <c r="I75" s="21"/>
      <c r="J75" s="21"/>
      <c r="K75" s="21"/>
      <c r="L75" s="16" t="s">
        <v>49</v>
      </c>
      <c r="M75" s="7"/>
      <c r="N75" s="17">
        <f>SUM(N40:N74)</f>
        <v>9803</v>
      </c>
      <c r="O75" s="17">
        <f>SUM(O40:O74)</f>
        <v>9745</v>
      </c>
      <c r="P75" s="17">
        <f>SUM(P40:P74)</f>
        <v>403</v>
      </c>
      <c r="Q75" s="18"/>
      <c r="R75" s="18"/>
      <c r="S75" s="18"/>
      <c r="T75" s="18"/>
      <c r="U75" s="18"/>
      <c r="V75" s="18"/>
    </row>
    <row r="79" spans="15:15">
      <c r="O79">
        <f>9436-O75</f>
        <v>-309</v>
      </c>
    </row>
  </sheetData>
  <autoFilter xmlns:etc="http://www.wps.cn/officeDocument/2017/etCustomData" ref="G39:P75" etc:filterBottomFollowUsedRange="0">
    <sortState ref="G39:P75">
      <sortCondition ref="G39:G75"/>
    </sortState>
    <extLst/>
  </autoFilter>
  <mergeCells count="1">
    <mergeCell ref="Q39:V7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Laguna lg</cp:lastModifiedBy>
  <dcterms:created xsi:type="dcterms:W3CDTF">2025-12-09T17:34:00Z</dcterms:created>
  <dcterms:modified xsi:type="dcterms:W3CDTF">2025-12-10T05:49:39Z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5341D8741A3C47B1BC602543D304BA73_12</vt:lpwstr>
  </property>
  <property fmtid="{D5CDD505-2E9C-101B-9397-08002B2CF9AE}" pid="3" name="KSOProductBuildVer">
    <vt:lpwstr>1033-12.2.0.23155</vt:lpwstr>
  </property>
</Properties>
</file>