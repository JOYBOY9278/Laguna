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Yash\"/>
    </mc:Choice>
  </mc:AlternateContent>
  <bookViews>
    <workbookView xWindow="0" yWindow="0" windowWidth="28800" windowHeight="12300" activeTab="1"/>
  </bookViews>
  <sheets>
    <sheet name="Sheet1" sheetId="1" r:id="rId1"/>
    <sheet name="Sheet2" sheetId="2" r:id="rId2"/>
  </sheets>
  <definedNames>
    <definedName name="_35_3443">"$#REF!.$#REF!$#REF!"</definedName>
    <definedName name="_35_3443_2">"$#REF!.$#REF!$#REF!"</definedName>
    <definedName name="_35_3443_3">"$#REF!.$#REF!$#REF!"</definedName>
    <definedName name="_xlnm._FilterDatabase" localSheetId="0" hidden="1">Sheet1!$H$7:$M$42</definedName>
    <definedName name="_xlnm._FilterDatabase" localSheetId="1" hidden="1">Sheet2!$F$5:$G$68</definedName>
    <definedName name="arjunkumar">"$#REF!.$#REF!$#REF!"</definedName>
    <definedName name="arjunkumar_2">"$#REF!.$#REF!$#REF!"</definedName>
    <definedName name="arjunkumar_3">"$#REF!.$#REF!$#REF!"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m">"$#REF!.$#REF!$#REF!"</definedName>
    <definedName name="m_2">"$#REF!.$#REF!$#REF!"</definedName>
    <definedName name="m_3">"$#REF!.$#REF!$#REF!"</definedName>
    <definedName name="po">"$#REF!.$#REF!$#REF!"</definedName>
    <definedName name="po_2">"$#REF!.$#REF!$#REF!"</definedName>
    <definedName name="po_3">"$#REF!.$#REF!$#REF!"</definedName>
    <definedName name="TaxTV">10%</definedName>
    <definedName name="TaxXL">5%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7" i="2" l="1"/>
  <c r="Q66" i="2"/>
  <c r="Q60" i="2"/>
  <c r="Q63" i="2"/>
  <c r="Q64" i="2"/>
  <c r="Q61" i="2"/>
  <c r="Q65" i="2"/>
  <c r="Q68" i="2"/>
  <c r="R62" i="2"/>
  <c r="R61" i="2"/>
  <c r="Q59" i="2"/>
  <c r="Q62" i="2"/>
</calcChain>
</file>

<file path=xl/sharedStrings.xml><?xml version="1.0" encoding="utf-8"?>
<sst xmlns="http://schemas.openxmlformats.org/spreadsheetml/2006/main" count="213" uniqueCount="89">
  <si>
    <t>S NO</t>
  </si>
  <si>
    <t>PO NO</t>
  </si>
  <si>
    <t>INV</t>
  </si>
  <si>
    <t>QTY</t>
  </si>
  <si>
    <t>CTN</t>
  </si>
  <si>
    <t>LCPEXP2526-3576</t>
  </si>
  <si>
    <t>LCPEXP2526-3602</t>
  </si>
  <si>
    <t>LCPEXP2526-3595</t>
  </si>
  <si>
    <t>LCPEXP2526-3596</t>
  </si>
  <si>
    <t>LCPEXP2526-3597</t>
  </si>
  <si>
    <t>LCPEXP2526-3524</t>
  </si>
  <si>
    <t>LCPEXP2526-3525</t>
  </si>
  <si>
    <t>LCPEXP2526-3526</t>
  </si>
  <si>
    <t>LCPEXP2526-3527</t>
  </si>
  <si>
    <t>LCPEXP2526-3581</t>
  </si>
  <si>
    <t>LCPEXP2526-3582</t>
  </si>
  <si>
    <t>LCPEXP2526-3583</t>
  </si>
  <si>
    <t>LCPEXP2526-3584</t>
  </si>
  <si>
    <t>LCPEXP2526-3571</t>
  </si>
  <si>
    <t>LCPEXP2526-3580</t>
  </si>
  <si>
    <t>LCPEXP2526-3752</t>
  </si>
  <si>
    <t>LCPEXP2526-3573</t>
  </si>
  <si>
    <t>LCPEXP2526-3574</t>
  </si>
  <si>
    <t>LCPEXP2526-3575</t>
  </si>
  <si>
    <t>LCPEXP2526-3577</t>
  </si>
  <si>
    <t>LCPEXP2526-3578</t>
  </si>
  <si>
    <t>LCPEXP2526-3579</t>
  </si>
  <si>
    <t>LCPEXP2526-3585</t>
  </si>
  <si>
    <t>LCPEXP2526-3586</t>
  </si>
  <si>
    <t>LCPEXP2526-3523</t>
  </si>
  <si>
    <t>LCPEXP2526-3364</t>
  </si>
  <si>
    <t>LCPEXP2526-3528</t>
  </si>
  <si>
    <t>LCPEXP2526-3587</t>
  </si>
  <si>
    <t>LCPEXP2526-3588</t>
  </si>
  <si>
    <t>LCPEXP2526-3589</t>
  </si>
  <si>
    <t>LCPEXP2526-3590</t>
  </si>
  <si>
    <t>LCPEXP2526-3591</t>
  </si>
  <si>
    <t>LCPEXP2526-3592</t>
  </si>
  <si>
    <t>LCPEXP2526-3593</t>
  </si>
  <si>
    <t>LCPEXP2526-3594</t>
  </si>
  <si>
    <t>GDN D</t>
  </si>
  <si>
    <t>DONE</t>
  </si>
  <si>
    <t>LCPEXP2526-3300</t>
  </si>
  <si>
    <t>LCPEXP2526-3299</t>
  </si>
  <si>
    <t>LCPSAM2526-377</t>
  </si>
  <si>
    <t>LCPEXP2526-3308</t>
  </si>
  <si>
    <t>LCPDOM2526-938</t>
  </si>
  <si>
    <t>LCPDOM2526-939</t>
  </si>
  <si>
    <t>LCPDOM2526-940</t>
  </si>
  <si>
    <t>LCPDOM2526-941</t>
  </si>
  <si>
    <t>LCPEXP2526-3383</t>
  </si>
  <si>
    <t>LCPEXP2526-3437</t>
  </si>
  <si>
    <t>LCPEXP2526-3440</t>
  </si>
  <si>
    <t>LCPEXP2526-3438</t>
  </si>
  <si>
    <t>LCPEXP2526-3441</t>
  </si>
  <si>
    <t>LCPEXP2526-3442</t>
  </si>
  <si>
    <t>LCPEXP2526-3443</t>
  </si>
  <si>
    <t>LCPEXP2526-3444</t>
  </si>
  <si>
    <t>LCPDOM2526-915</t>
  </si>
  <si>
    <t>LCPDOM2526-916</t>
  </si>
  <si>
    <t>LCPEXP2526-3506</t>
  </si>
  <si>
    <t>LCPDOM2526-930</t>
  </si>
  <si>
    <t>LCPDOM2526-956</t>
  </si>
  <si>
    <t>LCPEXP2526-3534</t>
  </si>
  <si>
    <t>LCPEXP2526-3535</t>
  </si>
  <si>
    <t>LCPEXP2526-3536</t>
  </si>
  <si>
    <t>LCPEXP2526-3537</t>
  </si>
  <si>
    <t>LCPSAM2526-378</t>
  </si>
  <si>
    <t>LCPDOM2526-966</t>
  </si>
  <si>
    <t>LCPEXP2526-3539</t>
  </si>
  <si>
    <t>LCPEXP2526-3538</t>
  </si>
  <si>
    <t>LCPEXP2526-3544</t>
  </si>
  <si>
    <t>LCPEXP2526-3545</t>
  </si>
  <si>
    <t>LCPEXP2526-3546</t>
  </si>
  <si>
    <t>LCPEXP2526-3547</t>
  </si>
  <si>
    <t>INVOICE NO</t>
  </si>
  <si>
    <t>GDN</t>
  </si>
  <si>
    <t>LCPDOM2526-967</t>
  </si>
  <si>
    <t>LCPDOM2526-968</t>
  </si>
  <si>
    <t>LCPDOM2526-974</t>
  </si>
  <si>
    <t>LCPDOM2526-975</t>
  </si>
  <si>
    <t>LCPDOM2526-976</t>
  </si>
  <si>
    <t>LCPDOM2526-957</t>
  </si>
  <si>
    <t>wfx pl</t>
  </si>
  <si>
    <t>c</t>
  </si>
  <si>
    <t>w</t>
  </si>
  <si>
    <t>n</t>
  </si>
  <si>
    <t>f</t>
  </si>
  <si>
    <t>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</si>
</sst>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Inherit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5" xfId="0" applyFill="1" applyBorder="1"/>
    <xf numFmtId="0" fontId="4" fillId="0" borderId="8" xfId="0" applyNumberFormat="1" applyFont="1" applyFill="1" applyBorder="1" applyAlignment="1" applyProtection="1">
      <alignment horizontal="center" vertical="center"/>
    </xf>
    <xf numFmtId="0" fontId="3" fillId="4" borderId="8" xfId="0" applyNumberFormat="1" applyFont="1" applyFill="1" applyBorder="1" applyAlignment="1" applyProtection="1">
      <alignment horizontal="center" vertical="center"/>
    </xf>
    <xf numFmtId="0" fontId="3" fillId="4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0" fillId="0" borderId="5" xfId="0" applyFont="1" applyBorder="1" applyAlignment="1">
      <alignment horizontal="center"/>
    </xf>
    <xf numFmtId="0" fontId="3" fillId="5" borderId="1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H7:M42"/>
  <sheetViews>
    <sheetView workbookViewId="0">
      <selection activeCell="J7" sqref="J7:J30"/>
    </sheetView>
  </sheetViews>
  <sheetFormatPr defaultRowHeight="15"/>
  <cols>
    <col min="8" max="8" width="6.85546875" bestFit="1" customWidth="1"/>
    <col min="9" max="9" width="12.42578125" bestFit="1" customWidth="1"/>
    <col min="10" max="10" width="19.5703125" bestFit="1" customWidth="1"/>
    <col min="11" max="11" width="5.85546875" bestFit="1" customWidth="1"/>
    <col min="12" max="12" width="6.140625" bestFit="1" customWidth="1"/>
  </cols>
  <sheetData>
    <row r="7" spans="8:13" ht="15.75">
      <c r="H7" s="1" t="s">
        <v>0</v>
      </c>
      <c r="I7" s="2" t="s">
        <v>1</v>
      </c>
      <c r="J7" s="2" t="s">
        <v>2</v>
      </c>
      <c r="K7" s="2" t="s">
        <v>3</v>
      </c>
      <c r="L7" s="5" t="s">
        <v>4</v>
      </c>
      <c r="M7" s="7" t="s">
        <v>40</v>
      </c>
    </row>
    <row r="8" spans="8:13" ht="15.75" hidden="1">
      <c r="H8" s="3">
        <v>1</v>
      </c>
      <c r="I8" s="4">
        <v>4300176194</v>
      </c>
      <c r="J8" s="4" t="s">
        <v>5</v>
      </c>
      <c r="K8" s="4">
        <v>80</v>
      </c>
      <c r="L8" s="6">
        <v>4</v>
      </c>
      <c r="M8" s="8" t="s">
        <v>41</v>
      </c>
    </row>
    <row r="9" spans="8:13" ht="15.75" hidden="1">
      <c r="H9" s="3">
        <v>2</v>
      </c>
      <c r="I9" s="4">
        <v>4500656605</v>
      </c>
      <c r="J9" s="4" t="s">
        <v>6</v>
      </c>
      <c r="K9" s="4">
        <v>192</v>
      </c>
      <c r="L9" s="6">
        <v>11</v>
      </c>
      <c r="M9" s="8" t="s">
        <v>41</v>
      </c>
    </row>
    <row r="10" spans="8:13" ht="15.75" hidden="1">
      <c r="H10" s="3">
        <v>3</v>
      </c>
      <c r="I10" s="4">
        <v>6800781540</v>
      </c>
      <c r="J10" s="4" t="s">
        <v>7</v>
      </c>
      <c r="K10" s="4">
        <v>305</v>
      </c>
      <c r="L10" s="6">
        <v>9</v>
      </c>
      <c r="M10" s="8" t="s">
        <v>41</v>
      </c>
    </row>
    <row r="11" spans="8:13" ht="15.75" hidden="1">
      <c r="H11" s="3">
        <v>4</v>
      </c>
      <c r="I11" s="4">
        <v>6800781546</v>
      </c>
      <c r="J11" s="4" t="s">
        <v>8</v>
      </c>
      <c r="K11" s="4">
        <v>1322</v>
      </c>
      <c r="L11" s="6">
        <v>39</v>
      </c>
      <c r="M11" s="8" t="s">
        <v>41</v>
      </c>
    </row>
    <row r="12" spans="8:13" ht="15.75" hidden="1">
      <c r="H12" s="3">
        <v>5</v>
      </c>
      <c r="I12" s="4">
        <v>6800781557</v>
      </c>
      <c r="J12" s="4" t="s">
        <v>9</v>
      </c>
      <c r="K12" s="4">
        <v>602</v>
      </c>
      <c r="L12" s="6">
        <v>18</v>
      </c>
      <c r="M12" s="8" t="s">
        <v>41</v>
      </c>
    </row>
    <row r="13" spans="8:13" ht="15.75" hidden="1">
      <c r="H13" s="3">
        <v>6</v>
      </c>
      <c r="I13" s="4">
        <v>6800781543</v>
      </c>
      <c r="J13" s="4" t="s">
        <v>10</v>
      </c>
      <c r="K13" s="4">
        <v>400</v>
      </c>
      <c r="L13" s="6">
        <v>12</v>
      </c>
      <c r="M13" s="8" t="s">
        <v>41</v>
      </c>
    </row>
    <row r="14" spans="8:13" ht="15.75" hidden="1">
      <c r="H14" s="3">
        <v>7</v>
      </c>
      <c r="I14" s="4">
        <v>6800781729</v>
      </c>
      <c r="J14" s="4" t="s">
        <v>11</v>
      </c>
      <c r="K14" s="4">
        <v>557</v>
      </c>
      <c r="L14" s="6">
        <v>28</v>
      </c>
      <c r="M14" s="8" t="s">
        <v>41</v>
      </c>
    </row>
    <row r="15" spans="8:13" ht="15.75" hidden="1">
      <c r="H15" s="3">
        <v>8</v>
      </c>
      <c r="I15" s="4">
        <v>6800782155</v>
      </c>
      <c r="J15" s="4" t="s">
        <v>12</v>
      </c>
      <c r="K15" s="4">
        <v>300</v>
      </c>
      <c r="L15" s="6">
        <v>10</v>
      </c>
      <c r="M15" s="8" t="s">
        <v>41</v>
      </c>
    </row>
    <row r="16" spans="8:13" ht="15.75">
      <c r="H16" s="9">
        <v>9</v>
      </c>
      <c r="I16" s="10">
        <v>6800781561</v>
      </c>
      <c r="J16" s="10" t="s">
        <v>13</v>
      </c>
      <c r="K16" s="10">
        <v>900</v>
      </c>
      <c r="L16" s="11">
        <v>29</v>
      </c>
      <c r="M16" s="12"/>
    </row>
    <row r="17" spans="8:13" ht="15.75" hidden="1">
      <c r="H17" s="3">
        <v>10</v>
      </c>
      <c r="I17" s="4">
        <v>4500656605</v>
      </c>
      <c r="J17" s="4" t="s">
        <v>14</v>
      </c>
      <c r="K17" s="4">
        <v>1966</v>
      </c>
      <c r="L17" s="6">
        <v>109</v>
      </c>
      <c r="M17" s="8" t="s">
        <v>41</v>
      </c>
    </row>
    <row r="18" spans="8:13" ht="15.75" hidden="1">
      <c r="H18" s="3">
        <v>11</v>
      </c>
      <c r="I18" s="4">
        <v>4500656800</v>
      </c>
      <c r="J18" s="4" t="s">
        <v>15</v>
      </c>
      <c r="K18" s="4">
        <v>278</v>
      </c>
      <c r="L18" s="6">
        <v>8</v>
      </c>
      <c r="M18" s="8" t="s">
        <v>41</v>
      </c>
    </row>
    <row r="19" spans="8:13" ht="15.75" hidden="1">
      <c r="H19" s="3">
        <v>12</v>
      </c>
      <c r="I19" s="4">
        <v>4500656815</v>
      </c>
      <c r="J19" s="4" t="s">
        <v>16</v>
      </c>
      <c r="K19" s="4">
        <v>712</v>
      </c>
      <c r="L19" s="6">
        <v>21</v>
      </c>
      <c r="M19" s="8" t="s">
        <v>41</v>
      </c>
    </row>
    <row r="20" spans="8:13" ht="15.75">
      <c r="H20" s="9">
        <v>13</v>
      </c>
      <c r="I20" s="10">
        <v>4500656801</v>
      </c>
      <c r="J20" s="10" t="s">
        <v>17</v>
      </c>
      <c r="K20" s="10">
        <v>1257</v>
      </c>
      <c r="L20" s="11">
        <v>33</v>
      </c>
      <c r="M20" s="12"/>
    </row>
    <row r="21" spans="8:13" ht="15.75" hidden="1">
      <c r="H21" s="3">
        <v>14</v>
      </c>
      <c r="I21" s="4">
        <v>6800781697</v>
      </c>
      <c r="J21" s="4" t="s">
        <v>18</v>
      </c>
      <c r="K21" s="4">
        <v>381</v>
      </c>
      <c r="L21" s="6">
        <v>19</v>
      </c>
      <c r="M21" s="8" t="s">
        <v>41</v>
      </c>
    </row>
    <row r="22" spans="8:13" ht="15.75" hidden="1">
      <c r="H22" s="3">
        <v>15</v>
      </c>
      <c r="I22" s="4">
        <v>6800782179</v>
      </c>
      <c r="J22" s="4" t="s">
        <v>19</v>
      </c>
      <c r="K22" s="4">
        <v>1072</v>
      </c>
      <c r="L22" s="6">
        <v>60</v>
      </c>
      <c r="M22" s="8" t="s">
        <v>41</v>
      </c>
    </row>
    <row r="23" spans="8:13" ht="15.75" hidden="1">
      <c r="H23" s="3">
        <v>16</v>
      </c>
      <c r="I23" s="4">
        <v>6800781726</v>
      </c>
      <c r="J23" s="4" t="s">
        <v>20</v>
      </c>
      <c r="K23" s="4">
        <v>25</v>
      </c>
      <c r="L23" s="6">
        <v>2</v>
      </c>
      <c r="M23" s="8" t="s">
        <v>41</v>
      </c>
    </row>
    <row r="24" spans="8:13" ht="15.75" hidden="1">
      <c r="H24" s="3">
        <v>17</v>
      </c>
      <c r="I24" s="4">
        <v>4300177670</v>
      </c>
      <c r="J24" s="4" t="s">
        <v>21</v>
      </c>
      <c r="K24" s="4">
        <v>352</v>
      </c>
      <c r="L24" s="6">
        <v>18</v>
      </c>
      <c r="M24" s="8" t="s">
        <v>41</v>
      </c>
    </row>
    <row r="25" spans="8:13" ht="15.75" hidden="1">
      <c r="H25" s="3">
        <v>18</v>
      </c>
      <c r="I25" s="4">
        <v>4300174782</v>
      </c>
      <c r="J25" s="4" t="s">
        <v>22</v>
      </c>
      <c r="K25" s="4">
        <v>25</v>
      </c>
      <c r="L25" s="6">
        <v>1</v>
      </c>
      <c r="M25" s="8" t="s">
        <v>41</v>
      </c>
    </row>
    <row r="26" spans="8:13" ht="15.75">
      <c r="H26" s="9">
        <v>19</v>
      </c>
      <c r="I26" s="10">
        <v>4300174780</v>
      </c>
      <c r="J26" s="10" t="s">
        <v>23</v>
      </c>
      <c r="K26" s="10">
        <v>60</v>
      </c>
      <c r="L26" s="11">
        <v>3</v>
      </c>
      <c r="M26" s="12"/>
    </row>
    <row r="27" spans="8:13" ht="15.75">
      <c r="H27" s="9">
        <v>20</v>
      </c>
      <c r="I27" s="10">
        <v>4300176195</v>
      </c>
      <c r="J27" s="10" t="s">
        <v>24</v>
      </c>
      <c r="K27" s="10">
        <v>27</v>
      </c>
      <c r="L27" s="11">
        <v>2</v>
      </c>
      <c r="M27" s="12"/>
    </row>
    <row r="28" spans="8:13" ht="15.75" hidden="1">
      <c r="H28" s="3">
        <v>21</v>
      </c>
      <c r="I28" s="4">
        <v>4300176197</v>
      </c>
      <c r="J28" s="4" t="s">
        <v>25</v>
      </c>
      <c r="K28" s="4">
        <v>67</v>
      </c>
      <c r="L28" s="6">
        <v>3</v>
      </c>
      <c r="M28" s="8" t="s">
        <v>41</v>
      </c>
    </row>
    <row r="29" spans="8:13" ht="15.75" hidden="1">
      <c r="H29" s="3">
        <v>22</v>
      </c>
      <c r="I29" s="4">
        <v>4300176262</v>
      </c>
      <c r="J29" s="4" t="s">
        <v>26</v>
      </c>
      <c r="K29" s="4">
        <v>40</v>
      </c>
      <c r="L29" s="6">
        <v>2</v>
      </c>
      <c r="M29" s="8" t="s">
        <v>41</v>
      </c>
    </row>
    <row r="30" spans="8:13" ht="15.75">
      <c r="H30" s="9">
        <v>23</v>
      </c>
      <c r="I30" s="10">
        <v>5100063491</v>
      </c>
      <c r="J30" s="10" t="s">
        <v>27</v>
      </c>
      <c r="K30" s="10">
        <v>297</v>
      </c>
      <c r="L30" s="11">
        <v>8</v>
      </c>
      <c r="M30" s="12"/>
    </row>
    <row r="31" spans="8:13" ht="15.75" hidden="1">
      <c r="H31" s="3">
        <v>24</v>
      </c>
      <c r="I31" s="4">
        <v>5100063493</v>
      </c>
      <c r="J31" s="4" t="s">
        <v>28</v>
      </c>
      <c r="K31" s="4">
        <v>250</v>
      </c>
      <c r="L31" s="6">
        <v>6</v>
      </c>
      <c r="M31" s="8" t="s">
        <v>41</v>
      </c>
    </row>
    <row r="32" spans="8:13" ht="15.75" hidden="1">
      <c r="H32" s="3">
        <v>25</v>
      </c>
      <c r="I32" s="4">
        <v>6800781539</v>
      </c>
      <c r="J32" s="4" t="s">
        <v>29</v>
      </c>
      <c r="K32" s="4">
        <v>104</v>
      </c>
      <c r="L32" s="6">
        <v>3</v>
      </c>
      <c r="M32" s="8" t="s">
        <v>41</v>
      </c>
    </row>
    <row r="33" spans="8:13" ht="15.75" hidden="1">
      <c r="H33" s="3">
        <v>26</v>
      </c>
      <c r="I33" s="4">
        <v>6800781121</v>
      </c>
      <c r="J33" s="4" t="s">
        <v>30</v>
      </c>
      <c r="K33" s="4">
        <v>665</v>
      </c>
      <c r="L33" s="6">
        <v>37</v>
      </c>
      <c r="M33" s="8" t="s">
        <v>41</v>
      </c>
    </row>
    <row r="34" spans="8:13" ht="15.75" hidden="1">
      <c r="H34" s="3">
        <v>27</v>
      </c>
      <c r="I34" s="4">
        <v>6800781132</v>
      </c>
      <c r="J34" s="4" t="s">
        <v>31</v>
      </c>
      <c r="K34" s="4">
        <v>68</v>
      </c>
      <c r="L34" s="6">
        <v>5</v>
      </c>
      <c r="M34" s="8" t="s">
        <v>41</v>
      </c>
    </row>
    <row r="35" spans="8:13" ht="15.75" hidden="1">
      <c r="H35" s="3">
        <v>28</v>
      </c>
      <c r="I35" s="4">
        <v>6800781695</v>
      </c>
      <c r="J35" s="4" t="s">
        <v>32</v>
      </c>
      <c r="K35" s="4">
        <v>119</v>
      </c>
      <c r="L35" s="6">
        <v>6</v>
      </c>
      <c r="M35" s="8" t="s">
        <v>41</v>
      </c>
    </row>
    <row r="36" spans="8:13" ht="15.75" hidden="1">
      <c r="H36" s="3">
        <v>29</v>
      </c>
      <c r="I36" s="4">
        <v>6800781728</v>
      </c>
      <c r="J36" s="4" t="s">
        <v>33</v>
      </c>
      <c r="K36" s="4">
        <v>207</v>
      </c>
      <c r="L36" s="6">
        <v>10</v>
      </c>
      <c r="M36" s="8" t="s">
        <v>41</v>
      </c>
    </row>
    <row r="37" spans="8:13" ht="15.75" hidden="1">
      <c r="H37" s="3">
        <v>30</v>
      </c>
      <c r="I37" s="4">
        <v>6800781555</v>
      </c>
      <c r="J37" s="4" t="s">
        <v>34</v>
      </c>
      <c r="K37" s="4">
        <v>216</v>
      </c>
      <c r="L37" s="6">
        <v>7</v>
      </c>
      <c r="M37" s="8" t="s">
        <v>41</v>
      </c>
    </row>
    <row r="38" spans="8:13" ht="15.75" hidden="1">
      <c r="H38" s="3">
        <v>31</v>
      </c>
      <c r="I38" s="4">
        <v>6800781113</v>
      </c>
      <c r="J38" s="4" t="s">
        <v>35</v>
      </c>
      <c r="K38" s="4">
        <v>401</v>
      </c>
      <c r="L38" s="6">
        <v>22</v>
      </c>
      <c r="M38" s="8" t="s">
        <v>41</v>
      </c>
    </row>
    <row r="39" spans="8:13" ht="15.75" hidden="1">
      <c r="H39" s="3">
        <v>32</v>
      </c>
      <c r="I39" s="4">
        <v>6800781552</v>
      </c>
      <c r="J39" s="4" t="s">
        <v>36</v>
      </c>
      <c r="K39" s="4">
        <v>48</v>
      </c>
      <c r="L39" s="6">
        <v>1</v>
      </c>
      <c r="M39" s="8" t="s">
        <v>41</v>
      </c>
    </row>
    <row r="40" spans="8:13" ht="15.75" hidden="1">
      <c r="H40" s="3">
        <v>33</v>
      </c>
      <c r="I40" s="4">
        <v>6800781727</v>
      </c>
      <c r="J40" s="4" t="s">
        <v>37</v>
      </c>
      <c r="K40" s="4">
        <v>40</v>
      </c>
      <c r="L40" s="6">
        <v>2</v>
      </c>
      <c r="M40" s="8" t="s">
        <v>41</v>
      </c>
    </row>
    <row r="41" spans="8:13" ht="15.75" hidden="1">
      <c r="H41" s="3">
        <v>34</v>
      </c>
      <c r="I41" s="4">
        <v>6800781116</v>
      </c>
      <c r="J41" s="4" t="s">
        <v>38</v>
      </c>
      <c r="K41" s="4">
        <v>50</v>
      </c>
      <c r="L41" s="6">
        <v>4</v>
      </c>
      <c r="M41" s="8" t="s">
        <v>41</v>
      </c>
    </row>
    <row r="42" spans="8:13" ht="15.75" hidden="1">
      <c r="H42" s="3">
        <v>35</v>
      </c>
      <c r="I42" s="4">
        <v>6800781124</v>
      </c>
      <c r="J42" s="4" t="s">
        <v>39</v>
      </c>
      <c r="K42" s="4">
        <v>88</v>
      </c>
      <c r="L42" s="6">
        <v>5</v>
      </c>
      <c r="M42" s="8" t="s">
        <v>41</v>
      </c>
    </row>
  </sheetData>
  <autoFilter ref="H7:M42">
    <filterColumn colId="5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R68"/>
  <sheetViews>
    <sheetView tabSelected="1" topLeftCell="A46" workbookViewId="0">
      <selection activeCell="L58" sqref="L58"/>
    </sheetView>
  </sheetViews>
  <sheetFormatPr defaultRowHeight="15"/>
  <cols>
    <col min="6" max="6" width="19.5703125" bestFit="1" customWidth="1"/>
    <col min="11" max="11" width="16.5703125" bestFit="1" customWidth="1"/>
  </cols>
  <sheetData>
    <row r="5" spans="6:12">
      <c r="F5" s="14" t="s">
        <v>75</v>
      </c>
      <c r="G5" s="15" t="s">
        <v>76</v>
      </c>
      <c r="K5" s="14" t="s">
        <v>75</v>
      </c>
      <c r="L5" t="s">
        <v>83</v>
      </c>
    </row>
    <row r="6" spans="6:12">
      <c r="F6" s="16" t="s">
        <v>42</v>
      </c>
      <c r="G6" s="17" t="s">
        <v>41</v>
      </c>
      <c r="K6" s="13" t="s">
        <v>77</v>
      </c>
      <c r="L6" s="17" t="s">
        <v>41</v>
      </c>
    </row>
    <row r="7" spans="6:12">
      <c r="F7" s="16" t="s">
        <v>43</v>
      </c>
      <c r="G7" s="17" t="s">
        <v>41</v>
      </c>
      <c r="K7" s="13" t="s">
        <v>78</v>
      </c>
      <c r="L7" s="17" t="s">
        <v>41</v>
      </c>
    </row>
    <row r="8" spans="6:12">
      <c r="F8" s="18" t="s">
        <v>44</v>
      </c>
      <c r="G8" s="17"/>
      <c r="K8" s="13" t="s">
        <v>79</v>
      </c>
      <c r="L8" s="17" t="s">
        <v>41</v>
      </c>
    </row>
    <row r="9" spans="6:12">
      <c r="F9" s="16" t="s">
        <v>45</v>
      </c>
      <c r="G9" s="17" t="s">
        <v>41</v>
      </c>
      <c r="K9" s="13" t="s">
        <v>80</v>
      </c>
      <c r="L9" s="17" t="s">
        <v>41</v>
      </c>
    </row>
    <row r="10" spans="6:12">
      <c r="F10" s="16" t="s">
        <v>46</v>
      </c>
      <c r="G10" s="17" t="s">
        <v>41</v>
      </c>
      <c r="K10" s="13" t="s">
        <v>81</v>
      </c>
      <c r="L10" s="17" t="s">
        <v>41</v>
      </c>
    </row>
    <row r="11" spans="6:12">
      <c r="F11" s="16" t="s">
        <v>47</v>
      </c>
      <c r="G11" s="17" t="s">
        <v>41</v>
      </c>
      <c r="K11" s="13" t="s">
        <v>82</v>
      </c>
      <c r="L11" s="17" t="s">
        <v>41</v>
      </c>
    </row>
    <row r="12" spans="6:12">
      <c r="F12" s="16" t="s">
        <v>48</v>
      </c>
      <c r="G12" s="17"/>
      <c r="K12" s="13"/>
      <c r="L12" s="17"/>
    </row>
    <row r="13" spans="6:12">
      <c r="F13" s="16" t="s">
        <v>49</v>
      </c>
      <c r="G13" s="17" t="s">
        <v>41</v>
      </c>
      <c r="K13" s="13"/>
      <c r="L13" s="17"/>
    </row>
    <row r="14" spans="6:12">
      <c r="F14" s="16" t="s">
        <v>50</v>
      </c>
      <c r="G14" s="17" t="s">
        <v>41</v>
      </c>
      <c r="K14" s="13"/>
      <c r="L14" s="17"/>
    </row>
    <row r="15" spans="6:12">
      <c r="F15" s="16" t="s">
        <v>51</v>
      </c>
      <c r="G15" s="17" t="s">
        <v>41</v>
      </c>
      <c r="K15" s="13"/>
      <c r="L15" s="17"/>
    </row>
    <row r="16" spans="6:12">
      <c r="F16" s="16" t="s">
        <v>52</v>
      </c>
      <c r="G16" s="17" t="s">
        <v>41</v>
      </c>
      <c r="K16" s="13"/>
      <c r="L16" s="17"/>
    </row>
    <row r="17" spans="6:12">
      <c r="F17" s="16" t="s">
        <v>53</v>
      </c>
      <c r="G17" s="17" t="s">
        <v>41</v>
      </c>
      <c r="K17" s="13"/>
      <c r="L17" s="17"/>
    </row>
    <row r="18" spans="6:12">
      <c r="F18" s="16" t="s">
        <v>54</v>
      </c>
      <c r="G18" s="17" t="s">
        <v>41</v>
      </c>
      <c r="K18" s="13"/>
      <c r="L18" s="17"/>
    </row>
    <row r="19" spans="6:12">
      <c r="F19" s="16" t="s">
        <v>55</v>
      </c>
      <c r="G19" s="17" t="s">
        <v>41</v>
      </c>
      <c r="K19" s="13"/>
      <c r="L19" s="17"/>
    </row>
    <row r="20" spans="6:12">
      <c r="F20" s="16" t="s">
        <v>56</v>
      </c>
      <c r="G20" s="17" t="s">
        <v>41</v>
      </c>
    </row>
    <row r="21" spans="6:12">
      <c r="F21" s="16" t="s">
        <v>57</v>
      </c>
      <c r="G21" s="17" t="s">
        <v>41</v>
      </c>
    </row>
    <row r="22" spans="6:12">
      <c r="F22" s="16" t="s">
        <v>58</v>
      </c>
      <c r="G22" s="17" t="s">
        <v>41</v>
      </c>
    </row>
    <row r="23" spans="6:12">
      <c r="F23" s="16" t="s">
        <v>59</v>
      </c>
      <c r="G23" s="17" t="s">
        <v>41</v>
      </c>
    </row>
    <row r="24" spans="6:12">
      <c r="F24" s="16" t="s">
        <v>60</v>
      </c>
      <c r="G24" s="17" t="s">
        <v>41</v>
      </c>
    </row>
    <row r="25" spans="6:12">
      <c r="F25" s="16" t="s">
        <v>61</v>
      </c>
      <c r="G25" s="17" t="s">
        <v>41</v>
      </c>
    </row>
    <row r="26" spans="6:12">
      <c r="F26" s="16" t="s">
        <v>62</v>
      </c>
      <c r="G26" s="17" t="s">
        <v>41</v>
      </c>
    </row>
    <row r="27" spans="6:12">
      <c r="F27" s="16" t="s">
        <v>63</v>
      </c>
      <c r="G27" s="17" t="s">
        <v>41</v>
      </c>
    </row>
    <row r="28" spans="6:12">
      <c r="F28" s="16" t="s">
        <v>64</v>
      </c>
      <c r="G28" s="17" t="s">
        <v>41</v>
      </c>
    </row>
    <row r="29" spans="6:12">
      <c r="F29" s="16" t="s">
        <v>65</v>
      </c>
      <c r="G29" s="17" t="s">
        <v>41</v>
      </c>
    </row>
    <row r="30" spans="6:12">
      <c r="F30" s="16" t="s">
        <v>66</v>
      </c>
      <c r="G30" s="17" t="s">
        <v>41</v>
      </c>
    </row>
    <row r="31" spans="6:12">
      <c r="F31" s="18" t="s">
        <v>67</v>
      </c>
      <c r="G31" s="17"/>
    </row>
    <row r="32" spans="6:12">
      <c r="F32" s="16" t="s">
        <v>68</v>
      </c>
      <c r="G32" s="17" t="s">
        <v>41</v>
      </c>
    </row>
    <row r="33" spans="6:7">
      <c r="F33" s="16" t="s">
        <v>69</v>
      </c>
      <c r="G33" s="17" t="s">
        <v>41</v>
      </c>
    </row>
    <row r="34" spans="6:7">
      <c r="F34" s="16" t="s">
        <v>70</v>
      </c>
      <c r="G34" s="17" t="s">
        <v>41</v>
      </c>
    </row>
    <row r="35" spans="6:7">
      <c r="F35" s="16" t="s">
        <v>10</v>
      </c>
      <c r="G35" s="17" t="s">
        <v>41</v>
      </c>
    </row>
    <row r="36" spans="6:7">
      <c r="F36" s="16" t="s">
        <v>11</v>
      </c>
      <c r="G36" s="17" t="s">
        <v>41</v>
      </c>
    </row>
    <row r="37" spans="6:7">
      <c r="F37" s="16" t="s">
        <v>12</v>
      </c>
      <c r="G37" s="17" t="s">
        <v>41</v>
      </c>
    </row>
    <row r="38" spans="6:7">
      <c r="F38" s="16" t="s">
        <v>13</v>
      </c>
      <c r="G38" s="17"/>
    </row>
    <row r="39" spans="6:7">
      <c r="F39" s="16" t="s">
        <v>14</v>
      </c>
      <c r="G39" s="17" t="s">
        <v>41</v>
      </c>
    </row>
    <row r="40" spans="6:7">
      <c r="F40" s="16" t="s">
        <v>15</v>
      </c>
      <c r="G40" s="17" t="s">
        <v>41</v>
      </c>
    </row>
    <row r="41" spans="6:7">
      <c r="F41" s="16" t="s">
        <v>16</v>
      </c>
      <c r="G41" s="17" t="s">
        <v>41</v>
      </c>
    </row>
    <row r="42" spans="6:7">
      <c r="F42" s="16" t="s">
        <v>17</v>
      </c>
      <c r="G42" s="17"/>
    </row>
    <row r="43" spans="6:7">
      <c r="F43" s="16" t="s">
        <v>71</v>
      </c>
      <c r="G43" s="17" t="s">
        <v>41</v>
      </c>
    </row>
    <row r="44" spans="6:7">
      <c r="F44" s="16" t="s">
        <v>72</v>
      </c>
      <c r="G44" s="17" t="s">
        <v>41</v>
      </c>
    </row>
    <row r="45" spans="6:7">
      <c r="F45" s="16" t="s">
        <v>73</v>
      </c>
      <c r="G45" s="17" t="s">
        <v>41</v>
      </c>
    </row>
    <row r="46" spans="6:7">
      <c r="F46" s="16" t="s">
        <v>74</v>
      </c>
      <c r="G46" s="17" t="s">
        <v>41</v>
      </c>
    </row>
    <row r="47" spans="6:7">
      <c r="F47" s="16" t="s">
        <v>18</v>
      </c>
      <c r="G47" s="17" t="s">
        <v>41</v>
      </c>
    </row>
    <row r="48" spans="6:7">
      <c r="F48" s="16" t="s">
        <v>22</v>
      </c>
      <c r="G48" s="17" t="s">
        <v>41</v>
      </c>
    </row>
    <row r="49" spans="6:18">
      <c r="F49" s="16" t="s">
        <v>23</v>
      </c>
      <c r="G49" s="17"/>
    </row>
    <row r="50" spans="6:18">
      <c r="F50" s="16" t="s">
        <v>24</v>
      </c>
      <c r="G50" s="17"/>
    </row>
    <row r="51" spans="6:18">
      <c r="F51" s="16" t="s">
        <v>25</v>
      </c>
      <c r="G51" s="17" t="s">
        <v>41</v>
      </c>
    </row>
    <row r="52" spans="6:18">
      <c r="F52" s="16" t="s">
        <v>26</v>
      </c>
      <c r="G52" s="17" t="s">
        <v>41</v>
      </c>
    </row>
    <row r="53" spans="6:18">
      <c r="F53" s="16" t="s">
        <v>20</v>
      </c>
      <c r="G53" s="17" t="s">
        <v>41</v>
      </c>
    </row>
    <row r="54" spans="6:18">
      <c r="F54" s="16" t="s">
        <v>21</v>
      </c>
      <c r="G54" s="17" t="s">
        <v>41</v>
      </c>
    </row>
    <row r="55" spans="6:18">
      <c r="F55" s="16" t="s">
        <v>27</v>
      </c>
      <c r="G55" s="17"/>
    </row>
    <row r="56" spans="6:18">
      <c r="F56" s="16" t="s">
        <v>28</v>
      </c>
      <c r="G56" s="17" t="s">
        <v>41</v>
      </c>
    </row>
    <row r="57" spans="6:18">
      <c r="F57" s="16" t="s">
        <v>19</v>
      </c>
      <c r="G57" s="17" t="s">
        <v>41</v>
      </c>
    </row>
    <row r="58" spans="6:18">
      <c r="F58" s="16" t="s">
        <v>30</v>
      </c>
      <c r="G58" s="17" t="s">
        <v>41</v>
      </c>
    </row>
    <row r="59" spans="6:18">
      <c r="F59" s="16" t="s">
        <v>29</v>
      </c>
      <c r="G59" s="17" t="s">
        <v>41</v>
      </c>
      <c r="P59" t="s">
        <v>84</v>
      </c>
      <c r="Q59">
        <f>1+1+1+1+1+1+1+1+1+1+1+1+1</f>
        <v>13</v>
      </c>
    </row>
    <row r="60" spans="6:18">
      <c r="F60" s="16" t="s">
        <v>31</v>
      </c>
      <c r="G60" s="17" t="s">
        <v>41</v>
      </c>
      <c r="P60" t="s">
        <v>86</v>
      </c>
      <c r="Q60">
        <f>0.25*7</f>
        <v>1.75</v>
      </c>
      <c r="R60">
        <v>50</v>
      </c>
    </row>
    <row r="61" spans="6:18">
      <c r="F61" s="16" t="s">
        <v>32</v>
      </c>
      <c r="G61" s="17" t="s">
        <v>41</v>
      </c>
      <c r="P61" t="s">
        <v>87</v>
      </c>
      <c r="Q61">
        <f>+Q59-Q60</f>
        <v>11.25</v>
      </c>
      <c r="R61">
        <f>+Q60+Q64</f>
        <v>4.5</v>
      </c>
    </row>
    <row r="62" spans="6:18">
      <c r="F62" s="16" t="s">
        <v>33</v>
      </c>
      <c r="G62" s="17" t="s">
        <v>41</v>
      </c>
      <c r="P62" t="s">
        <v>84</v>
      </c>
      <c r="Q62">
        <f>1+1+1+1+1+1+1+1+1+1+1+1+1</f>
        <v>13</v>
      </c>
      <c r="R62">
        <f>+R60-R61-4</f>
        <v>41.5</v>
      </c>
    </row>
    <row r="63" spans="6:18">
      <c r="F63" s="16" t="s">
        <v>34</v>
      </c>
      <c r="G63" s="17" t="s">
        <v>41</v>
      </c>
      <c r="P63" t="s">
        <v>85</v>
      </c>
      <c r="Q63">
        <f>1+1+1+1+1+1+1+1+1+1+1</f>
        <v>11</v>
      </c>
    </row>
    <row r="64" spans="6:18">
      <c r="F64" s="16" t="s">
        <v>35</v>
      </c>
      <c r="G64" s="17" t="s">
        <v>41</v>
      </c>
      <c r="P64" t="s">
        <v>86</v>
      </c>
      <c r="Q64">
        <f>+Q63*0.25</f>
        <v>2.75</v>
      </c>
    </row>
    <row r="65" spans="6:17">
      <c r="F65" s="16" t="s">
        <v>36</v>
      </c>
      <c r="G65" s="17" t="s">
        <v>41</v>
      </c>
      <c r="P65" t="s">
        <v>87</v>
      </c>
      <c r="Q65">
        <f>+Q62-Q64</f>
        <v>10.25</v>
      </c>
    </row>
    <row r="66" spans="6:17">
      <c r="F66" s="16" t="s">
        <v>37</v>
      </c>
      <c r="G66" s="17" t="s">
        <v>41</v>
      </c>
      <c r="P66" t="s">
        <v>88</v>
      </c>
      <c r="Q66">
        <f>+Q65+Q61</f>
        <v>21.5</v>
      </c>
    </row>
    <row r="67" spans="6:17">
      <c r="F67" s="16" t="s">
        <v>38</v>
      </c>
      <c r="G67" s="17" t="s">
        <v>41</v>
      </c>
      <c r="Q67">
        <f>50-Q66</f>
        <v>28.5</v>
      </c>
    </row>
    <row r="68" spans="6:17">
      <c r="F68" s="16" t="s">
        <v>39</v>
      </c>
      <c r="G68" s="17" t="s">
        <v>41</v>
      </c>
      <c r="Q68">
        <f>4-Q67</f>
        <v>-24.5</v>
      </c>
    </row>
  </sheetData>
  <autoFilter ref="F5:G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2026-04-03T05:00:41Z</dcterms:created>
  <dcterms:modified xsi:type="dcterms:W3CDTF">2026-04-03T09:33:41Z</dcterms:modified>
</cp:coreProperties>
</file>