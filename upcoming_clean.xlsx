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tabRatio="500"/>
  </bookViews>
  <sheets>
    <sheet name="Upcoming Shipments" sheetId="1" r:id="rId1"/>
  </sheets>
  <definedNames>
    <definedName name="_xlnm._FilterDatabase" localSheetId="0" hidden="1">'Upcoming Shipments'!$B$7:$S$108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<sst xmlns="http://schemas.openxmlformats.org/spreadsheetml/2006/main" count="550" uniqueCount="119">
  <si>
    <t>UPCOMING SHIPMENTS TRACKER</t>
  </si>
  <si>
    <t>Report Date:</t>
  </si>
  <si>
    <t>Total O.Qty:</t>
  </si>
  <si>
    <t>Total Scan Qty:</t>
  </si>
  <si>
    <t>Total CTNS:</t>
  </si>
  <si>
    <t>NOTE</t>
  </si>
  <si>
    <t>CON</t>
  </si>
  <si>
    <t>PO</t>
  </si>
  <si>
    <t>Country</t>
  </si>
  <si>
    <t>Material ID</t>
  </si>
  <si>
    <t>Color</t>
  </si>
  <si>
    <t>O. Qty</t>
  </si>
  <si>
    <t>Scan Qty</t>
  </si>
  <si>
    <t>CTNS</t>
  </si>
  <si>
    <t>CDD</t>
  </si>
  <si>
    <t>Handover Date</t>
  </si>
  <si>
    <t>Ship %</t>
  </si>
  <si>
    <t>Status</t>
  </si>
  <si>
    <t>Dumping</t>
  </si>
  <si>
    <t>FI To Be Done By</t>
  </si>
  <si>
    <t>Gross Weight</t>
  </si>
  <si>
    <t>OCR</t>
  </si>
  <si>
    <t>Draft Mail</t>
  </si>
  <si>
    <t>PRLS/25/12722</t>
  </si>
  <si>
    <t>ITALY</t>
  </si>
  <si>
    <t>710B18131001</t>
  </si>
  <si>
    <t>7258 NAVY WHITE</t>
  </si>
  <si>
    <t>US</t>
  </si>
  <si>
    <t>CANADA</t>
  </si>
  <si>
    <t>PRLS/25/12723</t>
  </si>
  <si>
    <t>710B18274001</t>
  </si>
  <si>
    <t>7312 NAVY MULTI</t>
  </si>
  <si>
    <t>FQA</t>
  </si>
  <si>
    <t>PRLS/25/12724</t>
  </si>
  <si>
    <t>710B18627001</t>
  </si>
  <si>
    <t>6555I POWDER PURPLE/WHITE</t>
  </si>
  <si>
    <t>Ready to ship</t>
  </si>
  <si>
    <t>Dumping- KA084085</t>
  </si>
  <si>
    <t>Not Received</t>
  </si>
  <si>
    <t>SENT</t>
  </si>
  <si>
    <t>PRLS/25/12725</t>
  </si>
  <si>
    <t>710B18627002</t>
  </si>
  <si>
    <t>6555B CABANA BLUE/WHITE</t>
  </si>
  <si>
    <t>FI Pending</t>
  </si>
  <si>
    <t>QIMA-27 FEB</t>
  </si>
  <si>
    <t>Received</t>
  </si>
  <si>
    <t>PRLS/25/12726</t>
  </si>
  <si>
    <t>PRLS/25/12762</t>
  </si>
  <si>
    <t>710B18627003</t>
  </si>
  <si>
    <t>6555H COASTAL BEIGE/WHITE</t>
  </si>
  <si>
    <t xml:space="preserve">Dumping-KA05AK8319 </t>
  </si>
  <si>
    <t>PRLS/25/12729</t>
  </si>
  <si>
    <t>710B18632002</t>
  </si>
  <si>
    <t>6671I POWDER PURPLE/WHITE</t>
  </si>
  <si>
    <t>PRLS/25/12727</t>
  </si>
  <si>
    <t>710B18632001</t>
  </si>
  <si>
    <t>6671A CABANA BLUE/WHITE</t>
  </si>
  <si>
    <t>Dumping-KA02AE6395</t>
  </si>
  <si>
    <t>PRLS/25/12736</t>
  </si>
  <si>
    <t>710B22588003</t>
  </si>
  <si>
    <t>PRLS/25/12732</t>
  </si>
  <si>
    <t>710B22588001</t>
  </si>
  <si>
    <t>6671H COASTAL BEIGE/WHITE</t>
  </si>
  <si>
    <t>PRLS/25/12734</t>
  </si>
  <si>
    <t>710B22588002</t>
  </si>
  <si>
    <t>PRLS/25/12740</t>
  </si>
  <si>
    <t>710B22589002</t>
  </si>
  <si>
    <t>PRLS/25/12738</t>
  </si>
  <si>
    <t>710B22589001</t>
  </si>
  <si>
    <t>PRLS/25/12890</t>
  </si>
  <si>
    <t>710P03855503</t>
  </si>
  <si>
    <t>7289C PWDR PURPLE WHITE MULTI</t>
  </si>
  <si>
    <t>PRLS/25/12889</t>
  </si>
  <si>
    <t>710P03855502</t>
  </si>
  <si>
    <t>7289D COASTAL BEIGE WHT MULTI</t>
  </si>
  <si>
    <t>1st floor</t>
  </si>
  <si>
    <t>PRLS/25/12891</t>
  </si>
  <si>
    <t>710P03855504</t>
  </si>
  <si>
    <t>7289B FADED MINT WHITE MULTI</t>
  </si>
  <si>
    <t>PRLS/25/12888</t>
  </si>
  <si>
    <t>710P03855501</t>
  </si>
  <si>
    <t>7289A HRBR ISLND BLUE WHT MLTI</t>
  </si>
  <si>
    <t>PRLS/25/12892</t>
  </si>
  <si>
    <t>711P03855504</t>
  </si>
  <si>
    <t>PRLS/25/12893</t>
  </si>
  <si>
    <t>711P03855505</t>
  </si>
  <si>
    <t>Under Scaning</t>
  </si>
  <si>
    <t>RL-Mexico</t>
  </si>
  <si>
    <t>Rescaning Pending</t>
  </si>
  <si>
    <t>16-FB</t>
  </si>
  <si>
    <t>PRLS/25/13331</t>
  </si>
  <si>
    <t>WHITE</t>
  </si>
  <si>
    <t>PRLS/25/13332</t>
  </si>
  <si>
    <t>BSR BLUE</t>
  </si>
  <si>
    <t>PRLS/25/13333</t>
  </si>
  <si>
    <t>BLUE/WHITE STRIPE</t>
  </si>
  <si>
    <t>PRLS/25/13334</t>
  </si>
  <si>
    <t>PRLS/25/13335</t>
  </si>
  <si>
    <t>JAPAN</t>
  </si>
  <si>
    <t>PRLS/25/13159</t>
  </si>
  <si>
    <t>NEW FOREST</t>
  </si>
  <si>
    <t>KOREA</t>
  </si>
  <si>
    <t>PRLS/25/13160</t>
  </si>
  <si>
    <t>PRLS/25/13164</t>
  </si>
  <si>
    <t>PRLS/25/13156</t>
  </si>
  <si>
    <t>710B29639001</t>
  </si>
  <si>
    <t>6937B WHITE GREEN MULTI</t>
  </si>
  <si>
    <t>RATIO PACK</t>
  </si>
  <si>
    <t>PRLS/25/12932</t>
  </si>
  <si>
    <t>PRLS/25/12930</t>
  </si>
  <si>
    <t>PRLS/25/12931</t>
  </si>
  <si>
    <t>PRLS/25/12933</t>
  </si>
  <si>
    <t>HK</t>
  </si>
  <si>
    <t>PRLS/25/13161</t>
  </si>
  <si>
    <t>NEWPORT NAVY</t>
  </si>
  <si>
    <t>PRLS/25/13162</t>
  </si>
  <si>
    <t>SUPPLY OLIVE</t>
  </si>
  <si>
    <t>PRLS/25/13163</t>
  </si>
  <si>
    <t>POLO BLACK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</si>
</sst>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[$-809]dd\ mmmm\ yyyy;@"/>
    <numFmt numFmtId="181" formatCode="0_);[Red]\(0\)"/>
    <numFmt numFmtId="182" formatCode="dd/mm/yyyy"/>
  </numFmts>
  <fonts count="28">
    <font>
      <sz val="11"/>
      <color rgb="FF000000"/>
      <name val="Calibri"/>
      <charset val="1"/>
    </font>
    <font>
      <b/>
      <sz val="20"/>
      <color rgb="FF333333"/>
      <name val="Cambria"/>
      <charset val="1"/>
    </font>
    <font>
      <sz val="10"/>
      <color rgb="FF666666"/>
      <name val="Cambria"/>
      <charset val="1"/>
    </font>
    <font>
      <b/>
      <sz val="10"/>
      <color rgb="FF333333"/>
      <name val="Cambria"/>
      <charset val="1"/>
    </font>
    <font>
      <b/>
      <sz val="11"/>
      <color rgb="FF0066CC"/>
      <name val="Cambria"/>
      <charset val="1"/>
    </font>
    <font>
      <b/>
      <sz val="11"/>
      <color rgb="FFFFFFFF"/>
      <name val="Cambria"/>
      <charset val="1"/>
    </font>
    <font>
      <sz val="10"/>
      <color rgb="FF000000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Border="0" applyAlignment="0" applyProtection="0"/>
    <xf numFmtId="177" fontId="7" fillId="0" borderId="0" applyBorder="0" applyAlignment="0" applyProtection="0"/>
    <xf numFmtId="9" fontId="7" fillId="0" borderId="0" applyBorder="0" applyAlignment="0" applyProtection="0"/>
    <xf numFmtId="178" fontId="7" fillId="0" borderId="0" applyBorder="0" applyAlignment="0" applyProtection="0"/>
    <xf numFmtId="179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/>
    <xf numFmtId="180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81" fontId="6" fillId="3" borderId="1" xfId="0" applyNumberFormat="1" applyFont="1" applyFill="1" applyBorder="1" applyAlignment="1">
      <alignment horizontal="center" vertical="center"/>
    </xf>
    <xf numFmtId="182" fontId="6" fillId="3" borderId="1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182" fontId="6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9F9F9"/>
      <rgbColor rgb="00CCFFFF"/>
      <rgbColor rgb="00660066"/>
      <rgbColor rgb="00FF8080"/>
      <rgbColor rgb="000066CC"/>
      <rgbColor rgb="00D0D0D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108"/>
  <sheetViews>
    <sheetView showGridLines="0" tabSelected="1" topLeftCell="A4" workbookViewId="0">
      <selection activeCell="L7" sqref="L7"/>
    </sheetView>
  </sheetViews>
  <sheetFormatPr defaultColWidth="8.67619047619048" defaultRowHeight="15"/>
  <cols>
    <col min="1" max="1" width="2" customWidth="1"/>
    <col min="2" max="2" width="12" customWidth="1"/>
    <col min="3" max="3" width="16" customWidth="1"/>
    <col min="4" max="4" width="14" customWidth="1"/>
    <col min="5" max="5" width="12" customWidth="1"/>
    <col min="6" max="6" width="14.1428571428571" customWidth="1"/>
    <col min="7" max="7" width="34" customWidth="1"/>
    <col min="8" max="9" width="10" customWidth="1"/>
    <col min="10" max="10" width="8" customWidth="1"/>
    <col min="11" max="11" width="14" hidden="1" customWidth="1"/>
    <col min="12" max="12" width="14" customWidth="1"/>
    <col min="13" max="13" width="10" customWidth="1"/>
    <col min="14" max="14" width="16" customWidth="1"/>
    <col min="15" max="15" width="22" customWidth="1"/>
    <col min="16" max="16" width="18" customWidth="1"/>
    <col min="17" max="18" width="14" customWidth="1"/>
    <col min="19" max="19" width="10" customWidth="1"/>
  </cols>
  <sheetData>
    <row r="2" ht="34.5" customHeight="1" spans="2:8">
      <c r="B2" s="1" t="s">
        <v>0</v>
      </c>
      <c r="C2" s="1"/>
      <c r="D2" s="1"/>
      <c r="E2" s="1"/>
      <c r="F2" s="1"/>
      <c r="G2" s="1"/>
      <c r="H2" s="1"/>
    </row>
    <row r="3" spans="2:3">
      <c r="B3" s="2" t="s">
        <v>1</v>
      </c>
      <c r="C3" s="3">
        <f ca="1">TODAY()</f>
        <v>46078</v>
      </c>
    </row>
    <row r="5" spans="2:7">
      <c r="B5" s="4" t="s">
        <v>2</v>
      </c>
      <c r="C5" s="5">
        <f>SUBTOTAL(9,H8:H108)</f>
        <v>66376</v>
      </c>
      <c r="D5" s="4" t="s">
        <v>3</v>
      </c>
      <c r="E5" s="5">
        <f>SUBTOTAL(9,I8:I108)</f>
        <v>28117</v>
      </c>
      <c r="F5" s="6" t="s">
        <v>4</v>
      </c>
      <c r="G5" s="5">
        <f>SUBTOTAL(9,J8:J108)</f>
        <v>1781</v>
      </c>
    </row>
    <row r="7" ht="28.5" spans="2:19"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7" t="s">
        <v>15</v>
      </c>
      <c r="M7" s="7" t="s">
        <v>16</v>
      </c>
      <c r="N7" s="7" t="s">
        <v>17</v>
      </c>
      <c r="O7" s="7" t="s">
        <v>18</v>
      </c>
      <c r="P7" s="7" t="s">
        <v>19</v>
      </c>
      <c r="Q7" s="7" t="s">
        <v>20</v>
      </c>
      <c r="R7" s="7" t="s">
        <v>21</v>
      </c>
      <c r="S7" s="7" t="s">
        <v>22</v>
      </c>
    </row>
    <row r="8" spans="2:19">
      <c r="B8" s="8"/>
      <c r="C8" s="8" t="s">
        <v>23</v>
      </c>
      <c r="D8" s="8">
        <v>4702067314</v>
      </c>
      <c r="E8" s="8" t="s">
        <v>24</v>
      </c>
      <c r="F8" s="9" t="s">
        <v>25</v>
      </c>
      <c r="G8" s="8" t="s">
        <v>26</v>
      </c>
      <c r="H8" s="8">
        <v>814</v>
      </c>
      <c r="I8" s="8"/>
      <c r="J8" s="8"/>
      <c r="K8" s="14">
        <v>46089</v>
      </c>
      <c r="L8" s="14">
        <v>46089</v>
      </c>
      <c r="M8" s="15">
        <f>+I8/H8</f>
        <v>0</v>
      </c>
      <c r="N8" s="8"/>
      <c r="O8" s="8"/>
      <c r="P8" s="8"/>
      <c r="Q8" s="8"/>
      <c r="R8" s="8"/>
      <c r="S8" s="8"/>
    </row>
    <row r="9" spans="2:19">
      <c r="B9" s="10"/>
      <c r="C9" s="10" t="s">
        <v>23</v>
      </c>
      <c r="D9" s="10">
        <v>4702067315</v>
      </c>
      <c r="E9" s="10" t="s">
        <v>27</v>
      </c>
      <c r="F9" s="11" t="s">
        <v>25</v>
      </c>
      <c r="G9" s="10" t="s">
        <v>26</v>
      </c>
      <c r="H9" s="10">
        <v>650</v>
      </c>
      <c r="I9" s="10"/>
      <c r="J9" s="10"/>
      <c r="K9" s="16">
        <v>46089</v>
      </c>
      <c r="L9" s="16">
        <v>46089</v>
      </c>
      <c r="M9" s="15">
        <f>+I9/H9</f>
        <v>0</v>
      </c>
      <c r="N9" s="10"/>
      <c r="O9" s="10"/>
      <c r="P9" s="10"/>
      <c r="Q9" s="10"/>
      <c r="R9" s="10"/>
      <c r="S9" s="10"/>
    </row>
    <row r="10" spans="2:19">
      <c r="B10" s="8"/>
      <c r="C10" s="8" t="s">
        <v>23</v>
      </c>
      <c r="D10" s="8">
        <v>4702067316</v>
      </c>
      <c r="E10" s="8" t="s">
        <v>27</v>
      </c>
      <c r="F10" s="9" t="s">
        <v>25</v>
      </c>
      <c r="G10" s="8" t="s">
        <v>26</v>
      </c>
      <c r="H10" s="8">
        <v>562</v>
      </c>
      <c r="I10" s="8"/>
      <c r="J10" s="8"/>
      <c r="K10" s="14">
        <v>46089</v>
      </c>
      <c r="L10" s="14">
        <v>46089</v>
      </c>
      <c r="M10" s="15">
        <f t="shared" ref="M9:M40" si="0">+I10/H10</f>
        <v>0</v>
      </c>
      <c r="N10" s="8"/>
      <c r="O10" s="8"/>
      <c r="P10" s="8"/>
      <c r="Q10" s="8"/>
      <c r="R10" s="8"/>
      <c r="S10" s="8"/>
    </row>
    <row r="11" spans="2:19">
      <c r="B11" s="10"/>
      <c r="C11" s="10" t="s">
        <v>23</v>
      </c>
      <c r="D11" s="10">
        <v>4702067317</v>
      </c>
      <c r="E11" s="10" t="s">
        <v>28</v>
      </c>
      <c r="F11" s="11" t="s">
        <v>25</v>
      </c>
      <c r="G11" s="10" t="s">
        <v>26</v>
      </c>
      <c r="H11" s="10">
        <v>12</v>
      </c>
      <c r="I11" s="10"/>
      <c r="J11" s="10"/>
      <c r="K11" s="16">
        <v>46089</v>
      </c>
      <c r="L11" s="16">
        <v>46089</v>
      </c>
      <c r="M11" s="15">
        <f t="shared" si="0"/>
        <v>0</v>
      </c>
      <c r="N11" s="10"/>
      <c r="O11" s="10"/>
      <c r="P11" s="10"/>
      <c r="Q11" s="10"/>
      <c r="R11" s="10"/>
      <c r="S11" s="10"/>
    </row>
    <row r="12" spans="2:19">
      <c r="B12" s="8"/>
      <c r="C12" s="8" t="s">
        <v>29</v>
      </c>
      <c r="D12" s="8">
        <v>4702067323</v>
      </c>
      <c r="E12" s="8" t="s">
        <v>24</v>
      </c>
      <c r="F12" s="9" t="s">
        <v>30</v>
      </c>
      <c r="G12" s="8" t="s">
        <v>31</v>
      </c>
      <c r="H12" s="8">
        <v>801</v>
      </c>
      <c r="I12" s="8"/>
      <c r="J12" s="8"/>
      <c r="K12" s="14">
        <v>46089</v>
      </c>
      <c r="L12" s="14">
        <v>46089</v>
      </c>
      <c r="M12" s="15">
        <f t="shared" si="0"/>
        <v>0</v>
      </c>
      <c r="N12" s="8"/>
      <c r="O12" s="8"/>
      <c r="P12" s="8" t="s">
        <v>32</v>
      </c>
      <c r="Q12" s="8"/>
      <c r="R12" s="8"/>
      <c r="S12" s="8"/>
    </row>
    <row r="13" spans="2:19">
      <c r="B13" s="10"/>
      <c r="C13" s="10" t="s">
        <v>33</v>
      </c>
      <c r="D13" s="10">
        <v>4702067330</v>
      </c>
      <c r="E13" s="10" t="s">
        <v>27</v>
      </c>
      <c r="F13" s="11" t="s">
        <v>34</v>
      </c>
      <c r="G13" s="10" t="s">
        <v>35</v>
      </c>
      <c r="H13" s="10">
        <v>918</v>
      </c>
      <c r="I13" s="10">
        <v>940</v>
      </c>
      <c r="J13" s="10">
        <v>55</v>
      </c>
      <c r="K13" s="16">
        <v>46089</v>
      </c>
      <c r="L13" s="16">
        <v>46089</v>
      </c>
      <c r="M13" s="15">
        <f t="shared" si="0"/>
        <v>1.0239651416122</v>
      </c>
      <c r="N13" s="10" t="s">
        <v>36</v>
      </c>
      <c r="O13" s="10" t="s">
        <v>37</v>
      </c>
      <c r="P13" s="10"/>
      <c r="Q13" s="10"/>
      <c r="R13" s="10" t="s">
        <v>38</v>
      </c>
      <c r="S13" s="10" t="s">
        <v>39</v>
      </c>
    </row>
    <row r="14" spans="2:19">
      <c r="B14" s="8"/>
      <c r="C14" s="8" t="s">
        <v>40</v>
      </c>
      <c r="D14" s="8">
        <v>4702067330</v>
      </c>
      <c r="E14" s="8" t="s">
        <v>27</v>
      </c>
      <c r="F14" s="9" t="s">
        <v>41</v>
      </c>
      <c r="G14" s="8" t="s">
        <v>42</v>
      </c>
      <c r="H14" s="8">
        <v>2496</v>
      </c>
      <c r="I14" s="8">
        <v>2566</v>
      </c>
      <c r="J14" s="8">
        <v>150</v>
      </c>
      <c r="K14" s="14">
        <v>46089</v>
      </c>
      <c r="L14" s="14">
        <v>46089</v>
      </c>
      <c r="M14" s="15">
        <f t="shared" si="0"/>
        <v>1.02804487179487</v>
      </c>
      <c r="N14" s="8" t="s">
        <v>43</v>
      </c>
      <c r="O14" s="8"/>
      <c r="P14" s="8" t="s">
        <v>44</v>
      </c>
      <c r="Q14" s="8"/>
      <c r="R14" s="8" t="s">
        <v>45</v>
      </c>
      <c r="S14" s="8" t="s">
        <v>39</v>
      </c>
    </row>
    <row r="15" spans="2:19">
      <c r="B15" s="10" t="s">
        <v>46</v>
      </c>
      <c r="C15" s="10" t="s">
        <v>47</v>
      </c>
      <c r="D15" s="10">
        <v>4702067330</v>
      </c>
      <c r="E15" s="10" t="s">
        <v>27</v>
      </c>
      <c r="F15" s="11" t="s">
        <v>48</v>
      </c>
      <c r="G15" s="10" t="s">
        <v>49</v>
      </c>
      <c r="H15" s="10">
        <v>3200</v>
      </c>
      <c r="I15" s="10">
        <v>3289</v>
      </c>
      <c r="J15" s="10">
        <v>192</v>
      </c>
      <c r="K15" s="16">
        <v>46089</v>
      </c>
      <c r="L15" s="16">
        <v>46089</v>
      </c>
      <c r="M15" s="15">
        <f t="shared" si="0"/>
        <v>1.0278125</v>
      </c>
      <c r="N15" s="10" t="s">
        <v>36</v>
      </c>
      <c r="O15" s="10" t="s">
        <v>50</v>
      </c>
      <c r="P15" s="10"/>
      <c r="Q15" s="10"/>
      <c r="R15" s="10" t="s">
        <v>38</v>
      </c>
      <c r="S15" s="10" t="s">
        <v>39</v>
      </c>
    </row>
    <row r="16" spans="2:19">
      <c r="B16" s="8"/>
      <c r="C16" s="8" t="s">
        <v>51</v>
      </c>
      <c r="D16" s="8">
        <v>4702067331</v>
      </c>
      <c r="E16" s="8" t="s">
        <v>27</v>
      </c>
      <c r="F16" s="9" t="s">
        <v>52</v>
      </c>
      <c r="G16" s="8" t="s">
        <v>53</v>
      </c>
      <c r="H16" s="8">
        <v>494</v>
      </c>
      <c r="I16" s="8">
        <v>506</v>
      </c>
      <c r="J16" s="8">
        <v>30</v>
      </c>
      <c r="K16" s="14">
        <v>46089</v>
      </c>
      <c r="L16" s="14">
        <v>46089</v>
      </c>
      <c r="M16" s="15">
        <f t="shared" si="0"/>
        <v>1.02429149797571</v>
      </c>
      <c r="N16" s="8" t="s">
        <v>36</v>
      </c>
      <c r="O16" s="8" t="s">
        <v>37</v>
      </c>
      <c r="P16" s="8"/>
      <c r="Q16" s="8"/>
      <c r="R16" s="8" t="s">
        <v>45</v>
      </c>
      <c r="S16" s="8" t="s">
        <v>39</v>
      </c>
    </row>
    <row r="17" spans="2:19">
      <c r="B17" s="10"/>
      <c r="C17" s="10" t="s">
        <v>54</v>
      </c>
      <c r="D17" s="10">
        <v>4702067331</v>
      </c>
      <c r="E17" s="10" t="s">
        <v>27</v>
      </c>
      <c r="F17" s="11" t="s">
        <v>55</v>
      </c>
      <c r="G17" s="10" t="s">
        <v>56</v>
      </c>
      <c r="H17" s="10">
        <v>626</v>
      </c>
      <c r="I17" s="10">
        <v>641</v>
      </c>
      <c r="J17" s="10">
        <v>38</v>
      </c>
      <c r="K17" s="16">
        <v>46089</v>
      </c>
      <c r="L17" s="16">
        <v>46089</v>
      </c>
      <c r="M17" s="15">
        <f t="shared" si="0"/>
        <v>1.02396166134185</v>
      </c>
      <c r="N17" s="10" t="s">
        <v>36</v>
      </c>
      <c r="O17" s="10" t="s">
        <v>57</v>
      </c>
      <c r="P17" s="10"/>
      <c r="Q17" s="10"/>
      <c r="R17" s="10" t="s">
        <v>45</v>
      </c>
      <c r="S17" s="10" t="s">
        <v>39</v>
      </c>
    </row>
    <row r="18" spans="2:19">
      <c r="B18" s="8"/>
      <c r="C18" s="8" t="s">
        <v>58</v>
      </c>
      <c r="D18" s="8">
        <v>4702067332</v>
      </c>
      <c r="E18" s="8" t="s">
        <v>24</v>
      </c>
      <c r="F18" s="9" t="s">
        <v>59</v>
      </c>
      <c r="G18" s="8" t="s">
        <v>53</v>
      </c>
      <c r="H18" s="8">
        <v>785</v>
      </c>
      <c r="I18" s="8">
        <v>805</v>
      </c>
      <c r="J18" s="8">
        <v>47</v>
      </c>
      <c r="K18" s="14">
        <v>46089</v>
      </c>
      <c r="L18" s="14">
        <v>46089</v>
      </c>
      <c r="M18" s="15">
        <f t="shared" si="0"/>
        <v>1.02547770700637</v>
      </c>
      <c r="N18" s="8" t="s">
        <v>36</v>
      </c>
      <c r="O18" s="8"/>
      <c r="P18" s="8"/>
      <c r="Q18" s="8"/>
      <c r="R18" s="8" t="s">
        <v>38</v>
      </c>
      <c r="S18" s="8" t="s">
        <v>39</v>
      </c>
    </row>
    <row r="19" spans="2:19">
      <c r="B19" s="10"/>
      <c r="C19" s="10" t="s">
        <v>60</v>
      </c>
      <c r="D19" s="10">
        <v>4702067332</v>
      </c>
      <c r="E19" s="10" t="s">
        <v>24</v>
      </c>
      <c r="F19" s="11" t="s">
        <v>61</v>
      </c>
      <c r="G19" s="10" t="s">
        <v>62</v>
      </c>
      <c r="H19" s="10">
        <v>1409</v>
      </c>
      <c r="I19" s="10">
        <v>1445</v>
      </c>
      <c r="J19" s="10">
        <v>84</v>
      </c>
      <c r="K19" s="16">
        <v>46089</v>
      </c>
      <c r="L19" s="16">
        <v>46089</v>
      </c>
      <c r="M19" s="15">
        <f t="shared" si="0"/>
        <v>1.02555003548616</v>
      </c>
      <c r="N19" s="10" t="s">
        <v>36</v>
      </c>
      <c r="O19" s="10" t="s">
        <v>37</v>
      </c>
      <c r="P19" s="10" t="s">
        <v>32</v>
      </c>
      <c r="Q19" s="10"/>
      <c r="R19" s="10" t="s">
        <v>38</v>
      </c>
      <c r="S19" s="10" t="s">
        <v>39</v>
      </c>
    </row>
    <row r="20" spans="2:19">
      <c r="B20" s="8"/>
      <c r="C20" s="8" t="s">
        <v>63</v>
      </c>
      <c r="D20" s="8">
        <v>4702067332</v>
      </c>
      <c r="E20" s="8" t="s">
        <v>24</v>
      </c>
      <c r="F20" s="9" t="s">
        <v>64</v>
      </c>
      <c r="G20" s="8" t="s">
        <v>56</v>
      </c>
      <c r="H20" s="8">
        <v>1843</v>
      </c>
      <c r="I20" s="8">
        <v>1896</v>
      </c>
      <c r="J20" s="8">
        <v>110</v>
      </c>
      <c r="K20" s="14">
        <v>46089</v>
      </c>
      <c r="L20" s="14">
        <v>46089</v>
      </c>
      <c r="M20" s="15">
        <f t="shared" si="0"/>
        <v>1.02875746066196</v>
      </c>
      <c r="N20" s="8" t="s">
        <v>36</v>
      </c>
      <c r="O20" s="8" t="s">
        <v>37</v>
      </c>
      <c r="P20" s="8" t="s">
        <v>32</v>
      </c>
      <c r="Q20" s="8"/>
      <c r="R20" s="8" t="s">
        <v>38</v>
      </c>
      <c r="S20" s="8" t="s">
        <v>39</v>
      </c>
    </row>
    <row r="21" spans="2:19">
      <c r="B21" s="10"/>
      <c r="C21" s="10" t="s">
        <v>65</v>
      </c>
      <c r="D21" s="10">
        <v>4702067335</v>
      </c>
      <c r="E21" s="10" t="s">
        <v>24</v>
      </c>
      <c r="F21" s="11" t="s">
        <v>66</v>
      </c>
      <c r="G21" s="10" t="s">
        <v>42</v>
      </c>
      <c r="H21" s="10">
        <v>265</v>
      </c>
      <c r="I21" s="10">
        <v>265</v>
      </c>
      <c r="J21" s="10">
        <v>16</v>
      </c>
      <c r="K21" s="16">
        <v>46089</v>
      </c>
      <c r="L21" s="16">
        <v>46089</v>
      </c>
      <c r="M21" s="15">
        <f t="shared" si="0"/>
        <v>1</v>
      </c>
      <c r="N21" s="10" t="s">
        <v>36</v>
      </c>
      <c r="O21" s="10" t="s">
        <v>37</v>
      </c>
      <c r="P21" s="10"/>
      <c r="Q21" s="10"/>
      <c r="R21" s="10" t="s">
        <v>38</v>
      </c>
      <c r="S21" s="10" t="s">
        <v>39</v>
      </c>
    </row>
    <row r="22" spans="2:19">
      <c r="B22" s="8"/>
      <c r="C22" s="8" t="s">
        <v>67</v>
      </c>
      <c r="D22" s="8">
        <v>4702067335</v>
      </c>
      <c r="E22" s="8" t="s">
        <v>24</v>
      </c>
      <c r="F22" s="9" t="s">
        <v>68</v>
      </c>
      <c r="G22" s="8" t="s">
        <v>49</v>
      </c>
      <c r="H22" s="8">
        <v>300</v>
      </c>
      <c r="I22" s="8">
        <v>300</v>
      </c>
      <c r="J22" s="8">
        <v>18</v>
      </c>
      <c r="K22" s="14">
        <v>46089</v>
      </c>
      <c r="L22" s="14">
        <v>46089</v>
      </c>
      <c r="M22" s="15">
        <f t="shared" si="0"/>
        <v>1</v>
      </c>
      <c r="N22" s="8" t="s">
        <v>36</v>
      </c>
      <c r="O22" s="8" t="s">
        <v>37</v>
      </c>
      <c r="P22" s="8"/>
      <c r="Q22" s="8"/>
      <c r="R22" s="8" t="s">
        <v>45</v>
      </c>
      <c r="S22" s="8" t="s">
        <v>39</v>
      </c>
    </row>
    <row r="23" spans="2:19">
      <c r="B23" s="10"/>
      <c r="C23" s="10" t="s">
        <v>69</v>
      </c>
      <c r="D23" s="10">
        <v>4702079686</v>
      </c>
      <c r="E23" s="10" t="s">
        <v>27</v>
      </c>
      <c r="F23" s="11" t="s">
        <v>70</v>
      </c>
      <c r="G23" s="10" t="s">
        <v>71</v>
      </c>
      <c r="H23" s="10">
        <v>1966</v>
      </c>
      <c r="I23" s="10">
        <v>2019</v>
      </c>
      <c r="J23" s="10">
        <v>118</v>
      </c>
      <c r="K23" s="16">
        <v>46089</v>
      </c>
      <c r="L23" s="16">
        <v>46089</v>
      </c>
      <c r="M23" s="15">
        <f t="shared" si="0"/>
        <v>1.02695829094608</v>
      </c>
      <c r="N23" s="10" t="s">
        <v>36</v>
      </c>
      <c r="O23" s="10"/>
      <c r="P23" s="10"/>
      <c r="Q23" s="10"/>
      <c r="R23" s="10" t="s">
        <v>45</v>
      </c>
      <c r="S23" s="10" t="s">
        <v>39</v>
      </c>
    </row>
    <row r="24" spans="2:19">
      <c r="B24" s="8"/>
      <c r="C24" s="8" t="s">
        <v>72</v>
      </c>
      <c r="D24" s="8">
        <v>4702079686</v>
      </c>
      <c r="E24" s="8" t="s">
        <v>27</v>
      </c>
      <c r="F24" s="9" t="s">
        <v>73</v>
      </c>
      <c r="G24" s="8" t="s">
        <v>74</v>
      </c>
      <c r="H24" s="8">
        <v>2074</v>
      </c>
      <c r="I24" s="8">
        <v>2132</v>
      </c>
      <c r="J24" s="8">
        <v>126</v>
      </c>
      <c r="K24" s="14">
        <v>46089</v>
      </c>
      <c r="L24" s="14">
        <v>46089</v>
      </c>
      <c r="M24" s="15">
        <f t="shared" si="0"/>
        <v>1.02796528447445</v>
      </c>
      <c r="N24" s="8" t="s">
        <v>36</v>
      </c>
      <c r="O24" s="8"/>
      <c r="P24" s="8"/>
      <c r="Q24" s="8"/>
      <c r="R24" s="8" t="s">
        <v>45</v>
      </c>
      <c r="S24" s="8" t="s">
        <v>39</v>
      </c>
    </row>
    <row r="25" spans="2:19">
      <c r="B25" s="10" t="s">
        <v>75</v>
      </c>
      <c r="C25" s="10" t="s">
        <v>76</v>
      </c>
      <c r="D25" s="10">
        <v>4702079686</v>
      </c>
      <c r="E25" s="10" t="s">
        <v>27</v>
      </c>
      <c r="F25" s="11" t="s">
        <v>77</v>
      </c>
      <c r="G25" s="10" t="s">
        <v>78</v>
      </c>
      <c r="H25" s="10">
        <v>2402</v>
      </c>
      <c r="I25" s="10">
        <v>2470</v>
      </c>
      <c r="J25" s="10">
        <v>146</v>
      </c>
      <c r="K25" s="16">
        <v>46089</v>
      </c>
      <c r="L25" s="16">
        <v>46089</v>
      </c>
      <c r="M25" s="15">
        <f t="shared" si="0"/>
        <v>1.02830974188177</v>
      </c>
      <c r="N25" s="10" t="s">
        <v>36</v>
      </c>
      <c r="O25" s="10"/>
      <c r="P25" s="10"/>
      <c r="Q25" s="10"/>
      <c r="R25" s="10" t="s">
        <v>45</v>
      </c>
      <c r="S25" s="10" t="s">
        <v>39</v>
      </c>
    </row>
    <row r="26" spans="2:19">
      <c r="B26" s="8"/>
      <c r="C26" s="8" t="s">
        <v>79</v>
      </c>
      <c r="D26" s="8">
        <v>4702079686</v>
      </c>
      <c r="E26" s="8" t="s">
        <v>27</v>
      </c>
      <c r="F26" s="9" t="s">
        <v>80</v>
      </c>
      <c r="G26" s="8" t="s">
        <v>81</v>
      </c>
      <c r="H26" s="8">
        <v>2622</v>
      </c>
      <c r="I26" s="8">
        <v>2696</v>
      </c>
      <c r="J26" s="8">
        <v>158</v>
      </c>
      <c r="K26" s="14">
        <v>46089</v>
      </c>
      <c r="L26" s="14">
        <v>46089</v>
      </c>
      <c r="M26" s="15">
        <f t="shared" si="0"/>
        <v>1.02822273073989</v>
      </c>
      <c r="N26" s="8" t="s">
        <v>36</v>
      </c>
      <c r="O26" s="8"/>
      <c r="P26" s="8"/>
      <c r="Q26" s="8"/>
      <c r="R26" s="8" t="s">
        <v>45</v>
      </c>
      <c r="S26" s="8" t="s">
        <v>39</v>
      </c>
    </row>
    <row r="27" spans="2:19">
      <c r="B27" s="10"/>
      <c r="C27" s="10" t="s">
        <v>82</v>
      </c>
      <c r="D27" s="10">
        <v>4702079688</v>
      </c>
      <c r="E27" s="10" t="s">
        <v>27</v>
      </c>
      <c r="F27" s="11" t="s">
        <v>83</v>
      </c>
      <c r="G27" s="10" t="s">
        <v>74</v>
      </c>
      <c r="H27" s="10">
        <v>223</v>
      </c>
      <c r="I27" s="10"/>
      <c r="J27" s="10"/>
      <c r="K27" s="16">
        <v>46089</v>
      </c>
      <c r="L27" s="16">
        <v>46089</v>
      </c>
      <c r="M27" s="15">
        <f t="shared" si="0"/>
        <v>0</v>
      </c>
      <c r="N27" s="10"/>
      <c r="O27" s="10"/>
      <c r="P27" s="10"/>
      <c r="Q27" s="10"/>
      <c r="R27" s="10"/>
      <c r="S27" s="10"/>
    </row>
    <row r="28" spans="2:19">
      <c r="B28" s="8"/>
      <c r="C28" s="8" t="s">
        <v>84</v>
      </c>
      <c r="D28" s="8">
        <v>4702079688</v>
      </c>
      <c r="E28" s="8" t="s">
        <v>27</v>
      </c>
      <c r="F28" s="9" t="s">
        <v>85</v>
      </c>
      <c r="G28" s="8" t="s">
        <v>81</v>
      </c>
      <c r="H28" s="8">
        <v>1070</v>
      </c>
      <c r="I28" s="8">
        <v>978</v>
      </c>
      <c r="J28" s="8">
        <v>68</v>
      </c>
      <c r="K28" s="14">
        <v>46089</v>
      </c>
      <c r="L28" s="14">
        <v>46089</v>
      </c>
      <c r="M28" s="15">
        <f t="shared" si="0"/>
        <v>0.914018691588785</v>
      </c>
      <c r="N28" s="8" t="s">
        <v>86</v>
      </c>
      <c r="O28" s="8"/>
      <c r="P28" s="8" t="s">
        <v>32</v>
      </c>
      <c r="Q28" s="8"/>
      <c r="R28" s="8"/>
      <c r="S28" s="8"/>
    </row>
    <row r="29" spans="2:19">
      <c r="B29" s="10"/>
      <c r="C29" s="10" t="s">
        <v>72</v>
      </c>
      <c r="D29" s="10">
        <v>4702090846</v>
      </c>
      <c r="E29" s="10" t="s">
        <v>87</v>
      </c>
      <c r="F29" s="11" t="s">
        <v>73</v>
      </c>
      <c r="G29" s="10" t="s">
        <v>74</v>
      </c>
      <c r="H29" s="10">
        <v>286</v>
      </c>
      <c r="I29" s="10">
        <v>286</v>
      </c>
      <c r="J29" s="10">
        <v>18</v>
      </c>
      <c r="K29" s="16">
        <v>46089</v>
      </c>
      <c r="L29" s="16">
        <v>46089</v>
      </c>
      <c r="M29" s="15">
        <f t="shared" si="0"/>
        <v>1</v>
      </c>
      <c r="N29" s="10" t="s">
        <v>36</v>
      </c>
      <c r="O29" s="10"/>
      <c r="P29" s="10"/>
      <c r="Q29" s="10"/>
      <c r="R29" s="10" t="s">
        <v>45</v>
      </c>
      <c r="S29" s="10" t="s">
        <v>39</v>
      </c>
    </row>
    <row r="30" spans="2:19">
      <c r="B30" s="8"/>
      <c r="C30" s="8" t="s">
        <v>69</v>
      </c>
      <c r="D30" s="8">
        <v>4702090846</v>
      </c>
      <c r="E30" s="8" t="s">
        <v>87</v>
      </c>
      <c r="F30" s="9" t="s">
        <v>70</v>
      </c>
      <c r="G30" s="8" t="s">
        <v>71</v>
      </c>
      <c r="H30" s="8">
        <v>346</v>
      </c>
      <c r="I30" s="8">
        <v>354</v>
      </c>
      <c r="J30" s="8">
        <v>21</v>
      </c>
      <c r="K30" s="14">
        <v>46089</v>
      </c>
      <c r="L30" s="14">
        <v>46089</v>
      </c>
      <c r="M30" s="15">
        <f t="shared" si="0"/>
        <v>1.02312138728324</v>
      </c>
      <c r="N30" s="8" t="s">
        <v>36</v>
      </c>
      <c r="O30" s="8"/>
      <c r="P30" s="8"/>
      <c r="Q30" s="8"/>
      <c r="R30" s="8" t="s">
        <v>45</v>
      </c>
      <c r="S30" s="8" t="s">
        <v>39</v>
      </c>
    </row>
    <row r="31" spans="2:19">
      <c r="B31" s="10" t="s">
        <v>75</v>
      </c>
      <c r="C31" s="10" t="s">
        <v>79</v>
      </c>
      <c r="D31" s="10">
        <v>4702090846</v>
      </c>
      <c r="E31" s="10" t="s">
        <v>87</v>
      </c>
      <c r="F31" s="11" t="s">
        <v>80</v>
      </c>
      <c r="G31" s="10" t="s">
        <v>81</v>
      </c>
      <c r="H31" s="10">
        <v>740</v>
      </c>
      <c r="I31" s="10">
        <v>759</v>
      </c>
      <c r="J31" s="10">
        <v>44</v>
      </c>
      <c r="K31" s="16">
        <v>46089</v>
      </c>
      <c r="L31" s="16">
        <v>46089</v>
      </c>
      <c r="M31" s="15">
        <f t="shared" si="0"/>
        <v>1.02567567567568</v>
      </c>
      <c r="N31" s="10" t="s">
        <v>88</v>
      </c>
      <c r="O31" s="10"/>
      <c r="P31" s="10" t="s">
        <v>89</v>
      </c>
      <c r="Q31" s="10"/>
      <c r="R31" s="10" t="s">
        <v>45</v>
      </c>
      <c r="S31" s="10" t="s">
        <v>39</v>
      </c>
    </row>
    <row r="32" spans="2:19">
      <c r="B32" s="8"/>
      <c r="C32" s="8" t="s">
        <v>76</v>
      </c>
      <c r="D32" s="8">
        <v>4702090846</v>
      </c>
      <c r="E32" s="8" t="s">
        <v>87</v>
      </c>
      <c r="F32" s="9" t="s">
        <v>77</v>
      </c>
      <c r="G32" s="8" t="s">
        <v>78</v>
      </c>
      <c r="H32" s="8">
        <v>740</v>
      </c>
      <c r="I32" s="8">
        <v>760</v>
      </c>
      <c r="J32" s="8">
        <v>44</v>
      </c>
      <c r="K32" s="14">
        <v>46089</v>
      </c>
      <c r="L32" s="14">
        <v>46089</v>
      </c>
      <c r="M32" s="15">
        <f t="shared" si="0"/>
        <v>1.02702702702703</v>
      </c>
      <c r="N32" s="8" t="s">
        <v>36</v>
      </c>
      <c r="O32" s="8"/>
      <c r="P32" s="8"/>
      <c r="Q32" s="8"/>
      <c r="R32" s="8" t="s">
        <v>45</v>
      </c>
      <c r="S32" s="8" t="s">
        <v>39</v>
      </c>
    </row>
    <row r="33" spans="2:19">
      <c r="B33" s="10"/>
      <c r="C33" s="10" t="s">
        <v>82</v>
      </c>
      <c r="D33" s="10">
        <v>4702090847</v>
      </c>
      <c r="E33" s="10" t="s">
        <v>87</v>
      </c>
      <c r="F33" s="11" t="s">
        <v>83</v>
      </c>
      <c r="G33" s="10" t="s">
        <v>74</v>
      </c>
      <c r="H33" s="10">
        <v>76</v>
      </c>
      <c r="I33" s="10"/>
      <c r="J33" s="10"/>
      <c r="K33" s="16">
        <v>46089</v>
      </c>
      <c r="L33" s="16">
        <v>46089</v>
      </c>
      <c r="M33" s="15">
        <f t="shared" si="0"/>
        <v>0</v>
      </c>
      <c r="N33" s="10"/>
      <c r="O33" s="10"/>
      <c r="P33" s="10"/>
      <c r="Q33" s="10"/>
      <c r="R33" s="10"/>
      <c r="S33" s="10"/>
    </row>
    <row r="34" spans="2:19">
      <c r="B34" s="8"/>
      <c r="C34" s="8" t="s">
        <v>84</v>
      </c>
      <c r="D34" s="8">
        <v>4702090847</v>
      </c>
      <c r="E34" s="8" t="s">
        <v>87</v>
      </c>
      <c r="F34" s="9" t="s">
        <v>85</v>
      </c>
      <c r="G34" s="8" t="s">
        <v>81</v>
      </c>
      <c r="H34" s="8">
        <v>90</v>
      </c>
      <c r="I34" s="8"/>
      <c r="J34" s="8"/>
      <c r="K34" s="14">
        <v>46089</v>
      </c>
      <c r="L34" s="14">
        <v>46089</v>
      </c>
      <c r="M34" s="15">
        <f t="shared" si="0"/>
        <v>0</v>
      </c>
      <c r="N34" s="8"/>
      <c r="O34" s="8"/>
      <c r="P34" s="8"/>
      <c r="Q34" s="8"/>
      <c r="R34" s="8"/>
      <c r="S34" s="8"/>
    </row>
    <row r="35" spans="2:19">
      <c r="B35" s="10"/>
      <c r="C35" s="10" t="s">
        <v>90</v>
      </c>
      <c r="D35" s="10">
        <v>4702112432</v>
      </c>
      <c r="E35" s="10" t="s">
        <v>24</v>
      </c>
      <c r="F35" s="12">
        <v>710615870001</v>
      </c>
      <c r="G35" s="10" t="s">
        <v>91</v>
      </c>
      <c r="H35" s="10">
        <v>1292</v>
      </c>
      <c r="I35" s="10"/>
      <c r="J35" s="10"/>
      <c r="K35" s="16">
        <v>46096</v>
      </c>
      <c r="L35" s="16">
        <v>46096</v>
      </c>
      <c r="M35" s="15">
        <f t="shared" si="0"/>
        <v>0</v>
      </c>
      <c r="N35" s="10"/>
      <c r="O35" s="10"/>
      <c r="P35" s="10"/>
      <c r="Q35" s="10"/>
      <c r="R35" s="10"/>
      <c r="S35" s="10"/>
    </row>
    <row r="36" spans="2:19">
      <c r="B36" s="8"/>
      <c r="C36" s="8" t="s">
        <v>92</v>
      </c>
      <c r="D36" s="8">
        <v>4702112432</v>
      </c>
      <c r="E36" s="8" t="s">
        <v>24</v>
      </c>
      <c r="F36" s="13">
        <v>710615870002</v>
      </c>
      <c r="G36" s="8" t="s">
        <v>93</v>
      </c>
      <c r="H36" s="8">
        <v>869</v>
      </c>
      <c r="I36" s="8"/>
      <c r="J36" s="8"/>
      <c r="K36" s="14">
        <v>46096</v>
      </c>
      <c r="L36" s="14">
        <v>46096</v>
      </c>
      <c r="M36" s="15">
        <f t="shared" si="0"/>
        <v>0</v>
      </c>
      <c r="N36" s="8"/>
      <c r="O36" s="8"/>
      <c r="P36" s="8"/>
      <c r="Q36" s="8"/>
      <c r="R36" s="8"/>
      <c r="S36" s="8"/>
    </row>
    <row r="37" spans="2:19">
      <c r="B37" s="10"/>
      <c r="C37" s="10" t="s">
        <v>94</v>
      </c>
      <c r="D37" s="10">
        <v>4702112433</v>
      </c>
      <c r="E37" s="10" t="s">
        <v>24</v>
      </c>
      <c r="F37" s="12">
        <v>710615871001</v>
      </c>
      <c r="G37" s="10" t="s">
        <v>95</v>
      </c>
      <c r="H37" s="10">
        <v>1250</v>
      </c>
      <c r="I37" s="10"/>
      <c r="J37" s="10"/>
      <c r="K37" s="16">
        <v>46096</v>
      </c>
      <c r="L37" s="16">
        <v>46096</v>
      </c>
      <c r="M37" s="15">
        <f t="shared" si="0"/>
        <v>0</v>
      </c>
      <c r="N37" s="10"/>
      <c r="O37" s="10"/>
      <c r="P37" s="10"/>
      <c r="Q37" s="10"/>
      <c r="R37" s="10"/>
      <c r="S37" s="10"/>
    </row>
    <row r="38" spans="2:19">
      <c r="B38" s="8"/>
      <c r="C38" s="8" t="s">
        <v>96</v>
      </c>
      <c r="D38" s="8">
        <v>4702112434</v>
      </c>
      <c r="E38" s="8" t="s">
        <v>24</v>
      </c>
      <c r="F38" s="13">
        <v>710757702001</v>
      </c>
      <c r="G38" s="8" t="s">
        <v>91</v>
      </c>
      <c r="H38" s="8">
        <v>1127</v>
      </c>
      <c r="I38" s="8"/>
      <c r="J38" s="8"/>
      <c r="K38" s="14">
        <v>46096</v>
      </c>
      <c r="L38" s="14">
        <v>46096</v>
      </c>
      <c r="M38" s="15">
        <f t="shared" si="0"/>
        <v>0</v>
      </c>
      <c r="N38" s="8"/>
      <c r="O38" s="8"/>
      <c r="P38" s="8"/>
      <c r="Q38" s="8"/>
      <c r="R38" s="8"/>
      <c r="S38" s="8"/>
    </row>
    <row r="39" spans="2:19">
      <c r="B39" s="10"/>
      <c r="C39" s="10" t="s">
        <v>97</v>
      </c>
      <c r="D39" s="10">
        <v>4702112434</v>
      </c>
      <c r="E39" s="10" t="s">
        <v>24</v>
      </c>
      <c r="F39" s="12">
        <v>710757702002</v>
      </c>
      <c r="G39" s="10" t="s">
        <v>93</v>
      </c>
      <c r="H39" s="10">
        <v>679</v>
      </c>
      <c r="I39" s="10">
        <v>480</v>
      </c>
      <c r="J39" s="10">
        <v>12</v>
      </c>
      <c r="K39" s="16">
        <v>46096</v>
      </c>
      <c r="L39" s="16">
        <v>46096</v>
      </c>
      <c r="M39" s="15">
        <f t="shared" si="0"/>
        <v>0.706921944035346</v>
      </c>
      <c r="N39" s="10" t="s">
        <v>86</v>
      </c>
      <c r="O39" s="10"/>
      <c r="P39" s="10"/>
      <c r="Q39" s="10"/>
      <c r="R39" s="10"/>
      <c r="S39" s="10"/>
    </row>
    <row r="40" spans="2:19">
      <c r="B40" s="8"/>
      <c r="C40" s="8" t="s">
        <v>23</v>
      </c>
      <c r="D40" s="8">
        <v>4702067322</v>
      </c>
      <c r="E40" s="8" t="s">
        <v>98</v>
      </c>
      <c r="F40" s="9" t="s">
        <v>25</v>
      </c>
      <c r="G40" s="8" t="s">
        <v>26</v>
      </c>
      <c r="H40" s="8">
        <v>60</v>
      </c>
      <c r="I40" s="8"/>
      <c r="J40" s="8"/>
      <c r="K40" s="14">
        <v>46103</v>
      </c>
      <c r="L40" s="14">
        <v>46103</v>
      </c>
      <c r="M40" s="15">
        <f t="shared" si="0"/>
        <v>0</v>
      </c>
      <c r="N40" s="8"/>
      <c r="O40" s="8"/>
      <c r="P40" s="8"/>
      <c r="Q40" s="8"/>
      <c r="R40" s="8"/>
      <c r="S40" s="8"/>
    </row>
    <row r="41" spans="2:19">
      <c r="B41" s="10"/>
      <c r="C41" s="10" t="s">
        <v>29</v>
      </c>
      <c r="D41" s="10">
        <v>4702067329</v>
      </c>
      <c r="E41" s="10" t="s">
        <v>98</v>
      </c>
      <c r="F41" s="11" t="s">
        <v>30</v>
      </c>
      <c r="G41" s="10" t="s">
        <v>31</v>
      </c>
      <c r="H41" s="10">
        <v>1000</v>
      </c>
      <c r="I41" s="10"/>
      <c r="J41" s="10"/>
      <c r="K41" s="16">
        <v>46103</v>
      </c>
      <c r="L41" s="16">
        <v>46103</v>
      </c>
      <c r="M41" s="15">
        <f t="shared" ref="M41:M72" si="1">+I41/H41</f>
        <v>0</v>
      </c>
      <c r="N41" s="10"/>
      <c r="O41" s="10"/>
      <c r="P41" s="10"/>
      <c r="Q41" s="10"/>
      <c r="R41" s="10"/>
      <c r="S41" s="10"/>
    </row>
    <row r="42" spans="2:19">
      <c r="B42" s="8"/>
      <c r="C42" s="8" t="s">
        <v>99</v>
      </c>
      <c r="D42" s="8">
        <v>4702096672</v>
      </c>
      <c r="E42" s="8" t="s">
        <v>27</v>
      </c>
      <c r="F42" s="13">
        <v>710804257063</v>
      </c>
      <c r="G42" s="8" t="s">
        <v>100</v>
      </c>
      <c r="H42" s="8">
        <v>1557</v>
      </c>
      <c r="I42" s="8"/>
      <c r="J42" s="8"/>
      <c r="K42" s="14">
        <v>46103</v>
      </c>
      <c r="L42" s="14">
        <v>46103</v>
      </c>
      <c r="M42" s="15">
        <f t="shared" si="1"/>
        <v>0</v>
      </c>
      <c r="N42" s="8"/>
      <c r="O42" s="8"/>
      <c r="P42" s="8"/>
      <c r="Q42" s="8"/>
      <c r="R42" s="8"/>
      <c r="S42" s="8"/>
    </row>
    <row r="43" spans="2:19">
      <c r="B43" s="10"/>
      <c r="C43" s="10" t="s">
        <v>99</v>
      </c>
      <c r="D43" s="10">
        <v>4702096673</v>
      </c>
      <c r="E43" s="10" t="s">
        <v>27</v>
      </c>
      <c r="F43" s="12">
        <v>710804257063</v>
      </c>
      <c r="G43" s="10" t="s">
        <v>100</v>
      </c>
      <c r="H43" s="10">
        <v>100</v>
      </c>
      <c r="I43" s="10"/>
      <c r="J43" s="10"/>
      <c r="K43" s="16">
        <v>46103</v>
      </c>
      <c r="L43" s="16">
        <v>46103</v>
      </c>
      <c r="M43" s="15">
        <f t="shared" si="1"/>
        <v>0</v>
      </c>
      <c r="N43" s="10"/>
      <c r="O43" s="10"/>
      <c r="P43" s="10"/>
      <c r="Q43" s="10"/>
      <c r="R43" s="10"/>
      <c r="S43" s="10"/>
    </row>
    <row r="44" spans="2:19">
      <c r="B44" s="8"/>
      <c r="C44" s="8" t="s">
        <v>23</v>
      </c>
      <c r="D44" s="8">
        <v>4702067321</v>
      </c>
      <c r="E44" s="8" t="s">
        <v>101</v>
      </c>
      <c r="F44" s="9" t="s">
        <v>25</v>
      </c>
      <c r="G44" s="8" t="s">
        <v>26</v>
      </c>
      <c r="H44" s="8">
        <v>250</v>
      </c>
      <c r="I44" s="8"/>
      <c r="J44" s="8"/>
      <c r="K44" s="14">
        <v>46110</v>
      </c>
      <c r="L44" s="14">
        <v>46110</v>
      </c>
      <c r="M44" s="15">
        <f t="shared" si="1"/>
        <v>0</v>
      </c>
      <c r="N44" s="8"/>
      <c r="O44" s="8"/>
      <c r="P44" s="8"/>
      <c r="Q44" s="8"/>
      <c r="R44" s="8"/>
      <c r="S44" s="8"/>
    </row>
    <row r="45" spans="2:19">
      <c r="B45" s="10"/>
      <c r="C45" s="10" t="s">
        <v>29</v>
      </c>
      <c r="D45" s="10">
        <v>4702067327</v>
      </c>
      <c r="E45" s="10" t="s">
        <v>101</v>
      </c>
      <c r="F45" s="11" t="s">
        <v>30</v>
      </c>
      <c r="G45" s="10" t="s">
        <v>31</v>
      </c>
      <c r="H45" s="10">
        <v>65</v>
      </c>
      <c r="I45" s="10"/>
      <c r="J45" s="10"/>
      <c r="K45" s="16">
        <v>46110</v>
      </c>
      <c r="L45" s="16">
        <v>46110</v>
      </c>
      <c r="M45" s="15">
        <f t="shared" si="1"/>
        <v>0</v>
      </c>
      <c r="N45" s="10"/>
      <c r="O45" s="10"/>
      <c r="P45" s="10"/>
      <c r="Q45" s="10"/>
      <c r="R45" s="10"/>
      <c r="S45" s="10"/>
    </row>
    <row r="46" spans="2:19">
      <c r="B46" s="8"/>
      <c r="C46" s="8" t="s">
        <v>29</v>
      </c>
      <c r="D46" s="8">
        <v>4702067328</v>
      </c>
      <c r="E46" s="8" t="s">
        <v>101</v>
      </c>
      <c r="F46" s="9" t="s">
        <v>30</v>
      </c>
      <c r="G46" s="8" t="s">
        <v>31</v>
      </c>
      <c r="H46" s="8">
        <v>500</v>
      </c>
      <c r="I46" s="8"/>
      <c r="J46" s="8"/>
      <c r="K46" s="14">
        <v>46110</v>
      </c>
      <c r="L46" s="14">
        <v>46110</v>
      </c>
      <c r="M46" s="15">
        <f t="shared" si="1"/>
        <v>0</v>
      </c>
      <c r="N46" s="8"/>
      <c r="O46" s="8"/>
      <c r="P46" s="8"/>
      <c r="Q46" s="8"/>
      <c r="R46" s="8"/>
      <c r="S46" s="8"/>
    </row>
    <row r="47" spans="2:19">
      <c r="B47" s="10"/>
      <c r="C47" s="10" t="s">
        <v>63</v>
      </c>
      <c r="D47" s="10">
        <v>4702067334</v>
      </c>
      <c r="E47" s="10" t="s">
        <v>101</v>
      </c>
      <c r="F47" s="11" t="s">
        <v>64</v>
      </c>
      <c r="G47" s="10" t="s">
        <v>56</v>
      </c>
      <c r="H47" s="10">
        <v>121</v>
      </c>
      <c r="I47" s="10">
        <v>121</v>
      </c>
      <c r="J47" s="10">
        <v>8</v>
      </c>
      <c r="K47" s="16">
        <v>46110</v>
      </c>
      <c r="L47" s="16">
        <v>46110</v>
      </c>
      <c r="M47" s="15">
        <f t="shared" si="1"/>
        <v>1</v>
      </c>
      <c r="N47" s="10" t="s">
        <v>43</v>
      </c>
      <c r="O47" s="10"/>
      <c r="P47" s="10"/>
      <c r="Q47" s="10"/>
      <c r="R47" s="10"/>
      <c r="S47" s="10"/>
    </row>
    <row r="48" spans="2:19">
      <c r="B48" s="8"/>
      <c r="C48" s="8" t="s">
        <v>69</v>
      </c>
      <c r="D48" s="8">
        <v>4702079687</v>
      </c>
      <c r="E48" s="8" t="s">
        <v>28</v>
      </c>
      <c r="F48" s="9" t="s">
        <v>70</v>
      </c>
      <c r="G48" s="8" t="s">
        <v>71</v>
      </c>
      <c r="H48" s="8">
        <v>200</v>
      </c>
      <c r="I48" s="8">
        <v>200</v>
      </c>
      <c r="J48" s="8">
        <v>13</v>
      </c>
      <c r="K48" s="14">
        <v>46110</v>
      </c>
      <c r="L48" s="14">
        <v>46110</v>
      </c>
      <c r="M48" s="15">
        <f t="shared" si="1"/>
        <v>1</v>
      </c>
      <c r="N48" s="8" t="s">
        <v>43</v>
      </c>
      <c r="O48" s="8"/>
      <c r="P48" s="8"/>
      <c r="Q48" s="8"/>
      <c r="R48" s="8" t="s">
        <v>45</v>
      </c>
      <c r="S48" s="8" t="s">
        <v>39</v>
      </c>
    </row>
    <row r="49" spans="2:19">
      <c r="B49" s="10"/>
      <c r="C49" s="10" t="s">
        <v>76</v>
      </c>
      <c r="D49" s="10">
        <v>4702079687</v>
      </c>
      <c r="E49" s="10" t="s">
        <v>28</v>
      </c>
      <c r="F49" s="11" t="s">
        <v>77</v>
      </c>
      <c r="G49" s="10" t="s">
        <v>78</v>
      </c>
      <c r="H49" s="10">
        <v>220</v>
      </c>
      <c r="I49" s="10">
        <v>220</v>
      </c>
      <c r="J49" s="10">
        <v>14</v>
      </c>
      <c r="K49" s="16">
        <v>46110</v>
      </c>
      <c r="L49" s="16">
        <v>46110</v>
      </c>
      <c r="M49" s="15">
        <f t="shared" si="1"/>
        <v>1</v>
      </c>
      <c r="N49" s="10" t="s">
        <v>43</v>
      </c>
      <c r="O49" s="10"/>
      <c r="P49" s="10"/>
      <c r="Q49" s="10"/>
      <c r="R49" s="10" t="s">
        <v>45</v>
      </c>
      <c r="S49" s="10" t="s">
        <v>39</v>
      </c>
    </row>
    <row r="50" spans="2:19">
      <c r="B50" s="8"/>
      <c r="C50" s="8" t="s">
        <v>102</v>
      </c>
      <c r="D50" s="8">
        <v>4702095844</v>
      </c>
      <c r="E50" s="8" t="s">
        <v>27</v>
      </c>
      <c r="F50" s="12">
        <v>710967632001</v>
      </c>
      <c r="G50" s="8" t="s">
        <v>91</v>
      </c>
      <c r="H50" s="8">
        <v>5170</v>
      </c>
      <c r="I50" s="8"/>
      <c r="J50" s="8"/>
      <c r="K50" s="14">
        <v>46110</v>
      </c>
      <c r="L50" s="14">
        <v>46110</v>
      </c>
      <c r="M50" s="15">
        <f t="shared" si="1"/>
        <v>0</v>
      </c>
      <c r="N50" s="8"/>
      <c r="O50" s="8"/>
      <c r="P50" s="8"/>
      <c r="Q50" s="8"/>
      <c r="R50" s="8"/>
      <c r="S50" s="8"/>
    </row>
    <row r="51" spans="2:19">
      <c r="B51" s="10"/>
      <c r="C51" s="10" t="s">
        <v>102</v>
      </c>
      <c r="D51" s="10">
        <v>4702095845</v>
      </c>
      <c r="E51" s="10" t="s">
        <v>28</v>
      </c>
      <c r="F51" s="12">
        <v>710967632001</v>
      </c>
      <c r="G51" s="10" t="s">
        <v>91</v>
      </c>
      <c r="H51" s="10">
        <v>330</v>
      </c>
      <c r="I51" s="10"/>
      <c r="J51" s="10"/>
      <c r="K51" s="16">
        <v>46110</v>
      </c>
      <c r="L51" s="16">
        <v>46110</v>
      </c>
      <c r="M51" s="15">
        <f t="shared" si="1"/>
        <v>0</v>
      </c>
      <c r="N51" s="10"/>
      <c r="O51" s="10"/>
      <c r="P51" s="10"/>
      <c r="Q51" s="10"/>
      <c r="R51" s="10"/>
      <c r="S51" s="10"/>
    </row>
    <row r="52" spans="2:19">
      <c r="B52" s="8"/>
      <c r="C52" s="8" t="s">
        <v>103</v>
      </c>
      <c r="D52" s="8">
        <v>4702095655</v>
      </c>
      <c r="E52" s="8" t="s">
        <v>27</v>
      </c>
      <c r="F52" s="13">
        <v>710967894001</v>
      </c>
      <c r="G52" s="8" t="s">
        <v>91</v>
      </c>
      <c r="H52" s="8">
        <v>3760</v>
      </c>
      <c r="I52" s="8"/>
      <c r="J52" s="8"/>
      <c r="K52" s="14"/>
      <c r="L52" s="14">
        <v>46110</v>
      </c>
      <c r="M52" s="15">
        <f t="shared" si="1"/>
        <v>0</v>
      </c>
      <c r="N52" s="8"/>
      <c r="O52" s="8"/>
      <c r="P52" s="8"/>
      <c r="Q52" s="8"/>
      <c r="R52" s="8"/>
      <c r="S52" s="8"/>
    </row>
    <row r="53" spans="2:19">
      <c r="B53" s="10"/>
      <c r="C53" s="10" t="s">
        <v>104</v>
      </c>
      <c r="D53" s="10">
        <v>4702095662</v>
      </c>
      <c r="E53" s="10" t="s">
        <v>27</v>
      </c>
      <c r="F53" s="11" t="s">
        <v>105</v>
      </c>
      <c r="G53" s="10" t="s">
        <v>106</v>
      </c>
      <c r="H53" s="10">
        <v>3396</v>
      </c>
      <c r="I53" s="10"/>
      <c r="J53" s="10"/>
      <c r="K53" s="16"/>
      <c r="L53" s="16">
        <v>46110</v>
      </c>
      <c r="M53" s="15">
        <f t="shared" si="1"/>
        <v>0</v>
      </c>
      <c r="N53" s="10"/>
      <c r="O53" s="10"/>
      <c r="P53" s="10"/>
      <c r="Q53" s="10"/>
      <c r="R53" s="10"/>
      <c r="S53" s="10"/>
    </row>
    <row r="54" spans="2:19">
      <c r="B54" s="8"/>
      <c r="C54" s="8" t="s">
        <v>104</v>
      </c>
      <c r="D54" s="8">
        <v>4702095663</v>
      </c>
      <c r="E54" s="8" t="s">
        <v>27</v>
      </c>
      <c r="F54" s="9" t="s">
        <v>105</v>
      </c>
      <c r="G54" s="8" t="s">
        <v>106</v>
      </c>
      <c r="H54" s="8">
        <v>100</v>
      </c>
      <c r="I54" s="8"/>
      <c r="J54" s="8"/>
      <c r="K54" s="14"/>
      <c r="L54" s="14">
        <v>46110</v>
      </c>
      <c r="M54" s="15">
        <f t="shared" si="1"/>
        <v>0</v>
      </c>
      <c r="N54" s="8"/>
      <c r="O54" s="8"/>
      <c r="P54" s="8"/>
      <c r="Q54" s="8"/>
      <c r="R54" s="8"/>
      <c r="S54" s="8"/>
    </row>
    <row r="55" spans="2:19">
      <c r="B55" s="10" t="s">
        <v>107</v>
      </c>
      <c r="C55" s="10" t="s">
        <v>108</v>
      </c>
      <c r="D55" s="10">
        <v>4702080081</v>
      </c>
      <c r="E55" s="10" t="s">
        <v>27</v>
      </c>
      <c r="F55" s="11" t="s">
        <v>70</v>
      </c>
      <c r="G55" s="10" t="s">
        <v>71</v>
      </c>
      <c r="H55" s="10">
        <v>40</v>
      </c>
      <c r="I55" s="10">
        <v>40</v>
      </c>
      <c r="J55" s="10">
        <v>5</v>
      </c>
      <c r="K55" s="16">
        <v>46089</v>
      </c>
      <c r="L55" s="16">
        <v>46117</v>
      </c>
      <c r="M55" s="15">
        <f t="shared" si="1"/>
        <v>1</v>
      </c>
      <c r="N55" s="10" t="s">
        <v>43</v>
      </c>
      <c r="O55" s="10"/>
      <c r="P55" s="10"/>
      <c r="Q55" s="10"/>
      <c r="R55" s="10" t="s">
        <v>45</v>
      </c>
      <c r="S55" s="10" t="s">
        <v>39</v>
      </c>
    </row>
    <row r="56" spans="2:19">
      <c r="B56" s="8"/>
      <c r="C56" s="8" t="s">
        <v>109</v>
      </c>
      <c r="D56" s="8">
        <v>4702080081</v>
      </c>
      <c r="E56" s="8" t="s">
        <v>27</v>
      </c>
      <c r="F56" s="9" t="s">
        <v>80</v>
      </c>
      <c r="G56" s="8" t="s">
        <v>81</v>
      </c>
      <c r="H56" s="8">
        <v>40</v>
      </c>
      <c r="I56" s="8"/>
      <c r="J56" s="8"/>
      <c r="K56" s="14">
        <v>46089</v>
      </c>
      <c r="L56" s="14">
        <v>46117</v>
      </c>
      <c r="M56" s="15">
        <f t="shared" si="1"/>
        <v>0</v>
      </c>
      <c r="N56" s="8"/>
      <c r="O56" s="8"/>
      <c r="P56" s="8"/>
      <c r="Q56" s="8"/>
      <c r="R56" s="8"/>
      <c r="S56" s="8"/>
    </row>
    <row r="57" spans="2:19">
      <c r="B57" s="10"/>
      <c r="C57" s="10" t="s">
        <v>110</v>
      </c>
      <c r="D57" s="10">
        <v>4702080081</v>
      </c>
      <c r="E57" s="10" t="s">
        <v>27</v>
      </c>
      <c r="F57" s="11" t="s">
        <v>73</v>
      </c>
      <c r="G57" s="10" t="s">
        <v>74</v>
      </c>
      <c r="H57" s="10">
        <v>40</v>
      </c>
      <c r="I57" s="10"/>
      <c r="J57" s="10"/>
      <c r="K57" s="16">
        <v>46089</v>
      </c>
      <c r="L57" s="16">
        <v>46117</v>
      </c>
      <c r="M57" s="15">
        <f t="shared" si="1"/>
        <v>0</v>
      </c>
      <c r="N57" s="10"/>
      <c r="O57" s="10"/>
      <c r="P57" s="10"/>
      <c r="Q57" s="10"/>
      <c r="R57" s="10"/>
      <c r="S57" s="10"/>
    </row>
    <row r="58" spans="2:19">
      <c r="B58" s="8" t="s">
        <v>107</v>
      </c>
      <c r="C58" s="8" t="s">
        <v>111</v>
      </c>
      <c r="D58" s="8">
        <v>4702080081</v>
      </c>
      <c r="E58" s="8" t="s">
        <v>27</v>
      </c>
      <c r="F58" s="9" t="s">
        <v>77</v>
      </c>
      <c r="G58" s="8" t="s">
        <v>78</v>
      </c>
      <c r="H58" s="8">
        <v>40</v>
      </c>
      <c r="I58" s="8">
        <v>40</v>
      </c>
      <c r="J58" s="8">
        <v>5</v>
      </c>
      <c r="K58" s="14">
        <v>46089</v>
      </c>
      <c r="L58" s="14">
        <v>46117</v>
      </c>
      <c r="M58" s="15">
        <f t="shared" si="1"/>
        <v>1</v>
      </c>
      <c r="N58" s="8" t="s">
        <v>43</v>
      </c>
      <c r="O58" s="8"/>
      <c r="P58" s="8"/>
      <c r="Q58" s="8"/>
      <c r="R58" s="8"/>
      <c r="S58" s="8"/>
    </row>
    <row r="59" spans="2:19">
      <c r="B59" s="10" t="s">
        <v>107</v>
      </c>
      <c r="C59" s="10" t="s">
        <v>108</v>
      </c>
      <c r="D59" s="10">
        <v>4702080082</v>
      </c>
      <c r="E59" s="10" t="s">
        <v>27</v>
      </c>
      <c r="F59" s="11" t="s">
        <v>70</v>
      </c>
      <c r="G59" s="10" t="s">
        <v>71</v>
      </c>
      <c r="H59" s="10">
        <v>294</v>
      </c>
      <c r="I59" s="10">
        <v>294</v>
      </c>
      <c r="J59" s="10">
        <v>49</v>
      </c>
      <c r="K59" s="16">
        <v>46089</v>
      </c>
      <c r="L59" s="16">
        <v>46117</v>
      </c>
      <c r="M59" s="15">
        <f t="shared" si="1"/>
        <v>1</v>
      </c>
      <c r="N59" s="10" t="s">
        <v>43</v>
      </c>
      <c r="O59" s="10"/>
      <c r="P59" s="10"/>
      <c r="Q59" s="10"/>
      <c r="R59" s="10" t="s">
        <v>45</v>
      </c>
      <c r="S59" s="10" t="s">
        <v>39</v>
      </c>
    </row>
    <row r="60" spans="2:19">
      <c r="B60" s="8"/>
      <c r="C60" s="8" t="s">
        <v>109</v>
      </c>
      <c r="D60" s="8">
        <v>4702080082</v>
      </c>
      <c r="E60" s="8" t="s">
        <v>27</v>
      </c>
      <c r="F60" s="9" t="s">
        <v>80</v>
      </c>
      <c r="G60" s="8" t="s">
        <v>81</v>
      </c>
      <c r="H60" s="8">
        <v>330</v>
      </c>
      <c r="I60" s="8"/>
      <c r="J60" s="8"/>
      <c r="K60" s="14">
        <v>46089</v>
      </c>
      <c r="L60" s="14">
        <v>46117</v>
      </c>
      <c r="M60" s="15">
        <f t="shared" si="1"/>
        <v>0</v>
      </c>
      <c r="N60" s="8"/>
      <c r="O60" s="8"/>
      <c r="P60" s="8"/>
      <c r="Q60" s="8"/>
      <c r="R60" s="8"/>
      <c r="S60" s="8"/>
    </row>
    <row r="61" spans="2:19">
      <c r="B61" s="10"/>
      <c r="C61" s="10" t="s">
        <v>110</v>
      </c>
      <c r="D61" s="10">
        <v>4702080082</v>
      </c>
      <c r="E61" s="10" t="s">
        <v>27</v>
      </c>
      <c r="F61" s="11" t="s">
        <v>73</v>
      </c>
      <c r="G61" s="10" t="s">
        <v>74</v>
      </c>
      <c r="H61" s="10">
        <v>294</v>
      </c>
      <c r="I61" s="10"/>
      <c r="J61" s="10"/>
      <c r="K61" s="16">
        <v>46089</v>
      </c>
      <c r="L61" s="16">
        <v>46117</v>
      </c>
      <c r="M61" s="15">
        <f t="shared" si="1"/>
        <v>0</v>
      </c>
      <c r="N61" s="10"/>
      <c r="O61" s="10"/>
      <c r="P61" s="10"/>
      <c r="Q61" s="10"/>
      <c r="R61" s="10"/>
      <c r="S61" s="10"/>
    </row>
    <row r="62" spans="2:19">
      <c r="B62" s="8"/>
      <c r="C62" s="8" t="s">
        <v>111</v>
      </c>
      <c r="D62" s="8">
        <v>4702080082</v>
      </c>
      <c r="E62" s="8" t="s">
        <v>27</v>
      </c>
      <c r="F62" s="9" t="s">
        <v>77</v>
      </c>
      <c r="G62" s="8" t="s">
        <v>78</v>
      </c>
      <c r="H62" s="8">
        <v>294</v>
      </c>
      <c r="I62" s="8">
        <v>102</v>
      </c>
      <c r="J62" s="8">
        <v>17</v>
      </c>
      <c r="K62" s="14">
        <v>46089</v>
      </c>
      <c r="L62" s="14">
        <v>46117</v>
      </c>
      <c r="M62" s="15">
        <f t="shared" si="1"/>
        <v>0.346938775510204</v>
      </c>
      <c r="N62" s="8" t="s">
        <v>86</v>
      </c>
      <c r="O62" s="8"/>
      <c r="P62" s="8"/>
      <c r="Q62" s="8"/>
      <c r="R62" s="8"/>
      <c r="S62" s="8"/>
    </row>
    <row r="63" spans="2:19">
      <c r="B63" s="10" t="s">
        <v>107</v>
      </c>
      <c r="C63" s="10" t="s">
        <v>108</v>
      </c>
      <c r="D63" s="10">
        <v>4702080083</v>
      </c>
      <c r="E63" s="10" t="s">
        <v>27</v>
      </c>
      <c r="F63" s="11" t="s">
        <v>70</v>
      </c>
      <c r="G63" s="10" t="s">
        <v>71</v>
      </c>
      <c r="H63" s="10">
        <v>200</v>
      </c>
      <c r="I63" s="10">
        <v>200</v>
      </c>
      <c r="J63" s="10">
        <v>25</v>
      </c>
      <c r="K63" s="16">
        <v>46089</v>
      </c>
      <c r="L63" s="16">
        <v>46117</v>
      </c>
      <c r="M63" s="15">
        <f t="shared" si="1"/>
        <v>1</v>
      </c>
      <c r="N63" s="10" t="s">
        <v>43</v>
      </c>
      <c r="O63" s="10"/>
      <c r="P63" s="10"/>
      <c r="Q63" s="10"/>
      <c r="R63" s="10" t="s">
        <v>45</v>
      </c>
      <c r="S63" s="10" t="s">
        <v>39</v>
      </c>
    </row>
    <row r="64" spans="2:19">
      <c r="B64" s="8"/>
      <c r="C64" s="8" t="s">
        <v>109</v>
      </c>
      <c r="D64" s="8">
        <v>4702080083</v>
      </c>
      <c r="E64" s="8" t="s">
        <v>27</v>
      </c>
      <c r="F64" s="9" t="s">
        <v>80</v>
      </c>
      <c r="G64" s="8" t="s">
        <v>81</v>
      </c>
      <c r="H64" s="8">
        <v>264</v>
      </c>
      <c r="I64" s="8"/>
      <c r="J64" s="8"/>
      <c r="K64" s="14">
        <v>46089</v>
      </c>
      <c r="L64" s="14">
        <v>46117</v>
      </c>
      <c r="M64" s="15">
        <f t="shared" si="1"/>
        <v>0</v>
      </c>
      <c r="N64" s="8"/>
      <c r="O64" s="8"/>
      <c r="P64" s="8"/>
      <c r="Q64" s="8"/>
      <c r="R64" s="8"/>
      <c r="S64" s="8"/>
    </row>
    <row r="65" spans="2:19">
      <c r="B65" s="10"/>
      <c r="C65" s="10" t="s">
        <v>110</v>
      </c>
      <c r="D65" s="10">
        <v>4702080083</v>
      </c>
      <c r="E65" s="10" t="s">
        <v>27</v>
      </c>
      <c r="F65" s="11" t="s">
        <v>73</v>
      </c>
      <c r="G65" s="10" t="s">
        <v>74</v>
      </c>
      <c r="H65" s="10">
        <v>200</v>
      </c>
      <c r="I65" s="10"/>
      <c r="J65" s="10"/>
      <c r="K65" s="16">
        <v>46089</v>
      </c>
      <c r="L65" s="16">
        <v>46117</v>
      </c>
      <c r="M65" s="15">
        <f t="shared" si="1"/>
        <v>0</v>
      </c>
      <c r="N65" s="10"/>
      <c r="O65" s="10"/>
      <c r="P65" s="10"/>
      <c r="Q65" s="10"/>
      <c r="R65" s="10"/>
      <c r="S65" s="10"/>
    </row>
    <row r="66" spans="2:19">
      <c r="B66" s="8" t="s">
        <v>107</v>
      </c>
      <c r="C66" s="8" t="s">
        <v>111</v>
      </c>
      <c r="D66" s="8">
        <v>4702080083</v>
      </c>
      <c r="E66" s="8" t="s">
        <v>27</v>
      </c>
      <c r="F66" s="9" t="s">
        <v>77</v>
      </c>
      <c r="G66" s="8" t="s">
        <v>78</v>
      </c>
      <c r="H66" s="8">
        <v>200</v>
      </c>
      <c r="I66" s="8">
        <v>200</v>
      </c>
      <c r="J66" s="8">
        <v>25</v>
      </c>
      <c r="K66" s="14">
        <v>46089</v>
      </c>
      <c r="L66" s="14">
        <v>46117</v>
      </c>
      <c r="M66" s="15">
        <f t="shared" si="1"/>
        <v>1</v>
      </c>
      <c r="N66" s="8" t="s">
        <v>43</v>
      </c>
      <c r="O66" s="8"/>
      <c r="P66" s="8"/>
      <c r="Q66" s="8"/>
      <c r="R66" s="8"/>
      <c r="S66" s="8"/>
    </row>
    <row r="67" spans="2:19">
      <c r="B67" s="10" t="s">
        <v>107</v>
      </c>
      <c r="C67" s="10" t="s">
        <v>108</v>
      </c>
      <c r="D67" s="10">
        <v>4702080084</v>
      </c>
      <c r="E67" s="10" t="s">
        <v>27</v>
      </c>
      <c r="F67" s="11" t="s">
        <v>70</v>
      </c>
      <c r="G67" s="10" t="s">
        <v>71</v>
      </c>
      <c r="H67" s="10">
        <v>168</v>
      </c>
      <c r="I67" s="10">
        <v>168</v>
      </c>
      <c r="J67" s="10">
        <v>28</v>
      </c>
      <c r="K67" s="16">
        <v>46089</v>
      </c>
      <c r="L67" s="16">
        <v>46117</v>
      </c>
      <c r="M67" s="15">
        <f t="shared" si="1"/>
        <v>1</v>
      </c>
      <c r="N67" s="10" t="s">
        <v>43</v>
      </c>
      <c r="O67" s="10"/>
      <c r="P67" s="10"/>
      <c r="Q67" s="10"/>
      <c r="R67" s="10" t="s">
        <v>45</v>
      </c>
      <c r="S67" s="10" t="s">
        <v>39</v>
      </c>
    </row>
    <row r="68" spans="2:19">
      <c r="B68" s="8"/>
      <c r="C68" s="8" t="s">
        <v>109</v>
      </c>
      <c r="D68" s="8">
        <v>4702080084</v>
      </c>
      <c r="E68" s="8" t="s">
        <v>27</v>
      </c>
      <c r="F68" s="9" t="s">
        <v>80</v>
      </c>
      <c r="G68" s="8" t="s">
        <v>81</v>
      </c>
      <c r="H68" s="8">
        <v>204</v>
      </c>
      <c r="I68" s="8"/>
      <c r="J68" s="8"/>
      <c r="K68" s="14">
        <v>46089</v>
      </c>
      <c r="L68" s="14">
        <v>46117</v>
      </c>
      <c r="M68" s="15">
        <f t="shared" si="1"/>
        <v>0</v>
      </c>
      <c r="N68" s="8"/>
      <c r="O68" s="8"/>
      <c r="P68" s="8"/>
      <c r="Q68" s="8"/>
      <c r="R68" s="8"/>
      <c r="S68" s="8"/>
    </row>
    <row r="69" spans="2:19">
      <c r="B69" s="10"/>
      <c r="C69" s="10" t="s">
        <v>110</v>
      </c>
      <c r="D69" s="10">
        <v>4702080084</v>
      </c>
      <c r="E69" s="10" t="s">
        <v>27</v>
      </c>
      <c r="F69" s="11" t="s">
        <v>73</v>
      </c>
      <c r="G69" s="10" t="s">
        <v>74</v>
      </c>
      <c r="H69" s="10">
        <v>168</v>
      </c>
      <c r="I69" s="10"/>
      <c r="J69" s="10"/>
      <c r="K69" s="16">
        <v>46089</v>
      </c>
      <c r="L69" s="16">
        <v>46117</v>
      </c>
      <c r="M69" s="15">
        <f t="shared" si="1"/>
        <v>0</v>
      </c>
      <c r="N69" s="10"/>
      <c r="O69" s="10"/>
      <c r="P69" s="10"/>
      <c r="Q69" s="10"/>
      <c r="R69" s="10"/>
      <c r="S69" s="10"/>
    </row>
    <row r="70" spans="2:19">
      <c r="B70" s="8" t="s">
        <v>107</v>
      </c>
      <c r="C70" s="8" t="s">
        <v>111</v>
      </c>
      <c r="D70" s="8">
        <v>4702080084</v>
      </c>
      <c r="E70" s="8" t="s">
        <v>27</v>
      </c>
      <c r="F70" s="9" t="s">
        <v>77</v>
      </c>
      <c r="G70" s="8" t="s">
        <v>78</v>
      </c>
      <c r="H70" s="8">
        <v>168</v>
      </c>
      <c r="I70" s="8">
        <v>168</v>
      </c>
      <c r="J70" s="8">
        <v>28</v>
      </c>
      <c r="K70" s="14">
        <v>46089</v>
      </c>
      <c r="L70" s="14">
        <v>46117</v>
      </c>
      <c r="M70" s="15">
        <f t="shared" si="1"/>
        <v>1</v>
      </c>
      <c r="N70" s="8" t="s">
        <v>43</v>
      </c>
      <c r="O70" s="8"/>
      <c r="P70" s="8"/>
      <c r="Q70" s="8"/>
      <c r="R70" s="8"/>
      <c r="S70" s="8"/>
    </row>
    <row r="71" spans="2:19">
      <c r="B71" s="10"/>
      <c r="C71" s="10" t="s">
        <v>109</v>
      </c>
      <c r="D71" s="10">
        <v>4702080085</v>
      </c>
      <c r="E71" s="10" t="s">
        <v>27</v>
      </c>
      <c r="F71" s="11" t="s">
        <v>80</v>
      </c>
      <c r="G71" s="10" t="s">
        <v>81</v>
      </c>
      <c r="H71" s="10">
        <v>24</v>
      </c>
      <c r="I71" s="10"/>
      <c r="J71" s="10"/>
      <c r="K71" s="16">
        <v>46089</v>
      </c>
      <c r="L71" s="16">
        <v>46117</v>
      </c>
      <c r="M71" s="15">
        <f t="shared" si="1"/>
        <v>0</v>
      </c>
      <c r="N71" s="10"/>
      <c r="O71" s="10"/>
      <c r="P71" s="10"/>
      <c r="Q71" s="10"/>
      <c r="R71" s="10"/>
      <c r="S71" s="10"/>
    </row>
    <row r="72" spans="2:19">
      <c r="B72" s="8" t="s">
        <v>107</v>
      </c>
      <c r="C72" s="8" t="s">
        <v>108</v>
      </c>
      <c r="D72" s="8">
        <v>4702080086</v>
      </c>
      <c r="E72" s="8" t="s">
        <v>27</v>
      </c>
      <c r="F72" s="9" t="s">
        <v>70</v>
      </c>
      <c r="G72" s="8" t="s">
        <v>71</v>
      </c>
      <c r="H72" s="8">
        <v>72</v>
      </c>
      <c r="I72" s="8">
        <v>72</v>
      </c>
      <c r="J72" s="8">
        <v>12</v>
      </c>
      <c r="K72" s="14">
        <v>46089</v>
      </c>
      <c r="L72" s="14">
        <v>46117</v>
      </c>
      <c r="M72" s="15">
        <f t="shared" si="1"/>
        <v>1</v>
      </c>
      <c r="N72" s="8" t="s">
        <v>43</v>
      </c>
      <c r="O72" s="8"/>
      <c r="P72" s="8"/>
      <c r="Q72" s="8"/>
      <c r="R72" s="8" t="s">
        <v>45</v>
      </c>
      <c r="S72" s="8" t="s">
        <v>39</v>
      </c>
    </row>
    <row r="73" spans="2:19">
      <c r="B73" s="10"/>
      <c r="C73" s="10" t="s">
        <v>109</v>
      </c>
      <c r="D73" s="10">
        <v>4702080086</v>
      </c>
      <c r="E73" s="10" t="s">
        <v>27</v>
      </c>
      <c r="F73" s="11" t="s">
        <v>80</v>
      </c>
      <c r="G73" s="10" t="s">
        <v>81</v>
      </c>
      <c r="H73" s="10">
        <v>90</v>
      </c>
      <c r="I73" s="10"/>
      <c r="J73" s="10"/>
      <c r="K73" s="16">
        <v>46089</v>
      </c>
      <c r="L73" s="16">
        <v>46117</v>
      </c>
      <c r="M73" s="15">
        <f t="shared" ref="M73:M108" si="2">+I73/H73</f>
        <v>0</v>
      </c>
      <c r="N73" s="10"/>
      <c r="O73" s="10"/>
      <c r="P73" s="10"/>
      <c r="Q73" s="10"/>
      <c r="R73" s="10"/>
      <c r="S73" s="10"/>
    </row>
    <row r="74" spans="2:19">
      <c r="B74" s="8"/>
      <c r="C74" s="8" t="s">
        <v>110</v>
      </c>
      <c r="D74" s="8">
        <v>4702080086</v>
      </c>
      <c r="E74" s="8" t="s">
        <v>27</v>
      </c>
      <c r="F74" s="9" t="s">
        <v>73</v>
      </c>
      <c r="G74" s="8" t="s">
        <v>74</v>
      </c>
      <c r="H74" s="8">
        <v>72</v>
      </c>
      <c r="I74" s="8"/>
      <c r="J74" s="8"/>
      <c r="K74" s="14">
        <v>46089</v>
      </c>
      <c r="L74" s="14">
        <v>46117</v>
      </c>
      <c r="M74" s="15">
        <f t="shared" si="2"/>
        <v>0</v>
      </c>
      <c r="N74" s="8"/>
      <c r="O74" s="8"/>
      <c r="P74" s="8"/>
      <c r="Q74" s="8"/>
      <c r="R74" s="8"/>
      <c r="S74" s="8"/>
    </row>
    <row r="75" spans="2:19">
      <c r="B75" s="10" t="s">
        <v>107</v>
      </c>
      <c r="C75" s="10" t="s">
        <v>111</v>
      </c>
      <c r="D75" s="10">
        <v>4702080086</v>
      </c>
      <c r="E75" s="10" t="s">
        <v>27</v>
      </c>
      <c r="F75" s="11" t="s">
        <v>77</v>
      </c>
      <c r="G75" s="10" t="s">
        <v>78</v>
      </c>
      <c r="H75" s="10">
        <v>72</v>
      </c>
      <c r="I75" s="10">
        <v>72</v>
      </c>
      <c r="J75" s="10">
        <v>12</v>
      </c>
      <c r="K75" s="16">
        <v>46089</v>
      </c>
      <c r="L75" s="16">
        <v>46117</v>
      </c>
      <c r="M75" s="15">
        <f t="shared" si="2"/>
        <v>1</v>
      </c>
      <c r="N75" s="10" t="s">
        <v>43</v>
      </c>
      <c r="O75" s="10"/>
      <c r="P75" s="10"/>
      <c r="Q75" s="10"/>
      <c r="R75" s="10"/>
      <c r="S75" s="10"/>
    </row>
    <row r="76" spans="2:19">
      <c r="B76" s="8" t="s">
        <v>107</v>
      </c>
      <c r="C76" s="8" t="s">
        <v>108</v>
      </c>
      <c r="D76" s="8">
        <v>4702080087</v>
      </c>
      <c r="E76" s="8" t="s">
        <v>27</v>
      </c>
      <c r="F76" s="9" t="s">
        <v>70</v>
      </c>
      <c r="G76" s="8" t="s">
        <v>71</v>
      </c>
      <c r="H76" s="8">
        <v>12</v>
      </c>
      <c r="I76" s="8">
        <v>12</v>
      </c>
      <c r="J76" s="8">
        <v>1</v>
      </c>
      <c r="K76" s="14">
        <v>46089</v>
      </c>
      <c r="L76" s="14">
        <v>46117</v>
      </c>
      <c r="M76" s="15">
        <f t="shared" si="2"/>
        <v>1</v>
      </c>
      <c r="N76" s="8" t="s">
        <v>43</v>
      </c>
      <c r="O76" s="8"/>
      <c r="P76" s="8"/>
      <c r="Q76" s="8"/>
      <c r="R76" s="8" t="s">
        <v>45</v>
      </c>
      <c r="S76" s="8" t="s">
        <v>39</v>
      </c>
    </row>
    <row r="77" spans="2:19">
      <c r="B77" s="10"/>
      <c r="C77" s="10" t="s">
        <v>110</v>
      </c>
      <c r="D77" s="10">
        <v>4702080087</v>
      </c>
      <c r="E77" s="10" t="s">
        <v>27</v>
      </c>
      <c r="F77" s="11" t="s">
        <v>73</v>
      </c>
      <c r="G77" s="10" t="s">
        <v>74</v>
      </c>
      <c r="H77" s="10">
        <v>12</v>
      </c>
      <c r="I77" s="10"/>
      <c r="J77" s="10"/>
      <c r="K77" s="16">
        <v>46089</v>
      </c>
      <c r="L77" s="16">
        <v>46117</v>
      </c>
      <c r="M77" s="15">
        <f t="shared" si="2"/>
        <v>0</v>
      </c>
      <c r="N77" s="10"/>
      <c r="O77" s="10"/>
      <c r="P77" s="10"/>
      <c r="Q77" s="10"/>
      <c r="R77" s="10"/>
      <c r="S77" s="10"/>
    </row>
    <row r="78" spans="2:19">
      <c r="B78" s="8" t="s">
        <v>107</v>
      </c>
      <c r="C78" s="8" t="s">
        <v>108</v>
      </c>
      <c r="D78" s="8">
        <v>4702080087</v>
      </c>
      <c r="E78" s="8" t="s">
        <v>27</v>
      </c>
      <c r="F78" s="9" t="s">
        <v>70</v>
      </c>
      <c r="G78" s="8" t="s">
        <v>71</v>
      </c>
      <c r="H78" s="8">
        <v>12</v>
      </c>
      <c r="I78" s="8">
        <v>12</v>
      </c>
      <c r="J78" s="8">
        <v>1</v>
      </c>
      <c r="K78" s="14">
        <v>46089</v>
      </c>
      <c r="L78" s="14">
        <v>46117</v>
      </c>
      <c r="M78" s="15">
        <f t="shared" si="2"/>
        <v>1</v>
      </c>
      <c r="N78" s="8" t="s">
        <v>43</v>
      </c>
      <c r="O78" s="8"/>
      <c r="P78" s="8"/>
      <c r="Q78" s="8"/>
      <c r="R78" s="8"/>
      <c r="S78" s="8"/>
    </row>
    <row r="79" spans="2:19">
      <c r="B79" s="10" t="s">
        <v>107</v>
      </c>
      <c r="C79" s="10" t="s">
        <v>111</v>
      </c>
      <c r="D79" s="10">
        <v>4702080087</v>
      </c>
      <c r="E79" s="10" t="s">
        <v>27</v>
      </c>
      <c r="F79" s="11" t="s">
        <v>77</v>
      </c>
      <c r="G79" s="10" t="s">
        <v>78</v>
      </c>
      <c r="H79" s="10">
        <v>12</v>
      </c>
      <c r="I79" s="10">
        <v>12</v>
      </c>
      <c r="J79" s="10">
        <v>1</v>
      </c>
      <c r="K79" s="16">
        <v>46089</v>
      </c>
      <c r="L79" s="16">
        <v>46117</v>
      </c>
      <c r="M79" s="15">
        <f t="shared" si="2"/>
        <v>1</v>
      </c>
      <c r="N79" s="10" t="s">
        <v>43</v>
      </c>
      <c r="O79" s="10"/>
      <c r="P79" s="10"/>
      <c r="Q79" s="10"/>
      <c r="R79" s="10"/>
      <c r="S79" s="10"/>
    </row>
    <row r="80" spans="2:19">
      <c r="B80" s="8" t="s">
        <v>107</v>
      </c>
      <c r="C80" s="8" t="s">
        <v>108</v>
      </c>
      <c r="D80" s="8">
        <v>4702080088</v>
      </c>
      <c r="E80" s="8" t="s">
        <v>27</v>
      </c>
      <c r="F80" s="9" t="s">
        <v>70</v>
      </c>
      <c r="G80" s="8" t="s">
        <v>71</v>
      </c>
      <c r="H80" s="8">
        <v>24</v>
      </c>
      <c r="I80" s="8">
        <v>24</v>
      </c>
      <c r="J80" s="8">
        <v>2</v>
      </c>
      <c r="K80" s="14">
        <v>46089</v>
      </c>
      <c r="L80" s="14">
        <v>46117</v>
      </c>
      <c r="M80" s="15">
        <f t="shared" si="2"/>
        <v>1</v>
      </c>
      <c r="N80" s="8" t="s">
        <v>43</v>
      </c>
      <c r="O80" s="8"/>
      <c r="P80" s="8"/>
      <c r="Q80" s="8"/>
      <c r="R80" s="8" t="s">
        <v>45</v>
      </c>
      <c r="S80" s="8" t="s">
        <v>39</v>
      </c>
    </row>
    <row r="81" spans="2:19">
      <c r="B81" s="10"/>
      <c r="C81" s="10" t="s">
        <v>109</v>
      </c>
      <c r="D81" s="10">
        <v>4702080088</v>
      </c>
      <c r="E81" s="10" t="s">
        <v>27</v>
      </c>
      <c r="F81" s="11" t="s">
        <v>80</v>
      </c>
      <c r="G81" s="10" t="s">
        <v>81</v>
      </c>
      <c r="H81" s="10">
        <v>24</v>
      </c>
      <c r="I81" s="10"/>
      <c r="J81" s="10"/>
      <c r="K81" s="16">
        <v>46089</v>
      </c>
      <c r="L81" s="16">
        <v>46117</v>
      </c>
      <c r="M81" s="15">
        <f t="shared" si="2"/>
        <v>0</v>
      </c>
      <c r="N81" s="10"/>
      <c r="O81" s="10"/>
      <c r="P81" s="10"/>
      <c r="Q81" s="10"/>
      <c r="R81" s="10"/>
      <c r="S81" s="10"/>
    </row>
    <row r="82" spans="2:19">
      <c r="B82" s="8"/>
      <c r="C82" s="8" t="s">
        <v>110</v>
      </c>
      <c r="D82" s="8">
        <v>4702080088</v>
      </c>
      <c r="E82" s="8" t="s">
        <v>27</v>
      </c>
      <c r="F82" s="9" t="s">
        <v>73</v>
      </c>
      <c r="G82" s="8" t="s">
        <v>74</v>
      </c>
      <c r="H82" s="8">
        <v>24</v>
      </c>
      <c r="I82" s="8"/>
      <c r="J82" s="8"/>
      <c r="K82" s="14">
        <v>46089</v>
      </c>
      <c r="L82" s="14">
        <v>46117</v>
      </c>
      <c r="M82" s="15">
        <f t="shared" si="2"/>
        <v>0</v>
      </c>
      <c r="N82" s="8"/>
      <c r="O82" s="8"/>
      <c r="P82" s="8"/>
      <c r="Q82" s="8"/>
      <c r="R82" s="8"/>
      <c r="S82" s="8"/>
    </row>
    <row r="83" spans="2:19">
      <c r="B83" s="10" t="s">
        <v>107</v>
      </c>
      <c r="C83" s="10" t="s">
        <v>111</v>
      </c>
      <c r="D83" s="10">
        <v>4702080088</v>
      </c>
      <c r="E83" s="10" t="s">
        <v>27</v>
      </c>
      <c r="F83" s="11" t="s">
        <v>77</v>
      </c>
      <c r="G83" s="10" t="s">
        <v>78</v>
      </c>
      <c r="H83" s="10">
        <v>24</v>
      </c>
      <c r="I83" s="10">
        <v>24</v>
      </c>
      <c r="J83" s="10">
        <v>2</v>
      </c>
      <c r="K83" s="16">
        <v>46089</v>
      </c>
      <c r="L83" s="16">
        <v>46117</v>
      </c>
      <c r="M83" s="15">
        <f t="shared" si="2"/>
        <v>1</v>
      </c>
      <c r="N83" s="10" t="s">
        <v>43</v>
      </c>
      <c r="O83" s="10"/>
      <c r="P83" s="10"/>
      <c r="Q83" s="10"/>
      <c r="R83" s="10"/>
      <c r="S83" s="10"/>
    </row>
    <row r="84" spans="2:19">
      <c r="B84" s="8" t="s">
        <v>107</v>
      </c>
      <c r="C84" s="8" t="s">
        <v>108</v>
      </c>
      <c r="D84" s="8">
        <v>4702080089</v>
      </c>
      <c r="E84" s="8" t="s">
        <v>27</v>
      </c>
      <c r="F84" s="9" t="s">
        <v>70</v>
      </c>
      <c r="G84" s="8" t="s">
        <v>71</v>
      </c>
      <c r="H84" s="8">
        <v>24</v>
      </c>
      <c r="I84" s="8">
        <v>24</v>
      </c>
      <c r="J84" s="8">
        <v>2</v>
      </c>
      <c r="K84" s="14">
        <v>46089</v>
      </c>
      <c r="L84" s="14">
        <v>46117</v>
      </c>
      <c r="M84" s="15">
        <f t="shared" si="2"/>
        <v>1</v>
      </c>
      <c r="N84" s="8" t="s">
        <v>43</v>
      </c>
      <c r="O84" s="8"/>
      <c r="P84" s="8"/>
      <c r="Q84" s="8"/>
      <c r="R84" s="8" t="s">
        <v>45</v>
      </c>
      <c r="S84" s="8" t="s">
        <v>39</v>
      </c>
    </row>
    <row r="85" spans="2:19">
      <c r="B85" s="10"/>
      <c r="C85" s="10" t="s">
        <v>109</v>
      </c>
      <c r="D85" s="10">
        <v>4702080089</v>
      </c>
      <c r="E85" s="10" t="s">
        <v>27</v>
      </c>
      <c r="F85" s="11" t="s">
        <v>80</v>
      </c>
      <c r="G85" s="10" t="s">
        <v>81</v>
      </c>
      <c r="H85" s="10">
        <v>36</v>
      </c>
      <c r="I85" s="10"/>
      <c r="J85" s="10"/>
      <c r="K85" s="16">
        <v>46089</v>
      </c>
      <c r="L85" s="16">
        <v>46117</v>
      </c>
      <c r="M85" s="15">
        <f t="shared" si="2"/>
        <v>0</v>
      </c>
      <c r="N85" s="10"/>
      <c r="O85" s="10"/>
      <c r="P85" s="10"/>
      <c r="Q85" s="10"/>
      <c r="R85" s="10"/>
      <c r="S85" s="10"/>
    </row>
    <row r="86" spans="2:19">
      <c r="B86" s="8"/>
      <c r="C86" s="8" t="s">
        <v>110</v>
      </c>
      <c r="D86" s="8">
        <v>4702080089</v>
      </c>
      <c r="E86" s="8" t="s">
        <v>27</v>
      </c>
      <c r="F86" s="9" t="s">
        <v>73</v>
      </c>
      <c r="G86" s="8" t="s">
        <v>74</v>
      </c>
      <c r="H86" s="8">
        <v>24</v>
      </c>
      <c r="I86" s="8"/>
      <c r="J86" s="8"/>
      <c r="K86" s="14">
        <v>46089</v>
      </c>
      <c r="L86" s="14">
        <v>46117</v>
      </c>
      <c r="M86" s="15">
        <f t="shared" si="2"/>
        <v>0</v>
      </c>
      <c r="N86" s="8"/>
      <c r="O86" s="8"/>
      <c r="P86" s="8"/>
      <c r="Q86" s="8"/>
      <c r="R86" s="8"/>
      <c r="S86" s="8"/>
    </row>
    <row r="87" spans="2:19">
      <c r="B87" s="10" t="s">
        <v>107</v>
      </c>
      <c r="C87" s="10" t="s">
        <v>111</v>
      </c>
      <c r="D87" s="10">
        <v>4702080089</v>
      </c>
      <c r="E87" s="10" t="s">
        <v>27</v>
      </c>
      <c r="F87" s="11" t="s">
        <v>77</v>
      </c>
      <c r="G87" s="10" t="s">
        <v>78</v>
      </c>
      <c r="H87" s="10">
        <v>24</v>
      </c>
      <c r="I87" s="10">
        <v>24</v>
      </c>
      <c r="J87" s="10">
        <v>2</v>
      </c>
      <c r="K87" s="16">
        <v>46089</v>
      </c>
      <c r="L87" s="16">
        <v>46117</v>
      </c>
      <c r="M87" s="15">
        <f t="shared" si="2"/>
        <v>1</v>
      </c>
      <c r="N87" s="10" t="s">
        <v>43</v>
      </c>
      <c r="O87" s="10"/>
      <c r="P87" s="10"/>
      <c r="Q87" s="10"/>
      <c r="R87" s="10"/>
      <c r="S87" s="10"/>
    </row>
    <row r="88" spans="2:19">
      <c r="B88" s="8" t="s">
        <v>107</v>
      </c>
      <c r="C88" s="8" t="s">
        <v>108</v>
      </c>
      <c r="D88" s="8">
        <v>4702080090</v>
      </c>
      <c r="E88" s="8" t="s">
        <v>27</v>
      </c>
      <c r="F88" s="9" t="s">
        <v>70</v>
      </c>
      <c r="G88" s="8" t="s">
        <v>71</v>
      </c>
      <c r="H88" s="8">
        <v>12</v>
      </c>
      <c r="I88" s="8">
        <v>12</v>
      </c>
      <c r="J88" s="8">
        <v>1</v>
      </c>
      <c r="K88" s="14">
        <v>46089</v>
      </c>
      <c r="L88" s="14">
        <v>46117</v>
      </c>
      <c r="M88" s="15">
        <f t="shared" si="2"/>
        <v>1</v>
      </c>
      <c r="N88" s="8" t="s">
        <v>43</v>
      </c>
      <c r="O88" s="8"/>
      <c r="P88" s="8"/>
      <c r="Q88" s="8"/>
      <c r="R88" s="8" t="s">
        <v>45</v>
      </c>
      <c r="S88" s="8" t="s">
        <v>39</v>
      </c>
    </row>
    <row r="89" spans="2:19">
      <c r="B89" s="10"/>
      <c r="C89" s="10" t="s">
        <v>109</v>
      </c>
      <c r="D89" s="10">
        <v>4702080090</v>
      </c>
      <c r="E89" s="10" t="s">
        <v>27</v>
      </c>
      <c r="F89" s="11" t="s">
        <v>80</v>
      </c>
      <c r="G89" s="10" t="s">
        <v>81</v>
      </c>
      <c r="H89" s="10">
        <v>24</v>
      </c>
      <c r="I89" s="10"/>
      <c r="J89" s="10"/>
      <c r="K89" s="16">
        <v>46089</v>
      </c>
      <c r="L89" s="16">
        <v>46117</v>
      </c>
      <c r="M89" s="15">
        <f t="shared" si="2"/>
        <v>0</v>
      </c>
      <c r="N89" s="10"/>
      <c r="O89" s="10"/>
      <c r="P89" s="10"/>
      <c r="Q89" s="10"/>
      <c r="R89" s="10"/>
      <c r="S89" s="10"/>
    </row>
    <row r="90" spans="2:19">
      <c r="B90" s="8"/>
      <c r="C90" s="8" t="s">
        <v>110</v>
      </c>
      <c r="D90" s="8">
        <v>4702080090</v>
      </c>
      <c r="E90" s="8" t="s">
        <v>27</v>
      </c>
      <c r="F90" s="9" t="s">
        <v>73</v>
      </c>
      <c r="G90" s="8" t="s">
        <v>74</v>
      </c>
      <c r="H90" s="8">
        <v>12</v>
      </c>
      <c r="I90" s="8"/>
      <c r="J90" s="8"/>
      <c r="K90" s="14">
        <v>46089</v>
      </c>
      <c r="L90" s="14">
        <v>46117</v>
      </c>
      <c r="M90" s="15">
        <f t="shared" si="2"/>
        <v>0</v>
      </c>
      <c r="N90" s="8"/>
      <c r="O90" s="8"/>
      <c r="P90" s="8"/>
      <c r="Q90" s="8"/>
      <c r="R90" s="8"/>
      <c r="S90" s="8"/>
    </row>
    <row r="91" spans="2:19">
      <c r="B91" s="10" t="s">
        <v>107</v>
      </c>
      <c r="C91" s="10" t="s">
        <v>111</v>
      </c>
      <c r="D91" s="10">
        <v>4702080090</v>
      </c>
      <c r="E91" s="10" t="s">
        <v>27</v>
      </c>
      <c r="F91" s="11" t="s">
        <v>77</v>
      </c>
      <c r="G91" s="10" t="s">
        <v>78</v>
      </c>
      <c r="H91" s="10">
        <v>12</v>
      </c>
      <c r="I91" s="10">
        <v>12</v>
      </c>
      <c r="J91" s="10">
        <v>1</v>
      </c>
      <c r="K91" s="16">
        <v>46089</v>
      </c>
      <c r="L91" s="16">
        <v>46117</v>
      </c>
      <c r="M91" s="15">
        <f t="shared" si="2"/>
        <v>1</v>
      </c>
      <c r="N91" s="10" t="s">
        <v>43</v>
      </c>
      <c r="O91" s="10"/>
      <c r="P91" s="10"/>
      <c r="Q91" s="10"/>
      <c r="R91" s="10"/>
      <c r="S91" s="10"/>
    </row>
    <row r="92" spans="2:19">
      <c r="B92" s="8"/>
      <c r="C92" s="8" t="s">
        <v>109</v>
      </c>
      <c r="D92" s="8">
        <v>4702080091</v>
      </c>
      <c r="E92" s="8" t="s">
        <v>27</v>
      </c>
      <c r="F92" s="9" t="s">
        <v>80</v>
      </c>
      <c r="G92" s="8" t="s">
        <v>81</v>
      </c>
      <c r="H92" s="8">
        <v>12</v>
      </c>
      <c r="I92" s="8"/>
      <c r="J92" s="8"/>
      <c r="K92" s="14">
        <v>46089</v>
      </c>
      <c r="L92" s="14">
        <v>46117</v>
      </c>
      <c r="M92" s="15">
        <f t="shared" si="2"/>
        <v>0</v>
      </c>
      <c r="N92" s="8"/>
      <c r="O92" s="8"/>
      <c r="P92" s="8"/>
      <c r="Q92" s="8"/>
      <c r="R92" s="8"/>
      <c r="S92" s="8"/>
    </row>
    <row r="93" spans="2:19">
      <c r="B93" s="10"/>
      <c r="C93" s="10" t="s">
        <v>23</v>
      </c>
      <c r="D93" s="10">
        <v>4702067318</v>
      </c>
      <c r="E93" s="10" t="s">
        <v>112</v>
      </c>
      <c r="F93" s="11" t="s">
        <v>25</v>
      </c>
      <c r="G93" s="10" t="s">
        <v>26</v>
      </c>
      <c r="H93" s="10">
        <v>35</v>
      </c>
      <c r="I93" s="10"/>
      <c r="J93" s="10"/>
      <c r="K93" s="16">
        <v>46117</v>
      </c>
      <c r="L93" s="16">
        <v>46117</v>
      </c>
      <c r="M93" s="15">
        <f t="shared" si="2"/>
        <v>0</v>
      </c>
      <c r="N93" s="10"/>
      <c r="O93" s="10"/>
      <c r="P93" s="10"/>
      <c r="Q93" s="10"/>
      <c r="R93" s="10"/>
      <c r="S93" s="10"/>
    </row>
    <row r="94" spans="2:19">
      <c r="B94" s="8"/>
      <c r="C94" s="8" t="s">
        <v>23</v>
      </c>
      <c r="D94" s="8">
        <v>4702067319</v>
      </c>
      <c r="E94" s="8" t="s">
        <v>112</v>
      </c>
      <c r="F94" s="9" t="s">
        <v>25</v>
      </c>
      <c r="G94" s="8" t="s">
        <v>26</v>
      </c>
      <c r="H94" s="8">
        <v>101</v>
      </c>
      <c r="I94" s="8"/>
      <c r="J94" s="8"/>
      <c r="K94" s="14">
        <v>46117</v>
      </c>
      <c r="L94" s="14">
        <v>46117</v>
      </c>
      <c r="M94" s="15">
        <f t="shared" si="2"/>
        <v>0</v>
      </c>
      <c r="N94" s="8"/>
      <c r="O94" s="8"/>
      <c r="P94" s="8"/>
      <c r="Q94" s="8"/>
      <c r="R94" s="8"/>
      <c r="S94" s="8"/>
    </row>
    <row r="95" spans="2:19">
      <c r="B95" s="10"/>
      <c r="C95" s="10" t="s">
        <v>23</v>
      </c>
      <c r="D95" s="10">
        <v>4702067320</v>
      </c>
      <c r="E95" s="10" t="s">
        <v>112</v>
      </c>
      <c r="F95" s="11" t="s">
        <v>25</v>
      </c>
      <c r="G95" s="10" t="s">
        <v>26</v>
      </c>
      <c r="H95" s="10">
        <v>105</v>
      </c>
      <c r="I95" s="10"/>
      <c r="J95" s="10"/>
      <c r="K95" s="16">
        <v>46117</v>
      </c>
      <c r="L95" s="16">
        <v>46117</v>
      </c>
      <c r="M95" s="15">
        <f t="shared" si="2"/>
        <v>0</v>
      </c>
      <c r="N95" s="10"/>
      <c r="O95" s="10"/>
      <c r="P95" s="10"/>
      <c r="Q95" s="10"/>
      <c r="R95" s="10"/>
      <c r="S95" s="10"/>
    </row>
    <row r="96" spans="2:19">
      <c r="B96" s="8"/>
      <c r="C96" s="8" t="s">
        <v>29</v>
      </c>
      <c r="D96" s="8">
        <v>4702067324</v>
      </c>
      <c r="E96" s="8" t="s">
        <v>112</v>
      </c>
      <c r="F96" s="9" t="s">
        <v>30</v>
      </c>
      <c r="G96" s="8" t="s">
        <v>31</v>
      </c>
      <c r="H96" s="8">
        <v>290</v>
      </c>
      <c r="I96" s="8"/>
      <c r="J96" s="8"/>
      <c r="K96" s="14">
        <v>46117</v>
      </c>
      <c r="L96" s="14">
        <v>46117</v>
      </c>
      <c r="M96" s="15">
        <f t="shared" si="2"/>
        <v>0</v>
      </c>
      <c r="N96" s="8"/>
      <c r="O96" s="8"/>
      <c r="P96" s="8"/>
      <c r="Q96" s="8"/>
      <c r="R96" s="8"/>
      <c r="S96" s="8"/>
    </row>
    <row r="97" spans="2:19">
      <c r="B97" s="10"/>
      <c r="C97" s="10" t="s">
        <v>29</v>
      </c>
      <c r="D97" s="10">
        <v>4702067325</v>
      </c>
      <c r="E97" s="10" t="s">
        <v>112</v>
      </c>
      <c r="F97" s="11" t="s">
        <v>30</v>
      </c>
      <c r="G97" s="10" t="s">
        <v>31</v>
      </c>
      <c r="H97" s="10">
        <v>149</v>
      </c>
      <c r="I97" s="10"/>
      <c r="J97" s="10"/>
      <c r="K97" s="16">
        <v>46117</v>
      </c>
      <c r="L97" s="16">
        <v>46117</v>
      </c>
      <c r="M97" s="15">
        <f t="shared" si="2"/>
        <v>0</v>
      </c>
      <c r="N97" s="10"/>
      <c r="O97" s="10"/>
      <c r="P97" s="10"/>
      <c r="Q97" s="10"/>
      <c r="R97" s="10"/>
      <c r="S97" s="10"/>
    </row>
    <row r="98" spans="2:19">
      <c r="B98" s="8"/>
      <c r="C98" s="8" t="s">
        <v>29</v>
      </c>
      <c r="D98" s="8">
        <v>4702067326</v>
      </c>
      <c r="E98" s="8" t="s">
        <v>112</v>
      </c>
      <c r="F98" s="9" t="s">
        <v>30</v>
      </c>
      <c r="G98" s="8" t="s">
        <v>31</v>
      </c>
      <c r="H98" s="8">
        <v>765</v>
      </c>
      <c r="I98" s="8"/>
      <c r="J98" s="8"/>
      <c r="K98" s="14">
        <v>46117</v>
      </c>
      <c r="L98" s="14">
        <v>46117</v>
      </c>
      <c r="M98" s="15">
        <f t="shared" si="2"/>
        <v>0</v>
      </c>
      <c r="N98" s="8"/>
      <c r="O98" s="8"/>
      <c r="P98" s="8"/>
      <c r="Q98" s="8"/>
      <c r="R98" s="8"/>
      <c r="S98" s="8"/>
    </row>
    <row r="99" spans="2:19">
      <c r="B99" s="10"/>
      <c r="C99" s="10" t="s">
        <v>60</v>
      </c>
      <c r="D99" s="10">
        <v>4702067333</v>
      </c>
      <c r="E99" s="10" t="s">
        <v>112</v>
      </c>
      <c r="F99" s="11" t="s">
        <v>61</v>
      </c>
      <c r="G99" s="10" t="s">
        <v>62</v>
      </c>
      <c r="H99" s="10">
        <v>141</v>
      </c>
      <c r="I99" s="10">
        <v>141</v>
      </c>
      <c r="J99" s="10">
        <v>9</v>
      </c>
      <c r="K99" s="16">
        <v>46117</v>
      </c>
      <c r="L99" s="16">
        <v>46117</v>
      </c>
      <c r="M99" s="15">
        <f t="shared" si="2"/>
        <v>1</v>
      </c>
      <c r="N99" s="10" t="s">
        <v>43</v>
      </c>
      <c r="O99" s="10"/>
      <c r="P99" s="10"/>
      <c r="Q99" s="10"/>
      <c r="R99" s="10"/>
      <c r="S99" s="10"/>
    </row>
    <row r="100" spans="2:19">
      <c r="B100" s="8"/>
      <c r="C100" s="8" t="s">
        <v>63</v>
      </c>
      <c r="D100" s="8">
        <v>4702067333</v>
      </c>
      <c r="E100" s="8" t="s">
        <v>112</v>
      </c>
      <c r="F100" s="9" t="s">
        <v>64</v>
      </c>
      <c r="G100" s="8" t="s">
        <v>56</v>
      </c>
      <c r="H100" s="8">
        <v>211</v>
      </c>
      <c r="I100" s="8">
        <v>211</v>
      </c>
      <c r="J100" s="8">
        <v>13</v>
      </c>
      <c r="K100" s="14">
        <v>46117</v>
      </c>
      <c r="L100" s="14">
        <v>46117</v>
      </c>
      <c r="M100" s="15">
        <f t="shared" si="2"/>
        <v>1</v>
      </c>
      <c r="N100" s="8" t="s">
        <v>43</v>
      </c>
      <c r="O100" s="8"/>
      <c r="P100" s="8"/>
      <c r="Q100" s="8"/>
      <c r="R100" s="8"/>
      <c r="S100" s="8"/>
    </row>
    <row r="101" spans="2:19">
      <c r="B101" s="10"/>
      <c r="C101" s="10" t="s">
        <v>58</v>
      </c>
      <c r="D101" s="10">
        <v>4702067333</v>
      </c>
      <c r="E101" s="10" t="s">
        <v>112</v>
      </c>
      <c r="F101" s="11" t="s">
        <v>59</v>
      </c>
      <c r="G101" s="10" t="s">
        <v>53</v>
      </c>
      <c r="H101" s="10">
        <v>90</v>
      </c>
      <c r="I101" s="10">
        <v>90</v>
      </c>
      <c r="J101" s="10">
        <v>7</v>
      </c>
      <c r="K101" s="16">
        <v>46117</v>
      </c>
      <c r="L101" s="16">
        <v>46117</v>
      </c>
      <c r="M101" s="15">
        <f t="shared" si="2"/>
        <v>1</v>
      </c>
      <c r="N101" s="10" t="s">
        <v>43</v>
      </c>
      <c r="O101" s="10"/>
      <c r="P101" s="10"/>
      <c r="Q101" s="10"/>
      <c r="R101" s="10"/>
      <c r="S101" s="10"/>
    </row>
    <row r="102" spans="2:19">
      <c r="B102" s="8"/>
      <c r="C102" s="8" t="s">
        <v>65</v>
      </c>
      <c r="D102" s="8">
        <v>4702067336</v>
      </c>
      <c r="E102" s="8" t="s">
        <v>112</v>
      </c>
      <c r="F102" s="9" t="s">
        <v>66</v>
      </c>
      <c r="G102" s="8" t="s">
        <v>42</v>
      </c>
      <c r="H102" s="8">
        <v>35</v>
      </c>
      <c r="I102" s="8">
        <v>35</v>
      </c>
      <c r="J102" s="8">
        <v>3</v>
      </c>
      <c r="K102" s="14">
        <v>46117</v>
      </c>
      <c r="L102" s="14">
        <v>46117</v>
      </c>
      <c r="M102" s="15">
        <f t="shared" si="2"/>
        <v>1</v>
      </c>
      <c r="N102" s="8" t="s">
        <v>43</v>
      </c>
      <c r="O102" s="8"/>
      <c r="P102" s="8"/>
      <c r="Q102" s="8"/>
      <c r="R102" s="8"/>
      <c r="S102" s="8"/>
    </row>
    <row r="103" spans="2:19">
      <c r="B103" s="10"/>
      <c r="C103" s="10" t="s">
        <v>113</v>
      </c>
      <c r="D103" s="10">
        <v>4702095844</v>
      </c>
      <c r="E103" s="10" t="s">
        <v>27</v>
      </c>
      <c r="F103" s="12">
        <v>710967632002</v>
      </c>
      <c r="G103" s="10" t="s">
        <v>114</v>
      </c>
      <c r="H103" s="10">
        <v>3760</v>
      </c>
      <c r="I103" s="10"/>
      <c r="J103" s="10"/>
      <c r="K103" s="16">
        <v>46117</v>
      </c>
      <c r="L103" s="16">
        <v>46117</v>
      </c>
      <c r="M103" s="15">
        <f t="shared" si="2"/>
        <v>0</v>
      </c>
      <c r="N103" s="10"/>
      <c r="O103" s="10"/>
      <c r="P103" s="10"/>
      <c r="Q103" s="10"/>
      <c r="R103" s="10"/>
      <c r="S103" s="10"/>
    </row>
    <row r="104" spans="2:19">
      <c r="B104" s="8"/>
      <c r="C104" s="8" t="s">
        <v>115</v>
      </c>
      <c r="D104" s="8">
        <v>4702095844</v>
      </c>
      <c r="E104" s="8" t="s">
        <v>27</v>
      </c>
      <c r="F104" s="13">
        <v>710967632005</v>
      </c>
      <c r="G104" s="8" t="s">
        <v>116</v>
      </c>
      <c r="H104" s="8">
        <v>3760</v>
      </c>
      <c r="I104" s="8"/>
      <c r="J104" s="8"/>
      <c r="K104" s="14">
        <v>46117</v>
      </c>
      <c r="L104" s="14">
        <v>46117</v>
      </c>
      <c r="M104" s="15">
        <f t="shared" si="2"/>
        <v>0</v>
      </c>
      <c r="N104" s="8"/>
      <c r="O104" s="8"/>
      <c r="P104" s="8"/>
      <c r="Q104" s="8"/>
      <c r="R104" s="8"/>
      <c r="S104" s="8"/>
    </row>
    <row r="105" spans="2:19">
      <c r="B105" s="10"/>
      <c r="C105" s="10" t="s">
        <v>117</v>
      </c>
      <c r="D105" s="10">
        <v>4702095844</v>
      </c>
      <c r="E105" s="10" t="s">
        <v>27</v>
      </c>
      <c r="F105" s="12">
        <v>710967632010</v>
      </c>
      <c r="G105" s="10" t="s">
        <v>118</v>
      </c>
      <c r="H105" s="10">
        <v>2820</v>
      </c>
      <c r="I105" s="10"/>
      <c r="J105" s="10"/>
      <c r="K105" s="16">
        <v>46117</v>
      </c>
      <c r="L105" s="16">
        <v>46117</v>
      </c>
      <c r="M105" s="15">
        <f t="shared" si="2"/>
        <v>0</v>
      </c>
      <c r="N105" s="10"/>
      <c r="O105" s="10"/>
      <c r="P105" s="10"/>
      <c r="Q105" s="10"/>
      <c r="R105" s="10"/>
      <c r="S105" s="10"/>
    </row>
    <row r="106" spans="2:19">
      <c r="B106" s="8"/>
      <c r="C106" s="8" t="s">
        <v>113</v>
      </c>
      <c r="D106" s="8">
        <v>4702095845</v>
      </c>
      <c r="E106" s="8" t="s">
        <v>28</v>
      </c>
      <c r="F106" s="13">
        <v>710967632002</v>
      </c>
      <c r="G106" s="8" t="s">
        <v>114</v>
      </c>
      <c r="H106" s="8">
        <v>240</v>
      </c>
      <c r="I106" s="8"/>
      <c r="J106" s="8"/>
      <c r="K106" s="14">
        <v>46117</v>
      </c>
      <c r="L106" s="14">
        <v>46117</v>
      </c>
      <c r="M106" s="15">
        <f t="shared" si="2"/>
        <v>0</v>
      </c>
      <c r="N106" s="8"/>
      <c r="O106" s="8"/>
      <c r="P106" s="8"/>
      <c r="Q106" s="8"/>
      <c r="R106" s="8"/>
      <c r="S106" s="8"/>
    </row>
    <row r="107" spans="2:19">
      <c r="B107" s="10"/>
      <c r="C107" s="10" t="s">
        <v>115</v>
      </c>
      <c r="D107" s="10">
        <v>4702095845</v>
      </c>
      <c r="E107" s="10" t="s">
        <v>28</v>
      </c>
      <c r="F107" s="12">
        <v>710967632005</v>
      </c>
      <c r="G107" s="10" t="s">
        <v>116</v>
      </c>
      <c r="H107" s="10">
        <v>240</v>
      </c>
      <c r="I107" s="10"/>
      <c r="J107" s="10"/>
      <c r="K107" s="16">
        <v>46117</v>
      </c>
      <c r="L107" s="16">
        <v>46117</v>
      </c>
      <c r="M107" s="15">
        <f t="shared" si="2"/>
        <v>0</v>
      </c>
      <c r="N107" s="10"/>
      <c r="O107" s="10"/>
      <c r="P107" s="10"/>
      <c r="Q107" s="10"/>
      <c r="R107" s="10"/>
      <c r="S107" s="10"/>
    </row>
    <row r="108" spans="2:19">
      <c r="B108" s="8"/>
      <c r="C108" s="8" t="s">
        <v>117</v>
      </c>
      <c r="D108" s="8">
        <v>4702095845</v>
      </c>
      <c r="E108" s="8" t="s">
        <v>28</v>
      </c>
      <c r="F108" s="13">
        <v>710967632010</v>
      </c>
      <c r="G108" s="8" t="s">
        <v>118</v>
      </c>
      <c r="H108" s="8">
        <v>180</v>
      </c>
      <c r="I108" s="8"/>
      <c r="J108" s="8"/>
      <c r="K108" s="14">
        <v>46117</v>
      </c>
      <c r="L108" s="14">
        <v>46117</v>
      </c>
      <c r="M108" s="15">
        <f t="shared" si="2"/>
        <v>0</v>
      </c>
      <c r="N108" s="8"/>
      <c r="O108" s="8"/>
      <c r="P108" s="8"/>
      <c r="Q108" s="8"/>
      <c r="R108" s="8"/>
      <c r="S108" s="8"/>
    </row>
  </sheetData>
  <autoFilter xmlns:etc="http://www.wps.cn/officeDocument/2017/etCustomData" ref="B7:S108" etc:filterBottomFollowUsedRange="0">
    <extLst/>
  </autoFilter>
  <mergeCells count="1">
    <mergeCell ref="B2:H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Upcoming Shipments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Laguna lg</cp:lastModifiedBy>
  <cp:revision>0</cp:revision>
  <dcterms:created xsi:type="dcterms:W3CDTF">2026-02-19T07:36:00Z</dcterms:created>
  <dcterms:modified xsi:type="dcterms:W3CDTF">2026-02-25T16:48:51Z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592A8AC709F74ACE9BC62C4DF98760DB_13</vt:lpwstr>
  </property>
  <property fmtid="{D5CDD505-2E9C-101B-9397-08002B2CF9AE}" pid="3" name="KSOProductBuildVer">
    <vt:lpwstr>1033-12.2.0.23155</vt:lpwstr>
  </property>
</Properties>
</file>