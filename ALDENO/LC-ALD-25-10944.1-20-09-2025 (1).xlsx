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 tabRatio="739" firstSheet="4" activeTab="4"/>
  </bookViews>
  <sheets>
    <sheet name="10944-(Bbinos-659)" sheetId="47" state="hidden" r:id="rId1"/>
    <sheet name="Bbinos-503" sheetId="55" state="hidden" r:id="rId2"/>
    <sheet name="Bbinos-375" sheetId="54" state="hidden" r:id="rId3"/>
    <sheet name="10944-(Bbinos-046)" sheetId="48" state="hidden" r:id="rId4"/>
    <sheet name="10944-(Bbinos-325) " sheetId="56" r:id="rId5"/>
    <sheet name="10944-(Bbinos-411)" sheetId="57" r:id="rId6"/>
    <sheet name="CUT QTY" sheetId="27" state="hidden" r:id="rId7"/>
  </sheets>
  <definedNames>
    <definedName name="_xlnm._FilterDatabase" localSheetId="3" hidden="1">'10944-(Bbinos-046)'!$A$19:$Q$26</definedName>
    <definedName name="_xlnm._FilterDatabase" localSheetId="4" hidden="1">'10944-(Bbinos-325) '!$A$19:$Q$28</definedName>
    <definedName name="_xlnm._FilterDatabase" localSheetId="5" hidden="1">'10944-(Bbinos-411)'!$A$19:$Q$28</definedName>
    <definedName name="_xlnm._FilterDatabase" localSheetId="0" hidden="1">'10944-(Bbinos-659)'!$A$19:$Q$28</definedName>
    <definedName name="_xlnm._FilterDatabase" localSheetId="2" hidden="1">'Bbinos-375'!$A$19:$Q$29</definedName>
    <definedName name="_xlnm._FilterDatabase" localSheetId="1" hidden="1">'Bbinos-503'!$A$19:$Q$27</definedName>
    <definedName name="_xlnm.Print_Area" localSheetId="3">'10944-(Bbinos-046)'!$A$1:$R$37</definedName>
    <definedName name="_xlnm.Print_Area" localSheetId="4">'10944-(Bbinos-325) '!$A$1:$R$39</definedName>
    <definedName name="_xlnm.Print_Area" localSheetId="5">'10944-(Bbinos-411)'!$A$1:$R$39</definedName>
    <definedName name="_xlnm.Print_Area" localSheetId="0">'10944-(Bbinos-659)'!$A$1:$R$39</definedName>
    <definedName name="_xlnm.Print_Area" localSheetId="2">'Bbinos-375'!$A$1:$R$40</definedName>
    <definedName name="_xlnm.Print_Area" localSheetId="1">'Bbinos-503'!$A$1:$R$38</definedName>
    <definedName name="_xlnm.Print_Area" localSheetId="6">'CUT QTY'!#REF!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<sst xmlns="http://schemas.openxmlformats.org/spreadsheetml/2006/main" count="498" uniqueCount="70">
  <si>
    <t>ALDENO PACKING LIST</t>
  </si>
  <si>
    <t>Exporter</t>
  </si>
  <si>
    <t>M/S. LAGUNA CLOTHING  PVT. LTD.</t>
  </si>
  <si>
    <t>#143/2 KALEGOWDANA DODDI</t>
  </si>
  <si>
    <t>SHIVANAHALLI POST NH 209</t>
  </si>
  <si>
    <t>SATHNUR HOBLI KANAKAPURA TALUK</t>
  </si>
  <si>
    <t>RAMANAGARA DISTRICT</t>
  </si>
  <si>
    <t>Style Name</t>
  </si>
  <si>
    <t>:</t>
  </si>
  <si>
    <t>AM-OS-1</t>
  </si>
  <si>
    <t>Aldeno 9-BARI</t>
  </si>
  <si>
    <t>PRODUCT ID</t>
  </si>
  <si>
    <t>CORNO</t>
  </si>
  <si>
    <t>DESCRIPTION</t>
  </si>
  <si>
    <t>LC/ALD/25/10944.1</t>
  </si>
  <si>
    <t>TOTAL QTY</t>
  </si>
  <si>
    <t xml:space="preserve">TOTAL NO OF CARTONS </t>
  </si>
  <si>
    <t>CARTON DIM</t>
  </si>
  <si>
    <t>74*48*21 CMS</t>
  </si>
  <si>
    <t>MRP</t>
  </si>
  <si>
    <t>RS</t>
  </si>
  <si>
    <t>CTN No</t>
  </si>
  <si>
    <t xml:space="preserve">COLOR </t>
  </si>
  <si>
    <t>XS</t>
  </si>
  <si>
    <t>S</t>
  </si>
  <si>
    <t>M</t>
  </si>
  <si>
    <t>L</t>
  </si>
  <si>
    <t>XL</t>
  </si>
  <si>
    <t>2XL</t>
  </si>
  <si>
    <t>3XL</t>
  </si>
  <si>
    <t>NO OF PCS /CTN</t>
  </si>
  <si>
    <t>Total CTN</t>
  </si>
  <si>
    <t>Total Qnty</t>
  </si>
  <si>
    <t>N.WT</t>
  </si>
  <si>
    <t>G.WT</t>
  </si>
  <si>
    <t>Bbinos-659</t>
  </si>
  <si>
    <t>TOTAL</t>
  </si>
  <si>
    <t>SUMMARY</t>
  </si>
  <si>
    <t>COLOR</t>
  </si>
  <si>
    <t>%</t>
  </si>
  <si>
    <t xml:space="preserve">TOTAL </t>
  </si>
  <si>
    <t>O.QTY</t>
  </si>
  <si>
    <t>CUT QTY</t>
  </si>
  <si>
    <t>SHIP QTY</t>
  </si>
  <si>
    <t>BAL.QTY</t>
  </si>
  <si>
    <t>FINAL-13-08-2025</t>
  </si>
  <si>
    <t>AM-OS-12</t>
  </si>
  <si>
    <t>CODIC</t>
  </si>
  <si>
    <t>Bbinos-503</t>
  </si>
  <si>
    <t>REVISED-14-08-2025</t>
  </si>
  <si>
    <t>WFX QTY</t>
  </si>
  <si>
    <t>DIFF</t>
  </si>
  <si>
    <t>CITRO</t>
  </si>
  <si>
    <t>Bbinos-375</t>
  </si>
  <si>
    <t>COMPO</t>
  </si>
  <si>
    <t>Bbinos-046</t>
  </si>
  <si>
    <t>Bbinos-325</t>
  </si>
  <si>
    <t>FINAL-20-09-2025</t>
  </si>
  <si>
    <t>XXL</t>
  </si>
  <si>
    <t>XXXL</t>
  </si>
  <si>
    <t>C.QTY</t>
  </si>
  <si>
    <t>PKD QTY</t>
  </si>
  <si>
    <t>BAL</t>
  </si>
  <si>
    <t>WITH OUT BARCODE</t>
  </si>
  <si>
    <t>WEIGHT</t>
  </si>
  <si>
    <t>GW</t>
  </si>
  <si>
    <t>MT</t>
  </si>
  <si>
    <t>NTW</t>
  </si>
  <si>
    <t>PCS/CTN</t>
  </si>
  <si>
    <t>PCS 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</si>
</sst>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(* #,##0.00_);_(* \(#,##0.00\);_(* &quot;-&quot;??_);_(@_)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0"/>
    <numFmt numFmtId="181" formatCode="d\/m"/>
    <numFmt numFmtId="182" formatCode="dd/mm/yyyy"/>
    <numFmt numFmtId="183" formatCode="0.0"/>
  </numFmts>
  <fonts count="35">
    <font>
      <sz val="10"/>
      <name val="Arial"/>
      <charset val="134"/>
    </font>
    <font>
      <b/>
      <sz val="10"/>
      <name val="Arial"/>
      <charset val="134"/>
    </font>
    <font>
      <u/>
      <sz val="10"/>
      <name val="Arial"/>
      <charset val="134"/>
    </font>
    <font>
      <sz val="18"/>
      <name val="Albertus Medium"/>
      <charset val="134"/>
    </font>
    <font>
      <sz val="11"/>
      <name val="Calibri"/>
      <charset val="134"/>
      <scheme val="minor"/>
    </font>
    <font>
      <u/>
      <sz val="10"/>
      <name val="Arial Narrow"/>
      <charset val="134"/>
    </font>
    <font>
      <sz val="10"/>
      <name val="Arial Narrow"/>
      <charset val="134"/>
    </font>
    <font>
      <b/>
      <u/>
      <sz val="10"/>
      <name val="Arial"/>
      <charset val="134"/>
    </font>
    <font>
      <b/>
      <u/>
      <sz val="10"/>
      <name val="Arial Narrow"/>
      <charset val="134"/>
    </font>
    <font>
      <sz val="9"/>
      <name val="Arial"/>
      <charset val="134"/>
    </font>
    <font>
      <b/>
      <sz val="11"/>
      <name val="Arial"/>
      <charset val="134"/>
    </font>
    <font>
      <sz val="10"/>
      <color indexed="10"/>
      <name val="Arial"/>
      <charset val="134"/>
    </font>
    <font>
      <b/>
      <sz val="8"/>
      <name val="Arial"/>
      <charset val="134"/>
    </font>
    <font>
      <sz val="10"/>
      <color theme="1"/>
      <name val="Arial"/>
      <charset val="134"/>
    </font>
    <font>
      <b/>
      <sz val="10"/>
      <color rgb="FFFF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/>
    <xf numFmtId="177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6" borderId="4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8" applyNumberFormat="0" applyFill="0" applyAlignment="0" applyProtection="0">
      <alignment vertical="center"/>
    </xf>
    <xf numFmtId="0" fontId="22" fillId="0" borderId="48" applyNumberFormat="0" applyFill="0" applyAlignment="0" applyProtection="0">
      <alignment vertical="center"/>
    </xf>
    <xf numFmtId="0" fontId="23" fillId="0" borderId="4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50" applyNumberFormat="0" applyAlignment="0" applyProtection="0">
      <alignment vertical="center"/>
    </xf>
    <xf numFmtId="0" fontId="25" fillId="8" borderId="51" applyNumberFormat="0" applyAlignment="0" applyProtection="0">
      <alignment vertical="center"/>
    </xf>
    <xf numFmtId="0" fontId="26" fillId="8" borderId="50" applyNumberFormat="0" applyAlignment="0" applyProtection="0">
      <alignment vertical="center"/>
    </xf>
    <xf numFmtId="0" fontId="27" fillId="9" borderId="52" applyNumberFormat="0" applyAlignment="0" applyProtection="0">
      <alignment vertical="center"/>
    </xf>
    <xf numFmtId="0" fontId="28" fillId="0" borderId="53" applyNumberFormat="0" applyFill="0" applyAlignment="0" applyProtection="0">
      <alignment vertical="center"/>
    </xf>
    <xf numFmtId="0" fontId="29" fillId="0" borderId="54" applyNumberFormat="0" applyFill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161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0" xfId="0" applyFont="1" applyBorder="1" applyAlignment="1">
      <alignment horizontal="center"/>
    </xf>
    <xf numFmtId="2" fontId="0" fillId="0" borderId="11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80" fontId="0" fillId="0" borderId="9" xfId="0" applyNumberFormat="1" applyBorder="1" applyAlignment="1">
      <alignment horizontal="center" vertical="center"/>
    </xf>
    <xf numFmtId="180" fontId="0" fillId="0" borderId="14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15" xfId="0" applyFont="1" applyBorder="1" applyAlignment="1">
      <alignment horizont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80" fontId="0" fillId="0" borderId="18" xfId="0" applyNumberFormat="1" applyBorder="1" applyAlignment="1">
      <alignment horizontal="center" vertical="center"/>
    </xf>
    <xf numFmtId="0" fontId="0" fillId="3" borderId="0" xfId="0" applyFill="1"/>
    <xf numFmtId="0" fontId="2" fillId="3" borderId="0" xfId="0" applyFont="1" applyFill="1"/>
    <xf numFmtId="0" fontId="0" fillId="3" borderId="0" xfId="0" applyFill="1" applyAlignment="1">
      <alignment horizontal="center"/>
    </xf>
    <xf numFmtId="0" fontId="0" fillId="0" borderId="0" xfId="0" applyAlignment="1">
      <alignment horizontal="left"/>
    </xf>
    <xf numFmtId="0" fontId="3" fillId="0" borderId="19" xfId="0" applyFont="1" applyBorder="1" applyAlignment="1">
      <alignment horizontal="center" vertical="center"/>
    </xf>
    <xf numFmtId="0" fontId="0" fillId="3" borderId="20" xfId="0" applyFill="1" applyBorder="1" applyAlignment="1">
      <alignment horizontal="left" vertical="top"/>
    </xf>
    <xf numFmtId="0" fontId="0" fillId="3" borderId="21" xfId="0" applyFill="1" applyBorder="1" applyAlignment="1">
      <alignment horizontal="left"/>
    </xf>
    <xf numFmtId="0" fontId="0" fillId="3" borderId="21" xfId="0" applyFill="1" applyBorder="1"/>
    <xf numFmtId="0" fontId="0" fillId="3" borderId="20" xfId="0" applyFill="1" applyBorder="1"/>
    <xf numFmtId="0" fontId="4" fillId="0" borderId="22" xfId="0" applyFont="1" applyBorder="1"/>
    <xf numFmtId="0" fontId="0" fillId="3" borderId="0" xfId="0" applyFill="1" applyAlignment="1">
      <alignment horizontal="left"/>
    </xf>
    <xf numFmtId="0" fontId="4" fillId="0" borderId="23" xfId="1" applyNumberFormat="1" applyFont="1" applyBorder="1" applyAlignment="1" applyProtection="1">
      <alignment horizontal="left" wrapText="1"/>
    </xf>
    <xf numFmtId="0" fontId="4" fillId="0" borderId="22" xfId="0" applyFont="1" applyBorder="1" applyAlignment="1">
      <alignment horizontal="left"/>
    </xf>
    <xf numFmtId="0" fontId="0" fillId="3" borderId="24" xfId="0" applyFill="1" applyBorder="1" applyAlignment="1">
      <alignment horizontal="left" vertical="top"/>
    </xf>
    <xf numFmtId="0" fontId="0" fillId="3" borderId="19" xfId="0" applyFill="1" applyBorder="1" applyAlignment="1">
      <alignment horizontal="left"/>
    </xf>
    <xf numFmtId="0" fontId="0" fillId="3" borderId="19" xfId="0" applyFill="1" applyBorder="1"/>
    <xf numFmtId="0" fontId="0" fillId="3" borderId="24" xfId="0" applyFill="1" applyBorder="1"/>
    <xf numFmtId="0" fontId="0" fillId="3" borderId="24" xfId="0" applyFill="1" applyBorder="1" applyAlignment="1">
      <alignment horizontal="left"/>
    </xf>
    <xf numFmtId="0" fontId="0" fillId="3" borderId="20" xfId="0" applyFill="1" applyBorder="1" applyAlignment="1">
      <alignment horizontal="left"/>
    </xf>
    <xf numFmtId="0" fontId="0" fillId="0" borderId="21" xfId="0" applyBorder="1" applyAlignment="1">
      <alignment horizontal="left" vertical="center"/>
    </xf>
    <xf numFmtId="0" fontId="0" fillId="3" borderId="23" xfId="0" applyFill="1" applyBorder="1" applyAlignment="1">
      <alignment horizontal="left"/>
    </xf>
    <xf numFmtId="0" fontId="0" fillId="4" borderId="0" xfId="0" applyFill="1" applyAlignment="1">
      <alignment horizontal="left"/>
    </xf>
    <xf numFmtId="181" fontId="0" fillId="3" borderId="0" xfId="0" applyNumberFormat="1" applyFill="1"/>
    <xf numFmtId="1" fontId="0" fillId="3" borderId="0" xfId="0" applyNumberFormat="1" applyFill="1" applyAlignment="1">
      <alignment horizontal="left"/>
    </xf>
    <xf numFmtId="2" fontId="0" fillId="2" borderId="0" xfId="0" applyNumberFormat="1" applyFill="1" applyAlignment="1">
      <alignment horizontal="left"/>
    </xf>
    <xf numFmtId="2" fontId="0" fillId="3" borderId="19" xfId="0" applyNumberFormat="1" applyFill="1" applyBorder="1" applyAlignment="1">
      <alignment horizontal="left"/>
    </xf>
    <xf numFmtId="0" fontId="2" fillId="3" borderId="21" xfId="0" applyFont="1" applyFill="1" applyBorder="1" applyAlignment="1">
      <alignment horizontal="left"/>
    </xf>
    <xf numFmtId="0" fontId="5" fillId="3" borderId="21" xfId="0" applyFont="1" applyFill="1" applyBorder="1" applyAlignment="1">
      <alignment horizontal="left"/>
    </xf>
    <xf numFmtId="0" fontId="0" fillId="3" borderId="23" xfId="0" applyFill="1" applyBorder="1"/>
    <xf numFmtId="0" fontId="6" fillId="3" borderId="0" xfId="0" applyFont="1" applyFill="1"/>
    <xf numFmtId="0" fontId="7" fillId="3" borderId="25" xfId="0" applyFont="1" applyFill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49" fontId="7" fillId="3" borderId="26" xfId="0" applyNumberFormat="1" applyFont="1" applyFill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2" xfId="0" applyNumberFormat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1" fontId="10" fillId="0" borderId="30" xfId="0" applyNumberFormat="1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19" xfId="0" applyBorder="1" applyAlignment="1">
      <alignment horizontal="center"/>
    </xf>
    <xf numFmtId="0" fontId="7" fillId="3" borderId="30" xfId="0" applyFont="1" applyFill="1" applyBorder="1"/>
    <xf numFmtId="0" fontId="0" fillId="0" borderId="31" xfId="0" applyBorder="1"/>
    <xf numFmtId="0" fontId="1" fillId="0" borderId="30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7" fillId="3" borderId="30" xfId="0" applyFont="1" applyFill="1" applyBorder="1" applyAlignment="1">
      <alignment horizontal="center" vertical="center"/>
    </xf>
    <xf numFmtId="0" fontId="7" fillId="3" borderId="31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49" fontId="7" fillId="3" borderId="10" xfId="0" applyNumberFormat="1" applyFont="1" applyFill="1" applyBorder="1" applyAlignment="1">
      <alignment horizontal="center" vertical="center"/>
    </xf>
    <xf numFmtId="49" fontId="7" fillId="3" borderId="3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1" fontId="0" fillId="0" borderId="36" xfId="0" applyNumberForma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7" xfId="0" applyBorder="1" applyAlignment="1">
      <alignment horizontal="center"/>
    </xf>
    <xf numFmtId="2" fontId="0" fillId="0" borderId="37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2" xfId="0" applyFill="1" applyBorder="1"/>
    <xf numFmtId="0" fontId="0" fillId="3" borderId="21" xfId="0" applyFill="1" applyBorder="1" applyAlignment="1">
      <alignment horizontal="center"/>
    </xf>
    <xf numFmtId="49" fontId="0" fillId="3" borderId="21" xfId="0" applyNumberFormat="1" applyFill="1" applyBorder="1"/>
    <xf numFmtId="0" fontId="0" fillId="3" borderId="21" xfId="0" applyFill="1" applyBorder="1" applyAlignment="1">
      <alignment horizontal="right"/>
    </xf>
    <xf numFmtId="182" fontId="0" fillId="3" borderId="39" xfId="0" applyNumberFormat="1" applyFill="1" applyBorder="1"/>
    <xf numFmtId="0" fontId="4" fillId="0" borderId="0" xfId="1" applyNumberFormat="1" applyFont="1" applyBorder="1" applyAlignment="1" applyProtection="1">
      <alignment horizontal="left" wrapText="1"/>
    </xf>
    <xf numFmtId="0" fontId="11" fillId="3" borderId="0" xfId="0" applyFont="1" applyFill="1"/>
    <xf numFmtId="49" fontId="0" fillId="3" borderId="0" xfId="0" applyNumberFormat="1" applyFill="1"/>
    <xf numFmtId="0" fontId="0" fillId="3" borderId="40" xfId="0" applyFill="1" applyBorder="1"/>
    <xf numFmtId="0" fontId="0" fillId="3" borderId="19" xfId="0" applyFill="1" applyBorder="1" applyAlignment="1">
      <alignment horizontal="center"/>
    </xf>
    <xf numFmtId="49" fontId="0" fillId="3" borderId="19" xfId="0" applyNumberFormat="1" applyFill="1" applyBorder="1"/>
    <xf numFmtId="0" fontId="0" fillId="3" borderId="41" xfId="0" applyFill="1" applyBorder="1"/>
    <xf numFmtId="0" fontId="0" fillId="0" borderId="39" xfId="0" applyBorder="1" applyAlignment="1">
      <alignment horizontal="left" vertical="center"/>
    </xf>
    <xf numFmtId="0" fontId="10" fillId="4" borderId="0" xfId="0" applyFont="1" applyFill="1" applyAlignment="1">
      <alignment horizontal="center" vertical="center"/>
    </xf>
    <xf numFmtId="0" fontId="10" fillId="4" borderId="40" xfId="0" applyFont="1" applyFill="1" applyBorder="1" applyAlignment="1">
      <alignment horizontal="center" vertical="center"/>
    </xf>
    <xf numFmtId="0" fontId="0" fillId="3" borderId="39" xfId="0" applyFill="1" applyBorder="1"/>
    <xf numFmtId="0" fontId="7" fillId="3" borderId="26" xfId="0" applyFont="1" applyFill="1" applyBorder="1" applyAlignment="1">
      <alignment horizontal="center" vertical="center" wrapText="1"/>
    </xf>
    <xf numFmtId="0" fontId="7" fillId="3" borderId="42" xfId="0" applyFont="1" applyFill="1" applyBorder="1" applyAlignment="1">
      <alignment horizontal="center" vertical="center"/>
    </xf>
    <xf numFmtId="2" fontId="10" fillId="3" borderId="3" xfId="0" applyNumberFormat="1" applyFont="1" applyFill="1" applyBorder="1" applyAlignment="1">
      <alignment horizontal="center" vertical="center"/>
    </xf>
    <xf numFmtId="2" fontId="10" fillId="3" borderId="15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10" fillId="0" borderId="31" xfId="0" applyNumberFormat="1" applyFont="1" applyBorder="1" applyAlignment="1">
      <alignment horizontal="center" vertical="center"/>
    </xf>
    <xf numFmtId="2" fontId="10" fillId="0" borderId="32" xfId="0" applyNumberFormat="1" applyFont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0" fillId="0" borderId="32" xfId="0" applyBorder="1"/>
    <xf numFmtId="0" fontId="7" fillId="3" borderId="3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7" fillId="3" borderId="43" xfId="0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0" borderId="40" xfId="0" applyBorder="1" applyAlignment="1">
      <alignment horizontal="center"/>
    </xf>
    <xf numFmtId="0" fontId="0" fillId="0" borderId="44" xfId="0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2" fontId="0" fillId="0" borderId="39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2" fontId="0" fillId="0" borderId="40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2" fontId="1" fillId="0" borderId="23" xfId="0" applyNumberFormat="1" applyFont="1" applyFill="1" applyBorder="1" applyAlignment="1">
      <alignment horizontal="center" vertical="center"/>
    </xf>
    <xf numFmtId="2" fontId="1" fillId="0" borderId="0" xfId="0" applyNumberFormat="1" applyFont="1" applyFill="1" applyBorder="1" applyAlignment="1">
      <alignment horizontal="center" vertical="center"/>
    </xf>
    <xf numFmtId="182" fontId="0" fillId="0" borderId="0" xfId="0" applyNumberFormat="1" applyAlignment="1">
      <alignment vertical="top"/>
    </xf>
    <xf numFmtId="2" fontId="0" fillId="0" borderId="41" xfId="0" applyNumberFormat="1" applyBorder="1" applyAlignment="1">
      <alignment horizontal="center" vertical="center"/>
    </xf>
    <xf numFmtId="2" fontId="1" fillId="5" borderId="23" xfId="0" applyNumberFormat="1" applyFont="1" applyFill="1" applyBorder="1" applyAlignment="1">
      <alignment horizontal="center" vertical="center"/>
    </xf>
    <xf numFmtId="2" fontId="1" fillId="5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left"/>
    </xf>
    <xf numFmtId="0" fontId="13" fillId="3" borderId="0" xfId="0" applyFont="1" applyFill="1"/>
    <xf numFmtId="2" fontId="0" fillId="0" borderId="0" xfId="0" applyNumberFormat="1" applyAlignment="1">
      <alignment horizontal="center"/>
    </xf>
    <xf numFmtId="180" fontId="0" fillId="0" borderId="0" xfId="0" applyNumberFormat="1"/>
    <xf numFmtId="0" fontId="13" fillId="0" borderId="0" xfId="0" applyFont="1"/>
    <xf numFmtId="182" fontId="13" fillId="0" borderId="0" xfId="0" applyNumberFormat="1" applyFont="1" applyAlignment="1">
      <alignment horizontal="left"/>
    </xf>
    <xf numFmtId="2" fontId="14" fillId="0" borderId="23" xfId="0" applyNumberFormat="1" applyFont="1" applyFill="1" applyBorder="1" applyAlignment="1">
      <alignment horizontal="center" vertical="center"/>
    </xf>
    <xf numFmtId="2" fontId="14" fillId="0" borderId="0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2" fontId="1" fillId="2" borderId="23" xfId="0" applyNumberFormat="1" applyFont="1" applyFill="1" applyBorder="1" applyAlignment="1">
      <alignment horizontal="center" vertical="center"/>
    </xf>
    <xf numFmtId="2" fontId="1" fillId="2" borderId="0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" fillId="0" borderId="46" xfId="0" applyFont="1" applyFill="1" applyBorder="1" applyAlignment="1">
      <alignment horizontal="center" vertical="center"/>
    </xf>
    <xf numFmtId="183" fontId="0" fillId="0" borderId="0" xfId="0" applyNumberFormat="1" applyAlignment="1">
      <alignment horizont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0,0_x000d__x000a_NA_x000d__x000a_" xfId="49"/>
    <cellStyle name="Normal 2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219075</xdr:colOff>
      <xdr:row>0</xdr:row>
      <xdr:rowOff>0</xdr:rowOff>
    </xdr:from>
    <xdr:to>
      <xdr:col>13</xdr:col>
      <xdr:colOff>334210</xdr:colOff>
      <xdr:row>15</xdr:row>
      <xdr:rowOff>57497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62300" y="0"/>
          <a:ext cx="5982335" cy="2486025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0</xdr:row>
      <xdr:rowOff>0</xdr:rowOff>
    </xdr:from>
    <xdr:to>
      <xdr:col>27</xdr:col>
      <xdr:colOff>448479</xdr:colOff>
      <xdr:row>14</xdr:row>
      <xdr:rowOff>114632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896725" y="0"/>
          <a:ext cx="5763260" cy="238125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28</xdr:col>
      <xdr:colOff>533400</xdr:colOff>
      <xdr:row>37</xdr:row>
      <xdr:rowOff>114300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411075" y="4267200"/>
          <a:ext cx="5934075" cy="2524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W45"/>
  <sheetViews>
    <sheetView showGridLines="0" zoomScale="90" zoomScaleNormal="90" topLeftCell="A10" workbookViewId="0">
      <selection activeCell="W35" sqref="W35"/>
    </sheetView>
  </sheetViews>
  <sheetFormatPr defaultColWidth="9.14285714285714" defaultRowHeight="12.75"/>
  <cols>
    <col min="1" max="1" width="6.14285714285714" customWidth="1"/>
    <col min="2" max="2" width="7.42857142857143" customWidth="1"/>
    <col min="3" max="3" width="10.4285714285714" customWidth="1"/>
    <col min="4" max="4" width="11.2857142857143" customWidth="1"/>
    <col min="5" max="5" width="7.14285714285714" customWidth="1"/>
    <col min="6" max="10" width="7.28571428571429" customWidth="1"/>
    <col min="11" max="11" width="5.85714285714286" customWidth="1"/>
    <col min="12" max="12" width="9.57142857142857" customWidth="1"/>
    <col min="13" max="13" width="7.71428571428571" customWidth="1"/>
    <col min="14" max="14" width="9.14285714285714" customWidth="1"/>
    <col min="15" max="16" width="10.7142857142857" customWidth="1"/>
    <col min="17" max="17" width="6.42857142857143" hidden="1" customWidth="1"/>
    <col min="18" max="18" width="11.7142857142857" style="34" customWidth="1"/>
    <col min="20" max="20" width="12.4285714285714" customWidth="1"/>
  </cols>
  <sheetData>
    <row r="1" ht="32.25" customHeight="1" spans="1:16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s="31" customFormat="1" ht="15" customHeight="1" spans="1:18">
      <c r="A2" s="36" t="s">
        <v>1</v>
      </c>
      <c r="B2" s="37"/>
      <c r="C2" s="38"/>
      <c r="D2" s="38"/>
      <c r="E2" s="38"/>
      <c r="F2" s="38"/>
      <c r="G2" s="38"/>
      <c r="H2" s="39"/>
      <c r="I2" s="38"/>
      <c r="J2" s="38"/>
      <c r="K2" s="38"/>
      <c r="L2" s="105"/>
      <c r="M2" s="106"/>
      <c r="N2" s="38"/>
      <c r="O2" s="107"/>
      <c r="P2" s="108"/>
      <c r="R2" s="41"/>
    </row>
    <row r="3" s="31" customFormat="1" ht="15" customHeight="1" spans="1:18">
      <c r="A3" s="40" t="s">
        <v>2</v>
      </c>
      <c r="B3" s="41"/>
      <c r="H3" s="42"/>
      <c r="I3" s="109"/>
      <c r="J3" s="109"/>
      <c r="K3" s="109"/>
      <c r="L3" s="110"/>
      <c r="M3" s="111"/>
      <c r="P3" s="112"/>
      <c r="R3" s="41"/>
    </row>
    <row r="4" s="31" customFormat="1" ht="15" customHeight="1" spans="1:18">
      <c r="A4" s="40" t="s">
        <v>3</v>
      </c>
      <c r="B4" s="41"/>
      <c r="H4" s="42"/>
      <c r="I4" s="109"/>
      <c r="J4" s="109"/>
      <c r="K4" s="109"/>
      <c r="L4" s="110"/>
      <c r="M4" s="111"/>
      <c r="P4" s="112"/>
      <c r="R4" s="41"/>
    </row>
    <row r="5" s="31" customFormat="1" ht="15" customHeight="1" spans="1:18">
      <c r="A5" s="43" t="s">
        <v>4</v>
      </c>
      <c r="B5" s="41"/>
      <c r="H5" s="42"/>
      <c r="I5" s="109"/>
      <c r="J5" s="109"/>
      <c r="K5" s="109"/>
      <c r="L5" s="110"/>
      <c r="M5" s="111"/>
      <c r="P5" s="112"/>
      <c r="R5" s="41"/>
    </row>
    <row r="6" s="31" customFormat="1" ht="15" customHeight="1" spans="1:18">
      <c r="A6" s="40" t="s">
        <v>5</v>
      </c>
      <c r="B6" s="41"/>
      <c r="H6" s="42"/>
      <c r="I6" s="109"/>
      <c r="J6" s="109"/>
      <c r="K6" s="109"/>
      <c r="L6" s="110"/>
      <c r="M6" s="111"/>
      <c r="P6" s="112"/>
      <c r="R6" s="41"/>
    </row>
    <row r="7" s="31" customFormat="1" ht="15" customHeight="1" spans="1:18">
      <c r="A7" s="40" t="s">
        <v>6</v>
      </c>
      <c r="B7" s="41"/>
      <c r="H7" s="42"/>
      <c r="I7" s="109"/>
      <c r="J7" s="109"/>
      <c r="K7" s="109"/>
      <c r="L7" s="110"/>
      <c r="M7" s="111"/>
      <c r="P7" s="112"/>
      <c r="R7" s="41"/>
    </row>
    <row r="8" s="31" customFormat="1" ht="12" customHeight="1" spans="1:18">
      <c r="A8" s="44"/>
      <c r="B8" s="45"/>
      <c r="C8" s="46"/>
      <c r="D8" s="46"/>
      <c r="E8" s="46"/>
      <c r="F8" s="46"/>
      <c r="G8" s="46"/>
      <c r="H8" s="47"/>
      <c r="I8" s="46"/>
      <c r="J8" s="113"/>
      <c r="K8" s="113"/>
      <c r="L8" s="113"/>
      <c r="M8" s="114"/>
      <c r="N8" s="46"/>
      <c r="O8" s="46"/>
      <c r="P8" s="115"/>
      <c r="R8" s="41"/>
    </row>
    <row r="9" s="31" customFormat="1" ht="21" customHeight="1" spans="1:18">
      <c r="A9" s="48"/>
      <c r="B9" s="45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115"/>
      <c r="R9" s="41"/>
    </row>
    <row r="10" s="32" customFormat="1" ht="15" customHeight="1" spans="1:18">
      <c r="A10" s="49" t="s">
        <v>7</v>
      </c>
      <c r="B10" s="37"/>
      <c r="C10" s="38"/>
      <c r="D10" s="38" t="s">
        <v>8</v>
      </c>
      <c r="E10" s="38"/>
      <c r="F10" s="50" t="s">
        <v>9</v>
      </c>
      <c r="G10" s="50" t="s">
        <v>10</v>
      </c>
      <c r="H10" s="50" t="s">
        <v>10</v>
      </c>
      <c r="I10" s="50" t="s">
        <v>10</v>
      </c>
      <c r="J10" s="50" t="s">
        <v>10</v>
      </c>
      <c r="K10" s="50" t="s">
        <v>10</v>
      </c>
      <c r="L10" s="50" t="s">
        <v>10</v>
      </c>
      <c r="M10" s="50" t="s">
        <v>10</v>
      </c>
      <c r="N10" s="50" t="s">
        <v>10</v>
      </c>
      <c r="O10" s="50" t="s">
        <v>10</v>
      </c>
      <c r="P10" s="116" t="s">
        <v>10</v>
      </c>
      <c r="R10" s="147"/>
    </row>
    <row r="11" s="31" customFormat="1" ht="15" customHeight="1" spans="1:18">
      <c r="A11" s="51" t="s">
        <v>11</v>
      </c>
      <c r="B11" s="41"/>
      <c r="D11" s="31" t="s">
        <v>8</v>
      </c>
      <c r="F11" s="52" t="s">
        <v>12</v>
      </c>
      <c r="G11" s="52"/>
      <c r="H11" s="52"/>
      <c r="I11" s="52"/>
      <c r="P11" s="112"/>
      <c r="R11" s="41"/>
    </row>
    <row r="12" s="31" customFormat="1" ht="15" customHeight="1" spans="1:18">
      <c r="A12" s="51" t="s">
        <v>13</v>
      </c>
      <c r="B12" s="41"/>
      <c r="D12" s="31" t="s">
        <v>8</v>
      </c>
      <c r="F12" s="53"/>
      <c r="G12" s="53"/>
      <c r="H12" s="53"/>
      <c r="I12" s="53"/>
      <c r="L12" s="158"/>
      <c r="M12" s="117" t="s">
        <v>14</v>
      </c>
      <c r="N12" s="117"/>
      <c r="O12" s="117"/>
      <c r="P12" s="118"/>
      <c r="R12" s="41"/>
    </row>
    <row r="13" s="31" customFormat="1" ht="15" customHeight="1" spans="1:18">
      <c r="A13" s="51" t="s">
        <v>15</v>
      </c>
      <c r="B13" s="41"/>
      <c r="D13" s="31" t="s">
        <v>8</v>
      </c>
      <c r="F13" s="41">
        <f>+N30</f>
        <v>221</v>
      </c>
      <c r="G13" s="41"/>
      <c r="H13" s="41"/>
      <c r="P13" s="112"/>
      <c r="R13" s="41"/>
    </row>
    <row r="14" s="31" customFormat="1" ht="15" customHeight="1" spans="1:19">
      <c r="A14" s="51" t="s">
        <v>16</v>
      </c>
      <c r="B14" s="41"/>
      <c r="D14" s="31" t="s">
        <v>8</v>
      </c>
      <c r="F14" s="54">
        <f>+M30</f>
        <v>10</v>
      </c>
      <c r="G14" s="54"/>
      <c r="H14" s="54"/>
      <c r="P14" s="112"/>
      <c r="Q14" s="34"/>
      <c r="R14" s="34"/>
      <c r="S14" s="34"/>
    </row>
    <row r="15" s="31" customFormat="1" ht="15" customHeight="1" spans="1:18">
      <c r="A15" s="51" t="s">
        <v>17</v>
      </c>
      <c r="B15" s="41"/>
      <c r="D15" s="31" t="s">
        <v>8</v>
      </c>
      <c r="F15" s="55" t="s">
        <v>18</v>
      </c>
      <c r="G15" s="55"/>
      <c r="H15" s="55"/>
      <c r="P15" s="112"/>
      <c r="R15" s="41"/>
    </row>
    <row r="16" s="31" customFormat="1" ht="15" customHeight="1" spans="1:18">
      <c r="A16" s="48" t="s">
        <v>19</v>
      </c>
      <c r="B16" s="45" t="s">
        <v>20</v>
      </c>
      <c r="C16" s="46"/>
      <c r="D16" s="46" t="s">
        <v>8</v>
      </c>
      <c r="E16" s="46"/>
      <c r="F16" s="56"/>
      <c r="G16" s="56"/>
      <c r="H16" s="56"/>
      <c r="I16" s="46"/>
      <c r="J16" s="46"/>
      <c r="K16" s="46"/>
      <c r="L16" s="46"/>
      <c r="M16" s="46"/>
      <c r="N16" s="46"/>
      <c r="O16" s="46"/>
      <c r="P16" s="115"/>
      <c r="R16" s="41"/>
    </row>
    <row r="17" s="31" customFormat="1" ht="9" customHeight="1" spans="1:18">
      <c r="A17" s="39"/>
      <c r="B17" s="57"/>
      <c r="C17" s="58"/>
      <c r="D17" s="5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119"/>
      <c r="R17" s="41"/>
    </row>
    <row r="18" s="31" customFormat="1" ht="9" customHeight="1" spans="1:18">
      <c r="A18" s="59"/>
      <c r="C18" s="60"/>
      <c r="D18" s="60"/>
      <c r="P18" s="112"/>
      <c r="R18" s="41"/>
    </row>
    <row r="19" s="33" customFormat="1" ht="35.25" customHeight="1" spans="1:18">
      <c r="A19" s="61" t="s">
        <v>21</v>
      </c>
      <c r="B19" s="62"/>
      <c r="C19" s="63" t="s">
        <v>22</v>
      </c>
      <c r="D19" s="63"/>
      <c r="E19" s="64" t="s">
        <v>23</v>
      </c>
      <c r="F19" s="64" t="s">
        <v>24</v>
      </c>
      <c r="G19" s="64" t="s">
        <v>25</v>
      </c>
      <c r="H19" s="64" t="s">
        <v>26</v>
      </c>
      <c r="I19" s="64" t="s">
        <v>27</v>
      </c>
      <c r="J19" s="64" t="s">
        <v>28</v>
      </c>
      <c r="K19" s="64" t="s">
        <v>29</v>
      </c>
      <c r="L19" s="120" t="s">
        <v>30</v>
      </c>
      <c r="M19" s="120" t="s">
        <v>31</v>
      </c>
      <c r="N19" s="120" t="s">
        <v>32</v>
      </c>
      <c r="O19" s="62" t="s">
        <v>33</v>
      </c>
      <c r="P19" s="121" t="s">
        <v>34</v>
      </c>
      <c r="R19" s="41"/>
    </row>
    <row r="20" s="31" customFormat="1" ht="16.5" customHeight="1" spans="1:23">
      <c r="A20" s="65">
        <v>1</v>
      </c>
      <c r="B20" s="65">
        <f>+M20</f>
        <v>1</v>
      </c>
      <c r="C20" s="66" t="s">
        <v>35</v>
      </c>
      <c r="D20" s="67"/>
      <c r="E20" s="20"/>
      <c r="F20" s="20">
        <f>N20</f>
        <v>24</v>
      </c>
      <c r="G20" s="20"/>
      <c r="H20" s="20"/>
      <c r="I20" s="20"/>
      <c r="J20" s="20"/>
      <c r="K20" s="20"/>
      <c r="L20" s="20">
        <v>24</v>
      </c>
      <c r="M20" s="20">
        <v>1</v>
      </c>
      <c r="N20" s="20">
        <f t="shared" ref="N20:N27" si="0">+L20*M20</f>
        <v>24</v>
      </c>
      <c r="O20" s="18">
        <f>F20*0.255+G20*0.26+H20*0.27+I20*0.28+J20*0.295</f>
        <v>6.12</v>
      </c>
      <c r="P20" s="18">
        <f>2.19+O20</f>
        <v>8.31</v>
      </c>
      <c r="Q20" s="148">
        <f t="shared" ref="Q20:Q27" si="1">7.57/32</f>
        <v>0.2365625</v>
      </c>
      <c r="R20" s="149"/>
      <c r="S20" s="150"/>
      <c r="T20" s="150"/>
      <c r="U20" s="150"/>
      <c r="V20" s="150"/>
      <c r="W20" s="150"/>
    </row>
    <row r="21" s="31" customFormat="1" ht="16.5" customHeight="1" spans="1:23">
      <c r="A21" s="65">
        <f t="shared" ref="A21:A27" si="2">B20+1</f>
        <v>2</v>
      </c>
      <c r="B21" s="65">
        <f t="shared" ref="B21:B27" si="3">+B20+M21</f>
        <v>3</v>
      </c>
      <c r="C21" s="66" t="s">
        <v>35</v>
      </c>
      <c r="D21" s="67"/>
      <c r="E21" s="20"/>
      <c r="F21" s="20"/>
      <c r="G21" s="20">
        <f>N21</f>
        <v>48</v>
      </c>
      <c r="H21" s="20"/>
      <c r="I21" s="20"/>
      <c r="J21" s="20"/>
      <c r="K21" s="20"/>
      <c r="L21" s="20">
        <v>24</v>
      </c>
      <c r="M21" s="20">
        <v>2</v>
      </c>
      <c r="N21" s="20">
        <f t="shared" si="0"/>
        <v>48</v>
      </c>
      <c r="O21" s="18">
        <f t="shared" ref="O21:O27" si="4">F21*0.255+G21*0.26+H21*0.27+I21*0.28+J21*0.295</f>
        <v>12.48</v>
      </c>
      <c r="P21" s="18">
        <f t="shared" ref="P21:P27" si="5">2.19+O21</f>
        <v>14.67</v>
      </c>
      <c r="Q21" s="148">
        <f t="shared" si="1"/>
        <v>0.2365625</v>
      </c>
      <c r="R21" s="149"/>
      <c r="S21" s="150"/>
      <c r="T21" s="150"/>
      <c r="U21" s="150"/>
      <c r="V21" s="150"/>
      <c r="W21" s="150"/>
    </row>
    <row r="22" s="31" customFormat="1" ht="16.5" customHeight="1" spans="1:23">
      <c r="A22" s="65">
        <f t="shared" si="2"/>
        <v>4</v>
      </c>
      <c r="B22" s="65">
        <f t="shared" si="3"/>
        <v>5</v>
      </c>
      <c r="C22" s="66" t="s">
        <v>35</v>
      </c>
      <c r="D22" s="67"/>
      <c r="E22" s="20"/>
      <c r="F22" s="20"/>
      <c r="G22" s="20"/>
      <c r="H22" s="20">
        <f>N22</f>
        <v>48</v>
      </c>
      <c r="I22" s="20"/>
      <c r="J22" s="20"/>
      <c r="K22" s="20"/>
      <c r="L22" s="20">
        <v>24</v>
      </c>
      <c r="M22" s="20">
        <v>2</v>
      </c>
      <c r="N22" s="20">
        <f t="shared" si="0"/>
        <v>48</v>
      </c>
      <c r="O22" s="18">
        <f t="shared" si="4"/>
        <v>12.96</v>
      </c>
      <c r="P22" s="18">
        <f t="shared" si="5"/>
        <v>15.15</v>
      </c>
      <c r="Q22" s="148">
        <f t="shared" si="1"/>
        <v>0.2365625</v>
      </c>
      <c r="R22" s="149"/>
      <c r="S22" s="150"/>
      <c r="T22" s="150"/>
      <c r="U22" s="150"/>
      <c r="V22" s="150"/>
      <c r="W22" s="150"/>
    </row>
    <row r="23" s="31" customFormat="1" ht="16.5" customHeight="1" spans="1:23">
      <c r="A23" s="65">
        <f t="shared" si="2"/>
        <v>6</v>
      </c>
      <c r="B23" s="65">
        <f t="shared" si="3"/>
        <v>6</v>
      </c>
      <c r="C23" s="66" t="s">
        <v>35</v>
      </c>
      <c r="D23" s="67"/>
      <c r="E23" s="20"/>
      <c r="F23" s="20"/>
      <c r="G23" s="20"/>
      <c r="H23" s="20"/>
      <c r="I23" s="20">
        <f>N23</f>
        <v>24</v>
      </c>
      <c r="J23" s="20"/>
      <c r="K23" s="20"/>
      <c r="L23" s="20">
        <v>24</v>
      </c>
      <c r="M23" s="20">
        <v>1</v>
      </c>
      <c r="N23" s="20">
        <f t="shared" si="0"/>
        <v>24</v>
      </c>
      <c r="O23" s="18">
        <f t="shared" si="4"/>
        <v>6.72</v>
      </c>
      <c r="P23" s="18">
        <f t="shared" si="5"/>
        <v>8.91</v>
      </c>
      <c r="Q23" s="148">
        <f t="shared" si="1"/>
        <v>0.2365625</v>
      </c>
      <c r="R23" s="149"/>
      <c r="S23" s="150"/>
      <c r="T23" s="150"/>
      <c r="U23" s="150"/>
      <c r="V23" s="150"/>
      <c r="W23" s="150"/>
    </row>
    <row r="24" s="31" customFormat="1" ht="16.5" customHeight="1" spans="1:23">
      <c r="A24" s="65">
        <f t="shared" si="2"/>
        <v>7</v>
      </c>
      <c r="B24" s="65">
        <f t="shared" si="3"/>
        <v>7</v>
      </c>
      <c r="C24" s="66" t="s">
        <v>35</v>
      </c>
      <c r="D24" s="67"/>
      <c r="E24" s="20"/>
      <c r="F24" s="20"/>
      <c r="G24" s="20"/>
      <c r="H24" s="20"/>
      <c r="I24" s="20"/>
      <c r="J24" s="20">
        <f>N24</f>
        <v>24</v>
      </c>
      <c r="K24" s="20"/>
      <c r="L24" s="20">
        <v>24</v>
      </c>
      <c r="M24" s="20">
        <v>1</v>
      </c>
      <c r="N24" s="20">
        <f t="shared" si="0"/>
        <v>24</v>
      </c>
      <c r="O24" s="18">
        <f t="shared" si="4"/>
        <v>7.08</v>
      </c>
      <c r="P24" s="18">
        <f t="shared" si="5"/>
        <v>9.27</v>
      </c>
      <c r="Q24" s="148">
        <f t="shared" si="1"/>
        <v>0.2365625</v>
      </c>
      <c r="R24" s="149"/>
      <c r="S24" s="150"/>
      <c r="T24" s="150"/>
      <c r="U24" s="150"/>
      <c r="V24" s="150"/>
      <c r="W24" s="150"/>
    </row>
    <row r="25" s="31" customFormat="1" ht="16.5" customHeight="1" spans="1:23">
      <c r="A25" s="65">
        <f t="shared" si="2"/>
        <v>8</v>
      </c>
      <c r="B25" s="65">
        <f t="shared" si="3"/>
        <v>8</v>
      </c>
      <c r="C25" s="66" t="s">
        <v>35</v>
      </c>
      <c r="D25" s="67"/>
      <c r="E25" s="20"/>
      <c r="F25" s="20"/>
      <c r="G25" s="20">
        <v>15</v>
      </c>
      <c r="H25" s="20"/>
      <c r="I25" s="20">
        <v>9</v>
      </c>
      <c r="J25" s="20"/>
      <c r="K25" s="20"/>
      <c r="L25" s="20">
        <f>SUM(E25:K25)</f>
        <v>24</v>
      </c>
      <c r="M25" s="20">
        <v>1</v>
      </c>
      <c r="N25" s="20">
        <f t="shared" si="0"/>
        <v>24</v>
      </c>
      <c r="O25" s="18">
        <f t="shared" si="4"/>
        <v>6.42</v>
      </c>
      <c r="P25" s="18">
        <f t="shared" si="5"/>
        <v>8.61</v>
      </c>
      <c r="Q25" s="148">
        <f t="shared" si="1"/>
        <v>0.2365625</v>
      </c>
      <c r="R25" s="149"/>
      <c r="S25" s="150"/>
      <c r="T25" s="150"/>
      <c r="U25" s="150"/>
      <c r="V25" s="150"/>
      <c r="W25" s="150"/>
    </row>
    <row r="26" s="31" customFormat="1" ht="16.5" customHeight="1" spans="1:23">
      <c r="A26" s="65">
        <f t="shared" si="2"/>
        <v>9</v>
      </c>
      <c r="B26" s="65">
        <f t="shared" si="3"/>
        <v>9</v>
      </c>
      <c r="C26" s="66" t="s">
        <v>35</v>
      </c>
      <c r="D26" s="67"/>
      <c r="E26" s="20"/>
      <c r="F26" s="20">
        <v>6</v>
      </c>
      <c r="G26" s="20"/>
      <c r="H26" s="20">
        <v>15</v>
      </c>
      <c r="I26" s="20"/>
      <c r="J26" s="20"/>
      <c r="K26" s="20"/>
      <c r="L26" s="20">
        <f>SUM(E26:K26)</f>
        <v>21</v>
      </c>
      <c r="M26" s="20">
        <v>1</v>
      </c>
      <c r="N26" s="20">
        <f t="shared" si="0"/>
        <v>21</v>
      </c>
      <c r="O26" s="18">
        <f t="shared" si="4"/>
        <v>5.58</v>
      </c>
      <c r="P26" s="18">
        <f t="shared" si="5"/>
        <v>7.77</v>
      </c>
      <c r="Q26" s="148">
        <f t="shared" si="1"/>
        <v>0.2365625</v>
      </c>
      <c r="R26" s="149"/>
      <c r="S26" s="150"/>
      <c r="T26" s="150"/>
      <c r="U26" s="150"/>
      <c r="V26" s="150"/>
      <c r="W26" s="150"/>
    </row>
    <row r="27" s="31" customFormat="1" ht="16.5" customHeight="1" spans="1:23">
      <c r="A27" s="65">
        <f t="shared" si="2"/>
        <v>10</v>
      </c>
      <c r="B27" s="65">
        <f t="shared" si="3"/>
        <v>10</v>
      </c>
      <c r="C27" s="66" t="s">
        <v>35</v>
      </c>
      <c r="D27" s="67"/>
      <c r="E27" s="20"/>
      <c r="F27" s="20"/>
      <c r="G27" s="20"/>
      <c r="H27" s="20"/>
      <c r="I27" s="20"/>
      <c r="J27" s="20">
        <v>8</v>
      </c>
      <c r="K27" s="20"/>
      <c r="L27" s="20">
        <f>SUM(E27:K27)</f>
        <v>8</v>
      </c>
      <c r="M27" s="20">
        <v>1</v>
      </c>
      <c r="N27" s="20">
        <f t="shared" si="0"/>
        <v>8</v>
      </c>
      <c r="O27" s="18">
        <f t="shared" si="4"/>
        <v>2.36</v>
      </c>
      <c r="P27" s="18">
        <f t="shared" si="5"/>
        <v>4.55</v>
      </c>
      <c r="Q27" s="148">
        <f t="shared" si="1"/>
        <v>0.2365625</v>
      </c>
      <c r="R27" s="149"/>
      <c r="S27" s="150"/>
      <c r="T27" s="150"/>
      <c r="U27" s="150"/>
      <c r="V27" s="150"/>
      <c r="W27" s="150"/>
    </row>
    <row r="28" s="31" customFormat="1" ht="16.5" customHeight="1" spans="1:18">
      <c r="A28" s="69"/>
      <c r="B28" s="70"/>
      <c r="C28" s="71"/>
      <c r="D28" s="71"/>
      <c r="E28" s="72">
        <f t="shared" ref="E28:K28" si="6">SUM(E20:E27)</f>
        <v>0</v>
      </c>
      <c r="F28" s="72">
        <f t="shared" si="6"/>
        <v>30</v>
      </c>
      <c r="G28" s="72">
        <f t="shared" si="6"/>
        <v>63</v>
      </c>
      <c r="H28" s="72">
        <f t="shared" si="6"/>
        <v>63</v>
      </c>
      <c r="I28" s="72">
        <f t="shared" si="6"/>
        <v>33</v>
      </c>
      <c r="J28" s="72">
        <f t="shared" si="6"/>
        <v>32</v>
      </c>
      <c r="K28" s="72">
        <f t="shared" si="6"/>
        <v>0</v>
      </c>
      <c r="L28" s="72"/>
      <c r="M28" s="72">
        <f>SUM(M20:M27)</f>
        <v>10</v>
      </c>
      <c r="N28" s="72">
        <f>SUM(N20:N27)</f>
        <v>221</v>
      </c>
      <c r="O28" s="122">
        <f>SUM(O20:O27)</f>
        <v>59.72</v>
      </c>
      <c r="P28" s="123">
        <f>SUM(P20:P27)</f>
        <v>77.24</v>
      </c>
      <c r="Q28" s="151"/>
      <c r="R28" s="152"/>
    </row>
    <row r="29" ht="13.5"/>
    <row r="30" ht="15.75" spans="1:16">
      <c r="A30" s="74"/>
      <c r="B30" s="75"/>
      <c r="C30" s="75" t="s">
        <v>36</v>
      </c>
      <c r="D30" s="75"/>
      <c r="E30" s="75">
        <f>E28</f>
        <v>0</v>
      </c>
      <c r="F30" s="75">
        <f>F28</f>
        <v>30</v>
      </c>
      <c r="G30" s="75">
        <f t="shared" ref="G30:K30" si="7">G28</f>
        <v>63</v>
      </c>
      <c r="H30" s="75">
        <f t="shared" si="7"/>
        <v>63</v>
      </c>
      <c r="I30" s="75">
        <f t="shared" si="7"/>
        <v>33</v>
      </c>
      <c r="J30" s="75">
        <f t="shared" si="7"/>
        <v>32</v>
      </c>
      <c r="K30" s="75">
        <f t="shared" si="7"/>
        <v>0</v>
      </c>
      <c r="L30" s="75"/>
      <c r="M30" s="75">
        <f>M28</f>
        <v>10</v>
      </c>
      <c r="N30" s="75">
        <f>N28</f>
        <v>221</v>
      </c>
      <c r="O30" s="125">
        <f>O28</f>
        <v>59.72</v>
      </c>
      <c r="P30" s="126">
        <f>P28</f>
        <v>77.24</v>
      </c>
    </row>
    <row r="31" ht="16.5" customHeight="1" spans="1:16">
      <c r="A31" s="76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127"/>
      <c r="P31" s="127"/>
    </row>
    <row r="32" ht="18" customHeight="1" spans="5:11">
      <c r="E32" s="25"/>
      <c r="F32" s="25"/>
      <c r="G32" s="25"/>
      <c r="H32" s="25"/>
      <c r="I32" s="25"/>
      <c r="J32" s="25"/>
      <c r="K32" s="25"/>
    </row>
    <row r="33" ht="13.5" spans="3:13">
      <c r="C33" s="79" t="s">
        <v>37</v>
      </c>
      <c r="D33" s="80"/>
      <c r="E33" s="80"/>
      <c r="F33" s="80"/>
      <c r="G33" s="80"/>
      <c r="H33" s="80"/>
      <c r="I33" s="80"/>
      <c r="J33" s="80"/>
      <c r="K33" s="80"/>
      <c r="L33" s="80"/>
      <c r="M33" s="128"/>
    </row>
    <row r="34" ht="17.25" customHeight="1" spans="3:18">
      <c r="C34" s="81" t="s">
        <v>38</v>
      </c>
      <c r="D34" s="82"/>
      <c r="E34" s="83" t="str">
        <f>C20</f>
        <v>Bbinos-659</v>
      </c>
      <c r="F34" s="84"/>
      <c r="G34" s="84"/>
      <c r="H34" s="84"/>
      <c r="I34" s="84"/>
      <c r="J34" s="84"/>
      <c r="K34" s="84"/>
      <c r="L34" s="129"/>
      <c r="M34" s="130" t="s">
        <v>39</v>
      </c>
      <c r="P34" s="34"/>
      <c r="R34"/>
    </row>
    <row r="35" ht="17.25" customHeight="1" spans="3:18">
      <c r="C35" s="85"/>
      <c r="D35" s="86"/>
      <c r="E35" s="87" t="s">
        <v>23</v>
      </c>
      <c r="F35" s="88" t="s">
        <v>24</v>
      </c>
      <c r="G35" s="88" t="s">
        <v>25</v>
      </c>
      <c r="H35" s="88" t="s">
        <v>26</v>
      </c>
      <c r="I35" s="88" t="s">
        <v>27</v>
      </c>
      <c r="J35" s="88" t="s">
        <v>28</v>
      </c>
      <c r="K35" s="131" t="s">
        <v>29</v>
      </c>
      <c r="L35" s="132" t="s">
        <v>40</v>
      </c>
      <c r="M35" s="133"/>
      <c r="P35" s="34"/>
      <c r="R35"/>
    </row>
    <row r="36" ht="15.75" customHeight="1" spans="3:18">
      <c r="C36" s="89" t="s">
        <v>41</v>
      </c>
      <c r="D36" s="90"/>
      <c r="E36" s="91"/>
      <c r="F36" s="92">
        <v>33</v>
      </c>
      <c r="G36" s="92">
        <v>67</v>
      </c>
      <c r="H36" s="92">
        <v>67</v>
      </c>
      <c r="I36" s="92">
        <v>33</v>
      </c>
      <c r="J36" s="92">
        <v>33</v>
      </c>
      <c r="K36" s="134"/>
      <c r="L36" s="135">
        <f>SUM(E36:K36)</f>
        <v>233</v>
      </c>
      <c r="M36" s="136">
        <f>+L38/L36*100-100</f>
        <v>-5.15021459227468</v>
      </c>
      <c r="N36" s="14"/>
      <c r="O36" s="14"/>
      <c r="P36" s="34"/>
      <c r="R36"/>
    </row>
    <row r="37" ht="15.75" customHeight="1" spans="3:18">
      <c r="C37" s="93" t="s">
        <v>42</v>
      </c>
      <c r="D37" s="94"/>
      <c r="E37" s="95"/>
      <c r="F37" s="92">
        <v>30</v>
      </c>
      <c r="G37" s="92">
        <v>64</v>
      </c>
      <c r="H37" s="92">
        <v>64</v>
      </c>
      <c r="I37" s="92">
        <v>33</v>
      </c>
      <c r="J37" s="92">
        <v>33</v>
      </c>
      <c r="K37" s="137"/>
      <c r="L37" s="159">
        <f>SUM(E37:K37)</f>
        <v>224</v>
      </c>
      <c r="M37" s="139"/>
      <c r="N37" s="14"/>
      <c r="O37" s="14"/>
      <c r="P37" s="34"/>
      <c r="R37"/>
    </row>
    <row r="38" ht="15.75" customHeight="1" spans="3:18">
      <c r="C38" s="96" t="s">
        <v>43</v>
      </c>
      <c r="D38" s="97"/>
      <c r="E38" s="98">
        <f>+E28</f>
        <v>0</v>
      </c>
      <c r="F38" s="12">
        <f>+F28</f>
        <v>30</v>
      </c>
      <c r="G38" s="12">
        <f>+G28</f>
        <v>63</v>
      </c>
      <c r="H38" s="12">
        <f t="shared" ref="H38:K38" si="8">+H28</f>
        <v>63</v>
      </c>
      <c r="I38" s="12">
        <f t="shared" si="8"/>
        <v>33</v>
      </c>
      <c r="J38" s="12">
        <f t="shared" si="8"/>
        <v>32</v>
      </c>
      <c r="K38" s="140">
        <f t="shared" si="8"/>
        <v>0</v>
      </c>
      <c r="L38" s="11">
        <f>SUM(E38:K38)</f>
        <v>221</v>
      </c>
      <c r="M38" s="139"/>
      <c r="N38" s="141"/>
      <c r="O38" s="142"/>
      <c r="P38" s="143"/>
      <c r="R38"/>
    </row>
    <row r="39" ht="15.75" customHeight="1" spans="3:18">
      <c r="C39" s="96" t="s">
        <v>44</v>
      </c>
      <c r="D39" s="97"/>
      <c r="E39" s="98">
        <f>+E37-E38</f>
        <v>0</v>
      </c>
      <c r="F39" s="99">
        <f>+F37-F38</f>
        <v>0</v>
      </c>
      <c r="G39" s="99">
        <f t="shared" ref="G39:L39" si="9">+G37-G38</f>
        <v>1</v>
      </c>
      <c r="H39" s="12">
        <f t="shared" si="9"/>
        <v>1</v>
      </c>
      <c r="I39" s="12">
        <f t="shared" si="9"/>
        <v>0</v>
      </c>
      <c r="J39" s="12">
        <f t="shared" si="9"/>
        <v>1</v>
      </c>
      <c r="K39" s="140">
        <f t="shared" si="9"/>
        <v>0</v>
      </c>
      <c r="L39" s="11">
        <f t="shared" si="9"/>
        <v>3</v>
      </c>
      <c r="M39" s="144"/>
      <c r="N39" s="145" t="s">
        <v>45</v>
      </c>
      <c r="O39" s="146"/>
      <c r="P39" s="34"/>
      <c r="R39"/>
    </row>
    <row r="40" hidden="1" spans="3:11">
      <c r="C40" s="100" t="s">
        <v>39</v>
      </c>
      <c r="D40" s="100"/>
      <c r="E40" s="100"/>
      <c r="F40" s="101">
        <f>+F38/F36*100</f>
        <v>90.9090909090909</v>
      </c>
      <c r="G40" s="101">
        <f t="shared" ref="G40:J40" si="10">+G38/G36*100</f>
        <v>94.0298507462687</v>
      </c>
      <c r="H40" s="101">
        <f t="shared" si="10"/>
        <v>94.0298507462687</v>
      </c>
      <c r="I40" s="101">
        <f t="shared" si="10"/>
        <v>100</v>
      </c>
      <c r="J40" s="101">
        <f t="shared" si="10"/>
        <v>96.969696969697</v>
      </c>
      <c r="K40" s="160"/>
    </row>
    <row r="41" spans="5:11">
      <c r="E41" s="25"/>
      <c r="F41" s="25"/>
      <c r="G41" s="25"/>
      <c r="H41" s="25"/>
      <c r="I41" s="25"/>
      <c r="J41" s="25"/>
      <c r="K41" s="25"/>
    </row>
    <row r="42" spans="5:11">
      <c r="E42" s="25"/>
      <c r="F42" s="25"/>
      <c r="G42" s="25"/>
      <c r="H42" s="25"/>
      <c r="I42" s="25"/>
      <c r="J42" s="25"/>
      <c r="K42" s="25"/>
    </row>
    <row r="43" spans="5:11">
      <c r="E43" s="25"/>
      <c r="F43" s="25"/>
      <c r="G43" s="25"/>
      <c r="H43" s="25"/>
      <c r="I43" s="25"/>
      <c r="J43" s="25"/>
      <c r="K43" s="25"/>
    </row>
    <row r="44" spans="5:11">
      <c r="E44" s="25"/>
      <c r="F44" s="25"/>
      <c r="G44" s="25"/>
      <c r="H44" s="25"/>
      <c r="I44" s="25"/>
      <c r="J44" s="25"/>
      <c r="K44" s="25"/>
    </row>
    <row r="45" spans="5:11">
      <c r="E45" s="25"/>
      <c r="F45" s="25"/>
      <c r="G45" s="25"/>
      <c r="H45" s="25"/>
      <c r="I45" s="25"/>
      <c r="J45" s="25"/>
      <c r="K45" s="25"/>
    </row>
  </sheetData>
  <mergeCells count="36">
    <mergeCell ref="A1:P1"/>
    <mergeCell ref="F10:P10"/>
    <mergeCell ref="F11:I11"/>
    <mergeCell ref="M12:P12"/>
    <mergeCell ref="F13:H13"/>
    <mergeCell ref="F14:H14"/>
    <mergeCell ref="Q14:S14"/>
    <mergeCell ref="F15:H15"/>
    <mergeCell ref="F16:H16"/>
    <mergeCell ref="A19:B19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A30:B30"/>
    <mergeCell ref="C30:D30"/>
    <mergeCell ref="C34:D34"/>
    <mergeCell ref="E34:L34"/>
    <mergeCell ref="C35:D35"/>
    <mergeCell ref="C36:D36"/>
    <mergeCell ref="N36:O36"/>
    <mergeCell ref="C37:D37"/>
    <mergeCell ref="C38:D38"/>
    <mergeCell ref="N38:O38"/>
    <mergeCell ref="C39:D39"/>
    <mergeCell ref="N39:O39"/>
    <mergeCell ref="C40:D40"/>
    <mergeCell ref="M34:M35"/>
    <mergeCell ref="M36:M39"/>
    <mergeCell ref="H3:K7"/>
  </mergeCells>
  <pageMargins left="0.275590551181102" right="0.354330708661417" top="0.433070866141732" bottom="0.15748031496063" header="0.15748031496063" footer="0.511811023622047"/>
  <pageSetup paperSize="9" scale="89" orientation="landscape"/>
  <headerFooter alignWithMargins="0">
    <oddHeader>&amp;C&amp;A</oddHeader>
    <oddFooter>&amp;R&amp;D&amp;T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W42"/>
  <sheetViews>
    <sheetView showGridLines="0" zoomScale="90" zoomScaleNormal="90" topLeftCell="A8" workbookViewId="0">
      <selection activeCell="W35" sqref="W35"/>
    </sheetView>
  </sheetViews>
  <sheetFormatPr defaultColWidth="9.14285714285714" defaultRowHeight="12.75"/>
  <cols>
    <col min="1" max="1" width="6.14285714285714" customWidth="1"/>
    <col min="2" max="2" width="7.42857142857143" customWidth="1"/>
    <col min="3" max="3" width="10.4285714285714" customWidth="1"/>
    <col min="4" max="4" width="11.2857142857143" customWidth="1"/>
    <col min="5" max="5" width="7.14285714285714" customWidth="1"/>
    <col min="6" max="11" width="7.42857142857143" customWidth="1"/>
    <col min="12" max="12" width="9.57142857142857" customWidth="1"/>
    <col min="13" max="13" width="7.71428571428571" customWidth="1"/>
    <col min="14" max="14" width="9.14285714285714" customWidth="1"/>
    <col min="15" max="16" width="10.7142857142857" customWidth="1"/>
    <col min="17" max="17" width="6.42857142857143" hidden="1" customWidth="1"/>
    <col min="18" max="18" width="11.7142857142857" style="34" customWidth="1"/>
    <col min="20" max="20" width="12.4285714285714" customWidth="1"/>
  </cols>
  <sheetData>
    <row r="1" ht="32.25" customHeight="1" spans="1:16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s="31" customFormat="1" ht="15" customHeight="1" spans="1:18">
      <c r="A2" s="36" t="s">
        <v>1</v>
      </c>
      <c r="B2" s="37"/>
      <c r="C2" s="38"/>
      <c r="D2" s="38"/>
      <c r="E2" s="38"/>
      <c r="F2" s="38"/>
      <c r="G2" s="38"/>
      <c r="H2" s="39"/>
      <c r="I2" s="38"/>
      <c r="J2" s="38"/>
      <c r="K2" s="38"/>
      <c r="L2" s="105"/>
      <c r="M2" s="106"/>
      <c r="N2" s="38"/>
      <c r="O2" s="107"/>
      <c r="P2" s="108"/>
      <c r="R2" s="41"/>
    </row>
    <row r="3" s="31" customFormat="1" ht="15" customHeight="1" spans="1:18">
      <c r="A3" s="40" t="s">
        <v>2</v>
      </c>
      <c r="B3" s="41"/>
      <c r="H3" s="42"/>
      <c r="I3" s="109"/>
      <c r="J3" s="109"/>
      <c r="K3" s="109"/>
      <c r="L3" s="110"/>
      <c r="M3" s="111"/>
      <c r="P3" s="112"/>
      <c r="R3" s="41"/>
    </row>
    <row r="4" s="31" customFormat="1" ht="15" customHeight="1" spans="1:18">
      <c r="A4" s="40" t="s">
        <v>3</v>
      </c>
      <c r="B4" s="41"/>
      <c r="H4" s="42"/>
      <c r="I4" s="109"/>
      <c r="J4" s="109"/>
      <c r="K4" s="109"/>
      <c r="L4" s="110"/>
      <c r="M4" s="111"/>
      <c r="P4" s="112"/>
      <c r="R4" s="41"/>
    </row>
    <row r="5" s="31" customFormat="1" ht="15" customHeight="1" spans="1:18">
      <c r="A5" s="43" t="s">
        <v>4</v>
      </c>
      <c r="B5" s="41"/>
      <c r="H5" s="42"/>
      <c r="I5" s="109"/>
      <c r="J5" s="109"/>
      <c r="K5" s="109"/>
      <c r="L5" s="110"/>
      <c r="M5" s="111"/>
      <c r="P5" s="112"/>
      <c r="R5" s="41"/>
    </row>
    <row r="6" s="31" customFormat="1" ht="15" customHeight="1" spans="1:18">
      <c r="A6" s="40" t="s">
        <v>5</v>
      </c>
      <c r="B6" s="41"/>
      <c r="H6" s="42"/>
      <c r="I6" s="109"/>
      <c r="J6" s="109"/>
      <c r="K6" s="109"/>
      <c r="L6" s="110"/>
      <c r="M6" s="111"/>
      <c r="P6" s="112"/>
      <c r="R6" s="41"/>
    </row>
    <row r="7" s="31" customFormat="1" ht="15" customHeight="1" spans="1:18">
      <c r="A7" s="40" t="s">
        <v>6</v>
      </c>
      <c r="B7" s="41"/>
      <c r="H7" s="42"/>
      <c r="I7" s="109"/>
      <c r="J7" s="109"/>
      <c r="K7" s="109"/>
      <c r="L7" s="110"/>
      <c r="M7" s="111"/>
      <c r="P7" s="112"/>
      <c r="R7" s="41"/>
    </row>
    <row r="8" s="31" customFormat="1" ht="12" customHeight="1" spans="1:18">
      <c r="A8" s="44"/>
      <c r="B8" s="45"/>
      <c r="C8" s="46"/>
      <c r="D8" s="46"/>
      <c r="E8" s="46"/>
      <c r="F8" s="46"/>
      <c r="G8" s="46"/>
      <c r="H8" s="47"/>
      <c r="I8" s="46"/>
      <c r="J8" s="113"/>
      <c r="K8" s="113"/>
      <c r="L8" s="113"/>
      <c r="M8" s="114"/>
      <c r="N8" s="46"/>
      <c r="O8" s="46"/>
      <c r="P8" s="115"/>
      <c r="R8" s="41"/>
    </row>
    <row r="9" s="31" customFormat="1" ht="21" customHeight="1" spans="1:18">
      <c r="A9" s="48"/>
      <c r="B9" s="45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115"/>
      <c r="R9" s="41"/>
    </row>
    <row r="10" s="32" customFormat="1" ht="15" customHeight="1" spans="1:18">
      <c r="A10" s="49" t="s">
        <v>7</v>
      </c>
      <c r="B10" s="37"/>
      <c r="C10" s="38"/>
      <c r="D10" s="38" t="s">
        <v>8</v>
      </c>
      <c r="E10" s="38"/>
      <c r="F10" s="50" t="s">
        <v>46</v>
      </c>
      <c r="G10" s="50" t="s">
        <v>10</v>
      </c>
      <c r="H10" s="50" t="s">
        <v>10</v>
      </c>
      <c r="I10" s="50" t="s">
        <v>10</v>
      </c>
      <c r="J10" s="50" t="s">
        <v>10</v>
      </c>
      <c r="K10" s="50" t="s">
        <v>10</v>
      </c>
      <c r="L10" s="50" t="s">
        <v>10</v>
      </c>
      <c r="M10" s="50" t="s">
        <v>10</v>
      </c>
      <c r="N10" s="50" t="s">
        <v>10</v>
      </c>
      <c r="O10" s="50" t="s">
        <v>10</v>
      </c>
      <c r="P10" s="116" t="s">
        <v>10</v>
      </c>
      <c r="R10" s="147"/>
    </row>
    <row r="11" s="31" customFormat="1" ht="15" customHeight="1" spans="1:18">
      <c r="A11" s="51" t="s">
        <v>11</v>
      </c>
      <c r="B11" s="41"/>
      <c r="D11" s="31" t="s">
        <v>8</v>
      </c>
      <c r="F11" s="52" t="s">
        <v>47</v>
      </c>
      <c r="G11" s="52"/>
      <c r="H11" s="52"/>
      <c r="I11" s="52"/>
      <c r="P11" s="112"/>
      <c r="R11" s="41"/>
    </row>
    <row r="12" s="31" customFormat="1" ht="15" customHeight="1" spans="1:18">
      <c r="A12" s="51" t="s">
        <v>13</v>
      </c>
      <c r="B12" s="41"/>
      <c r="D12" s="31" t="s">
        <v>8</v>
      </c>
      <c r="F12" s="53" t="str">
        <f>F10</f>
        <v>AM-OS-12</v>
      </c>
      <c r="G12" s="53"/>
      <c r="H12" s="53"/>
      <c r="I12" s="53"/>
      <c r="L12"/>
      <c r="M12" s="117" t="s">
        <v>14</v>
      </c>
      <c r="N12" s="117"/>
      <c r="O12" s="117"/>
      <c r="P12" s="118"/>
      <c r="R12" s="41"/>
    </row>
    <row r="13" s="31" customFormat="1" ht="15" customHeight="1" spans="1:18">
      <c r="A13" s="51" t="s">
        <v>15</v>
      </c>
      <c r="B13" s="41"/>
      <c r="D13" s="31" t="s">
        <v>8</v>
      </c>
      <c r="F13" s="41">
        <f>+N29</f>
        <v>156</v>
      </c>
      <c r="G13" s="41"/>
      <c r="H13" s="41"/>
      <c r="P13" s="112"/>
      <c r="R13" s="41"/>
    </row>
    <row r="14" s="31" customFormat="1" ht="15" customHeight="1" spans="1:19">
      <c r="A14" s="51" t="s">
        <v>16</v>
      </c>
      <c r="B14" s="41"/>
      <c r="D14" s="31" t="s">
        <v>8</v>
      </c>
      <c r="F14" s="54">
        <f>+M29</f>
        <v>7</v>
      </c>
      <c r="G14" s="54"/>
      <c r="H14" s="54"/>
      <c r="P14" s="112"/>
      <c r="Q14" s="34"/>
      <c r="R14" s="34"/>
      <c r="S14" s="34"/>
    </row>
    <row r="15" s="31" customFormat="1" ht="15" customHeight="1" spans="1:18">
      <c r="A15" s="51" t="s">
        <v>17</v>
      </c>
      <c r="B15" s="41"/>
      <c r="D15" s="31" t="s">
        <v>8</v>
      </c>
      <c r="F15" s="55" t="s">
        <v>18</v>
      </c>
      <c r="G15" s="55"/>
      <c r="H15" s="55"/>
      <c r="P15" s="112"/>
      <c r="R15" s="41"/>
    </row>
    <row r="16" s="31" customFormat="1" ht="15" customHeight="1" spans="1:18">
      <c r="A16" s="48" t="s">
        <v>19</v>
      </c>
      <c r="B16" s="45" t="s">
        <v>20</v>
      </c>
      <c r="C16" s="46"/>
      <c r="D16" s="46" t="s">
        <v>8</v>
      </c>
      <c r="E16" s="46"/>
      <c r="F16" s="56"/>
      <c r="G16" s="56"/>
      <c r="H16" s="56"/>
      <c r="I16" s="46"/>
      <c r="J16" s="46"/>
      <c r="K16" s="46"/>
      <c r="L16" s="46"/>
      <c r="M16" s="46"/>
      <c r="N16" s="46"/>
      <c r="O16" s="46"/>
      <c r="P16" s="115"/>
      <c r="R16" s="41"/>
    </row>
    <row r="17" s="31" customFormat="1" ht="9" customHeight="1" spans="1:18">
      <c r="A17" s="39"/>
      <c r="B17" s="57"/>
      <c r="C17" s="58"/>
      <c r="D17" s="5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119"/>
      <c r="R17" s="41"/>
    </row>
    <row r="18" s="31" customFormat="1" ht="9" customHeight="1" spans="1:18">
      <c r="A18" s="59"/>
      <c r="C18" s="60"/>
      <c r="D18" s="60"/>
      <c r="P18" s="112"/>
      <c r="R18" s="41"/>
    </row>
    <row r="19" s="33" customFormat="1" ht="35.25" customHeight="1" spans="1:18">
      <c r="A19" s="61" t="s">
        <v>21</v>
      </c>
      <c r="B19" s="62"/>
      <c r="C19" s="63" t="s">
        <v>22</v>
      </c>
      <c r="D19" s="63"/>
      <c r="E19" s="64" t="s">
        <v>23</v>
      </c>
      <c r="F19" s="64" t="s">
        <v>24</v>
      </c>
      <c r="G19" s="64" t="s">
        <v>25</v>
      </c>
      <c r="H19" s="64" t="s">
        <v>26</v>
      </c>
      <c r="I19" s="64" t="s">
        <v>27</v>
      </c>
      <c r="J19" s="64" t="s">
        <v>28</v>
      </c>
      <c r="K19" s="64" t="s">
        <v>29</v>
      </c>
      <c r="L19" s="120" t="s">
        <v>30</v>
      </c>
      <c r="M19" s="120" t="s">
        <v>31</v>
      </c>
      <c r="N19" s="120" t="s">
        <v>32</v>
      </c>
      <c r="O19" s="62" t="s">
        <v>33</v>
      </c>
      <c r="P19" s="121" t="s">
        <v>34</v>
      </c>
      <c r="R19" s="41"/>
    </row>
    <row r="20" s="31" customFormat="1" ht="16.5" customHeight="1" spans="1:23">
      <c r="A20" s="65">
        <v>1</v>
      </c>
      <c r="B20" s="65">
        <f>+M20</f>
        <v>1</v>
      </c>
      <c r="C20" s="66" t="s">
        <v>48</v>
      </c>
      <c r="D20" s="67"/>
      <c r="E20" s="20"/>
      <c r="F20" s="20"/>
      <c r="G20" s="20">
        <f>N20</f>
        <v>24</v>
      </c>
      <c r="H20" s="20"/>
      <c r="I20" s="20"/>
      <c r="J20" s="20"/>
      <c r="K20" s="20"/>
      <c r="L20" s="20">
        <v>24</v>
      </c>
      <c r="M20" s="20">
        <v>1</v>
      </c>
      <c r="N20" s="20">
        <f>+L20*M20</f>
        <v>24</v>
      </c>
      <c r="O20" s="18">
        <f>F20*0.255+G20*0.26+H20*0.27+I20*0.28+J20*0.295</f>
        <v>6.24</v>
      </c>
      <c r="P20" s="18">
        <f>2.19+O20</f>
        <v>8.43</v>
      </c>
      <c r="Q20" s="148">
        <f t="shared" ref="Q20:Q26" si="0">7.57/32</f>
        <v>0.2365625</v>
      </c>
      <c r="R20" s="149"/>
      <c r="S20" s="150"/>
      <c r="T20" s="150"/>
      <c r="U20" s="150"/>
      <c r="V20" s="150"/>
      <c r="W20" s="150"/>
    </row>
    <row r="21" s="31" customFormat="1" ht="16.5" customHeight="1" spans="1:23">
      <c r="A21" s="65">
        <f t="shared" ref="A21:A26" si="1">B20+1</f>
        <v>2</v>
      </c>
      <c r="B21" s="65">
        <f>+B20+M21</f>
        <v>2</v>
      </c>
      <c r="C21" s="66" t="s">
        <v>48</v>
      </c>
      <c r="D21" s="67"/>
      <c r="E21" s="20"/>
      <c r="F21" s="20"/>
      <c r="G21" s="20"/>
      <c r="H21" s="20">
        <f>N21</f>
        <v>24</v>
      </c>
      <c r="I21" s="20"/>
      <c r="J21" s="20"/>
      <c r="K21" s="20"/>
      <c r="L21" s="20">
        <v>24</v>
      </c>
      <c r="M21" s="20">
        <v>1</v>
      </c>
      <c r="N21" s="20">
        <f>+L21*M21</f>
        <v>24</v>
      </c>
      <c r="O21" s="18">
        <f t="shared" ref="O21:O26" si="2">F21*0.255+G21*0.26+H21*0.27+I21*0.28+J21*0.295</f>
        <v>6.48</v>
      </c>
      <c r="P21" s="18">
        <f t="shared" ref="P21:P26" si="3">2.19+O21</f>
        <v>8.67</v>
      </c>
      <c r="Q21" s="148">
        <f t="shared" si="0"/>
        <v>0.2365625</v>
      </c>
      <c r="R21" s="149"/>
      <c r="S21" s="150"/>
      <c r="T21" s="150"/>
      <c r="U21" s="150"/>
      <c r="V21" s="150"/>
      <c r="W21" s="150"/>
    </row>
    <row r="22" s="31" customFormat="1" ht="16.5" customHeight="1" spans="1:23">
      <c r="A22" s="65">
        <f t="shared" si="1"/>
        <v>3</v>
      </c>
      <c r="B22" s="65">
        <f>+B21+M22</f>
        <v>3</v>
      </c>
      <c r="C22" s="66" t="s">
        <v>48</v>
      </c>
      <c r="D22" s="67"/>
      <c r="E22" s="20"/>
      <c r="F22" s="20">
        <v>22</v>
      </c>
      <c r="G22" s="20"/>
      <c r="H22" s="20"/>
      <c r="I22" s="20"/>
      <c r="J22" s="20"/>
      <c r="K22" s="20"/>
      <c r="L22" s="68">
        <f>SUM(F22:K22)</f>
        <v>22</v>
      </c>
      <c r="M22" s="20">
        <v>1</v>
      </c>
      <c r="N22" s="20">
        <f>+L22*M22</f>
        <v>22</v>
      </c>
      <c r="O22" s="18">
        <f t="shared" si="2"/>
        <v>5.61</v>
      </c>
      <c r="P22" s="18">
        <f t="shared" si="3"/>
        <v>7.8</v>
      </c>
      <c r="Q22" s="148">
        <f t="shared" si="0"/>
        <v>0.2365625</v>
      </c>
      <c r="R22" s="149"/>
      <c r="S22" s="150"/>
      <c r="T22" s="150"/>
      <c r="U22" s="150"/>
      <c r="V22" s="150"/>
      <c r="W22" s="150"/>
    </row>
    <row r="23" s="31" customFormat="1" ht="16.5" customHeight="1" spans="1:23">
      <c r="A23" s="65">
        <f t="shared" si="1"/>
        <v>4</v>
      </c>
      <c r="B23" s="65">
        <f t="shared" ref="B23:B26" si="4">+B22+M23</f>
        <v>4</v>
      </c>
      <c r="C23" s="66" t="s">
        <v>48</v>
      </c>
      <c r="D23" s="67"/>
      <c r="E23" s="20"/>
      <c r="F23" s="20"/>
      <c r="G23" s="20">
        <v>20</v>
      </c>
      <c r="H23" s="20"/>
      <c r="I23" s="20"/>
      <c r="J23" s="20"/>
      <c r="K23" s="20"/>
      <c r="L23" s="68">
        <f>SUM(F23:K23)</f>
        <v>20</v>
      </c>
      <c r="M23" s="20">
        <v>1</v>
      </c>
      <c r="N23" s="20">
        <f>+L23*M23</f>
        <v>20</v>
      </c>
      <c r="O23" s="18">
        <f t="shared" si="2"/>
        <v>5.2</v>
      </c>
      <c r="P23" s="18">
        <f t="shared" si="3"/>
        <v>7.39</v>
      </c>
      <c r="Q23" s="148">
        <f t="shared" si="0"/>
        <v>0.2365625</v>
      </c>
      <c r="R23" s="149"/>
      <c r="S23" s="150"/>
      <c r="T23" s="150"/>
      <c r="U23" s="150"/>
      <c r="V23" s="150"/>
      <c r="W23" s="150"/>
    </row>
    <row r="24" s="31" customFormat="1" ht="16.5" customHeight="1" spans="1:23">
      <c r="A24" s="65">
        <f t="shared" si="1"/>
        <v>5</v>
      </c>
      <c r="B24" s="65">
        <f t="shared" si="4"/>
        <v>5</v>
      </c>
      <c r="C24" s="66" t="s">
        <v>48</v>
      </c>
      <c r="D24" s="67"/>
      <c r="E24" s="20"/>
      <c r="F24" s="20"/>
      <c r="G24" s="20"/>
      <c r="H24" s="20">
        <v>20</v>
      </c>
      <c r="I24" s="20"/>
      <c r="J24" s="20"/>
      <c r="K24" s="20"/>
      <c r="L24" s="68">
        <f>SUM(F24:K24)</f>
        <v>20</v>
      </c>
      <c r="M24" s="20">
        <v>1</v>
      </c>
      <c r="N24" s="20">
        <f t="shared" ref="N24:N26" si="5">+L24*M24</f>
        <v>20</v>
      </c>
      <c r="O24" s="18">
        <f t="shared" si="2"/>
        <v>5.4</v>
      </c>
      <c r="P24" s="18">
        <f t="shared" si="3"/>
        <v>7.59</v>
      </c>
      <c r="Q24" s="148">
        <f t="shared" si="0"/>
        <v>0.2365625</v>
      </c>
      <c r="R24" s="149"/>
      <c r="S24" s="150"/>
      <c r="T24" s="150"/>
      <c r="U24" s="150"/>
      <c r="V24" s="150"/>
      <c r="W24" s="150"/>
    </row>
    <row r="25" s="31" customFormat="1" ht="16.5" customHeight="1" spans="1:23">
      <c r="A25" s="65">
        <f t="shared" si="1"/>
        <v>6</v>
      </c>
      <c r="B25" s="65">
        <f t="shared" si="4"/>
        <v>6</v>
      </c>
      <c r="C25" s="66" t="s">
        <v>48</v>
      </c>
      <c r="D25" s="67"/>
      <c r="E25" s="20"/>
      <c r="F25" s="20"/>
      <c r="G25" s="20"/>
      <c r="H25" s="20"/>
      <c r="I25" s="20">
        <v>23</v>
      </c>
      <c r="J25" s="20"/>
      <c r="K25" s="20"/>
      <c r="L25" s="68">
        <f>SUM(F25:K25)</f>
        <v>23</v>
      </c>
      <c r="M25" s="20">
        <v>1</v>
      </c>
      <c r="N25" s="20">
        <f t="shared" si="5"/>
        <v>23</v>
      </c>
      <c r="O25" s="18">
        <f t="shared" si="2"/>
        <v>6.44</v>
      </c>
      <c r="P25" s="18">
        <f t="shared" si="3"/>
        <v>8.63</v>
      </c>
      <c r="Q25" s="148">
        <f t="shared" si="0"/>
        <v>0.2365625</v>
      </c>
      <c r="R25" s="149"/>
      <c r="S25" s="150"/>
      <c r="T25" s="150"/>
      <c r="U25" s="150"/>
      <c r="V25" s="150"/>
      <c r="W25" s="150"/>
    </row>
    <row r="26" s="31" customFormat="1" ht="16.5" customHeight="1" spans="1:23">
      <c r="A26" s="65">
        <f t="shared" si="1"/>
        <v>7</v>
      </c>
      <c r="B26" s="65">
        <f t="shared" si="4"/>
        <v>7</v>
      </c>
      <c r="C26" s="66" t="s">
        <v>48</v>
      </c>
      <c r="D26" s="67"/>
      <c r="E26" s="20"/>
      <c r="F26" s="20"/>
      <c r="G26" s="20"/>
      <c r="H26" s="20"/>
      <c r="I26" s="20"/>
      <c r="J26" s="20">
        <v>23</v>
      </c>
      <c r="K26" s="20"/>
      <c r="L26" s="20">
        <f>SUM(F26:K26)</f>
        <v>23</v>
      </c>
      <c r="M26" s="20">
        <v>1</v>
      </c>
      <c r="N26" s="20">
        <f t="shared" si="5"/>
        <v>23</v>
      </c>
      <c r="O26" s="18">
        <f t="shared" si="2"/>
        <v>6.785</v>
      </c>
      <c r="P26" s="18">
        <f t="shared" si="3"/>
        <v>8.975</v>
      </c>
      <c r="Q26" s="148">
        <f t="shared" si="0"/>
        <v>0.2365625</v>
      </c>
      <c r="R26" s="149"/>
      <c r="S26" s="150"/>
      <c r="T26" s="150"/>
      <c r="U26" s="150"/>
      <c r="V26" s="150"/>
      <c r="W26" s="150"/>
    </row>
    <row r="27" s="31" customFormat="1" ht="16.5" customHeight="1" spans="1:18">
      <c r="A27" s="69"/>
      <c r="B27" s="70"/>
      <c r="C27" s="71"/>
      <c r="D27" s="71"/>
      <c r="E27" s="72">
        <f t="shared" ref="E27:K27" si="6">SUM(E20:E26)</f>
        <v>0</v>
      </c>
      <c r="F27" s="72">
        <f t="shared" si="6"/>
        <v>22</v>
      </c>
      <c r="G27" s="72">
        <f t="shared" si="6"/>
        <v>44</v>
      </c>
      <c r="H27" s="72">
        <f t="shared" si="6"/>
        <v>44</v>
      </c>
      <c r="I27" s="72">
        <f t="shared" si="6"/>
        <v>23</v>
      </c>
      <c r="J27" s="72">
        <f t="shared" si="6"/>
        <v>23</v>
      </c>
      <c r="K27" s="72">
        <f t="shared" si="6"/>
        <v>0</v>
      </c>
      <c r="L27" s="72"/>
      <c r="M27" s="72">
        <f>SUM(M20:M26)</f>
        <v>7</v>
      </c>
      <c r="N27" s="72">
        <f>SUM(N20:N26)</f>
        <v>156</v>
      </c>
      <c r="O27" s="122">
        <f>SUM(O20:O26)</f>
        <v>42.155</v>
      </c>
      <c r="P27" s="123">
        <f>SUM(P20:P26)</f>
        <v>57.485</v>
      </c>
      <c r="Q27" s="151"/>
      <c r="R27" s="152"/>
    </row>
    <row r="28" ht="13.5"/>
    <row r="29" ht="15.75" spans="1:16">
      <c r="A29" s="74"/>
      <c r="B29" s="75"/>
      <c r="C29" s="75" t="s">
        <v>36</v>
      </c>
      <c r="D29" s="75"/>
      <c r="E29" s="75">
        <f>E27</f>
        <v>0</v>
      </c>
      <c r="F29" s="75">
        <f>F27</f>
        <v>22</v>
      </c>
      <c r="G29" s="75">
        <f t="shared" ref="G29:K29" si="7">G27</f>
        <v>44</v>
      </c>
      <c r="H29" s="75">
        <f t="shared" si="7"/>
        <v>44</v>
      </c>
      <c r="I29" s="75">
        <f t="shared" si="7"/>
        <v>23</v>
      </c>
      <c r="J29" s="75">
        <f t="shared" si="7"/>
        <v>23</v>
      </c>
      <c r="K29" s="75">
        <f t="shared" si="7"/>
        <v>0</v>
      </c>
      <c r="L29" s="75"/>
      <c r="M29" s="75">
        <f>M27</f>
        <v>7</v>
      </c>
      <c r="N29" s="75">
        <f>N27</f>
        <v>156</v>
      </c>
      <c r="O29" s="125">
        <f>O27</f>
        <v>42.155</v>
      </c>
      <c r="P29" s="126">
        <f>P27</f>
        <v>57.485</v>
      </c>
    </row>
    <row r="30" ht="16.5" customHeight="1" spans="1:16">
      <c r="A30" s="76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127"/>
      <c r="P30" s="127"/>
    </row>
    <row r="31" ht="18" customHeight="1" spans="5:11">
      <c r="E31" s="78"/>
      <c r="F31" s="78"/>
      <c r="G31" s="78"/>
      <c r="H31" s="78"/>
      <c r="I31" s="78"/>
      <c r="J31" s="78"/>
      <c r="K31" s="25"/>
    </row>
    <row r="32" ht="13.5" spans="3:13">
      <c r="C32" s="79" t="s">
        <v>37</v>
      </c>
      <c r="D32" s="80"/>
      <c r="E32" s="80"/>
      <c r="F32" s="80"/>
      <c r="G32" s="80"/>
      <c r="H32" s="80"/>
      <c r="I32" s="80"/>
      <c r="J32" s="80"/>
      <c r="K32" s="80"/>
      <c r="L32" s="80"/>
      <c r="M32" s="128"/>
    </row>
    <row r="33" ht="17.25" customHeight="1" spans="3:18">
      <c r="C33" s="81" t="s">
        <v>38</v>
      </c>
      <c r="D33" s="82"/>
      <c r="E33" s="83" t="str">
        <f>C20</f>
        <v>Bbinos-503</v>
      </c>
      <c r="F33" s="84"/>
      <c r="G33" s="84"/>
      <c r="H33" s="84"/>
      <c r="I33" s="84"/>
      <c r="J33" s="84"/>
      <c r="K33" s="84"/>
      <c r="L33" s="129"/>
      <c r="M33" s="130" t="s">
        <v>39</v>
      </c>
      <c r="P33" s="34"/>
      <c r="R33"/>
    </row>
    <row r="34" ht="17.25" customHeight="1" spans="3:18">
      <c r="C34" s="85"/>
      <c r="D34" s="86"/>
      <c r="E34" s="87" t="s">
        <v>23</v>
      </c>
      <c r="F34" s="88" t="s">
        <v>24</v>
      </c>
      <c r="G34" s="88" t="s">
        <v>25</v>
      </c>
      <c r="H34" s="88" t="s">
        <v>26</v>
      </c>
      <c r="I34" s="88" t="s">
        <v>27</v>
      </c>
      <c r="J34" s="88" t="s">
        <v>28</v>
      </c>
      <c r="K34" s="131" t="s">
        <v>29</v>
      </c>
      <c r="L34" s="132" t="s">
        <v>40</v>
      </c>
      <c r="M34" s="133"/>
      <c r="P34" s="34"/>
      <c r="R34"/>
    </row>
    <row r="35" ht="15.75" customHeight="1" spans="3:18">
      <c r="C35" s="89" t="s">
        <v>41</v>
      </c>
      <c r="D35" s="90"/>
      <c r="E35" s="91"/>
      <c r="F35" s="155">
        <v>23</v>
      </c>
      <c r="G35" s="155">
        <v>46</v>
      </c>
      <c r="H35" s="155">
        <v>45</v>
      </c>
      <c r="I35" s="155">
        <v>23</v>
      </c>
      <c r="J35" s="155">
        <v>23</v>
      </c>
      <c r="K35" s="134"/>
      <c r="L35" s="135">
        <f>SUM(E35:K35)</f>
        <v>160</v>
      </c>
      <c r="M35" s="136">
        <f>+L37/L35*100-100</f>
        <v>-2.5</v>
      </c>
      <c r="N35" s="14"/>
      <c r="O35" s="14"/>
      <c r="P35" s="34"/>
      <c r="R35"/>
    </row>
    <row r="36" ht="15.75" customHeight="1" spans="3:18">
      <c r="C36" s="93" t="s">
        <v>42</v>
      </c>
      <c r="D36" s="94"/>
      <c r="E36" s="95"/>
      <c r="F36" s="155">
        <v>22</v>
      </c>
      <c r="G36" s="155">
        <v>46</v>
      </c>
      <c r="H36" s="155">
        <v>46</v>
      </c>
      <c r="I36" s="155">
        <v>23</v>
      </c>
      <c r="J36" s="155">
        <v>23</v>
      </c>
      <c r="K36" s="137"/>
      <c r="L36" s="138">
        <f>SUM(E36:K36)</f>
        <v>160</v>
      </c>
      <c r="M36" s="139"/>
      <c r="N36" s="14"/>
      <c r="O36" s="14"/>
      <c r="P36" s="34"/>
      <c r="R36"/>
    </row>
    <row r="37" ht="15.75" customHeight="1" spans="3:18">
      <c r="C37" s="96" t="s">
        <v>43</v>
      </c>
      <c r="D37" s="97"/>
      <c r="E37" s="98">
        <f>+E27</f>
        <v>0</v>
      </c>
      <c r="F37" s="12">
        <f>+F27</f>
        <v>22</v>
      </c>
      <c r="G37" s="12">
        <f>+G27</f>
        <v>44</v>
      </c>
      <c r="H37" s="12">
        <f t="shared" ref="H37:K37" si="8">+H27</f>
        <v>44</v>
      </c>
      <c r="I37" s="12">
        <f t="shared" si="8"/>
        <v>23</v>
      </c>
      <c r="J37" s="12">
        <f t="shared" si="8"/>
        <v>23</v>
      </c>
      <c r="K37" s="140">
        <f t="shared" si="8"/>
        <v>0</v>
      </c>
      <c r="L37" s="11">
        <f>SUM(E37:K37)</f>
        <v>156</v>
      </c>
      <c r="M37" s="139"/>
      <c r="N37" s="156" t="s">
        <v>49</v>
      </c>
      <c r="O37" s="157"/>
      <c r="P37" s="143"/>
      <c r="R37"/>
    </row>
    <row r="38" ht="15.75" customHeight="1" spans="3:18">
      <c r="C38" s="96" t="s">
        <v>44</v>
      </c>
      <c r="D38" s="97"/>
      <c r="E38" s="98">
        <f>+E36-E37</f>
        <v>0</v>
      </c>
      <c r="F38" s="12">
        <f t="shared" ref="F38:L38" si="9">+F36-F37</f>
        <v>0</v>
      </c>
      <c r="G38" s="99">
        <f t="shared" si="9"/>
        <v>2</v>
      </c>
      <c r="H38" s="12">
        <f t="shared" si="9"/>
        <v>2</v>
      </c>
      <c r="I38" s="12">
        <f t="shared" si="9"/>
        <v>0</v>
      </c>
      <c r="J38" s="12">
        <f t="shared" si="9"/>
        <v>0</v>
      </c>
      <c r="K38" s="140">
        <f t="shared" si="9"/>
        <v>0</v>
      </c>
      <c r="L38" s="11">
        <f t="shared" si="9"/>
        <v>4</v>
      </c>
      <c r="M38" s="144"/>
      <c r="N38" s="145" t="s">
        <v>45</v>
      </c>
      <c r="O38" s="146"/>
      <c r="P38" s="34"/>
      <c r="R38"/>
    </row>
    <row r="39" hidden="1" spans="3:11">
      <c r="C39" s="100" t="s">
        <v>39</v>
      </c>
      <c r="D39" s="100"/>
      <c r="E39" s="100"/>
      <c r="F39" s="101">
        <f>+F37/F35*100</f>
        <v>95.6521739130435</v>
      </c>
      <c r="G39" s="101">
        <f t="shared" ref="G39:J39" si="10">+G37/G35*100</f>
        <v>95.6521739130435</v>
      </c>
      <c r="H39" s="101">
        <f t="shared" si="10"/>
        <v>97.7777777777778</v>
      </c>
      <c r="I39" s="101">
        <f t="shared" si="10"/>
        <v>100</v>
      </c>
      <c r="J39" s="101">
        <f t="shared" si="10"/>
        <v>100</v>
      </c>
      <c r="K39" s="100"/>
    </row>
    <row r="40" hidden="1" spans="3:12">
      <c r="C40" s="102" t="s">
        <v>50</v>
      </c>
      <c r="D40" s="102"/>
      <c r="E40" s="25"/>
      <c r="F40" s="25">
        <v>13</v>
      </c>
      <c r="G40" s="25">
        <v>26</v>
      </c>
      <c r="H40" s="25">
        <v>26</v>
      </c>
      <c r="I40" s="25">
        <v>14</v>
      </c>
      <c r="J40" s="25">
        <v>14</v>
      </c>
      <c r="K40" s="25"/>
      <c r="L40">
        <f>SUM(E40:K40)</f>
        <v>93</v>
      </c>
    </row>
    <row r="41" hidden="1" spans="3:12">
      <c r="C41" s="103" t="s">
        <v>51</v>
      </c>
      <c r="D41" s="103"/>
      <c r="E41" s="104"/>
      <c r="F41" s="103">
        <f>+F37-F40</f>
        <v>9</v>
      </c>
      <c r="G41" s="103">
        <f t="shared" ref="G41:J41" si="11">+G37-G40</f>
        <v>18</v>
      </c>
      <c r="H41" s="103">
        <f t="shared" si="11"/>
        <v>18</v>
      </c>
      <c r="I41" s="103">
        <f t="shared" si="11"/>
        <v>9</v>
      </c>
      <c r="J41" s="103">
        <f t="shared" si="11"/>
        <v>9</v>
      </c>
      <c r="K41" s="104"/>
      <c r="L41" s="103">
        <f>SUM(F41:K41)</f>
        <v>63</v>
      </c>
    </row>
    <row r="42" hidden="1"/>
  </sheetData>
  <mergeCells count="38">
    <mergeCell ref="A1:P1"/>
    <mergeCell ref="F10:P10"/>
    <mergeCell ref="F11:I11"/>
    <mergeCell ref="M12:P12"/>
    <mergeCell ref="F13:H13"/>
    <mergeCell ref="F14:H14"/>
    <mergeCell ref="Q14:S14"/>
    <mergeCell ref="F15:H15"/>
    <mergeCell ref="F16:H16"/>
    <mergeCell ref="A19:B19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A29:B29"/>
    <mergeCell ref="C29:D29"/>
    <mergeCell ref="E31:J31"/>
    <mergeCell ref="C33:D33"/>
    <mergeCell ref="E33:L33"/>
    <mergeCell ref="C34:D34"/>
    <mergeCell ref="C35:D35"/>
    <mergeCell ref="N35:O35"/>
    <mergeCell ref="C36:D36"/>
    <mergeCell ref="C37:D37"/>
    <mergeCell ref="N37:O37"/>
    <mergeCell ref="C38:D38"/>
    <mergeCell ref="N38:O38"/>
    <mergeCell ref="C39:D39"/>
    <mergeCell ref="C40:D40"/>
    <mergeCell ref="C41:D41"/>
    <mergeCell ref="M33:M34"/>
    <mergeCell ref="M35:M38"/>
    <mergeCell ref="H3:K7"/>
  </mergeCells>
  <pageMargins left="0.275590551181102" right="0.354330708661417" top="0.433070866141732" bottom="0.15748031496063" header="0.15748031496063" footer="0.511811023622047"/>
  <pageSetup paperSize="9" scale="92" orientation="landscape"/>
  <headerFooter alignWithMargins="0">
    <oddHeader>&amp;C&amp;A</oddHeader>
    <oddFooter>&amp;R&amp;D&amp;T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W44"/>
  <sheetViews>
    <sheetView showGridLines="0" zoomScale="90" zoomScaleNormal="90" topLeftCell="A7" workbookViewId="0">
      <selection activeCell="W35" sqref="W35"/>
    </sheetView>
  </sheetViews>
  <sheetFormatPr defaultColWidth="9.14285714285714" defaultRowHeight="12.75"/>
  <cols>
    <col min="1" max="1" width="6.14285714285714" customWidth="1"/>
    <col min="2" max="2" width="7.42857142857143" customWidth="1"/>
    <col min="3" max="3" width="10.4285714285714" customWidth="1"/>
    <col min="4" max="4" width="11.2857142857143" customWidth="1"/>
    <col min="5" max="5" width="7.14285714285714" customWidth="1"/>
    <col min="6" max="11" width="7.42857142857143" customWidth="1"/>
    <col min="12" max="12" width="9.57142857142857" customWidth="1"/>
    <col min="13" max="13" width="7.71428571428571" customWidth="1"/>
    <col min="14" max="14" width="9.14285714285714" customWidth="1"/>
    <col min="15" max="16" width="10.7142857142857" customWidth="1"/>
    <col min="17" max="17" width="6.42857142857143" hidden="1" customWidth="1"/>
    <col min="18" max="18" width="11.7142857142857" style="34" customWidth="1"/>
    <col min="20" max="20" width="12.4285714285714" customWidth="1"/>
  </cols>
  <sheetData>
    <row r="1" ht="32.25" customHeight="1" spans="1:16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s="31" customFormat="1" ht="15" customHeight="1" spans="1:18">
      <c r="A2" s="36" t="s">
        <v>1</v>
      </c>
      <c r="B2" s="37"/>
      <c r="C2" s="38"/>
      <c r="D2" s="38"/>
      <c r="E2" s="38"/>
      <c r="F2" s="38"/>
      <c r="G2" s="38"/>
      <c r="H2" s="39"/>
      <c r="I2" s="38"/>
      <c r="J2" s="38"/>
      <c r="K2" s="38"/>
      <c r="L2" s="105"/>
      <c r="M2" s="106"/>
      <c r="N2" s="38"/>
      <c r="O2" s="107"/>
      <c r="P2" s="108"/>
      <c r="R2" s="41"/>
    </row>
    <row r="3" s="31" customFormat="1" ht="15" customHeight="1" spans="1:18">
      <c r="A3" s="40" t="s">
        <v>2</v>
      </c>
      <c r="B3" s="41"/>
      <c r="H3" s="42"/>
      <c r="I3" s="109"/>
      <c r="J3" s="109"/>
      <c r="K3" s="109"/>
      <c r="L3" s="110"/>
      <c r="M3" s="111"/>
      <c r="P3" s="112"/>
      <c r="R3" s="41"/>
    </row>
    <row r="4" s="31" customFormat="1" ht="15" customHeight="1" spans="1:18">
      <c r="A4" s="40" t="s">
        <v>3</v>
      </c>
      <c r="B4" s="41"/>
      <c r="H4" s="42"/>
      <c r="I4" s="109"/>
      <c r="J4" s="109"/>
      <c r="K4" s="109"/>
      <c r="L4" s="110"/>
      <c r="M4" s="111"/>
      <c r="P4" s="112"/>
      <c r="R4" s="41"/>
    </row>
    <row r="5" s="31" customFormat="1" ht="15" customHeight="1" spans="1:18">
      <c r="A5" s="43" t="s">
        <v>4</v>
      </c>
      <c r="B5" s="41"/>
      <c r="H5" s="42"/>
      <c r="I5" s="109"/>
      <c r="J5" s="109"/>
      <c r="K5" s="109"/>
      <c r="L5" s="110"/>
      <c r="M5" s="111"/>
      <c r="P5" s="112"/>
      <c r="R5" s="41"/>
    </row>
    <row r="6" s="31" customFormat="1" ht="15" customHeight="1" spans="1:18">
      <c r="A6" s="40" t="s">
        <v>5</v>
      </c>
      <c r="B6" s="41"/>
      <c r="H6" s="42"/>
      <c r="I6" s="109"/>
      <c r="J6" s="109"/>
      <c r="K6" s="109"/>
      <c r="L6" s="110"/>
      <c r="M6" s="111"/>
      <c r="P6" s="112"/>
      <c r="R6" s="41"/>
    </row>
    <row r="7" s="31" customFormat="1" ht="15" customHeight="1" spans="1:18">
      <c r="A7" s="40" t="s">
        <v>6</v>
      </c>
      <c r="B7" s="41"/>
      <c r="H7" s="42"/>
      <c r="I7" s="109"/>
      <c r="J7" s="109"/>
      <c r="K7" s="109"/>
      <c r="L7" s="110"/>
      <c r="M7" s="111"/>
      <c r="P7" s="112"/>
      <c r="R7" s="41"/>
    </row>
    <row r="8" s="31" customFormat="1" ht="12" customHeight="1" spans="1:18">
      <c r="A8" s="44"/>
      <c r="B8" s="45"/>
      <c r="C8" s="46"/>
      <c r="D8" s="46"/>
      <c r="E8" s="46"/>
      <c r="F8" s="46"/>
      <c r="G8" s="46"/>
      <c r="H8" s="47"/>
      <c r="I8" s="46"/>
      <c r="J8" s="113"/>
      <c r="K8" s="113"/>
      <c r="L8" s="113"/>
      <c r="M8" s="114"/>
      <c r="N8" s="46"/>
      <c r="O8" s="46"/>
      <c r="P8" s="115"/>
      <c r="R8" s="41"/>
    </row>
    <row r="9" s="31" customFormat="1" ht="21" customHeight="1" spans="1:18">
      <c r="A9" s="48"/>
      <c r="B9" s="45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115"/>
      <c r="R9" s="41"/>
    </row>
    <row r="10" s="32" customFormat="1" ht="15" customHeight="1" spans="1:18">
      <c r="A10" s="49" t="s">
        <v>7</v>
      </c>
      <c r="B10" s="37"/>
      <c r="C10" s="38"/>
      <c r="D10" s="38" t="s">
        <v>8</v>
      </c>
      <c r="E10" s="38"/>
      <c r="F10" s="50" t="s">
        <v>46</v>
      </c>
      <c r="G10" s="50" t="s">
        <v>10</v>
      </c>
      <c r="H10" s="50" t="s">
        <v>10</v>
      </c>
      <c r="I10" s="50" t="s">
        <v>10</v>
      </c>
      <c r="J10" s="50" t="s">
        <v>10</v>
      </c>
      <c r="K10" s="50" t="s">
        <v>10</v>
      </c>
      <c r="L10" s="50" t="s">
        <v>10</v>
      </c>
      <c r="M10" s="50" t="s">
        <v>10</v>
      </c>
      <c r="N10" s="50" t="s">
        <v>10</v>
      </c>
      <c r="O10" s="50" t="s">
        <v>10</v>
      </c>
      <c r="P10" s="116" t="s">
        <v>10</v>
      </c>
      <c r="R10" s="147"/>
    </row>
    <row r="11" s="31" customFormat="1" ht="15" customHeight="1" spans="1:18">
      <c r="A11" s="51" t="s">
        <v>11</v>
      </c>
      <c r="B11" s="41"/>
      <c r="D11" s="31" t="s">
        <v>8</v>
      </c>
      <c r="F11" s="52" t="s">
        <v>52</v>
      </c>
      <c r="G11" s="52"/>
      <c r="H11" s="52"/>
      <c r="I11" s="52"/>
      <c r="P11" s="112"/>
      <c r="R11" s="41"/>
    </row>
    <row r="12" s="31" customFormat="1" ht="15" customHeight="1" spans="1:18">
      <c r="A12" s="51" t="s">
        <v>13</v>
      </c>
      <c r="B12" s="41"/>
      <c r="D12" s="31" t="s">
        <v>8</v>
      </c>
      <c r="F12" s="53" t="str">
        <f>F10</f>
        <v>AM-OS-12</v>
      </c>
      <c r="G12" s="53"/>
      <c r="H12" s="53"/>
      <c r="I12" s="53"/>
      <c r="L12"/>
      <c r="M12" s="117" t="s">
        <v>14</v>
      </c>
      <c r="N12" s="117"/>
      <c r="O12" s="117"/>
      <c r="P12" s="118"/>
      <c r="R12" s="41"/>
    </row>
    <row r="13" s="31" customFormat="1" ht="15" customHeight="1" spans="1:18">
      <c r="A13" s="51" t="s">
        <v>15</v>
      </c>
      <c r="B13" s="41"/>
      <c r="D13" s="31" t="s">
        <v>8</v>
      </c>
      <c r="F13" s="41">
        <f>+N31</f>
        <v>232</v>
      </c>
      <c r="G13" s="41"/>
      <c r="H13" s="41"/>
      <c r="P13" s="112"/>
      <c r="R13" s="41"/>
    </row>
    <row r="14" s="31" customFormat="1" ht="15" customHeight="1" spans="1:19">
      <c r="A14" s="51" t="s">
        <v>16</v>
      </c>
      <c r="B14" s="41"/>
      <c r="D14" s="31" t="s">
        <v>8</v>
      </c>
      <c r="F14" s="54">
        <f>+M31</f>
        <v>11</v>
      </c>
      <c r="G14" s="54"/>
      <c r="H14" s="54"/>
      <c r="P14" s="112"/>
      <c r="Q14" s="34"/>
      <c r="R14" s="34"/>
      <c r="S14" s="34"/>
    </row>
    <row r="15" s="31" customFormat="1" ht="15" customHeight="1" spans="1:18">
      <c r="A15" s="51" t="s">
        <v>17</v>
      </c>
      <c r="B15" s="41"/>
      <c r="D15" s="31" t="s">
        <v>8</v>
      </c>
      <c r="F15" s="55" t="s">
        <v>18</v>
      </c>
      <c r="G15" s="55"/>
      <c r="H15" s="55"/>
      <c r="P15" s="112"/>
      <c r="R15" s="41"/>
    </row>
    <row r="16" s="31" customFormat="1" ht="15" customHeight="1" spans="1:18">
      <c r="A16" s="48" t="s">
        <v>19</v>
      </c>
      <c r="B16" s="45" t="s">
        <v>20</v>
      </c>
      <c r="C16" s="46"/>
      <c r="D16" s="46" t="s">
        <v>8</v>
      </c>
      <c r="E16" s="46"/>
      <c r="F16" s="56"/>
      <c r="G16" s="56"/>
      <c r="H16" s="56"/>
      <c r="I16" s="46"/>
      <c r="J16" s="46"/>
      <c r="K16" s="46"/>
      <c r="L16" s="46"/>
      <c r="M16" s="46"/>
      <c r="N16" s="46"/>
      <c r="O16" s="46"/>
      <c r="P16" s="115"/>
      <c r="R16" s="41"/>
    </row>
    <row r="17" s="31" customFormat="1" ht="9" customHeight="1" spans="1:18">
      <c r="A17" s="39"/>
      <c r="B17" s="57"/>
      <c r="C17" s="58"/>
      <c r="D17" s="5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119"/>
      <c r="R17" s="41"/>
    </row>
    <row r="18" s="31" customFormat="1" ht="9" customHeight="1" spans="1:18">
      <c r="A18" s="59"/>
      <c r="C18" s="60"/>
      <c r="D18" s="60"/>
      <c r="P18" s="112"/>
      <c r="R18" s="41"/>
    </row>
    <row r="19" s="33" customFormat="1" ht="35.25" customHeight="1" spans="1:18">
      <c r="A19" s="61" t="s">
        <v>21</v>
      </c>
      <c r="B19" s="62"/>
      <c r="C19" s="63" t="s">
        <v>22</v>
      </c>
      <c r="D19" s="63"/>
      <c r="E19" s="64" t="s">
        <v>23</v>
      </c>
      <c r="F19" s="64" t="s">
        <v>24</v>
      </c>
      <c r="G19" s="64" t="s">
        <v>25</v>
      </c>
      <c r="H19" s="64" t="s">
        <v>26</v>
      </c>
      <c r="I19" s="64" t="s">
        <v>27</v>
      </c>
      <c r="J19" s="64" t="s">
        <v>28</v>
      </c>
      <c r="K19" s="64" t="s">
        <v>29</v>
      </c>
      <c r="L19" s="120" t="s">
        <v>30</v>
      </c>
      <c r="M19" s="120" t="s">
        <v>31</v>
      </c>
      <c r="N19" s="120" t="s">
        <v>32</v>
      </c>
      <c r="O19" s="62" t="s">
        <v>33</v>
      </c>
      <c r="P19" s="121" t="s">
        <v>34</v>
      </c>
      <c r="R19" s="41"/>
    </row>
    <row r="20" s="31" customFormat="1" ht="16.5" customHeight="1" spans="1:23">
      <c r="A20" s="65">
        <v>1</v>
      </c>
      <c r="B20" s="65">
        <f>+M20</f>
        <v>1</v>
      </c>
      <c r="C20" s="66" t="s">
        <v>53</v>
      </c>
      <c r="D20" s="67" t="s">
        <v>53</v>
      </c>
      <c r="E20" s="20"/>
      <c r="F20" s="20">
        <f>N20</f>
        <v>24</v>
      </c>
      <c r="G20" s="20"/>
      <c r="H20" s="20"/>
      <c r="I20" s="20"/>
      <c r="J20" s="20"/>
      <c r="K20" s="20"/>
      <c r="L20" s="20">
        <v>24</v>
      </c>
      <c r="M20" s="20">
        <v>1</v>
      </c>
      <c r="N20" s="20">
        <f t="shared" ref="N20:N28" si="0">+L20*M20</f>
        <v>24</v>
      </c>
      <c r="O20" s="18">
        <f>F20*0.255+G20*0.26+H20*0.27+I20*0.28+J20*0.295</f>
        <v>6.12</v>
      </c>
      <c r="P20" s="18">
        <f>2.19+O20</f>
        <v>8.31</v>
      </c>
      <c r="Q20" s="148">
        <f t="shared" ref="Q20:Q28" si="1">7.57/32</f>
        <v>0.2365625</v>
      </c>
      <c r="R20" s="149"/>
      <c r="S20" s="150"/>
      <c r="T20" s="150"/>
      <c r="U20" s="150"/>
      <c r="V20" s="150"/>
      <c r="W20" s="150"/>
    </row>
    <row r="21" s="31" customFormat="1" ht="16.5" customHeight="1" spans="1:23">
      <c r="A21" s="65">
        <f t="shared" ref="A21:A28" si="2">B20+1</f>
        <v>2</v>
      </c>
      <c r="B21" s="65">
        <f t="shared" ref="B21:B28" si="3">+B20+M21</f>
        <v>3</v>
      </c>
      <c r="C21" s="66" t="s">
        <v>53</v>
      </c>
      <c r="D21" s="67" t="s">
        <v>53</v>
      </c>
      <c r="E21" s="20"/>
      <c r="F21" s="20"/>
      <c r="G21" s="20">
        <f>N21</f>
        <v>48</v>
      </c>
      <c r="H21" s="20"/>
      <c r="I21" s="20"/>
      <c r="J21" s="20"/>
      <c r="K21" s="20"/>
      <c r="L21" s="20">
        <v>24</v>
      </c>
      <c r="M21" s="20">
        <v>2</v>
      </c>
      <c r="N21" s="20">
        <f t="shared" si="0"/>
        <v>48</v>
      </c>
      <c r="O21" s="18">
        <f t="shared" ref="O21:O28" si="4">F21*0.255+G21*0.26+H21*0.27+I21*0.28+J21*0.295</f>
        <v>12.48</v>
      </c>
      <c r="P21" s="18">
        <f t="shared" ref="P21:P28" si="5">2.19+O21</f>
        <v>14.67</v>
      </c>
      <c r="Q21" s="148">
        <f t="shared" si="1"/>
        <v>0.2365625</v>
      </c>
      <c r="R21" s="149"/>
      <c r="S21" s="150"/>
      <c r="T21" s="150"/>
      <c r="U21" s="150"/>
      <c r="V21" s="150"/>
      <c r="W21" s="150"/>
    </row>
    <row r="22" s="31" customFormat="1" ht="16.5" customHeight="1" spans="1:23">
      <c r="A22" s="65">
        <f t="shared" si="2"/>
        <v>4</v>
      </c>
      <c r="B22" s="65">
        <f t="shared" si="3"/>
        <v>5</v>
      </c>
      <c r="C22" s="66" t="s">
        <v>53</v>
      </c>
      <c r="D22" s="67" t="s">
        <v>53</v>
      </c>
      <c r="E22" s="20"/>
      <c r="F22" s="20"/>
      <c r="G22" s="20"/>
      <c r="H22" s="20">
        <f>N22</f>
        <v>48</v>
      </c>
      <c r="I22" s="20"/>
      <c r="J22" s="20"/>
      <c r="K22" s="20"/>
      <c r="L22" s="20">
        <v>24</v>
      </c>
      <c r="M22" s="20">
        <v>2</v>
      </c>
      <c r="N22" s="20">
        <f t="shared" si="0"/>
        <v>48</v>
      </c>
      <c r="O22" s="18">
        <f t="shared" si="4"/>
        <v>12.96</v>
      </c>
      <c r="P22" s="18">
        <f t="shared" si="5"/>
        <v>15.15</v>
      </c>
      <c r="Q22" s="148">
        <f t="shared" si="1"/>
        <v>0.2365625</v>
      </c>
      <c r="R22" s="149"/>
      <c r="S22" s="150"/>
      <c r="T22" s="150"/>
      <c r="U22" s="150"/>
      <c r="V22" s="150"/>
      <c r="W22" s="150"/>
    </row>
    <row r="23" s="31" customFormat="1" ht="16.5" customHeight="1" spans="1:23">
      <c r="A23" s="65">
        <f t="shared" si="2"/>
        <v>6</v>
      </c>
      <c r="B23" s="65">
        <f t="shared" si="3"/>
        <v>6</v>
      </c>
      <c r="C23" s="66" t="s">
        <v>53</v>
      </c>
      <c r="D23" s="67" t="s">
        <v>53</v>
      </c>
      <c r="E23" s="20"/>
      <c r="F23" s="20"/>
      <c r="G23" s="20"/>
      <c r="H23" s="20"/>
      <c r="I23" s="20">
        <f>N23</f>
        <v>24</v>
      </c>
      <c r="J23" s="20"/>
      <c r="K23" s="20"/>
      <c r="L23" s="20">
        <v>24</v>
      </c>
      <c r="M23" s="20">
        <v>1</v>
      </c>
      <c r="N23" s="20">
        <f t="shared" si="0"/>
        <v>24</v>
      </c>
      <c r="O23" s="18">
        <f t="shared" si="4"/>
        <v>6.72</v>
      </c>
      <c r="P23" s="18">
        <f t="shared" si="5"/>
        <v>8.91</v>
      </c>
      <c r="Q23" s="148">
        <f t="shared" si="1"/>
        <v>0.2365625</v>
      </c>
      <c r="R23" s="149"/>
      <c r="S23" s="150"/>
      <c r="T23" s="150"/>
      <c r="U23" s="150"/>
      <c r="V23" s="150"/>
      <c r="W23" s="150"/>
    </row>
    <row r="24" s="31" customFormat="1" ht="16.5" customHeight="1" spans="1:23">
      <c r="A24" s="65">
        <f t="shared" si="2"/>
        <v>7</v>
      </c>
      <c r="B24" s="65">
        <f t="shared" si="3"/>
        <v>7</v>
      </c>
      <c r="C24" s="66" t="s">
        <v>53</v>
      </c>
      <c r="D24" s="67" t="s">
        <v>53</v>
      </c>
      <c r="E24" s="20"/>
      <c r="F24" s="20"/>
      <c r="G24" s="20"/>
      <c r="H24" s="20"/>
      <c r="I24" s="20"/>
      <c r="J24" s="20">
        <f>N24</f>
        <v>24</v>
      </c>
      <c r="K24" s="20"/>
      <c r="L24" s="20">
        <v>24</v>
      </c>
      <c r="M24" s="20">
        <v>1</v>
      </c>
      <c r="N24" s="20">
        <f t="shared" si="0"/>
        <v>24</v>
      </c>
      <c r="O24" s="18">
        <f t="shared" si="4"/>
        <v>7.08</v>
      </c>
      <c r="P24" s="18">
        <f t="shared" si="5"/>
        <v>9.27</v>
      </c>
      <c r="Q24" s="148">
        <f t="shared" si="1"/>
        <v>0.2365625</v>
      </c>
      <c r="R24" s="149"/>
      <c r="S24" s="150"/>
      <c r="T24" s="150"/>
      <c r="U24" s="150"/>
      <c r="V24" s="150"/>
      <c r="W24" s="150"/>
    </row>
    <row r="25" s="31" customFormat="1" ht="16.5" customHeight="1" spans="1:23">
      <c r="A25" s="65">
        <f t="shared" si="2"/>
        <v>8</v>
      </c>
      <c r="B25" s="65">
        <f t="shared" si="3"/>
        <v>8</v>
      </c>
      <c r="C25" s="66" t="s">
        <v>53</v>
      </c>
      <c r="D25" s="67" t="s">
        <v>53</v>
      </c>
      <c r="E25" s="20"/>
      <c r="F25" s="20"/>
      <c r="G25" s="20">
        <v>18</v>
      </c>
      <c r="H25" s="20"/>
      <c r="I25" s="20"/>
      <c r="J25" s="20"/>
      <c r="K25" s="20"/>
      <c r="L25" s="20">
        <f>SUM(E25:K25)</f>
        <v>18</v>
      </c>
      <c r="M25" s="20">
        <v>1</v>
      </c>
      <c r="N25" s="20">
        <f t="shared" si="0"/>
        <v>18</v>
      </c>
      <c r="O25" s="18">
        <f t="shared" si="4"/>
        <v>4.68</v>
      </c>
      <c r="P25" s="18">
        <f t="shared" si="5"/>
        <v>6.87</v>
      </c>
      <c r="Q25" s="148">
        <f t="shared" si="1"/>
        <v>0.2365625</v>
      </c>
      <c r="R25" s="149"/>
      <c r="S25" s="150"/>
      <c r="T25" s="150"/>
      <c r="U25" s="150"/>
      <c r="V25" s="150"/>
      <c r="W25" s="150"/>
    </row>
    <row r="26" s="31" customFormat="1" ht="16.5" customHeight="1" spans="1:23">
      <c r="A26" s="65">
        <f t="shared" si="2"/>
        <v>9</v>
      </c>
      <c r="B26" s="65">
        <f t="shared" si="3"/>
        <v>9</v>
      </c>
      <c r="C26" s="66" t="s">
        <v>53</v>
      </c>
      <c r="D26" s="67" t="s">
        <v>53</v>
      </c>
      <c r="E26" s="20"/>
      <c r="F26" s="20"/>
      <c r="G26" s="20"/>
      <c r="H26" s="20">
        <v>18</v>
      </c>
      <c r="I26" s="20"/>
      <c r="J26" s="20"/>
      <c r="K26" s="20"/>
      <c r="L26" s="20">
        <f>SUM(E26:K26)</f>
        <v>18</v>
      </c>
      <c r="M26" s="20">
        <v>1</v>
      </c>
      <c r="N26" s="20">
        <f t="shared" si="0"/>
        <v>18</v>
      </c>
      <c r="O26" s="18">
        <f t="shared" si="4"/>
        <v>4.86</v>
      </c>
      <c r="P26" s="18">
        <f t="shared" si="5"/>
        <v>7.05</v>
      </c>
      <c r="Q26" s="148">
        <f t="shared" si="1"/>
        <v>0.2365625</v>
      </c>
      <c r="R26" s="149"/>
      <c r="S26" s="150"/>
      <c r="T26" s="150"/>
      <c r="U26" s="150"/>
      <c r="V26" s="150"/>
      <c r="W26" s="150"/>
    </row>
    <row r="27" s="31" customFormat="1" ht="16.5" customHeight="1" spans="1:23">
      <c r="A27" s="65">
        <f t="shared" si="2"/>
        <v>10</v>
      </c>
      <c r="B27" s="65">
        <f t="shared" si="3"/>
        <v>10</v>
      </c>
      <c r="C27" s="66" t="s">
        <v>53</v>
      </c>
      <c r="D27" s="67" t="s">
        <v>53</v>
      </c>
      <c r="E27" s="20"/>
      <c r="F27" s="20"/>
      <c r="G27" s="20"/>
      <c r="H27" s="20"/>
      <c r="I27" s="20">
        <v>10</v>
      </c>
      <c r="J27" s="20">
        <v>10</v>
      </c>
      <c r="K27" s="20"/>
      <c r="L27" s="20">
        <f>SUM(E27:K27)</f>
        <v>20</v>
      </c>
      <c r="M27" s="20">
        <v>1</v>
      </c>
      <c r="N27" s="20">
        <f t="shared" si="0"/>
        <v>20</v>
      </c>
      <c r="O27" s="18">
        <f t="shared" si="4"/>
        <v>5.75</v>
      </c>
      <c r="P27" s="18">
        <f t="shared" si="5"/>
        <v>7.94</v>
      </c>
      <c r="Q27" s="148">
        <f t="shared" si="1"/>
        <v>0.2365625</v>
      </c>
      <c r="R27" s="149"/>
      <c r="S27" s="150"/>
      <c r="T27" s="150"/>
      <c r="U27" s="150"/>
      <c r="V27" s="150"/>
      <c r="W27" s="150"/>
    </row>
    <row r="28" s="31" customFormat="1" ht="16.5" customHeight="1" spans="1:23">
      <c r="A28" s="65">
        <f t="shared" si="2"/>
        <v>11</v>
      </c>
      <c r="B28" s="65">
        <f t="shared" si="3"/>
        <v>11</v>
      </c>
      <c r="C28" s="66" t="s">
        <v>53</v>
      </c>
      <c r="D28" s="67" t="s">
        <v>53</v>
      </c>
      <c r="E28" s="20"/>
      <c r="F28" s="20">
        <v>8</v>
      </c>
      <c r="G28" s="20"/>
      <c r="H28" s="20"/>
      <c r="I28" s="20"/>
      <c r="J28" s="20"/>
      <c r="K28" s="20"/>
      <c r="L28" s="20">
        <f>SUM(E28:K28)</f>
        <v>8</v>
      </c>
      <c r="M28" s="20">
        <v>1</v>
      </c>
      <c r="N28" s="20">
        <f t="shared" si="0"/>
        <v>8</v>
      </c>
      <c r="O28" s="18">
        <f t="shared" si="4"/>
        <v>2.04</v>
      </c>
      <c r="P28" s="18">
        <f t="shared" si="5"/>
        <v>4.23</v>
      </c>
      <c r="Q28" s="148">
        <f t="shared" si="1"/>
        <v>0.2365625</v>
      </c>
      <c r="R28" s="149"/>
      <c r="S28" s="150"/>
      <c r="T28" s="150"/>
      <c r="U28" s="150"/>
      <c r="V28" s="150"/>
      <c r="W28" s="150"/>
    </row>
    <row r="29" s="31" customFormat="1" ht="16.5" customHeight="1" spans="1:18">
      <c r="A29" s="69"/>
      <c r="B29" s="70"/>
      <c r="C29" s="71"/>
      <c r="D29" s="71"/>
      <c r="E29" s="72">
        <f t="shared" ref="E29:K29" si="6">SUM(E20:E28)</f>
        <v>0</v>
      </c>
      <c r="F29" s="72">
        <f t="shared" si="6"/>
        <v>32</v>
      </c>
      <c r="G29" s="72">
        <f t="shared" si="6"/>
        <v>66</v>
      </c>
      <c r="H29" s="72">
        <f t="shared" si="6"/>
        <v>66</v>
      </c>
      <c r="I29" s="72">
        <f t="shared" si="6"/>
        <v>34</v>
      </c>
      <c r="J29" s="72">
        <f t="shared" si="6"/>
        <v>34</v>
      </c>
      <c r="K29" s="72">
        <f t="shared" si="6"/>
        <v>0</v>
      </c>
      <c r="L29" s="72"/>
      <c r="M29" s="72">
        <f>SUM(M20:M28)</f>
        <v>11</v>
      </c>
      <c r="N29" s="72">
        <f>SUM(N20:N28)</f>
        <v>232</v>
      </c>
      <c r="O29" s="122">
        <f>SUM(O20:O28)</f>
        <v>62.69</v>
      </c>
      <c r="P29" s="123">
        <f>SUM(P20:P28)</f>
        <v>82.4</v>
      </c>
      <c r="Q29" s="151"/>
      <c r="R29" s="152"/>
    </row>
    <row r="30" ht="13.5"/>
    <row r="31" ht="15.75" spans="1:16">
      <c r="A31" s="74"/>
      <c r="B31" s="75"/>
      <c r="C31" s="75" t="s">
        <v>36</v>
      </c>
      <c r="D31" s="75"/>
      <c r="E31" s="75">
        <f>E29</f>
        <v>0</v>
      </c>
      <c r="F31" s="75">
        <f>F29</f>
        <v>32</v>
      </c>
      <c r="G31" s="75">
        <f t="shared" ref="G31:K31" si="7">G29</f>
        <v>66</v>
      </c>
      <c r="H31" s="75">
        <f t="shared" si="7"/>
        <v>66</v>
      </c>
      <c r="I31" s="75">
        <f t="shared" si="7"/>
        <v>34</v>
      </c>
      <c r="J31" s="75">
        <f t="shared" si="7"/>
        <v>34</v>
      </c>
      <c r="K31" s="75">
        <f t="shared" si="7"/>
        <v>0</v>
      </c>
      <c r="L31" s="75"/>
      <c r="M31" s="75">
        <f>M29</f>
        <v>11</v>
      </c>
      <c r="N31" s="75">
        <f>N29</f>
        <v>232</v>
      </c>
      <c r="O31" s="125">
        <f>O29</f>
        <v>62.69</v>
      </c>
      <c r="P31" s="126">
        <f>P29</f>
        <v>82.4</v>
      </c>
    </row>
    <row r="32" ht="16.5" customHeight="1" spans="1:16">
      <c r="A32" s="76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127"/>
      <c r="P32" s="127"/>
    </row>
    <row r="33" ht="18" customHeight="1" spans="5:11">
      <c r="E33" s="78"/>
      <c r="F33" s="78"/>
      <c r="G33" s="78"/>
      <c r="H33" s="78"/>
      <c r="I33" s="78"/>
      <c r="J33" s="78"/>
      <c r="K33" s="25"/>
    </row>
    <row r="34" ht="13.5" spans="3:13">
      <c r="C34" s="79" t="s">
        <v>37</v>
      </c>
      <c r="D34" s="80"/>
      <c r="E34" s="80"/>
      <c r="F34" s="80"/>
      <c r="G34" s="80"/>
      <c r="H34" s="80"/>
      <c r="I34" s="80"/>
      <c r="J34" s="80"/>
      <c r="K34" s="80"/>
      <c r="L34" s="80"/>
      <c r="M34" s="128"/>
    </row>
    <row r="35" ht="17.25" customHeight="1" spans="3:18">
      <c r="C35" s="81" t="s">
        <v>38</v>
      </c>
      <c r="D35" s="82"/>
      <c r="E35" s="83" t="str">
        <f>C20</f>
        <v>Bbinos-375</v>
      </c>
      <c r="F35" s="84"/>
      <c r="G35" s="84"/>
      <c r="H35" s="84"/>
      <c r="I35" s="84"/>
      <c r="J35" s="84"/>
      <c r="K35" s="84"/>
      <c r="L35" s="129"/>
      <c r="M35" s="130" t="s">
        <v>39</v>
      </c>
      <c r="P35" s="34"/>
      <c r="R35"/>
    </row>
    <row r="36" ht="17.25" customHeight="1" spans="3:18">
      <c r="C36" s="85"/>
      <c r="D36" s="86"/>
      <c r="E36" s="87" t="s">
        <v>23</v>
      </c>
      <c r="F36" s="88" t="s">
        <v>24</v>
      </c>
      <c r="G36" s="88" t="s">
        <v>25</v>
      </c>
      <c r="H36" s="88" t="s">
        <v>26</v>
      </c>
      <c r="I36" s="88" t="s">
        <v>27</v>
      </c>
      <c r="J36" s="88" t="s">
        <v>28</v>
      </c>
      <c r="K36" s="131" t="s">
        <v>29</v>
      </c>
      <c r="L36" s="132" t="s">
        <v>40</v>
      </c>
      <c r="M36" s="133"/>
      <c r="P36" s="34"/>
      <c r="R36"/>
    </row>
    <row r="37" ht="15.75" customHeight="1" spans="3:18">
      <c r="C37" s="89" t="s">
        <v>41</v>
      </c>
      <c r="D37" s="90"/>
      <c r="E37" s="91"/>
      <c r="F37" s="155">
        <v>33</v>
      </c>
      <c r="G37" s="155">
        <v>67</v>
      </c>
      <c r="H37" s="155">
        <v>67</v>
      </c>
      <c r="I37" s="155">
        <v>33</v>
      </c>
      <c r="J37" s="155">
        <v>33</v>
      </c>
      <c r="K37" s="134"/>
      <c r="L37" s="135">
        <f>SUM(E37:K37)</f>
        <v>233</v>
      </c>
      <c r="M37" s="136">
        <f>+L39/L37*100-100</f>
        <v>-0.429184549356222</v>
      </c>
      <c r="N37" s="14"/>
      <c r="O37" s="14"/>
      <c r="P37" s="34"/>
      <c r="R37"/>
    </row>
    <row r="38" ht="15.75" customHeight="1" spans="3:18">
      <c r="C38" s="93" t="s">
        <v>42</v>
      </c>
      <c r="D38" s="94"/>
      <c r="E38" s="95"/>
      <c r="F38" s="155">
        <v>32</v>
      </c>
      <c r="G38" s="155">
        <v>67</v>
      </c>
      <c r="H38" s="155">
        <v>67</v>
      </c>
      <c r="I38" s="155">
        <v>34</v>
      </c>
      <c r="J38" s="155">
        <v>34</v>
      </c>
      <c r="K38" s="137"/>
      <c r="L38" s="138">
        <f>SUM(E38:K38)</f>
        <v>234</v>
      </c>
      <c r="M38" s="139"/>
      <c r="N38" s="14"/>
      <c r="O38" s="14"/>
      <c r="P38" s="34"/>
      <c r="R38"/>
    </row>
    <row r="39" ht="15.75" customHeight="1" spans="3:18">
      <c r="C39" s="96" t="s">
        <v>43</v>
      </c>
      <c r="D39" s="97"/>
      <c r="E39" s="98">
        <f>+E29</f>
        <v>0</v>
      </c>
      <c r="F39" s="12">
        <f>+F29</f>
        <v>32</v>
      </c>
      <c r="G39" s="12">
        <f>+G29</f>
        <v>66</v>
      </c>
      <c r="H39" s="12">
        <f t="shared" ref="H39:K39" si="8">+H29</f>
        <v>66</v>
      </c>
      <c r="I39" s="12">
        <f t="shared" si="8"/>
        <v>34</v>
      </c>
      <c r="J39" s="12">
        <f t="shared" si="8"/>
        <v>34</v>
      </c>
      <c r="K39" s="140">
        <f t="shared" si="8"/>
        <v>0</v>
      </c>
      <c r="L39" s="11">
        <f>SUM(E39:K39)</f>
        <v>232</v>
      </c>
      <c r="M39" s="139"/>
      <c r="N39" s="141"/>
      <c r="O39" s="142"/>
      <c r="P39" s="143"/>
      <c r="R39"/>
    </row>
    <row r="40" ht="15.75" customHeight="1" spans="3:18">
      <c r="C40" s="96" t="s">
        <v>44</v>
      </c>
      <c r="D40" s="97"/>
      <c r="E40" s="98">
        <f>+E38-E39</f>
        <v>0</v>
      </c>
      <c r="F40" s="12">
        <f t="shared" ref="F40:L40" si="9">+F38-F39</f>
        <v>0</v>
      </c>
      <c r="G40" s="99">
        <f t="shared" si="9"/>
        <v>1</v>
      </c>
      <c r="H40" s="12">
        <f t="shared" si="9"/>
        <v>1</v>
      </c>
      <c r="I40" s="12">
        <f t="shared" si="9"/>
        <v>0</v>
      </c>
      <c r="J40" s="12">
        <f t="shared" si="9"/>
        <v>0</v>
      </c>
      <c r="K40" s="140">
        <f t="shared" si="9"/>
        <v>0</v>
      </c>
      <c r="L40" s="11">
        <f t="shared" si="9"/>
        <v>2</v>
      </c>
      <c r="M40" s="144"/>
      <c r="N40" s="145" t="s">
        <v>45</v>
      </c>
      <c r="O40" s="146"/>
      <c r="P40" s="34"/>
      <c r="R40"/>
    </row>
    <row r="41" hidden="1" spans="3:11">
      <c r="C41" s="100" t="s">
        <v>39</v>
      </c>
      <c r="D41" s="100"/>
      <c r="E41" s="100"/>
      <c r="F41" s="101">
        <f>+F39/F37*100</f>
        <v>96.969696969697</v>
      </c>
      <c r="G41" s="101">
        <f t="shared" ref="G41:J41" si="10">+G39/G37*100</f>
        <v>98.5074626865672</v>
      </c>
      <c r="H41" s="101">
        <f t="shared" si="10"/>
        <v>98.5074626865672</v>
      </c>
      <c r="I41" s="101">
        <f t="shared" si="10"/>
        <v>103.030303030303</v>
      </c>
      <c r="J41" s="101">
        <f t="shared" si="10"/>
        <v>103.030303030303</v>
      </c>
      <c r="K41" s="100"/>
    </row>
    <row r="42" hidden="1" spans="3:12">
      <c r="C42" s="102" t="s">
        <v>50</v>
      </c>
      <c r="D42" s="102"/>
      <c r="E42" s="25"/>
      <c r="F42" s="25">
        <v>13</v>
      </c>
      <c r="G42" s="25">
        <v>26</v>
      </c>
      <c r="H42" s="25">
        <v>26</v>
      </c>
      <c r="I42" s="25">
        <v>14</v>
      </c>
      <c r="J42" s="25">
        <v>14</v>
      </c>
      <c r="K42" s="25"/>
      <c r="L42">
        <f>SUM(E42:K42)</f>
        <v>93</v>
      </c>
    </row>
    <row r="43" hidden="1" spans="3:12">
      <c r="C43" s="103" t="s">
        <v>51</v>
      </c>
      <c r="D43" s="103"/>
      <c r="E43" s="104"/>
      <c r="F43" s="103">
        <f>+F39-F42</f>
        <v>19</v>
      </c>
      <c r="G43" s="103">
        <f t="shared" ref="G43:J43" si="11">+G39-G42</f>
        <v>40</v>
      </c>
      <c r="H43" s="103">
        <f t="shared" si="11"/>
        <v>40</v>
      </c>
      <c r="I43" s="103">
        <f t="shared" si="11"/>
        <v>20</v>
      </c>
      <c r="J43" s="103">
        <f t="shared" si="11"/>
        <v>20</v>
      </c>
      <c r="K43" s="104"/>
      <c r="L43" s="103">
        <f>SUM(F43:K43)</f>
        <v>139</v>
      </c>
    </row>
    <row r="44" hidden="1"/>
  </sheetData>
  <mergeCells count="40">
    <mergeCell ref="A1:P1"/>
    <mergeCell ref="F10:P10"/>
    <mergeCell ref="F11:I11"/>
    <mergeCell ref="M12:P12"/>
    <mergeCell ref="F13:H13"/>
    <mergeCell ref="F14:H14"/>
    <mergeCell ref="Q14:S14"/>
    <mergeCell ref="F15:H15"/>
    <mergeCell ref="F16:H16"/>
    <mergeCell ref="A19:B19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A31:B31"/>
    <mergeCell ref="C31:D31"/>
    <mergeCell ref="E33:J33"/>
    <mergeCell ref="C35:D35"/>
    <mergeCell ref="E35:L35"/>
    <mergeCell ref="C36:D36"/>
    <mergeCell ref="C37:D37"/>
    <mergeCell ref="N37:O37"/>
    <mergeCell ref="C38:D38"/>
    <mergeCell ref="C39:D39"/>
    <mergeCell ref="N39:O39"/>
    <mergeCell ref="C40:D40"/>
    <mergeCell ref="N40:O40"/>
    <mergeCell ref="C41:D41"/>
    <mergeCell ref="C42:D42"/>
    <mergeCell ref="C43:D43"/>
    <mergeCell ref="M35:M36"/>
    <mergeCell ref="M37:M40"/>
    <mergeCell ref="H3:K7"/>
  </mergeCells>
  <pageMargins left="0.275590551181102" right="0.354330708661417" top="0.433070866141732" bottom="0.15748031496063" header="0.15748031496063" footer="0.511811023622047"/>
  <pageSetup paperSize="9" scale="87" orientation="landscape"/>
  <headerFooter alignWithMargins="0">
    <oddHeader>&amp;C&amp;A</oddHeader>
    <oddFooter>&amp;R&amp;D&amp;T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W41"/>
  <sheetViews>
    <sheetView showGridLines="0" zoomScale="90" zoomScaleNormal="90" workbookViewId="0">
      <selection activeCell="S32" sqref="S32"/>
    </sheetView>
  </sheetViews>
  <sheetFormatPr defaultColWidth="9.14285714285714" defaultRowHeight="12.75"/>
  <cols>
    <col min="1" max="1" width="6.14285714285714" customWidth="1"/>
    <col min="2" max="2" width="7.42857142857143" customWidth="1"/>
    <col min="3" max="3" width="10.4285714285714" customWidth="1"/>
    <col min="4" max="4" width="11.2857142857143" customWidth="1"/>
    <col min="5" max="5" width="7.14285714285714" customWidth="1"/>
    <col min="6" max="11" width="7.42857142857143" customWidth="1"/>
    <col min="12" max="12" width="9.57142857142857" customWidth="1"/>
    <col min="13" max="13" width="7.71428571428571" customWidth="1"/>
    <col min="14" max="14" width="9.14285714285714" customWidth="1"/>
    <col min="15" max="16" width="10.7142857142857" customWidth="1"/>
    <col min="17" max="17" width="6.42857142857143" hidden="1" customWidth="1"/>
    <col min="18" max="18" width="11.7142857142857" style="34" customWidth="1"/>
    <col min="20" max="20" width="12.4285714285714" customWidth="1"/>
  </cols>
  <sheetData>
    <row r="1" ht="32.25" customHeight="1" spans="1:16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s="31" customFormat="1" ht="15" customHeight="1" spans="1:18">
      <c r="A2" s="36" t="s">
        <v>1</v>
      </c>
      <c r="B2" s="37"/>
      <c r="C2" s="38"/>
      <c r="D2" s="38"/>
      <c r="E2" s="38"/>
      <c r="F2" s="38"/>
      <c r="G2" s="38"/>
      <c r="H2" s="39"/>
      <c r="I2" s="38"/>
      <c r="J2" s="38"/>
      <c r="K2" s="38"/>
      <c r="L2" s="105"/>
      <c r="M2" s="106"/>
      <c r="N2" s="38"/>
      <c r="O2" s="107"/>
      <c r="P2" s="108"/>
      <c r="R2" s="41"/>
    </row>
    <row r="3" s="31" customFormat="1" ht="15" customHeight="1" spans="1:18">
      <c r="A3" s="40" t="s">
        <v>2</v>
      </c>
      <c r="B3" s="41"/>
      <c r="H3" s="42"/>
      <c r="I3" s="109"/>
      <c r="J3" s="109"/>
      <c r="K3" s="109"/>
      <c r="L3" s="110"/>
      <c r="M3" s="111"/>
      <c r="P3" s="112"/>
      <c r="R3" s="41"/>
    </row>
    <row r="4" s="31" customFormat="1" ht="15" customHeight="1" spans="1:18">
      <c r="A4" s="40" t="s">
        <v>3</v>
      </c>
      <c r="B4" s="41"/>
      <c r="H4" s="42"/>
      <c r="I4" s="109"/>
      <c r="J4" s="109"/>
      <c r="K4" s="109"/>
      <c r="L4" s="110"/>
      <c r="M4" s="111"/>
      <c r="P4" s="112"/>
      <c r="R4" s="41"/>
    </row>
    <row r="5" s="31" customFormat="1" ht="15" customHeight="1" spans="1:18">
      <c r="A5" s="43" t="s">
        <v>4</v>
      </c>
      <c r="B5" s="41"/>
      <c r="H5" s="42"/>
      <c r="I5" s="109"/>
      <c r="J5" s="109"/>
      <c r="K5" s="109"/>
      <c r="L5" s="110"/>
      <c r="M5" s="111"/>
      <c r="P5" s="112"/>
      <c r="R5" s="41"/>
    </row>
    <row r="6" s="31" customFormat="1" ht="15" customHeight="1" spans="1:18">
      <c r="A6" s="40" t="s">
        <v>5</v>
      </c>
      <c r="B6" s="41"/>
      <c r="H6" s="42"/>
      <c r="I6" s="109"/>
      <c r="J6" s="109"/>
      <c r="K6" s="109"/>
      <c r="L6" s="110"/>
      <c r="M6" s="111"/>
      <c r="P6" s="112"/>
      <c r="R6" s="41"/>
    </row>
    <row r="7" s="31" customFormat="1" ht="15" customHeight="1" spans="1:18">
      <c r="A7" s="40" t="s">
        <v>6</v>
      </c>
      <c r="B7" s="41"/>
      <c r="H7" s="42"/>
      <c r="I7" s="109"/>
      <c r="J7" s="109"/>
      <c r="K7" s="109"/>
      <c r="L7" s="110"/>
      <c r="M7" s="111"/>
      <c r="P7" s="112"/>
      <c r="R7" s="41"/>
    </row>
    <row r="8" s="31" customFormat="1" ht="12" customHeight="1" spans="1:18">
      <c r="A8" s="44"/>
      <c r="B8" s="45"/>
      <c r="C8" s="46"/>
      <c r="D8" s="46"/>
      <c r="E8" s="46"/>
      <c r="F8" s="46"/>
      <c r="G8" s="46"/>
      <c r="H8" s="47"/>
      <c r="I8" s="46"/>
      <c r="J8" s="113"/>
      <c r="K8" s="113"/>
      <c r="L8" s="113"/>
      <c r="M8" s="114"/>
      <c r="N8" s="46"/>
      <c r="O8" s="46"/>
      <c r="P8" s="115"/>
      <c r="R8" s="41"/>
    </row>
    <row r="9" s="31" customFormat="1" ht="21" customHeight="1" spans="1:18">
      <c r="A9" s="48"/>
      <c r="B9" s="45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115"/>
      <c r="R9" s="41"/>
    </row>
    <row r="10" s="32" customFormat="1" ht="15" customHeight="1" spans="1:18">
      <c r="A10" s="49" t="s">
        <v>7</v>
      </c>
      <c r="B10" s="37"/>
      <c r="C10" s="38"/>
      <c r="D10" s="38" t="s">
        <v>8</v>
      </c>
      <c r="E10" s="38"/>
      <c r="F10" s="50" t="s">
        <v>46</v>
      </c>
      <c r="G10" s="50" t="s">
        <v>10</v>
      </c>
      <c r="H10" s="50" t="s">
        <v>10</v>
      </c>
      <c r="I10" s="50" t="s">
        <v>10</v>
      </c>
      <c r="J10" s="50" t="s">
        <v>10</v>
      </c>
      <c r="K10" s="50" t="s">
        <v>10</v>
      </c>
      <c r="L10" s="50" t="s">
        <v>10</v>
      </c>
      <c r="M10" s="50" t="s">
        <v>10</v>
      </c>
      <c r="N10" s="50" t="s">
        <v>10</v>
      </c>
      <c r="O10" s="50" t="s">
        <v>10</v>
      </c>
      <c r="P10" s="116" t="s">
        <v>10</v>
      </c>
      <c r="R10" s="147"/>
    </row>
    <row r="11" s="31" customFormat="1" ht="15" customHeight="1" spans="1:18">
      <c r="A11" s="51" t="s">
        <v>11</v>
      </c>
      <c r="B11" s="41"/>
      <c r="D11" s="31" t="s">
        <v>8</v>
      </c>
      <c r="F11" s="52" t="s">
        <v>54</v>
      </c>
      <c r="G11" s="52"/>
      <c r="H11" s="52"/>
      <c r="I11" s="52"/>
      <c r="P11" s="112"/>
      <c r="R11" s="41"/>
    </row>
    <row r="12" s="31" customFormat="1" ht="15" customHeight="1" spans="1:18">
      <c r="A12" s="51" t="s">
        <v>13</v>
      </c>
      <c r="B12" s="41"/>
      <c r="D12" s="31" t="s">
        <v>8</v>
      </c>
      <c r="F12" s="53" t="str">
        <f>F10</f>
        <v>AM-OS-12</v>
      </c>
      <c r="G12" s="53"/>
      <c r="H12" s="53"/>
      <c r="I12" s="53"/>
      <c r="L12"/>
      <c r="M12" s="117" t="s">
        <v>14</v>
      </c>
      <c r="N12" s="117"/>
      <c r="O12" s="117"/>
      <c r="P12" s="118"/>
      <c r="R12" s="41"/>
    </row>
    <row r="13" s="31" customFormat="1" ht="15" customHeight="1" spans="1:18">
      <c r="A13" s="51" t="s">
        <v>15</v>
      </c>
      <c r="B13" s="41"/>
      <c r="D13" s="31" t="s">
        <v>8</v>
      </c>
      <c r="F13" s="41">
        <f>+N28</f>
        <v>123</v>
      </c>
      <c r="G13" s="41"/>
      <c r="H13" s="41"/>
      <c r="P13" s="112"/>
      <c r="R13" s="41"/>
    </row>
    <row r="14" s="31" customFormat="1" ht="15" customHeight="1" spans="1:19">
      <c r="A14" s="51" t="s">
        <v>16</v>
      </c>
      <c r="B14" s="41"/>
      <c r="D14" s="31" t="s">
        <v>8</v>
      </c>
      <c r="F14" s="54">
        <f>+M28</f>
        <v>6</v>
      </c>
      <c r="G14" s="54"/>
      <c r="H14" s="54"/>
      <c r="P14" s="112"/>
      <c r="Q14" s="34"/>
      <c r="R14" s="34"/>
      <c r="S14" s="34"/>
    </row>
    <row r="15" s="31" customFormat="1" ht="15" customHeight="1" spans="1:18">
      <c r="A15" s="51" t="s">
        <v>17</v>
      </c>
      <c r="B15" s="41"/>
      <c r="D15" s="31" t="s">
        <v>8</v>
      </c>
      <c r="F15" s="55" t="s">
        <v>18</v>
      </c>
      <c r="G15" s="55"/>
      <c r="H15" s="55"/>
      <c r="P15" s="112"/>
      <c r="R15" s="41"/>
    </row>
    <row r="16" s="31" customFormat="1" ht="15" customHeight="1" spans="1:18">
      <c r="A16" s="48" t="s">
        <v>19</v>
      </c>
      <c r="B16" s="45" t="s">
        <v>20</v>
      </c>
      <c r="C16" s="46"/>
      <c r="D16" s="46" t="s">
        <v>8</v>
      </c>
      <c r="E16" s="46"/>
      <c r="F16" s="56"/>
      <c r="G16" s="56"/>
      <c r="H16" s="56"/>
      <c r="I16" s="46"/>
      <c r="J16" s="46"/>
      <c r="K16" s="46"/>
      <c r="L16" s="46"/>
      <c r="M16" s="46"/>
      <c r="N16" s="46"/>
      <c r="O16" s="46"/>
      <c r="P16" s="115"/>
      <c r="R16" s="41"/>
    </row>
    <row r="17" s="31" customFormat="1" ht="9" customHeight="1" spans="1:18">
      <c r="A17" s="39"/>
      <c r="B17" s="57"/>
      <c r="C17" s="58"/>
      <c r="D17" s="5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119"/>
      <c r="R17" s="41"/>
    </row>
    <row r="18" s="31" customFormat="1" ht="9" customHeight="1" spans="1:18">
      <c r="A18" s="59"/>
      <c r="C18" s="60"/>
      <c r="D18" s="60"/>
      <c r="P18" s="112"/>
      <c r="R18" s="41"/>
    </row>
    <row r="19" s="33" customFormat="1" ht="35.25" customHeight="1" spans="1:18">
      <c r="A19" s="61" t="s">
        <v>21</v>
      </c>
      <c r="B19" s="62"/>
      <c r="C19" s="63" t="s">
        <v>22</v>
      </c>
      <c r="D19" s="63"/>
      <c r="E19" s="64" t="s">
        <v>23</v>
      </c>
      <c r="F19" s="64" t="s">
        <v>24</v>
      </c>
      <c r="G19" s="64" t="s">
        <v>25</v>
      </c>
      <c r="H19" s="64" t="s">
        <v>26</v>
      </c>
      <c r="I19" s="64" t="s">
        <v>27</v>
      </c>
      <c r="J19" s="64" t="s">
        <v>28</v>
      </c>
      <c r="K19" s="64" t="s">
        <v>29</v>
      </c>
      <c r="L19" s="120" t="s">
        <v>30</v>
      </c>
      <c r="M19" s="120" t="s">
        <v>31</v>
      </c>
      <c r="N19" s="120" t="s">
        <v>32</v>
      </c>
      <c r="O19" s="62" t="s">
        <v>33</v>
      </c>
      <c r="P19" s="121" t="s">
        <v>34</v>
      </c>
      <c r="R19" s="41"/>
    </row>
    <row r="20" s="31" customFormat="1" ht="16.5" customHeight="1" spans="1:23">
      <c r="A20" s="65">
        <v>1</v>
      </c>
      <c r="B20" s="65">
        <f>+M20</f>
        <v>1</v>
      </c>
      <c r="C20" s="66" t="s">
        <v>55</v>
      </c>
      <c r="D20" s="67"/>
      <c r="E20" s="20"/>
      <c r="F20" s="20"/>
      <c r="G20" s="68">
        <f>+N20</f>
        <v>24</v>
      </c>
      <c r="H20" s="20"/>
      <c r="I20" s="20"/>
      <c r="J20" s="20"/>
      <c r="K20" s="20"/>
      <c r="L20" s="20">
        <v>24</v>
      </c>
      <c r="M20" s="20">
        <v>1</v>
      </c>
      <c r="N20" s="20">
        <f t="shared" ref="N20:N25" si="0">+L20*M20</f>
        <v>24</v>
      </c>
      <c r="O20" s="18">
        <f t="shared" ref="O20:O25" si="1">F20*0.255+G20*0.26+H20*0.27+I20*0.28+J20*0.295</f>
        <v>6.24</v>
      </c>
      <c r="P20" s="18">
        <f t="shared" ref="P20:P25" si="2">2.19+O20</f>
        <v>8.43</v>
      </c>
      <c r="Q20" s="148">
        <f t="shared" ref="Q20:Q25" si="3">7.57/32</f>
        <v>0.2365625</v>
      </c>
      <c r="R20" s="149"/>
      <c r="S20" s="150"/>
      <c r="T20" s="150"/>
      <c r="U20" s="150"/>
      <c r="V20" s="150"/>
      <c r="W20" s="150"/>
    </row>
    <row r="21" s="31" customFormat="1" ht="16.5" customHeight="1" spans="1:23">
      <c r="A21" s="65">
        <f>B20+1</f>
        <v>2</v>
      </c>
      <c r="B21" s="65">
        <f>+B20+M21</f>
        <v>2</v>
      </c>
      <c r="C21" s="66" t="s">
        <v>55</v>
      </c>
      <c r="D21" s="67"/>
      <c r="E21" s="20"/>
      <c r="F21" s="20"/>
      <c r="G21" s="20"/>
      <c r="H21" s="68">
        <f>+N21</f>
        <v>24</v>
      </c>
      <c r="I21" s="20"/>
      <c r="J21" s="20"/>
      <c r="K21" s="20"/>
      <c r="L21" s="20">
        <v>24</v>
      </c>
      <c r="M21" s="20">
        <v>1</v>
      </c>
      <c r="N21" s="20">
        <f t="shared" si="0"/>
        <v>24</v>
      </c>
      <c r="O21" s="18">
        <f t="shared" si="1"/>
        <v>6.48</v>
      </c>
      <c r="P21" s="18">
        <f t="shared" si="2"/>
        <v>8.67</v>
      </c>
      <c r="Q21" s="148">
        <f t="shared" si="3"/>
        <v>0.2365625</v>
      </c>
      <c r="R21" s="149"/>
      <c r="S21" s="150"/>
      <c r="T21" s="150"/>
      <c r="U21" s="150"/>
      <c r="V21" s="150"/>
      <c r="W21" s="150"/>
    </row>
    <row r="22" s="31" customFormat="1" ht="16.5" customHeight="1" spans="1:23">
      <c r="A22" s="65">
        <f>B21+1</f>
        <v>3</v>
      </c>
      <c r="B22" s="65">
        <f>+B21+M22</f>
        <v>3</v>
      </c>
      <c r="C22" s="66" t="s">
        <v>55</v>
      </c>
      <c r="D22" s="67"/>
      <c r="E22" s="20"/>
      <c r="F22" s="20"/>
      <c r="G22" s="20">
        <v>12</v>
      </c>
      <c r="H22" s="20">
        <v>9</v>
      </c>
      <c r="I22" s="20"/>
      <c r="J22" s="20"/>
      <c r="K22" s="20"/>
      <c r="L22" s="20">
        <f>SUM(E22:K22)</f>
        <v>21</v>
      </c>
      <c r="M22" s="20">
        <v>1</v>
      </c>
      <c r="N22" s="20">
        <f t="shared" si="0"/>
        <v>21</v>
      </c>
      <c r="O22" s="18">
        <f t="shared" si="1"/>
        <v>5.55</v>
      </c>
      <c r="P22" s="18">
        <f t="shared" si="2"/>
        <v>7.74</v>
      </c>
      <c r="Q22" s="148">
        <f t="shared" si="3"/>
        <v>0.2365625</v>
      </c>
      <c r="R22" s="149"/>
      <c r="S22" s="150"/>
      <c r="T22" s="150"/>
      <c r="U22" s="150"/>
      <c r="V22" s="150"/>
      <c r="W22" s="150"/>
    </row>
    <row r="23" s="31" customFormat="1" ht="16.5" customHeight="1" spans="1:23">
      <c r="A23" s="65">
        <f>B22+1</f>
        <v>4</v>
      </c>
      <c r="B23" s="65">
        <f>+B22+M23</f>
        <v>4</v>
      </c>
      <c r="C23" s="66" t="s">
        <v>55</v>
      </c>
      <c r="D23" s="67"/>
      <c r="E23" s="20"/>
      <c r="F23" s="20">
        <v>18</v>
      </c>
      <c r="G23" s="20"/>
      <c r="H23" s="20"/>
      <c r="I23" s="20"/>
      <c r="J23" s="20"/>
      <c r="K23" s="20"/>
      <c r="L23" s="20">
        <f>SUM(E23:K23)</f>
        <v>18</v>
      </c>
      <c r="M23" s="20">
        <v>1</v>
      </c>
      <c r="N23" s="20">
        <f t="shared" si="0"/>
        <v>18</v>
      </c>
      <c r="O23" s="18">
        <f t="shared" si="1"/>
        <v>4.59</v>
      </c>
      <c r="P23" s="18">
        <f t="shared" si="2"/>
        <v>6.78</v>
      </c>
      <c r="Q23" s="148">
        <f t="shared" si="3"/>
        <v>0.2365625</v>
      </c>
      <c r="R23" s="149"/>
      <c r="S23" s="150"/>
      <c r="T23" s="150"/>
      <c r="U23" s="150"/>
      <c r="V23" s="150"/>
      <c r="W23" s="150"/>
    </row>
    <row r="24" s="31" customFormat="1" ht="16.5" customHeight="1" spans="1:23">
      <c r="A24" s="65">
        <f>B23+1</f>
        <v>5</v>
      </c>
      <c r="B24" s="65">
        <f>+B23+M24</f>
        <v>5</v>
      </c>
      <c r="C24" s="66" t="s">
        <v>55</v>
      </c>
      <c r="D24" s="67"/>
      <c r="E24" s="20"/>
      <c r="F24" s="20"/>
      <c r="G24" s="20"/>
      <c r="H24" s="20"/>
      <c r="I24" s="20">
        <v>18</v>
      </c>
      <c r="J24" s="20"/>
      <c r="K24" s="20"/>
      <c r="L24" s="20">
        <f>SUM(E24:K24)</f>
        <v>18</v>
      </c>
      <c r="M24" s="20">
        <v>1</v>
      </c>
      <c r="N24" s="20">
        <f t="shared" si="0"/>
        <v>18</v>
      </c>
      <c r="O24" s="18">
        <f t="shared" si="1"/>
        <v>5.04</v>
      </c>
      <c r="P24" s="18">
        <f t="shared" si="2"/>
        <v>7.23</v>
      </c>
      <c r="Q24" s="148">
        <f t="shared" si="3"/>
        <v>0.2365625</v>
      </c>
      <c r="R24" s="149"/>
      <c r="S24" s="150"/>
      <c r="T24" s="150"/>
      <c r="U24" s="150"/>
      <c r="V24" s="150"/>
      <c r="W24" s="150"/>
    </row>
    <row r="25" s="31" customFormat="1" ht="16.5" customHeight="1" spans="1:23">
      <c r="A25" s="65">
        <f>B24+1</f>
        <v>6</v>
      </c>
      <c r="B25" s="65">
        <f>+B24+M25</f>
        <v>6</v>
      </c>
      <c r="C25" s="66" t="s">
        <v>55</v>
      </c>
      <c r="D25" s="67"/>
      <c r="E25" s="20"/>
      <c r="F25" s="20"/>
      <c r="G25" s="20"/>
      <c r="H25" s="20"/>
      <c r="I25" s="20"/>
      <c r="J25" s="20">
        <v>18</v>
      </c>
      <c r="K25" s="20"/>
      <c r="L25" s="20">
        <f>SUM(E25:K25)</f>
        <v>18</v>
      </c>
      <c r="M25" s="20">
        <v>1</v>
      </c>
      <c r="N25" s="20">
        <f t="shared" si="0"/>
        <v>18</v>
      </c>
      <c r="O25" s="18">
        <f t="shared" si="1"/>
        <v>5.31</v>
      </c>
      <c r="P25" s="18">
        <f t="shared" si="2"/>
        <v>7.5</v>
      </c>
      <c r="Q25" s="148">
        <f t="shared" si="3"/>
        <v>0.2365625</v>
      </c>
      <c r="R25" s="149"/>
      <c r="S25" s="150"/>
      <c r="T25" s="150"/>
      <c r="U25" s="150"/>
      <c r="V25" s="150"/>
      <c r="W25" s="150"/>
    </row>
    <row r="26" s="31" customFormat="1" ht="16.5" customHeight="1" spans="1:18">
      <c r="A26" s="69"/>
      <c r="B26" s="70"/>
      <c r="C26" s="71"/>
      <c r="D26" s="71"/>
      <c r="E26" s="72">
        <f t="shared" ref="E26:K26" si="4">SUM(E20:E25)</f>
        <v>0</v>
      </c>
      <c r="F26" s="72">
        <f t="shared" si="4"/>
        <v>18</v>
      </c>
      <c r="G26" s="72">
        <f t="shared" si="4"/>
        <v>36</v>
      </c>
      <c r="H26" s="72">
        <f t="shared" si="4"/>
        <v>33</v>
      </c>
      <c r="I26" s="72">
        <f t="shared" si="4"/>
        <v>18</v>
      </c>
      <c r="J26" s="72">
        <f t="shared" si="4"/>
        <v>18</v>
      </c>
      <c r="K26" s="72">
        <f t="shared" si="4"/>
        <v>0</v>
      </c>
      <c r="L26" s="72"/>
      <c r="M26" s="72">
        <f>SUM(M20:M25)</f>
        <v>6</v>
      </c>
      <c r="N26" s="72">
        <f>SUM(N20:N25)</f>
        <v>123</v>
      </c>
      <c r="O26" s="122">
        <f>SUM(O20:O25)</f>
        <v>33.21</v>
      </c>
      <c r="P26" s="123">
        <f>SUM(P20:P25)</f>
        <v>46.35</v>
      </c>
      <c r="Q26" s="151"/>
      <c r="R26" s="152"/>
    </row>
    <row r="27" ht="13.5"/>
    <row r="28" ht="15.75" spans="1:16">
      <c r="A28" s="74"/>
      <c r="B28" s="75"/>
      <c r="C28" s="75" t="s">
        <v>36</v>
      </c>
      <c r="D28" s="75"/>
      <c r="E28" s="75">
        <f>E26</f>
        <v>0</v>
      </c>
      <c r="F28" s="75">
        <f>F26</f>
        <v>18</v>
      </c>
      <c r="G28" s="75">
        <f t="shared" ref="G28:K28" si="5">G26</f>
        <v>36</v>
      </c>
      <c r="H28" s="75">
        <f t="shared" si="5"/>
        <v>33</v>
      </c>
      <c r="I28" s="75">
        <f t="shared" si="5"/>
        <v>18</v>
      </c>
      <c r="J28" s="75">
        <f t="shared" si="5"/>
        <v>18</v>
      </c>
      <c r="K28" s="75">
        <f t="shared" si="5"/>
        <v>0</v>
      </c>
      <c r="L28" s="75"/>
      <c r="M28" s="75">
        <f>M26</f>
        <v>6</v>
      </c>
      <c r="N28" s="75">
        <f>N26</f>
        <v>123</v>
      </c>
      <c r="O28" s="125">
        <f>O26</f>
        <v>33.21</v>
      </c>
      <c r="P28" s="126">
        <f>P26</f>
        <v>46.35</v>
      </c>
    </row>
    <row r="29" ht="16.5" customHeight="1" spans="1:16">
      <c r="A29" s="76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127"/>
      <c r="P29" s="127"/>
    </row>
    <row r="30" ht="18" customHeight="1" spans="5:11">
      <c r="E30" s="78"/>
      <c r="F30" s="78"/>
      <c r="G30" s="78"/>
      <c r="H30" s="78"/>
      <c r="I30" s="78"/>
      <c r="J30" s="78"/>
      <c r="K30" s="25"/>
    </row>
    <row r="31" ht="13.5" spans="3:13">
      <c r="C31" s="79" t="s">
        <v>37</v>
      </c>
      <c r="D31" s="80"/>
      <c r="E31" s="80"/>
      <c r="F31" s="80"/>
      <c r="G31" s="80"/>
      <c r="H31" s="80"/>
      <c r="I31" s="80"/>
      <c r="J31" s="80"/>
      <c r="K31" s="80"/>
      <c r="L31" s="80"/>
      <c r="M31" s="128"/>
    </row>
    <row r="32" ht="17.25" customHeight="1" spans="3:18">
      <c r="C32" s="81" t="s">
        <v>38</v>
      </c>
      <c r="D32" s="82"/>
      <c r="E32" s="83" t="str">
        <f>C20</f>
        <v>Bbinos-046</v>
      </c>
      <c r="F32" s="84"/>
      <c r="G32" s="84"/>
      <c r="H32" s="84"/>
      <c r="I32" s="84"/>
      <c r="J32" s="84"/>
      <c r="K32" s="84"/>
      <c r="L32" s="129"/>
      <c r="M32" s="130" t="s">
        <v>39</v>
      </c>
      <c r="P32" s="34"/>
      <c r="R32"/>
    </row>
    <row r="33" ht="17.25" customHeight="1" spans="3:18">
      <c r="C33" s="85"/>
      <c r="D33" s="86"/>
      <c r="E33" s="87" t="s">
        <v>23</v>
      </c>
      <c r="F33" s="88" t="s">
        <v>24</v>
      </c>
      <c r="G33" s="88" t="s">
        <v>25</v>
      </c>
      <c r="H33" s="88" t="s">
        <v>26</v>
      </c>
      <c r="I33" s="88" t="s">
        <v>27</v>
      </c>
      <c r="J33" s="88" t="s">
        <v>28</v>
      </c>
      <c r="K33" s="131" t="s">
        <v>29</v>
      </c>
      <c r="L33" s="132" t="s">
        <v>40</v>
      </c>
      <c r="M33" s="133"/>
      <c r="P33" s="34"/>
      <c r="R33"/>
    </row>
    <row r="34" ht="15.75" customHeight="1" spans="3:18">
      <c r="C34" s="89" t="s">
        <v>41</v>
      </c>
      <c r="D34" s="90"/>
      <c r="E34" s="91"/>
      <c r="F34" s="92">
        <v>19</v>
      </c>
      <c r="G34" s="92">
        <v>38</v>
      </c>
      <c r="H34" s="92">
        <v>38</v>
      </c>
      <c r="I34" s="92">
        <v>19</v>
      </c>
      <c r="J34" s="92">
        <v>19</v>
      </c>
      <c r="K34" s="134"/>
      <c r="L34" s="135">
        <f>SUM(E34:K34)</f>
        <v>133</v>
      </c>
      <c r="M34" s="136">
        <f>+L36/L34*100-100</f>
        <v>-7.5187969924812</v>
      </c>
      <c r="N34" s="14"/>
      <c r="O34" s="14"/>
      <c r="P34" s="34"/>
      <c r="R34"/>
    </row>
    <row r="35" ht="15.75" customHeight="1" spans="3:18">
      <c r="C35" s="93" t="s">
        <v>42</v>
      </c>
      <c r="D35" s="94"/>
      <c r="E35" s="95"/>
      <c r="F35" s="92">
        <v>18</v>
      </c>
      <c r="G35" s="92">
        <v>36</v>
      </c>
      <c r="H35" s="92">
        <v>36</v>
      </c>
      <c r="I35" s="92">
        <v>18</v>
      </c>
      <c r="J35" s="92">
        <v>18</v>
      </c>
      <c r="K35" s="137"/>
      <c r="L35" s="138">
        <f>SUM(E35:K35)</f>
        <v>126</v>
      </c>
      <c r="M35" s="139"/>
      <c r="N35" s="14"/>
      <c r="O35" s="14"/>
      <c r="P35" s="34"/>
      <c r="R35"/>
    </row>
    <row r="36" ht="15.75" customHeight="1" spans="3:18">
      <c r="C36" s="96" t="s">
        <v>43</v>
      </c>
      <c r="D36" s="97"/>
      <c r="E36" s="98">
        <f>+E26</f>
        <v>0</v>
      </c>
      <c r="F36" s="12">
        <f>+F26</f>
        <v>18</v>
      </c>
      <c r="G36" s="12">
        <f>+G26</f>
        <v>36</v>
      </c>
      <c r="H36" s="12">
        <f t="shared" ref="H36:K36" si="6">+H26</f>
        <v>33</v>
      </c>
      <c r="I36" s="12">
        <f t="shared" si="6"/>
        <v>18</v>
      </c>
      <c r="J36" s="12">
        <f t="shared" si="6"/>
        <v>18</v>
      </c>
      <c r="K36" s="140">
        <f t="shared" si="6"/>
        <v>0</v>
      </c>
      <c r="L36" s="11">
        <f>SUM(E36:K36)</f>
        <v>123</v>
      </c>
      <c r="M36" s="139"/>
      <c r="N36" s="141"/>
      <c r="O36" s="142"/>
      <c r="P36" s="143"/>
      <c r="R36"/>
    </row>
    <row r="37" ht="15.75" customHeight="1" spans="3:18">
      <c r="C37" s="96" t="s">
        <v>44</v>
      </c>
      <c r="D37" s="97"/>
      <c r="E37" s="98">
        <f>+E35-E36</f>
        <v>0</v>
      </c>
      <c r="F37" s="12">
        <f t="shared" ref="F37:L37" si="7">+F35-F36</f>
        <v>0</v>
      </c>
      <c r="G37" s="99">
        <f t="shared" si="7"/>
        <v>0</v>
      </c>
      <c r="H37" s="12">
        <f t="shared" si="7"/>
        <v>3</v>
      </c>
      <c r="I37" s="12">
        <f t="shared" si="7"/>
        <v>0</v>
      </c>
      <c r="J37" s="12">
        <f t="shared" si="7"/>
        <v>0</v>
      </c>
      <c r="K37" s="140">
        <f t="shared" si="7"/>
        <v>0</v>
      </c>
      <c r="L37" s="11">
        <f t="shared" si="7"/>
        <v>3</v>
      </c>
      <c r="M37" s="144"/>
      <c r="N37" s="145" t="s">
        <v>45</v>
      </c>
      <c r="O37" s="146"/>
      <c r="P37" s="34"/>
      <c r="R37"/>
    </row>
    <row r="38" hidden="1" spans="3:11">
      <c r="C38" s="100" t="s">
        <v>39</v>
      </c>
      <c r="D38" s="100"/>
      <c r="E38" s="100"/>
      <c r="F38" s="101">
        <f>+F36/F34*100</f>
        <v>94.7368421052632</v>
      </c>
      <c r="G38" s="101">
        <f t="shared" ref="G38:J38" si="8">+G36/G34*100</f>
        <v>94.7368421052632</v>
      </c>
      <c r="H38" s="101">
        <f t="shared" si="8"/>
        <v>86.8421052631579</v>
      </c>
      <c r="I38" s="101">
        <f t="shared" si="8"/>
        <v>94.7368421052632</v>
      </c>
      <c r="J38" s="101">
        <f t="shared" si="8"/>
        <v>94.7368421052632</v>
      </c>
      <c r="K38" s="100"/>
    </row>
    <row r="39" hidden="1" spans="3:12">
      <c r="C39" s="102" t="s">
        <v>50</v>
      </c>
      <c r="D39" s="102"/>
      <c r="E39" s="25"/>
      <c r="F39" s="25">
        <v>13</v>
      </c>
      <c r="G39" s="25">
        <v>26</v>
      </c>
      <c r="H39" s="25">
        <v>26</v>
      </c>
      <c r="I39" s="25">
        <v>14</v>
      </c>
      <c r="J39" s="25">
        <v>14</v>
      </c>
      <c r="K39" s="25"/>
      <c r="L39">
        <f>SUM(E39:K39)</f>
        <v>93</v>
      </c>
    </row>
    <row r="40" hidden="1" spans="3:12">
      <c r="C40" s="103" t="s">
        <v>51</v>
      </c>
      <c r="D40" s="103"/>
      <c r="E40" s="104"/>
      <c r="F40" s="103">
        <f>+F36-F39</f>
        <v>5</v>
      </c>
      <c r="G40" s="103">
        <f t="shared" ref="G40:J40" si="9">+G36-G39</f>
        <v>10</v>
      </c>
      <c r="H40" s="103">
        <f t="shared" si="9"/>
        <v>7</v>
      </c>
      <c r="I40" s="103">
        <f t="shared" si="9"/>
        <v>4</v>
      </c>
      <c r="J40" s="103">
        <f t="shared" si="9"/>
        <v>4</v>
      </c>
      <c r="K40" s="104"/>
      <c r="L40" s="103">
        <f>SUM(F40:K40)</f>
        <v>30</v>
      </c>
    </row>
    <row r="41" hidden="1"/>
  </sheetData>
  <mergeCells count="37">
    <mergeCell ref="A1:P1"/>
    <mergeCell ref="F10:P10"/>
    <mergeCell ref="F11:I11"/>
    <mergeCell ref="M12:P12"/>
    <mergeCell ref="F13:H13"/>
    <mergeCell ref="F14:H14"/>
    <mergeCell ref="Q14:S14"/>
    <mergeCell ref="F15:H15"/>
    <mergeCell ref="F16:H16"/>
    <mergeCell ref="A19:B19"/>
    <mergeCell ref="C19:D19"/>
    <mergeCell ref="C20:D20"/>
    <mergeCell ref="C21:D21"/>
    <mergeCell ref="C22:D22"/>
    <mergeCell ref="C23:D23"/>
    <mergeCell ref="C24:D24"/>
    <mergeCell ref="C25:D25"/>
    <mergeCell ref="C26:D26"/>
    <mergeCell ref="A28:B28"/>
    <mergeCell ref="C28:D28"/>
    <mergeCell ref="E30:J30"/>
    <mergeCell ref="C32:D32"/>
    <mergeCell ref="E32:L32"/>
    <mergeCell ref="C33:D33"/>
    <mergeCell ref="C34:D34"/>
    <mergeCell ref="N34:O34"/>
    <mergeCell ref="C35:D35"/>
    <mergeCell ref="C36:D36"/>
    <mergeCell ref="N36:O36"/>
    <mergeCell ref="C37:D37"/>
    <mergeCell ref="N37:O37"/>
    <mergeCell ref="C38:D38"/>
    <mergeCell ref="C39:D39"/>
    <mergeCell ref="C40:D40"/>
    <mergeCell ref="M32:M33"/>
    <mergeCell ref="M34:M37"/>
    <mergeCell ref="H3:K7"/>
  </mergeCells>
  <pageMargins left="0.275590551181102" right="0.354330708661417" top="0.433070866141732" bottom="0.15748031496063" header="0.15748031496063" footer="0.511811023622047"/>
  <pageSetup paperSize="9" scale="94" orientation="landscape"/>
  <headerFooter alignWithMargins="0">
    <oddHeader>&amp;C&amp;A</oddHeader>
    <oddFooter>&amp;R&amp;D&amp;T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W43"/>
  <sheetViews>
    <sheetView showGridLines="0" tabSelected="1" view="pageBreakPreview" zoomScaleNormal="90" topLeftCell="A9" workbookViewId="0">
      <selection activeCell="M12" sqref="M12:P12"/>
    </sheetView>
  </sheetViews>
  <sheetFormatPr defaultColWidth="9.14285714285714" defaultRowHeight="12.75"/>
  <cols>
    <col min="1" max="1" width="6.14285714285714" customWidth="1"/>
    <col min="2" max="2" width="7.42857142857143" customWidth="1"/>
    <col min="3" max="3" width="10.4285714285714" customWidth="1"/>
    <col min="4" max="4" width="11.2857142857143" customWidth="1"/>
    <col min="5" max="5" width="7.14285714285714" customWidth="1"/>
    <col min="6" max="11" width="7.42857142857143" customWidth="1"/>
    <col min="12" max="12" width="9.57142857142857" customWidth="1"/>
    <col min="13" max="13" width="7.71428571428571" customWidth="1"/>
    <col min="14" max="14" width="9.14285714285714" customWidth="1"/>
    <col min="15" max="16" width="10.7142857142857" customWidth="1"/>
    <col min="17" max="17" width="6.42857142857143" hidden="1" customWidth="1"/>
    <col min="18" max="18" width="11.7142857142857" style="34" customWidth="1"/>
    <col min="20" max="20" width="12.4285714285714" customWidth="1"/>
  </cols>
  <sheetData>
    <row r="1" ht="32.25" customHeight="1" spans="1:16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s="31" customFormat="1" ht="15" customHeight="1" spans="1:18">
      <c r="A2" s="36" t="s">
        <v>1</v>
      </c>
      <c r="B2" s="37"/>
      <c r="C2" s="38"/>
      <c r="D2" s="38"/>
      <c r="E2" s="38"/>
      <c r="F2" s="38"/>
      <c r="G2" s="38"/>
      <c r="H2" s="39"/>
      <c r="I2" s="38"/>
      <c r="J2" s="38"/>
      <c r="K2" s="38"/>
      <c r="L2" s="105"/>
      <c r="M2" s="106"/>
      <c r="N2" s="38"/>
      <c r="O2" s="107"/>
      <c r="P2" s="108"/>
      <c r="R2" s="41"/>
    </row>
    <row r="3" s="31" customFormat="1" ht="15" customHeight="1" spans="1:18">
      <c r="A3" s="40" t="s">
        <v>2</v>
      </c>
      <c r="B3" s="41"/>
      <c r="H3" s="42"/>
      <c r="I3" s="109"/>
      <c r="J3" s="109"/>
      <c r="K3" s="109"/>
      <c r="L3" s="110"/>
      <c r="M3" s="111"/>
      <c r="P3" s="112"/>
      <c r="R3" s="41"/>
    </row>
    <row r="4" s="31" customFormat="1" ht="15" customHeight="1" spans="1:18">
      <c r="A4" s="40" t="s">
        <v>3</v>
      </c>
      <c r="B4" s="41"/>
      <c r="H4" s="42"/>
      <c r="I4" s="109"/>
      <c r="J4" s="109"/>
      <c r="K4" s="109"/>
      <c r="L4" s="110"/>
      <c r="M4" s="111"/>
      <c r="P4" s="112"/>
      <c r="R4" s="41"/>
    </row>
    <row r="5" s="31" customFormat="1" ht="15" customHeight="1" spans="1:18">
      <c r="A5" s="43" t="s">
        <v>4</v>
      </c>
      <c r="B5" s="41"/>
      <c r="H5" s="42"/>
      <c r="I5" s="109"/>
      <c r="J5" s="109"/>
      <c r="K5" s="109"/>
      <c r="L5" s="110"/>
      <c r="M5" s="111"/>
      <c r="P5" s="112"/>
      <c r="R5" s="41"/>
    </row>
    <row r="6" s="31" customFormat="1" ht="15" customHeight="1" spans="1:18">
      <c r="A6" s="40" t="s">
        <v>5</v>
      </c>
      <c r="B6" s="41"/>
      <c r="H6" s="42"/>
      <c r="I6" s="109"/>
      <c r="J6" s="109"/>
      <c r="K6" s="109"/>
      <c r="L6" s="110"/>
      <c r="M6" s="111"/>
      <c r="P6" s="112"/>
      <c r="R6" s="41"/>
    </row>
    <row r="7" s="31" customFormat="1" ht="15" customHeight="1" spans="1:18">
      <c r="A7" s="40" t="s">
        <v>6</v>
      </c>
      <c r="B7" s="41"/>
      <c r="H7" s="42"/>
      <c r="I7" s="109"/>
      <c r="J7" s="109"/>
      <c r="K7" s="109"/>
      <c r="L7" s="110"/>
      <c r="M7" s="111"/>
      <c r="P7" s="112"/>
      <c r="R7" s="41"/>
    </row>
    <row r="8" s="31" customFormat="1" ht="12" customHeight="1" spans="1:18">
      <c r="A8" s="44"/>
      <c r="B8" s="45"/>
      <c r="C8" s="46"/>
      <c r="D8" s="46"/>
      <c r="E8" s="46"/>
      <c r="F8" s="46"/>
      <c r="G8" s="46"/>
      <c r="H8" s="47"/>
      <c r="I8" s="46"/>
      <c r="J8" s="113"/>
      <c r="K8" s="113"/>
      <c r="L8" s="113"/>
      <c r="M8" s="114"/>
      <c r="N8" s="46"/>
      <c r="O8" s="46"/>
      <c r="P8" s="115"/>
      <c r="R8" s="41"/>
    </row>
    <row r="9" s="31" customFormat="1" ht="21" customHeight="1" spans="1:18">
      <c r="A9" s="48"/>
      <c r="B9" s="45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115"/>
      <c r="R9" s="41"/>
    </row>
    <row r="10" s="32" customFormat="1" ht="15" customHeight="1" spans="1:18">
      <c r="A10" s="49" t="s">
        <v>7</v>
      </c>
      <c r="B10" s="37"/>
      <c r="C10" s="38"/>
      <c r="D10" s="38" t="s">
        <v>8</v>
      </c>
      <c r="E10" s="38"/>
      <c r="F10" s="50" t="s">
        <v>46</v>
      </c>
      <c r="G10" s="50" t="s">
        <v>10</v>
      </c>
      <c r="H10" s="50" t="s">
        <v>10</v>
      </c>
      <c r="I10" s="50" t="s">
        <v>10</v>
      </c>
      <c r="J10" s="50" t="s">
        <v>10</v>
      </c>
      <c r="K10" s="50" t="s">
        <v>10</v>
      </c>
      <c r="L10" s="50" t="s">
        <v>10</v>
      </c>
      <c r="M10" s="50" t="s">
        <v>10</v>
      </c>
      <c r="N10" s="50" t="s">
        <v>10</v>
      </c>
      <c r="O10" s="50" t="s">
        <v>10</v>
      </c>
      <c r="P10" s="116" t="s">
        <v>10</v>
      </c>
      <c r="R10" s="147"/>
    </row>
    <row r="11" s="31" customFormat="1" ht="15" customHeight="1" spans="1:18">
      <c r="A11" s="51" t="s">
        <v>11</v>
      </c>
      <c r="B11" s="41"/>
      <c r="D11" s="31" t="s">
        <v>8</v>
      </c>
      <c r="F11" s="52"/>
      <c r="G11" s="52"/>
      <c r="H11" s="52"/>
      <c r="I11" s="52"/>
      <c r="P11" s="112"/>
      <c r="R11" s="41"/>
    </row>
    <row r="12" s="31" customFormat="1" ht="15" customHeight="1" spans="1:18">
      <c r="A12" s="51" t="s">
        <v>13</v>
      </c>
      <c r="B12" s="41"/>
      <c r="D12" s="31" t="s">
        <v>8</v>
      </c>
      <c r="F12" s="53" t="str">
        <f>F10</f>
        <v>AM-OS-12</v>
      </c>
      <c r="G12" s="53"/>
      <c r="H12" s="53"/>
      <c r="I12" s="53"/>
      <c r="L12"/>
      <c r="M12" s="117" t="s">
        <v>14</v>
      </c>
      <c r="N12" s="117"/>
      <c r="O12" s="117"/>
      <c r="P12" s="118"/>
      <c r="R12" s="41"/>
    </row>
    <row r="13" s="31" customFormat="1" ht="15" customHeight="1" spans="1:18">
      <c r="A13" s="51" t="s">
        <v>15</v>
      </c>
      <c r="B13" s="41"/>
      <c r="D13" s="31" t="s">
        <v>8</v>
      </c>
      <c r="F13" s="41">
        <f>+N30</f>
        <v>200</v>
      </c>
      <c r="G13" s="41"/>
      <c r="H13" s="41"/>
      <c r="P13" s="112"/>
      <c r="R13" s="41"/>
    </row>
    <row r="14" s="31" customFormat="1" ht="15" customHeight="1" spans="1:19">
      <c r="A14" s="51" t="s">
        <v>16</v>
      </c>
      <c r="B14" s="41"/>
      <c r="D14" s="31" t="s">
        <v>8</v>
      </c>
      <c r="F14" s="54">
        <f>+M30</f>
        <v>10</v>
      </c>
      <c r="G14" s="54"/>
      <c r="H14" s="54"/>
      <c r="P14" s="112"/>
      <c r="Q14" s="34"/>
      <c r="R14" s="34"/>
      <c r="S14" s="34"/>
    </row>
    <row r="15" s="31" customFormat="1" ht="15" customHeight="1" spans="1:18">
      <c r="A15" s="51" t="s">
        <v>17</v>
      </c>
      <c r="B15" s="41"/>
      <c r="D15" s="31" t="s">
        <v>8</v>
      </c>
      <c r="F15" s="55" t="s">
        <v>18</v>
      </c>
      <c r="G15" s="55"/>
      <c r="H15" s="55"/>
      <c r="P15" s="112"/>
      <c r="R15" s="41"/>
    </row>
    <row r="16" s="31" customFormat="1" ht="15" customHeight="1" spans="1:18">
      <c r="A16" s="48" t="s">
        <v>19</v>
      </c>
      <c r="B16" s="45" t="s">
        <v>20</v>
      </c>
      <c r="C16" s="46"/>
      <c r="D16" s="46" t="s">
        <v>8</v>
      </c>
      <c r="E16" s="46"/>
      <c r="F16" s="56"/>
      <c r="G16" s="56"/>
      <c r="H16" s="56"/>
      <c r="I16" s="46"/>
      <c r="J16" s="46"/>
      <c r="K16" s="46"/>
      <c r="L16" s="46"/>
      <c r="M16" s="46"/>
      <c r="N16" s="46"/>
      <c r="O16" s="46"/>
      <c r="P16" s="115"/>
      <c r="R16" s="41"/>
    </row>
    <row r="17" s="31" customFormat="1" ht="9" customHeight="1" spans="1:18">
      <c r="A17" s="39"/>
      <c r="B17" s="57"/>
      <c r="C17" s="58"/>
      <c r="D17" s="5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119"/>
      <c r="R17" s="41"/>
    </row>
    <row r="18" s="31" customFormat="1" ht="9" customHeight="1" spans="1:18">
      <c r="A18" s="59"/>
      <c r="C18" s="60"/>
      <c r="D18" s="60"/>
      <c r="P18" s="112"/>
      <c r="R18" s="41"/>
    </row>
    <row r="19" s="33" customFormat="1" ht="35.25" customHeight="1" spans="1:18">
      <c r="A19" s="61" t="s">
        <v>21</v>
      </c>
      <c r="B19" s="62"/>
      <c r="C19" s="63" t="s">
        <v>22</v>
      </c>
      <c r="D19" s="63"/>
      <c r="E19" s="64" t="s">
        <v>23</v>
      </c>
      <c r="F19" s="64" t="s">
        <v>24</v>
      </c>
      <c r="G19" s="64" t="s">
        <v>25</v>
      </c>
      <c r="H19" s="64" t="s">
        <v>26</v>
      </c>
      <c r="I19" s="64" t="s">
        <v>27</v>
      </c>
      <c r="J19" s="64" t="s">
        <v>28</v>
      </c>
      <c r="K19" s="64" t="s">
        <v>29</v>
      </c>
      <c r="L19" s="120" t="s">
        <v>30</v>
      </c>
      <c r="M19" s="120" t="s">
        <v>31</v>
      </c>
      <c r="N19" s="120" t="s">
        <v>32</v>
      </c>
      <c r="O19" s="62" t="s">
        <v>33</v>
      </c>
      <c r="P19" s="121" t="s">
        <v>34</v>
      </c>
      <c r="R19" s="41"/>
    </row>
    <row r="20" s="31" customFormat="1" ht="16.5" customHeight="1" spans="1:23">
      <c r="A20" s="65">
        <v>1</v>
      </c>
      <c r="B20" s="65">
        <f>+M20</f>
        <v>1</v>
      </c>
      <c r="C20" s="66" t="s">
        <v>56</v>
      </c>
      <c r="D20" s="67"/>
      <c r="E20" s="20"/>
      <c r="F20" s="68">
        <f>+N20</f>
        <v>20</v>
      </c>
      <c r="G20" s="68"/>
      <c r="H20" s="20"/>
      <c r="I20" s="20"/>
      <c r="J20" s="20"/>
      <c r="K20" s="20"/>
      <c r="L20" s="20">
        <v>20</v>
      </c>
      <c r="M20" s="20">
        <v>1</v>
      </c>
      <c r="N20" s="20">
        <f t="shared" ref="N20:N27" si="0">+L20*M20</f>
        <v>20</v>
      </c>
      <c r="O20" s="18">
        <f>F20*0.23+G20*0.24+H20*0.25+I20*0.26+J20*0.27</f>
        <v>4.6</v>
      </c>
      <c r="P20" s="18">
        <f>2.19+O20</f>
        <v>6.79</v>
      </c>
      <c r="Q20" s="148">
        <f t="shared" ref="Q20:Q27" si="1">7.57/32</f>
        <v>0.2365625</v>
      </c>
      <c r="R20" s="149"/>
      <c r="S20" s="150"/>
      <c r="T20" s="150"/>
      <c r="U20" s="150"/>
      <c r="V20" s="150"/>
      <c r="W20" s="150"/>
    </row>
    <row r="21" s="31" customFormat="1" ht="16.5" customHeight="1" spans="1:23">
      <c r="A21" s="65">
        <f t="shared" ref="A21:A27" si="2">B20+1</f>
        <v>2</v>
      </c>
      <c r="B21" s="65">
        <f t="shared" ref="B21:B27" si="3">+B20+M21</f>
        <v>3</v>
      </c>
      <c r="C21" s="66" t="s">
        <v>56</v>
      </c>
      <c r="D21" s="67"/>
      <c r="E21" s="20"/>
      <c r="F21" s="20"/>
      <c r="G21" s="68">
        <f>+N21</f>
        <v>40</v>
      </c>
      <c r="H21" s="68"/>
      <c r="I21" s="20"/>
      <c r="J21" s="20"/>
      <c r="K21" s="20"/>
      <c r="L21" s="20">
        <v>20</v>
      </c>
      <c r="M21" s="20">
        <v>2</v>
      </c>
      <c r="N21" s="20">
        <f t="shared" si="0"/>
        <v>40</v>
      </c>
      <c r="O21" s="18">
        <f t="shared" ref="O21:O27" si="4">F21*0.23+G21*0.24+H21*0.25+I21*0.26+J21*0.27</f>
        <v>9.6</v>
      </c>
      <c r="P21" s="18">
        <f t="shared" ref="P21:P27" si="5">2.19+O21</f>
        <v>11.79</v>
      </c>
      <c r="Q21" s="148">
        <f t="shared" si="1"/>
        <v>0.2365625</v>
      </c>
      <c r="R21" s="149"/>
      <c r="S21" s="150"/>
      <c r="T21" s="150"/>
      <c r="U21" s="150"/>
      <c r="V21" s="150"/>
      <c r="W21" s="150"/>
    </row>
    <row r="22" s="31" customFormat="1" ht="16.5" customHeight="1" spans="1:23">
      <c r="A22" s="65">
        <f t="shared" si="2"/>
        <v>4</v>
      </c>
      <c r="B22" s="65">
        <f t="shared" si="3"/>
        <v>5</v>
      </c>
      <c r="C22" s="66" t="s">
        <v>56</v>
      </c>
      <c r="D22" s="67"/>
      <c r="E22" s="20"/>
      <c r="F22" s="20"/>
      <c r="G22" s="20"/>
      <c r="H22" s="68">
        <f>+N22</f>
        <v>40</v>
      </c>
      <c r="I22" s="20"/>
      <c r="J22" s="20"/>
      <c r="K22" s="20"/>
      <c r="L22" s="20">
        <v>20</v>
      </c>
      <c r="M22" s="20">
        <v>2</v>
      </c>
      <c r="N22" s="20">
        <f t="shared" si="0"/>
        <v>40</v>
      </c>
      <c r="O22" s="18">
        <f t="shared" si="4"/>
        <v>10</v>
      </c>
      <c r="P22" s="18">
        <f t="shared" si="5"/>
        <v>12.19</v>
      </c>
      <c r="Q22" s="148">
        <f t="shared" si="1"/>
        <v>0.2365625</v>
      </c>
      <c r="R22" s="149"/>
      <c r="S22" s="150"/>
      <c r="T22" s="150"/>
      <c r="U22" s="150"/>
      <c r="V22" s="150"/>
      <c r="W22" s="150"/>
    </row>
    <row r="23" s="31" customFormat="1" ht="16.5" customHeight="1" spans="1:23">
      <c r="A23" s="65">
        <f t="shared" si="2"/>
        <v>6</v>
      </c>
      <c r="B23" s="65">
        <f t="shared" si="3"/>
        <v>6</v>
      </c>
      <c r="C23" s="66" t="s">
        <v>56</v>
      </c>
      <c r="D23" s="67"/>
      <c r="E23" s="20"/>
      <c r="F23" s="20"/>
      <c r="G23" s="20"/>
      <c r="H23" s="20"/>
      <c r="I23" s="68">
        <f>+N23</f>
        <v>20</v>
      </c>
      <c r="J23" s="20"/>
      <c r="K23" s="20"/>
      <c r="L23" s="20">
        <v>20</v>
      </c>
      <c r="M23" s="20">
        <v>1</v>
      </c>
      <c r="N23" s="20">
        <f t="shared" si="0"/>
        <v>20</v>
      </c>
      <c r="O23" s="18">
        <f t="shared" si="4"/>
        <v>5.2</v>
      </c>
      <c r="P23" s="18">
        <f t="shared" si="5"/>
        <v>7.39</v>
      </c>
      <c r="Q23" s="148">
        <f t="shared" si="1"/>
        <v>0.2365625</v>
      </c>
      <c r="R23" s="149"/>
      <c r="S23" s="150"/>
      <c r="T23" s="150"/>
      <c r="U23" s="150"/>
      <c r="V23" s="150"/>
      <c r="W23" s="150"/>
    </row>
    <row r="24" s="31" customFormat="1" ht="16.5" customHeight="1" spans="1:23">
      <c r="A24" s="65">
        <f t="shared" si="2"/>
        <v>7</v>
      </c>
      <c r="B24" s="65">
        <f t="shared" si="3"/>
        <v>7</v>
      </c>
      <c r="C24" s="66" t="s">
        <v>56</v>
      </c>
      <c r="D24" s="67"/>
      <c r="E24" s="20"/>
      <c r="F24" s="20"/>
      <c r="G24" s="20"/>
      <c r="H24" s="20"/>
      <c r="I24" s="20"/>
      <c r="J24" s="68">
        <f>+N24</f>
        <v>20</v>
      </c>
      <c r="K24" s="20"/>
      <c r="L24" s="20">
        <v>20</v>
      </c>
      <c r="M24" s="20">
        <v>1</v>
      </c>
      <c r="N24" s="20">
        <f t="shared" si="0"/>
        <v>20</v>
      </c>
      <c r="O24" s="18">
        <f t="shared" si="4"/>
        <v>5.4</v>
      </c>
      <c r="P24" s="18">
        <f t="shared" si="5"/>
        <v>7.59</v>
      </c>
      <c r="Q24" s="148">
        <f t="shared" si="1"/>
        <v>0.2365625</v>
      </c>
      <c r="R24" s="149"/>
      <c r="S24" s="150"/>
      <c r="T24" s="150"/>
      <c r="U24" s="150"/>
      <c r="V24" s="150"/>
      <c r="W24" s="150"/>
    </row>
    <row r="25" s="31" customFormat="1" ht="16.5" customHeight="1" spans="1:23">
      <c r="A25" s="65">
        <f t="shared" si="2"/>
        <v>8</v>
      </c>
      <c r="B25" s="65">
        <f t="shared" si="3"/>
        <v>8</v>
      </c>
      <c r="C25" s="66" t="s">
        <v>56</v>
      </c>
      <c r="D25" s="67"/>
      <c r="E25" s="20"/>
      <c r="F25" s="20">
        <v>12</v>
      </c>
      <c r="G25" s="20"/>
      <c r="H25" s="20"/>
      <c r="I25" s="20">
        <v>8</v>
      </c>
      <c r="J25" s="20"/>
      <c r="K25" s="20"/>
      <c r="L25" s="20">
        <f>SUM(E25:K25)</f>
        <v>20</v>
      </c>
      <c r="M25" s="20">
        <v>1</v>
      </c>
      <c r="N25" s="20">
        <f t="shared" si="0"/>
        <v>20</v>
      </c>
      <c r="O25" s="18">
        <f t="shared" si="4"/>
        <v>4.84</v>
      </c>
      <c r="P25" s="18">
        <f t="shared" si="5"/>
        <v>7.03</v>
      </c>
      <c r="Q25" s="148">
        <f t="shared" si="1"/>
        <v>0.2365625</v>
      </c>
      <c r="R25" s="149"/>
      <c r="S25" s="150"/>
      <c r="T25" s="150"/>
      <c r="U25" s="150"/>
      <c r="V25" s="150"/>
      <c r="W25" s="150"/>
    </row>
    <row r="26" s="31" customFormat="1" ht="16.5" customHeight="1" spans="1:23">
      <c r="A26" s="65">
        <f t="shared" si="2"/>
        <v>9</v>
      </c>
      <c r="B26" s="65">
        <f t="shared" si="3"/>
        <v>9</v>
      </c>
      <c r="C26" s="66" t="s">
        <v>56</v>
      </c>
      <c r="D26" s="67"/>
      <c r="E26" s="20"/>
      <c r="F26" s="20"/>
      <c r="G26" s="20">
        <v>16</v>
      </c>
      <c r="H26" s="20">
        <v>4</v>
      </c>
      <c r="I26" s="20"/>
      <c r="J26" s="20"/>
      <c r="K26" s="20"/>
      <c r="L26" s="20">
        <f>SUM(E26:K26)</f>
        <v>20</v>
      </c>
      <c r="M26" s="20">
        <v>1</v>
      </c>
      <c r="N26" s="20">
        <f t="shared" si="0"/>
        <v>20</v>
      </c>
      <c r="O26" s="18">
        <f t="shared" si="4"/>
        <v>4.84</v>
      </c>
      <c r="P26" s="18">
        <f t="shared" si="5"/>
        <v>7.03</v>
      </c>
      <c r="Q26" s="148">
        <f t="shared" si="1"/>
        <v>0.2365625</v>
      </c>
      <c r="R26" s="149"/>
      <c r="S26" s="150"/>
      <c r="T26" s="150"/>
      <c r="U26" s="150"/>
      <c r="V26" s="150"/>
      <c r="W26" s="150"/>
    </row>
    <row r="27" s="31" customFormat="1" ht="16.5" customHeight="1" spans="1:23">
      <c r="A27" s="65">
        <f t="shared" si="2"/>
        <v>10</v>
      </c>
      <c r="B27" s="65">
        <f t="shared" si="3"/>
        <v>10</v>
      </c>
      <c r="C27" s="66" t="s">
        <v>56</v>
      </c>
      <c r="D27" s="67"/>
      <c r="E27" s="20"/>
      <c r="F27" s="20"/>
      <c r="G27" s="20"/>
      <c r="H27" s="20">
        <v>10</v>
      </c>
      <c r="I27" s="20"/>
      <c r="J27" s="20">
        <v>10</v>
      </c>
      <c r="K27" s="20"/>
      <c r="L27" s="20">
        <f>SUM(E27:K27)</f>
        <v>20</v>
      </c>
      <c r="M27" s="20">
        <v>1</v>
      </c>
      <c r="N27" s="20">
        <f t="shared" si="0"/>
        <v>20</v>
      </c>
      <c r="O27" s="18">
        <f t="shared" si="4"/>
        <v>5.2</v>
      </c>
      <c r="P27" s="18">
        <f t="shared" si="5"/>
        <v>7.39</v>
      </c>
      <c r="Q27" s="148">
        <f t="shared" si="1"/>
        <v>0.2365625</v>
      </c>
      <c r="R27" s="149"/>
      <c r="S27" s="150"/>
      <c r="T27" s="150"/>
      <c r="U27" s="150"/>
      <c r="V27" s="150"/>
      <c r="W27" s="150"/>
    </row>
    <row r="28" s="31" customFormat="1" ht="16.5" customHeight="1" spans="1:18">
      <c r="A28" s="69"/>
      <c r="B28" s="70"/>
      <c r="C28" s="71"/>
      <c r="D28" s="71"/>
      <c r="E28" s="72">
        <f t="shared" ref="E28:K28" si="6">SUM(E20:E27)</f>
        <v>0</v>
      </c>
      <c r="F28" s="72">
        <f t="shared" si="6"/>
        <v>32</v>
      </c>
      <c r="G28" s="72">
        <f t="shared" si="6"/>
        <v>56</v>
      </c>
      <c r="H28" s="72">
        <f t="shared" si="6"/>
        <v>54</v>
      </c>
      <c r="I28" s="72">
        <f t="shared" si="6"/>
        <v>28</v>
      </c>
      <c r="J28" s="72">
        <f t="shared" si="6"/>
        <v>30</v>
      </c>
      <c r="K28" s="72">
        <f t="shared" si="6"/>
        <v>0</v>
      </c>
      <c r="L28" s="72"/>
      <c r="M28" s="72">
        <f>SUM(M20:M27)</f>
        <v>10</v>
      </c>
      <c r="N28" s="72">
        <f>SUM(N20:N27)</f>
        <v>200</v>
      </c>
      <c r="O28" s="122">
        <f>SUM(O20:O27)</f>
        <v>49.68</v>
      </c>
      <c r="P28" s="123">
        <f>SUM(P20:P27)</f>
        <v>67.2</v>
      </c>
      <c r="Q28" s="151"/>
      <c r="R28" s="152"/>
    </row>
    <row r="29" ht="13.5"/>
    <row r="30" ht="15.75" spans="1:16">
      <c r="A30" s="74"/>
      <c r="B30" s="75"/>
      <c r="C30" s="75" t="s">
        <v>36</v>
      </c>
      <c r="D30" s="75"/>
      <c r="E30" s="75">
        <f t="shared" ref="E30:K30" si="7">E28</f>
        <v>0</v>
      </c>
      <c r="F30" s="75">
        <f t="shared" si="7"/>
        <v>32</v>
      </c>
      <c r="G30" s="75">
        <f t="shared" si="7"/>
        <v>56</v>
      </c>
      <c r="H30" s="75">
        <f t="shared" si="7"/>
        <v>54</v>
      </c>
      <c r="I30" s="75">
        <f t="shared" si="7"/>
        <v>28</v>
      </c>
      <c r="J30" s="75">
        <f t="shared" si="7"/>
        <v>30</v>
      </c>
      <c r="K30" s="75">
        <f t="shared" si="7"/>
        <v>0</v>
      </c>
      <c r="L30" s="75"/>
      <c r="M30" s="75">
        <f t="shared" ref="M30:P30" si="8">M28</f>
        <v>10</v>
      </c>
      <c r="N30" s="75">
        <f t="shared" si="8"/>
        <v>200</v>
      </c>
      <c r="O30" s="125">
        <f t="shared" si="8"/>
        <v>49.68</v>
      </c>
      <c r="P30" s="126">
        <f t="shared" si="8"/>
        <v>67.2</v>
      </c>
    </row>
    <row r="31" ht="16.5" customHeight="1" spans="1:16">
      <c r="A31" s="76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127"/>
      <c r="P31" s="127"/>
    </row>
    <row r="32" ht="18" customHeight="1" spans="5:11">
      <c r="E32" s="78"/>
      <c r="F32" s="78"/>
      <c r="G32" s="78"/>
      <c r="H32" s="78"/>
      <c r="I32" s="78"/>
      <c r="J32" s="78"/>
      <c r="K32" s="25"/>
    </row>
    <row r="33" ht="13.5" spans="3:13">
      <c r="C33" s="79" t="s">
        <v>37</v>
      </c>
      <c r="D33" s="80"/>
      <c r="E33" s="80"/>
      <c r="F33" s="80"/>
      <c r="G33" s="80"/>
      <c r="H33" s="80"/>
      <c r="I33" s="80"/>
      <c r="J33" s="80"/>
      <c r="K33" s="80"/>
      <c r="L33" s="80"/>
      <c r="M33" s="128"/>
    </row>
    <row r="34" ht="17.25" customHeight="1" spans="3:18">
      <c r="C34" s="81" t="s">
        <v>38</v>
      </c>
      <c r="D34" s="82"/>
      <c r="E34" s="83" t="str">
        <f>C20</f>
        <v>Bbinos-325</v>
      </c>
      <c r="F34" s="84"/>
      <c r="G34" s="84"/>
      <c r="H34" s="84"/>
      <c r="I34" s="84"/>
      <c r="J34" s="84"/>
      <c r="K34" s="84"/>
      <c r="L34" s="129"/>
      <c r="M34" s="130" t="s">
        <v>39</v>
      </c>
      <c r="P34" s="34"/>
      <c r="R34"/>
    </row>
    <row r="35" ht="17.25" customHeight="1" spans="3:18">
      <c r="C35" s="85"/>
      <c r="D35" s="86"/>
      <c r="E35" s="87" t="s">
        <v>23</v>
      </c>
      <c r="F35" s="88" t="s">
        <v>24</v>
      </c>
      <c r="G35" s="88" t="s">
        <v>25</v>
      </c>
      <c r="H35" s="88" t="s">
        <v>26</v>
      </c>
      <c r="I35" s="88" t="s">
        <v>27</v>
      </c>
      <c r="J35" s="88" t="s">
        <v>28</v>
      </c>
      <c r="K35" s="131" t="s">
        <v>29</v>
      </c>
      <c r="L35" s="132" t="s">
        <v>40</v>
      </c>
      <c r="M35" s="133"/>
      <c r="P35" s="34"/>
      <c r="R35"/>
    </row>
    <row r="36" ht="15.75" customHeight="1" spans="3:18">
      <c r="C36" s="89" t="s">
        <v>41</v>
      </c>
      <c r="D36" s="90"/>
      <c r="E36" s="91"/>
      <c r="F36" s="92">
        <v>33</v>
      </c>
      <c r="G36" s="92">
        <v>67</v>
      </c>
      <c r="H36" s="92">
        <v>67</v>
      </c>
      <c r="I36" s="92">
        <v>33</v>
      </c>
      <c r="J36" s="92">
        <v>33</v>
      </c>
      <c r="K36" s="134"/>
      <c r="L36" s="135">
        <f t="shared" ref="L36:L38" si="9">SUM(E36:K36)</f>
        <v>233</v>
      </c>
      <c r="M36" s="136">
        <f>+L38/L36*100-100</f>
        <v>-14.1630901287554</v>
      </c>
      <c r="N36" s="14"/>
      <c r="O36" s="14"/>
      <c r="P36" s="34"/>
      <c r="R36"/>
    </row>
    <row r="37" ht="15.75" customHeight="1" spans="3:18">
      <c r="C37" s="93" t="s">
        <v>42</v>
      </c>
      <c r="D37" s="94"/>
      <c r="E37" s="95"/>
      <c r="F37" s="92">
        <v>32</v>
      </c>
      <c r="G37" s="92">
        <v>58</v>
      </c>
      <c r="H37" s="92">
        <v>58</v>
      </c>
      <c r="I37" s="92">
        <v>31</v>
      </c>
      <c r="J37" s="92">
        <v>31</v>
      </c>
      <c r="K37" s="137"/>
      <c r="L37" s="138">
        <f t="shared" si="9"/>
        <v>210</v>
      </c>
      <c r="M37" s="139"/>
      <c r="N37" s="14"/>
      <c r="O37" s="14"/>
      <c r="P37" s="34"/>
      <c r="R37"/>
    </row>
    <row r="38" ht="15.75" customHeight="1" spans="3:18">
      <c r="C38" s="96" t="s">
        <v>43</v>
      </c>
      <c r="D38" s="97"/>
      <c r="E38" s="98">
        <f t="shared" ref="E38:K38" si="10">+E28</f>
        <v>0</v>
      </c>
      <c r="F38" s="12">
        <f t="shared" si="10"/>
        <v>32</v>
      </c>
      <c r="G38" s="12">
        <f t="shared" si="10"/>
        <v>56</v>
      </c>
      <c r="H38" s="12">
        <f t="shared" si="10"/>
        <v>54</v>
      </c>
      <c r="I38" s="12">
        <f t="shared" si="10"/>
        <v>28</v>
      </c>
      <c r="J38" s="12">
        <f t="shared" si="10"/>
        <v>30</v>
      </c>
      <c r="K38" s="140">
        <f t="shared" si="10"/>
        <v>0</v>
      </c>
      <c r="L38" s="11">
        <f t="shared" si="9"/>
        <v>200</v>
      </c>
      <c r="M38" s="139"/>
      <c r="N38" s="153"/>
      <c r="O38" s="154"/>
      <c r="P38" s="143"/>
      <c r="R38"/>
    </row>
    <row r="39" ht="15.75" customHeight="1" spans="3:18">
      <c r="C39" s="96" t="s">
        <v>44</v>
      </c>
      <c r="D39" s="97"/>
      <c r="E39" s="98">
        <f t="shared" ref="E39:L39" si="11">+E37-E38</f>
        <v>0</v>
      </c>
      <c r="F39" s="12">
        <f t="shared" si="11"/>
        <v>0</v>
      </c>
      <c r="G39" s="99">
        <f t="shared" si="11"/>
        <v>2</v>
      </c>
      <c r="H39" s="12">
        <f t="shared" si="11"/>
        <v>4</v>
      </c>
      <c r="I39" s="12">
        <f t="shared" si="11"/>
        <v>3</v>
      </c>
      <c r="J39" s="12">
        <f t="shared" si="11"/>
        <v>1</v>
      </c>
      <c r="K39" s="140">
        <f t="shared" si="11"/>
        <v>0</v>
      </c>
      <c r="L39" s="11">
        <f t="shared" si="11"/>
        <v>10</v>
      </c>
      <c r="M39" s="144"/>
      <c r="N39" s="145" t="s">
        <v>57</v>
      </c>
      <c r="O39" s="146"/>
      <c r="P39" s="34"/>
      <c r="R39"/>
    </row>
    <row r="40" hidden="1" spans="3:11">
      <c r="C40" s="100" t="s">
        <v>39</v>
      </c>
      <c r="D40" s="100"/>
      <c r="E40" s="100"/>
      <c r="F40" s="101">
        <f t="shared" ref="F40:J40" si="12">+F38/F36*100</f>
        <v>96.969696969697</v>
      </c>
      <c r="G40" s="101">
        <f t="shared" si="12"/>
        <v>83.5820895522388</v>
      </c>
      <c r="H40" s="101">
        <f t="shared" si="12"/>
        <v>80.5970149253731</v>
      </c>
      <c r="I40" s="101">
        <f t="shared" si="12"/>
        <v>84.8484848484848</v>
      </c>
      <c r="J40" s="101">
        <f t="shared" si="12"/>
        <v>90.9090909090909</v>
      </c>
      <c r="K40" s="100"/>
    </row>
    <row r="41" hidden="1" spans="3:12">
      <c r="C41" s="102" t="s">
        <v>50</v>
      </c>
      <c r="D41" s="102"/>
      <c r="E41" s="25"/>
      <c r="F41" s="25">
        <v>13</v>
      </c>
      <c r="G41" s="25">
        <v>26</v>
      </c>
      <c r="H41" s="25">
        <v>26</v>
      </c>
      <c r="I41" s="25">
        <v>14</v>
      </c>
      <c r="J41" s="25">
        <v>14</v>
      </c>
      <c r="K41" s="25"/>
      <c r="L41">
        <f>SUM(E41:K41)</f>
        <v>93</v>
      </c>
    </row>
    <row r="42" hidden="1" spans="3:12">
      <c r="C42" s="103" t="s">
        <v>51</v>
      </c>
      <c r="D42" s="103"/>
      <c r="E42" s="104"/>
      <c r="F42" s="103">
        <f t="shared" ref="F42:J42" si="13">+F38-F41</f>
        <v>19</v>
      </c>
      <c r="G42" s="103">
        <f t="shared" si="13"/>
        <v>30</v>
      </c>
      <c r="H42" s="103">
        <f t="shared" si="13"/>
        <v>28</v>
      </c>
      <c r="I42" s="103">
        <f t="shared" si="13"/>
        <v>14</v>
      </c>
      <c r="J42" s="103">
        <f t="shared" si="13"/>
        <v>16</v>
      </c>
      <c r="K42" s="104"/>
      <c r="L42" s="103">
        <f>SUM(F42:K42)</f>
        <v>107</v>
      </c>
    </row>
    <row r="43" hidden="1"/>
  </sheetData>
  <mergeCells count="39">
    <mergeCell ref="A1:P1"/>
    <mergeCell ref="F10:P10"/>
    <mergeCell ref="F11:I11"/>
    <mergeCell ref="M12:P12"/>
    <mergeCell ref="F13:H13"/>
    <mergeCell ref="F14:H14"/>
    <mergeCell ref="Q14:S14"/>
    <mergeCell ref="F15:H15"/>
    <mergeCell ref="F16:H16"/>
    <mergeCell ref="A19:B19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A30:B30"/>
    <mergeCell ref="C30:D30"/>
    <mergeCell ref="E32:J32"/>
    <mergeCell ref="C34:D34"/>
    <mergeCell ref="E34:L34"/>
    <mergeCell ref="C35:D35"/>
    <mergeCell ref="C36:D36"/>
    <mergeCell ref="N36:O36"/>
    <mergeCell ref="C37:D37"/>
    <mergeCell ref="C38:D38"/>
    <mergeCell ref="N38:O38"/>
    <mergeCell ref="C39:D39"/>
    <mergeCell ref="N39:O39"/>
    <mergeCell ref="C40:D40"/>
    <mergeCell ref="C41:D41"/>
    <mergeCell ref="C42:D42"/>
    <mergeCell ref="M34:M35"/>
    <mergeCell ref="M36:M39"/>
    <mergeCell ref="H3:K7"/>
  </mergeCells>
  <pageMargins left="0.275590551181102" right="0.354330708661417" top="0.433070866141732" bottom="0.15748031496063" header="0.15748031496063" footer="0.511811023622047"/>
  <pageSetup paperSize="9" scale="89" orientation="landscape"/>
  <headerFooter alignWithMargins="0">
    <oddHeader>&amp;C&amp;A</oddHeader>
    <oddFooter>&amp;R&amp;D&amp;T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W43"/>
  <sheetViews>
    <sheetView showGridLines="0" zoomScale="90" zoomScaleNormal="90" topLeftCell="A5" workbookViewId="0">
      <selection activeCell="R38" sqref="R38"/>
    </sheetView>
  </sheetViews>
  <sheetFormatPr defaultColWidth="9.14285714285714" defaultRowHeight="12.75"/>
  <cols>
    <col min="1" max="1" width="6.14285714285714" customWidth="1"/>
    <col min="2" max="2" width="7.42857142857143" customWidth="1"/>
    <col min="3" max="3" width="10.4285714285714" customWidth="1"/>
    <col min="4" max="4" width="11.2857142857143" customWidth="1"/>
    <col min="5" max="5" width="7.14285714285714" customWidth="1"/>
    <col min="6" max="11" width="7.42857142857143" customWidth="1"/>
    <col min="12" max="12" width="9.57142857142857" customWidth="1"/>
    <col min="13" max="13" width="7.71428571428571" customWidth="1"/>
    <col min="14" max="14" width="9.14285714285714" customWidth="1"/>
    <col min="15" max="16" width="10.7142857142857" customWidth="1"/>
    <col min="17" max="17" width="6.42857142857143" hidden="1" customWidth="1"/>
    <col min="18" max="18" width="11.7142857142857" style="34" customWidth="1"/>
    <col min="20" max="20" width="12.4285714285714" customWidth="1"/>
  </cols>
  <sheetData>
    <row r="1" ht="32.25" customHeight="1" spans="1:16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s="31" customFormat="1" ht="15" customHeight="1" spans="1:18">
      <c r="A2" s="36" t="s">
        <v>1</v>
      </c>
      <c r="B2" s="37"/>
      <c r="C2" s="38"/>
      <c r="D2" s="38"/>
      <c r="E2" s="38"/>
      <c r="F2" s="38"/>
      <c r="G2" s="38"/>
      <c r="H2" s="39"/>
      <c r="I2" s="38"/>
      <c r="J2" s="38"/>
      <c r="K2" s="38"/>
      <c r="L2" s="105"/>
      <c r="M2" s="106"/>
      <c r="N2" s="38"/>
      <c r="O2" s="107"/>
      <c r="P2" s="108"/>
      <c r="R2" s="41"/>
    </row>
    <row r="3" s="31" customFormat="1" ht="15" customHeight="1" spans="1:18">
      <c r="A3" s="40" t="s">
        <v>2</v>
      </c>
      <c r="B3" s="41"/>
      <c r="H3" s="42"/>
      <c r="I3" s="109"/>
      <c r="J3" s="109"/>
      <c r="K3" s="109"/>
      <c r="L3" s="110"/>
      <c r="M3" s="111"/>
      <c r="P3" s="112"/>
      <c r="R3" s="41"/>
    </row>
    <row r="4" s="31" customFormat="1" ht="15" customHeight="1" spans="1:18">
      <c r="A4" s="40" t="s">
        <v>3</v>
      </c>
      <c r="B4" s="41"/>
      <c r="H4" s="42"/>
      <c r="I4" s="109"/>
      <c r="J4" s="109"/>
      <c r="K4" s="109"/>
      <c r="L4" s="110"/>
      <c r="M4" s="111"/>
      <c r="P4" s="112"/>
      <c r="R4" s="41"/>
    </row>
    <row r="5" s="31" customFormat="1" ht="15" customHeight="1" spans="1:18">
      <c r="A5" s="43" t="s">
        <v>4</v>
      </c>
      <c r="B5" s="41"/>
      <c r="H5" s="42"/>
      <c r="I5" s="109"/>
      <c r="J5" s="109"/>
      <c r="K5" s="109"/>
      <c r="L5" s="110"/>
      <c r="M5" s="111"/>
      <c r="P5" s="112"/>
      <c r="R5" s="41"/>
    </row>
    <row r="6" s="31" customFormat="1" ht="15" customHeight="1" spans="1:18">
      <c r="A6" s="40" t="s">
        <v>5</v>
      </c>
      <c r="B6" s="41"/>
      <c r="H6" s="42"/>
      <c r="I6" s="109"/>
      <c r="J6" s="109"/>
      <c r="K6" s="109"/>
      <c r="L6" s="110"/>
      <c r="M6" s="111"/>
      <c r="P6" s="112"/>
      <c r="R6" s="41"/>
    </row>
    <row r="7" s="31" customFormat="1" ht="15" customHeight="1" spans="1:18">
      <c r="A7" s="40" t="s">
        <v>6</v>
      </c>
      <c r="B7" s="41"/>
      <c r="H7" s="42"/>
      <c r="I7" s="109"/>
      <c r="J7" s="109"/>
      <c r="K7" s="109"/>
      <c r="L7" s="110"/>
      <c r="M7" s="111"/>
      <c r="P7" s="112"/>
      <c r="R7" s="41"/>
    </row>
    <row r="8" s="31" customFormat="1" ht="12" customHeight="1" spans="1:18">
      <c r="A8" s="44"/>
      <c r="B8" s="45"/>
      <c r="C8" s="46"/>
      <c r="D8" s="46"/>
      <c r="E8" s="46"/>
      <c r="F8" s="46"/>
      <c r="G8" s="46"/>
      <c r="H8" s="47"/>
      <c r="I8" s="46"/>
      <c r="J8" s="113"/>
      <c r="K8" s="113"/>
      <c r="L8" s="113"/>
      <c r="M8" s="114"/>
      <c r="N8" s="46"/>
      <c r="O8" s="46"/>
      <c r="P8" s="115"/>
      <c r="R8" s="41"/>
    </row>
    <row r="9" s="31" customFormat="1" ht="21" customHeight="1" spans="1:18">
      <c r="A9" s="48"/>
      <c r="B9" s="45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115"/>
      <c r="R9" s="41"/>
    </row>
    <row r="10" s="32" customFormat="1" ht="15" customHeight="1" spans="1:18">
      <c r="A10" s="49" t="s">
        <v>7</v>
      </c>
      <c r="B10" s="37"/>
      <c r="C10" s="38"/>
      <c r="D10" s="38" t="s">
        <v>8</v>
      </c>
      <c r="E10" s="38"/>
      <c r="F10" s="50" t="s">
        <v>46</v>
      </c>
      <c r="G10" s="50" t="s">
        <v>10</v>
      </c>
      <c r="H10" s="50" t="s">
        <v>10</v>
      </c>
      <c r="I10" s="50" t="s">
        <v>10</v>
      </c>
      <c r="J10" s="50" t="s">
        <v>10</v>
      </c>
      <c r="K10" s="50" t="s">
        <v>10</v>
      </c>
      <c r="L10" s="50" t="s">
        <v>10</v>
      </c>
      <c r="M10" s="50" t="s">
        <v>10</v>
      </c>
      <c r="N10" s="50" t="s">
        <v>10</v>
      </c>
      <c r="O10" s="50" t="s">
        <v>10</v>
      </c>
      <c r="P10" s="116" t="s">
        <v>10</v>
      </c>
      <c r="R10" s="147"/>
    </row>
    <row r="11" s="31" customFormat="1" ht="15" customHeight="1" spans="1:18">
      <c r="A11" s="51" t="s">
        <v>11</v>
      </c>
      <c r="B11" s="41"/>
      <c r="D11" s="31" t="s">
        <v>8</v>
      </c>
      <c r="F11" s="52"/>
      <c r="G11" s="52"/>
      <c r="H11" s="52"/>
      <c r="I11" s="52"/>
      <c r="P11" s="112"/>
      <c r="R11" s="41"/>
    </row>
    <row r="12" s="31" customFormat="1" ht="15" customHeight="1" spans="1:18">
      <c r="A12" s="51" t="s">
        <v>13</v>
      </c>
      <c r="B12" s="41"/>
      <c r="D12" s="31" t="s">
        <v>8</v>
      </c>
      <c r="F12" s="53" t="str">
        <f>F10</f>
        <v>AM-OS-12</v>
      </c>
      <c r="G12" s="53"/>
      <c r="H12" s="53"/>
      <c r="I12" s="53"/>
      <c r="L12"/>
      <c r="M12" s="117" t="s">
        <v>14</v>
      </c>
      <c r="N12" s="117"/>
      <c r="O12" s="117"/>
      <c r="P12" s="118"/>
      <c r="R12" s="41"/>
    </row>
    <row r="13" s="31" customFormat="1" ht="15" customHeight="1" spans="1:18">
      <c r="A13" s="51" t="s">
        <v>15</v>
      </c>
      <c r="B13" s="41"/>
      <c r="D13" s="31" t="s">
        <v>8</v>
      </c>
      <c r="F13" s="41">
        <f>+N30</f>
        <v>281</v>
      </c>
      <c r="G13" s="41"/>
      <c r="H13" s="41"/>
      <c r="P13" s="112"/>
      <c r="R13" s="41"/>
    </row>
    <row r="14" s="31" customFormat="1" ht="15" customHeight="1" spans="1:19">
      <c r="A14" s="51" t="s">
        <v>16</v>
      </c>
      <c r="B14" s="41"/>
      <c r="D14" s="31" t="s">
        <v>8</v>
      </c>
      <c r="F14" s="54">
        <f>+M30</f>
        <v>15</v>
      </c>
      <c r="G14" s="54"/>
      <c r="H14" s="54"/>
      <c r="P14" s="112"/>
      <c r="Q14" s="34"/>
      <c r="R14" s="34"/>
      <c r="S14" s="34"/>
    </row>
    <row r="15" s="31" customFormat="1" ht="15" customHeight="1" spans="1:18">
      <c r="A15" s="51" t="s">
        <v>17</v>
      </c>
      <c r="B15" s="41"/>
      <c r="D15" s="31" t="s">
        <v>8</v>
      </c>
      <c r="F15" s="55" t="s">
        <v>18</v>
      </c>
      <c r="G15" s="55"/>
      <c r="H15" s="55"/>
      <c r="P15" s="112"/>
      <c r="R15" s="41"/>
    </row>
    <row r="16" s="31" customFormat="1" ht="15" customHeight="1" spans="1:18">
      <c r="A16" s="48" t="s">
        <v>19</v>
      </c>
      <c r="B16" s="45" t="s">
        <v>20</v>
      </c>
      <c r="C16" s="46"/>
      <c r="D16" s="46" t="s">
        <v>8</v>
      </c>
      <c r="E16" s="46"/>
      <c r="F16" s="56"/>
      <c r="G16" s="56"/>
      <c r="H16" s="56"/>
      <c r="I16" s="46"/>
      <c r="J16" s="46"/>
      <c r="K16" s="46"/>
      <c r="L16" s="46"/>
      <c r="M16" s="46"/>
      <c r="N16" s="46"/>
      <c r="O16" s="46"/>
      <c r="P16" s="115"/>
      <c r="R16" s="41"/>
    </row>
    <row r="17" s="31" customFormat="1" ht="9" customHeight="1" spans="1:18">
      <c r="A17" s="39"/>
      <c r="B17" s="57"/>
      <c r="C17" s="58"/>
      <c r="D17" s="5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119"/>
      <c r="R17" s="41"/>
    </row>
    <row r="18" s="31" customFormat="1" ht="9" customHeight="1" spans="1:18">
      <c r="A18" s="59"/>
      <c r="C18" s="60"/>
      <c r="D18" s="60"/>
      <c r="P18" s="112"/>
      <c r="R18" s="41"/>
    </row>
    <row r="19" s="33" customFormat="1" ht="35.25" customHeight="1" spans="1:18">
      <c r="A19" s="61" t="s">
        <v>21</v>
      </c>
      <c r="B19" s="62"/>
      <c r="C19" s="63" t="s">
        <v>22</v>
      </c>
      <c r="D19" s="63"/>
      <c r="E19" s="64" t="s">
        <v>23</v>
      </c>
      <c r="F19" s="64" t="s">
        <v>24</v>
      </c>
      <c r="G19" s="64" t="s">
        <v>25</v>
      </c>
      <c r="H19" s="64" t="s">
        <v>26</v>
      </c>
      <c r="I19" s="64" t="s">
        <v>27</v>
      </c>
      <c r="J19" s="64" t="s">
        <v>28</v>
      </c>
      <c r="K19" s="64" t="s">
        <v>29</v>
      </c>
      <c r="L19" s="120" t="s">
        <v>30</v>
      </c>
      <c r="M19" s="120" t="s">
        <v>31</v>
      </c>
      <c r="N19" s="120" t="s">
        <v>32</v>
      </c>
      <c r="O19" s="62" t="s">
        <v>33</v>
      </c>
      <c r="P19" s="121" t="s">
        <v>34</v>
      </c>
      <c r="R19" s="41"/>
    </row>
    <row r="20" s="31" customFormat="1" ht="16.5" customHeight="1" spans="1:23">
      <c r="A20" s="65">
        <v>1</v>
      </c>
      <c r="B20" s="65">
        <f>+M20</f>
        <v>1</v>
      </c>
      <c r="C20" s="66" t="s">
        <v>56</v>
      </c>
      <c r="D20" s="67"/>
      <c r="E20" s="20"/>
      <c r="F20" s="68">
        <f>+N20</f>
        <v>20</v>
      </c>
      <c r="G20" s="68"/>
      <c r="H20" s="20"/>
      <c r="I20" s="20"/>
      <c r="J20" s="20"/>
      <c r="K20" s="20"/>
      <c r="L20" s="20">
        <v>20</v>
      </c>
      <c r="M20" s="20">
        <v>1</v>
      </c>
      <c r="N20" s="20">
        <f t="shared" ref="N20:N27" si="0">+L20*M20</f>
        <v>20</v>
      </c>
      <c r="O20" s="18">
        <f>F20*0.23+G20*0.24+H20*0.25+I20*0.26+J20*0.27</f>
        <v>4.6</v>
      </c>
      <c r="P20" s="18">
        <f>2.19+O20</f>
        <v>6.79</v>
      </c>
      <c r="Q20" s="148">
        <f t="shared" ref="Q20:Q27" si="1">7.57/32</f>
        <v>0.2365625</v>
      </c>
      <c r="R20" s="149"/>
      <c r="S20" s="150"/>
      <c r="T20" s="150"/>
      <c r="U20" s="150"/>
      <c r="V20" s="150"/>
      <c r="W20" s="150"/>
    </row>
    <row r="21" s="31" customFormat="1" ht="16.5" customHeight="1" spans="1:23">
      <c r="A21" s="65">
        <f>B20+1</f>
        <v>2</v>
      </c>
      <c r="B21" s="65">
        <f>+B20+M21</f>
        <v>5</v>
      </c>
      <c r="C21" s="66" t="s">
        <v>56</v>
      </c>
      <c r="D21" s="67"/>
      <c r="E21" s="20"/>
      <c r="F21" s="20"/>
      <c r="G21" s="68">
        <f>+N21</f>
        <v>80</v>
      </c>
      <c r="H21" s="68"/>
      <c r="I21" s="20"/>
      <c r="J21" s="20"/>
      <c r="K21" s="20"/>
      <c r="L21" s="20">
        <v>20</v>
      </c>
      <c r="M21" s="20">
        <v>4</v>
      </c>
      <c r="N21" s="20">
        <f t="shared" si="0"/>
        <v>80</v>
      </c>
      <c r="O21" s="18">
        <f t="shared" ref="O21:O27" si="2">F21*0.23+G21*0.24+H21*0.25+I21*0.26+J21*0.27</f>
        <v>19.2</v>
      </c>
      <c r="P21" s="18">
        <f t="shared" ref="P21:P27" si="3">2.19+O21</f>
        <v>21.39</v>
      </c>
      <c r="Q21" s="148">
        <f t="shared" si="1"/>
        <v>0.2365625</v>
      </c>
      <c r="R21" s="149"/>
      <c r="S21" s="150"/>
      <c r="T21" s="150"/>
      <c r="U21" s="150"/>
      <c r="V21" s="150"/>
      <c r="W21" s="150"/>
    </row>
    <row r="22" s="31" customFormat="1" ht="16.5" customHeight="1" spans="1:23">
      <c r="A22" s="65">
        <f>B21+1</f>
        <v>6</v>
      </c>
      <c r="B22" s="65">
        <f>+B21+M22</f>
        <v>9</v>
      </c>
      <c r="C22" s="66" t="s">
        <v>56</v>
      </c>
      <c r="D22" s="67"/>
      <c r="E22" s="20"/>
      <c r="F22" s="20"/>
      <c r="G22" s="20"/>
      <c r="H22" s="68">
        <f>+N22</f>
        <v>80</v>
      </c>
      <c r="I22" s="20"/>
      <c r="J22" s="20"/>
      <c r="K22" s="20"/>
      <c r="L22" s="20">
        <v>20</v>
      </c>
      <c r="M22" s="20">
        <v>4</v>
      </c>
      <c r="N22" s="20">
        <f t="shared" si="0"/>
        <v>80</v>
      </c>
      <c r="O22" s="18">
        <f t="shared" si="2"/>
        <v>20</v>
      </c>
      <c r="P22" s="18">
        <f t="shared" si="3"/>
        <v>22.19</v>
      </c>
      <c r="Q22" s="148">
        <f t="shared" si="1"/>
        <v>0.2365625</v>
      </c>
      <c r="R22" s="149"/>
      <c r="S22" s="150"/>
      <c r="T22" s="150"/>
      <c r="U22" s="150"/>
      <c r="V22" s="150"/>
      <c r="W22" s="150"/>
    </row>
    <row r="23" s="31" customFormat="1" ht="16.5" customHeight="1" spans="1:23">
      <c r="A23" s="65">
        <f>B22+1</f>
        <v>10</v>
      </c>
      <c r="B23" s="65">
        <f>+B22+M23</f>
        <v>11</v>
      </c>
      <c r="C23" s="66" t="s">
        <v>56</v>
      </c>
      <c r="D23" s="67"/>
      <c r="E23" s="20"/>
      <c r="F23" s="20"/>
      <c r="G23" s="20"/>
      <c r="H23" s="20"/>
      <c r="I23" s="68">
        <f>+N23</f>
        <v>40</v>
      </c>
      <c r="J23" s="20"/>
      <c r="K23" s="20"/>
      <c r="L23" s="20">
        <v>20</v>
      </c>
      <c r="M23" s="20">
        <v>2</v>
      </c>
      <c r="N23" s="20">
        <f t="shared" si="0"/>
        <v>40</v>
      </c>
      <c r="O23" s="18">
        <f t="shared" si="2"/>
        <v>10.4</v>
      </c>
      <c r="P23" s="18">
        <f t="shared" si="3"/>
        <v>12.59</v>
      </c>
      <c r="Q23" s="148">
        <f t="shared" si="1"/>
        <v>0.2365625</v>
      </c>
      <c r="R23" s="149"/>
      <c r="S23" s="150"/>
      <c r="T23" s="150"/>
      <c r="U23" s="150"/>
      <c r="V23" s="150"/>
      <c r="W23" s="150"/>
    </row>
    <row r="24" s="31" customFormat="1" ht="16.5" customHeight="1" spans="1:23">
      <c r="A24" s="65">
        <f>B23+1</f>
        <v>12</v>
      </c>
      <c r="B24" s="65">
        <f>+B23+M24</f>
        <v>12</v>
      </c>
      <c r="C24" s="66" t="s">
        <v>56</v>
      </c>
      <c r="D24" s="67"/>
      <c r="E24" s="20"/>
      <c r="F24" s="20"/>
      <c r="G24" s="20"/>
      <c r="H24" s="20"/>
      <c r="I24" s="20"/>
      <c r="J24" s="68">
        <f>+N24</f>
        <v>20</v>
      </c>
      <c r="K24" s="20"/>
      <c r="L24" s="20">
        <v>20</v>
      </c>
      <c r="M24" s="20">
        <v>1</v>
      </c>
      <c r="N24" s="20">
        <f t="shared" si="0"/>
        <v>20</v>
      </c>
      <c r="O24" s="18">
        <f t="shared" si="2"/>
        <v>5.4</v>
      </c>
      <c r="P24" s="18">
        <f t="shared" si="3"/>
        <v>7.59</v>
      </c>
      <c r="Q24" s="148">
        <f t="shared" si="1"/>
        <v>0.2365625</v>
      </c>
      <c r="R24" s="149"/>
      <c r="S24" s="150"/>
      <c r="T24" s="150"/>
      <c r="U24" s="150"/>
      <c r="V24" s="150"/>
      <c r="W24" s="150"/>
    </row>
    <row r="25" s="31" customFormat="1" ht="16.5" customHeight="1" spans="1:23">
      <c r="A25" s="65">
        <f>B23+1</f>
        <v>12</v>
      </c>
      <c r="B25" s="65">
        <f>+B23+M25</f>
        <v>12</v>
      </c>
      <c r="C25" s="66" t="s">
        <v>56</v>
      </c>
      <c r="D25" s="67"/>
      <c r="E25" s="20"/>
      <c r="F25" s="20"/>
      <c r="G25" s="20"/>
      <c r="H25" s="20">
        <v>1</v>
      </c>
      <c r="I25" s="20"/>
      <c r="J25" s="20">
        <v>19</v>
      </c>
      <c r="K25" s="20"/>
      <c r="L25" s="68">
        <f>SUM(E25:K25)</f>
        <v>20</v>
      </c>
      <c r="M25" s="20">
        <v>1</v>
      </c>
      <c r="N25" s="20">
        <f t="shared" si="0"/>
        <v>20</v>
      </c>
      <c r="O25" s="18">
        <f t="shared" si="2"/>
        <v>5.38</v>
      </c>
      <c r="P25" s="18">
        <f t="shared" si="3"/>
        <v>7.57</v>
      </c>
      <c r="Q25" s="148">
        <f t="shared" si="1"/>
        <v>0.2365625</v>
      </c>
      <c r="R25" s="149"/>
      <c r="S25" s="150"/>
      <c r="T25" s="150"/>
      <c r="U25" s="150"/>
      <c r="V25" s="150"/>
      <c r="W25" s="150"/>
    </row>
    <row r="26" s="31" customFormat="1" ht="16.5" customHeight="1" spans="1:23">
      <c r="A26" s="65">
        <f>B24+1</f>
        <v>13</v>
      </c>
      <c r="B26" s="65">
        <f>+B24+M26</f>
        <v>13</v>
      </c>
      <c r="C26" s="66" t="s">
        <v>56</v>
      </c>
      <c r="D26" s="67"/>
      <c r="E26" s="20"/>
      <c r="F26" s="20">
        <v>17</v>
      </c>
      <c r="G26" s="20"/>
      <c r="H26" s="20"/>
      <c r="I26" s="20"/>
      <c r="J26" s="20"/>
      <c r="K26" s="20"/>
      <c r="L26" s="68">
        <f>SUM(E26:K26)</f>
        <v>17</v>
      </c>
      <c r="M26" s="20">
        <v>1</v>
      </c>
      <c r="N26" s="20">
        <f t="shared" si="0"/>
        <v>17</v>
      </c>
      <c r="O26" s="18">
        <f t="shared" si="2"/>
        <v>3.91</v>
      </c>
      <c r="P26" s="18">
        <f t="shared" si="3"/>
        <v>6.1</v>
      </c>
      <c r="Q26" s="148">
        <f t="shared" si="1"/>
        <v>0.2365625</v>
      </c>
      <c r="R26" s="149"/>
      <c r="S26" s="150"/>
      <c r="T26" s="150"/>
      <c r="U26" s="150"/>
      <c r="V26" s="150"/>
      <c r="W26" s="150"/>
    </row>
    <row r="27" s="31" customFormat="1" ht="16.5" customHeight="1" spans="1:23">
      <c r="A27" s="65">
        <f>B24+1</f>
        <v>13</v>
      </c>
      <c r="B27" s="65">
        <f>+B24+M27</f>
        <v>13</v>
      </c>
      <c r="C27" s="66" t="s">
        <v>56</v>
      </c>
      <c r="D27" s="67"/>
      <c r="E27" s="20"/>
      <c r="F27" s="20"/>
      <c r="G27" s="20"/>
      <c r="H27" s="20"/>
      <c r="I27" s="20">
        <v>4</v>
      </c>
      <c r="J27" s="20"/>
      <c r="K27" s="20"/>
      <c r="L27" s="68">
        <f>SUM(E27:K27)</f>
        <v>4</v>
      </c>
      <c r="M27" s="20">
        <v>1</v>
      </c>
      <c r="N27" s="20">
        <f t="shared" si="0"/>
        <v>4</v>
      </c>
      <c r="O27" s="18">
        <f t="shared" si="2"/>
        <v>1.04</v>
      </c>
      <c r="P27" s="18">
        <f t="shared" si="3"/>
        <v>3.23</v>
      </c>
      <c r="Q27" s="148">
        <f t="shared" si="1"/>
        <v>0.2365625</v>
      </c>
      <c r="R27" s="149"/>
      <c r="S27" s="150"/>
      <c r="T27" s="150"/>
      <c r="U27" s="150"/>
      <c r="V27" s="150"/>
      <c r="W27" s="150"/>
    </row>
    <row r="28" s="31" customFormat="1" ht="16.5" customHeight="1" spans="1:18">
      <c r="A28" s="69"/>
      <c r="B28" s="70"/>
      <c r="C28" s="71"/>
      <c r="D28" s="71"/>
      <c r="E28" s="72">
        <f t="shared" ref="E28:K28" si="4">SUM(E20:E27)</f>
        <v>0</v>
      </c>
      <c r="F28" s="73">
        <f t="shared" si="4"/>
        <v>37</v>
      </c>
      <c r="G28" s="73">
        <f t="shared" si="4"/>
        <v>80</v>
      </c>
      <c r="H28" s="73">
        <f t="shared" si="4"/>
        <v>81</v>
      </c>
      <c r="I28" s="72">
        <f t="shared" si="4"/>
        <v>44</v>
      </c>
      <c r="J28" s="72">
        <f t="shared" si="4"/>
        <v>39</v>
      </c>
      <c r="K28" s="72">
        <f t="shared" si="4"/>
        <v>0</v>
      </c>
      <c r="L28" s="72"/>
      <c r="M28" s="72">
        <f>SUM(M20:M27)</f>
        <v>15</v>
      </c>
      <c r="N28" s="72">
        <f>SUM(N20:N27)</f>
        <v>281</v>
      </c>
      <c r="O28" s="122">
        <f>SUM(O20:O27)</f>
        <v>69.93</v>
      </c>
      <c r="P28" s="123">
        <f>SUM(P20:P27)</f>
        <v>87.45</v>
      </c>
      <c r="Q28" s="151"/>
      <c r="R28" s="152"/>
    </row>
    <row r="29" ht="13.5" spans="9:10">
      <c r="I29" s="124">
        <v>42</v>
      </c>
      <c r="J29" s="124">
        <f>+J28+2</f>
        <v>41</v>
      </c>
    </row>
    <row r="30" ht="15.75" spans="1:16">
      <c r="A30" s="74"/>
      <c r="B30" s="75"/>
      <c r="C30" s="75" t="s">
        <v>36</v>
      </c>
      <c r="D30" s="75"/>
      <c r="E30" s="75">
        <f t="shared" ref="E30:K30" si="5">E28</f>
        <v>0</v>
      </c>
      <c r="F30" s="75">
        <f t="shared" si="5"/>
        <v>37</v>
      </c>
      <c r="G30" s="75">
        <f t="shared" si="5"/>
        <v>80</v>
      </c>
      <c r="H30" s="75">
        <f t="shared" si="5"/>
        <v>81</v>
      </c>
      <c r="I30" s="75">
        <f t="shared" si="5"/>
        <v>44</v>
      </c>
      <c r="J30" s="75">
        <f t="shared" si="5"/>
        <v>39</v>
      </c>
      <c r="K30" s="75">
        <f t="shared" si="5"/>
        <v>0</v>
      </c>
      <c r="L30" s="75"/>
      <c r="M30" s="75">
        <f t="shared" ref="M30:P30" si="6">M28</f>
        <v>15</v>
      </c>
      <c r="N30" s="75">
        <f t="shared" si="6"/>
        <v>281</v>
      </c>
      <c r="O30" s="125">
        <f t="shared" si="6"/>
        <v>69.93</v>
      </c>
      <c r="P30" s="126">
        <f t="shared" si="6"/>
        <v>87.45</v>
      </c>
    </row>
    <row r="31" ht="16.5" customHeight="1" spans="1:16">
      <c r="A31" s="76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127"/>
      <c r="P31" s="127"/>
    </row>
    <row r="32" ht="18" customHeight="1" spans="5:11">
      <c r="E32" s="78"/>
      <c r="F32" s="78"/>
      <c r="G32" s="78"/>
      <c r="H32" s="78"/>
      <c r="I32" s="78"/>
      <c r="J32" s="78"/>
      <c r="K32" s="25"/>
    </row>
    <row r="33" spans="3:13">
      <c r="C33" s="79" t="s">
        <v>37</v>
      </c>
      <c r="D33" s="80"/>
      <c r="E33" s="80"/>
      <c r="F33" s="80"/>
      <c r="G33" s="80"/>
      <c r="H33" s="80"/>
      <c r="I33" s="80"/>
      <c r="J33" s="80"/>
      <c r="K33" s="80"/>
      <c r="L33" s="80"/>
      <c r="M33" s="128"/>
    </row>
    <row r="34" ht="17.25" customHeight="1" spans="3:18">
      <c r="C34" s="81" t="s">
        <v>38</v>
      </c>
      <c r="D34" s="82"/>
      <c r="E34" s="83" t="str">
        <f>C20</f>
        <v>Bbinos-325</v>
      </c>
      <c r="F34" s="84"/>
      <c r="G34" s="84"/>
      <c r="H34" s="84"/>
      <c r="I34" s="84"/>
      <c r="J34" s="84"/>
      <c r="K34" s="84"/>
      <c r="L34" s="129"/>
      <c r="M34" s="130" t="s">
        <v>39</v>
      </c>
      <c r="P34" s="34"/>
      <c r="R34"/>
    </row>
    <row r="35" ht="17.25" customHeight="1" spans="3:18">
      <c r="C35" s="85"/>
      <c r="D35" s="86"/>
      <c r="E35" s="87" t="s">
        <v>23</v>
      </c>
      <c r="F35" s="88" t="s">
        <v>24</v>
      </c>
      <c r="G35" s="88" t="s">
        <v>25</v>
      </c>
      <c r="H35" s="88" t="s">
        <v>26</v>
      </c>
      <c r="I35" s="88" t="s">
        <v>27</v>
      </c>
      <c r="J35" s="88" t="s">
        <v>28</v>
      </c>
      <c r="K35" s="131" t="s">
        <v>29</v>
      </c>
      <c r="L35" s="132" t="s">
        <v>40</v>
      </c>
      <c r="M35" s="133"/>
      <c r="P35" s="34"/>
      <c r="R35"/>
    </row>
    <row r="36" ht="15.75" customHeight="1" spans="3:18">
      <c r="C36" s="89" t="s">
        <v>41</v>
      </c>
      <c r="D36" s="90"/>
      <c r="E36" s="91"/>
      <c r="F36" s="92">
        <v>38</v>
      </c>
      <c r="G36" s="92">
        <v>76</v>
      </c>
      <c r="H36" s="92">
        <v>77</v>
      </c>
      <c r="I36" s="92">
        <v>38</v>
      </c>
      <c r="J36" s="92">
        <v>38</v>
      </c>
      <c r="K36" s="134"/>
      <c r="L36" s="135">
        <f t="shared" ref="L36:L38" si="7">SUM(E36:K36)</f>
        <v>267</v>
      </c>
      <c r="M36" s="136">
        <f>+L38/L36*100-100</f>
        <v>5.24344569288388</v>
      </c>
      <c r="N36" s="14"/>
      <c r="O36" s="14"/>
      <c r="P36" s="34"/>
      <c r="R36"/>
    </row>
    <row r="37" ht="15.75" customHeight="1" spans="3:18">
      <c r="C37" s="93" t="s">
        <v>42</v>
      </c>
      <c r="D37" s="94"/>
      <c r="E37" s="95"/>
      <c r="F37" s="92">
        <v>42</v>
      </c>
      <c r="G37" s="92">
        <v>84</v>
      </c>
      <c r="H37" s="92">
        <v>84</v>
      </c>
      <c r="I37" s="92">
        <v>42</v>
      </c>
      <c r="J37" s="92">
        <v>42</v>
      </c>
      <c r="K37" s="137"/>
      <c r="L37" s="138">
        <f t="shared" si="7"/>
        <v>294</v>
      </c>
      <c r="M37" s="139"/>
      <c r="N37" s="14"/>
      <c r="O37" s="14"/>
      <c r="P37" s="34"/>
      <c r="R37"/>
    </row>
    <row r="38" ht="15.75" customHeight="1" spans="3:18">
      <c r="C38" s="96" t="s">
        <v>43</v>
      </c>
      <c r="D38" s="97"/>
      <c r="E38" s="98">
        <f t="shared" ref="E38:K38" si="8">+E28</f>
        <v>0</v>
      </c>
      <c r="F38" s="12">
        <f t="shared" si="8"/>
        <v>37</v>
      </c>
      <c r="G38" s="12">
        <f t="shared" si="8"/>
        <v>80</v>
      </c>
      <c r="H38" s="12">
        <f t="shared" si="8"/>
        <v>81</v>
      </c>
      <c r="I38" s="12">
        <f t="shared" si="8"/>
        <v>44</v>
      </c>
      <c r="J38" s="12">
        <f t="shared" si="8"/>
        <v>39</v>
      </c>
      <c r="K38" s="140">
        <f t="shared" si="8"/>
        <v>0</v>
      </c>
      <c r="L38" s="11">
        <f t="shared" si="7"/>
        <v>281</v>
      </c>
      <c r="M38" s="139"/>
      <c r="N38" s="141"/>
      <c r="O38" s="142"/>
      <c r="P38" s="143"/>
      <c r="R38"/>
    </row>
    <row r="39" ht="15.75" customHeight="1" spans="3:18">
      <c r="C39" s="96" t="s">
        <v>44</v>
      </c>
      <c r="D39" s="97"/>
      <c r="E39" s="98">
        <f t="shared" ref="E39:L39" si="9">+E37-E38</f>
        <v>0</v>
      </c>
      <c r="F39" s="12">
        <f t="shared" si="9"/>
        <v>5</v>
      </c>
      <c r="G39" s="99">
        <f t="shared" si="9"/>
        <v>4</v>
      </c>
      <c r="H39" s="12">
        <f t="shared" si="9"/>
        <v>3</v>
      </c>
      <c r="I39" s="12">
        <f t="shared" si="9"/>
        <v>-2</v>
      </c>
      <c r="J39" s="12">
        <f t="shared" si="9"/>
        <v>3</v>
      </c>
      <c r="K39" s="140">
        <f t="shared" si="9"/>
        <v>0</v>
      </c>
      <c r="L39" s="11">
        <f t="shared" si="9"/>
        <v>13</v>
      </c>
      <c r="M39" s="144"/>
      <c r="N39" s="145" t="s">
        <v>57</v>
      </c>
      <c r="O39" s="146"/>
      <c r="P39" s="34"/>
      <c r="R39"/>
    </row>
    <row r="40" hidden="1" spans="3:11">
      <c r="C40" s="100" t="s">
        <v>39</v>
      </c>
      <c r="D40" s="100"/>
      <c r="E40" s="100"/>
      <c r="F40" s="101">
        <f t="shared" ref="F40:J40" si="10">+F38/F36*100</f>
        <v>97.3684210526316</v>
      </c>
      <c r="G40" s="101">
        <f t="shared" si="10"/>
        <v>105.263157894737</v>
      </c>
      <c r="H40" s="101">
        <f t="shared" si="10"/>
        <v>105.194805194805</v>
      </c>
      <c r="I40" s="101">
        <f t="shared" si="10"/>
        <v>115.789473684211</v>
      </c>
      <c r="J40" s="101">
        <f t="shared" si="10"/>
        <v>102.631578947368</v>
      </c>
      <c r="K40" s="100"/>
    </row>
    <row r="41" hidden="1" spans="3:12">
      <c r="C41" s="102" t="s">
        <v>50</v>
      </c>
      <c r="D41" s="102"/>
      <c r="E41" s="25"/>
      <c r="F41" s="25">
        <v>13</v>
      </c>
      <c r="G41" s="25">
        <v>26</v>
      </c>
      <c r="H41" s="25">
        <v>26</v>
      </c>
      <c r="I41" s="25">
        <v>14</v>
      </c>
      <c r="J41" s="25">
        <v>14</v>
      </c>
      <c r="K41" s="25"/>
      <c r="L41">
        <f>SUM(E41:K41)</f>
        <v>93</v>
      </c>
    </row>
    <row r="42" hidden="1" spans="3:12">
      <c r="C42" s="103" t="s">
        <v>51</v>
      </c>
      <c r="D42" s="103"/>
      <c r="E42" s="104"/>
      <c r="F42" s="103">
        <f t="shared" ref="F42:J42" si="11">+F38-F41</f>
        <v>24</v>
      </c>
      <c r="G42" s="103">
        <f t="shared" si="11"/>
        <v>54</v>
      </c>
      <c r="H42" s="103">
        <f t="shared" si="11"/>
        <v>55</v>
      </c>
      <c r="I42" s="103">
        <f t="shared" si="11"/>
        <v>30</v>
      </c>
      <c r="J42" s="103">
        <f t="shared" si="11"/>
        <v>25</v>
      </c>
      <c r="K42" s="104"/>
      <c r="L42" s="103">
        <f>SUM(F42:K42)</f>
        <v>188</v>
      </c>
    </row>
    <row r="43" hidden="1"/>
  </sheetData>
  <mergeCells count="39">
    <mergeCell ref="A1:P1"/>
    <mergeCell ref="F10:P10"/>
    <mergeCell ref="F11:I11"/>
    <mergeCell ref="M12:P12"/>
    <mergeCell ref="F13:H13"/>
    <mergeCell ref="F14:H14"/>
    <mergeCell ref="Q14:S14"/>
    <mergeCell ref="F15:H15"/>
    <mergeCell ref="F16:H16"/>
    <mergeCell ref="A19:B19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A30:B30"/>
    <mergeCell ref="C30:D30"/>
    <mergeCell ref="E32:J32"/>
    <mergeCell ref="C34:D34"/>
    <mergeCell ref="E34:L34"/>
    <mergeCell ref="C35:D35"/>
    <mergeCell ref="C36:D36"/>
    <mergeCell ref="N36:O36"/>
    <mergeCell ref="C37:D37"/>
    <mergeCell ref="C38:D38"/>
    <mergeCell ref="N38:O38"/>
    <mergeCell ref="C39:D39"/>
    <mergeCell ref="N39:O39"/>
    <mergeCell ref="C40:D40"/>
    <mergeCell ref="C41:D41"/>
    <mergeCell ref="C42:D42"/>
    <mergeCell ref="M34:M35"/>
    <mergeCell ref="M36:M39"/>
    <mergeCell ref="H3:K7"/>
  </mergeCells>
  <pageMargins left="0.275590551181102" right="0.354330708661417" top="0.433070866141732" bottom="0.15748031496063" header="0.15748031496063" footer="0.511811023622047"/>
  <pageSetup paperSize="9" scale="89" orientation="landscape"/>
  <headerFooter alignWithMargins="0">
    <oddHeader>&amp;C&amp;A</oddHeader>
    <oddFooter>&amp;R&amp;D&amp;T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6:X42"/>
  <sheetViews>
    <sheetView zoomScaleSheetLayoutView="85" topLeftCell="B1" workbookViewId="0">
      <selection activeCell="O26" sqref="O26"/>
    </sheetView>
  </sheetViews>
  <sheetFormatPr defaultColWidth="9" defaultRowHeight="12.75"/>
  <cols>
    <col min="1" max="1" width="4.85714285714286" customWidth="1"/>
    <col min="2" max="2" width="39.2857142857143" customWidth="1"/>
    <col min="3" max="9" width="7.42857142857143" customWidth="1"/>
  </cols>
  <sheetData>
    <row r="16" spans="20:24">
      <c r="T16">
        <v>22</v>
      </c>
      <c r="U16">
        <v>46</v>
      </c>
      <c r="V16">
        <v>46</v>
      </c>
      <c r="W16">
        <v>23</v>
      </c>
      <c r="X16">
        <v>23</v>
      </c>
    </row>
    <row r="17" spans="7:11">
      <c r="G17">
        <v>23</v>
      </c>
      <c r="H17">
        <v>46</v>
      </c>
      <c r="I17">
        <v>45</v>
      </c>
      <c r="J17">
        <v>23</v>
      </c>
      <c r="K17">
        <v>23</v>
      </c>
    </row>
    <row r="19" ht="13.5"/>
    <row r="20" ht="13.5" spans="2:3">
      <c r="B20" s="1" t="e">
        <f>#REF!</f>
        <v>#REF!</v>
      </c>
      <c r="C20" s="2"/>
    </row>
    <row r="21" ht="13.5" spans="2:11">
      <c r="B21" s="3"/>
      <c r="C21" s="4" t="s">
        <v>23</v>
      </c>
      <c r="D21" s="4" t="s">
        <v>24</v>
      </c>
      <c r="E21" s="4" t="s">
        <v>25</v>
      </c>
      <c r="F21" s="4" t="s">
        <v>26</v>
      </c>
      <c r="G21" s="4" t="s">
        <v>27</v>
      </c>
      <c r="H21" s="4" t="s">
        <v>58</v>
      </c>
      <c r="I21" s="4" t="s">
        <v>59</v>
      </c>
      <c r="J21" s="24" t="s">
        <v>36</v>
      </c>
      <c r="K21" s="25"/>
    </row>
    <row r="22" ht="16.5" customHeight="1" spans="2:11">
      <c r="B22" s="5" t="s">
        <v>41</v>
      </c>
      <c r="C22" s="6"/>
      <c r="D22" s="6"/>
      <c r="E22" s="6"/>
      <c r="F22" s="6"/>
      <c r="G22" s="6"/>
      <c r="H22" s="6"/>
      <c r="I22" s="6"/>
      <c r="J22" s="5">
        <f>SUM(C22:I22)</f>
        <v>0</v>
      </c>
      <c r="K22" s="25"/>
    </row>
    <row r="23" ht="16.5" customHeight="1" spans="2:11">
      <c r="B23" s="7" t="s">
        <v>60</v>
      </c>
      <c r="C23" s="8"/>
      <c r="D23" s="8"/>
      <c r="E23" s="8"/>
      <c r="F23" s="8"/>
      <c r="G23" s="8"/>
      <c r="H23" s="8"/>
      <c r="I23" s="8"/>
      <c r="J23" s="7">
        <f>SUM(C23:I23)</f>
        <v>0</v>
      </c>
      <c r="K23" s="25"/>
    </row>
    <row r="24" ht="16.5" customHeight="1" spans="2:11">
      <c r="B24" s="9" t="s">
        <v>61</v>
      </c>
      <c r="C24" s="10"/>
      <c r="D24" s="10"/>
      <c r="E24" s="10"/>
      <c r="F24" s="10"/>
      <c r="G24" s="10"/>
      <c r="H24" s="10"/>
      <c r="I24" s="10"/>
      <c r="J24" s="9">
        <f>SUM(C24:I24)</f>
        <v>0</v>
      </c>
      <c r="K24" s="25"/>
    </row>
    <row r="25" ht="16.5" customHeight="1" spans="2:11">
      <c r="B25" s="11" t="s">
        <v>62</v>
      </c>
      <c r="C25" s="12">
        <f t="shared" ref="C25:I25" si="0">C23-C24</f>
        <v>0</v>
      </c>
      <c r="D25" s="12">
        <f t="shared" si="0"/>
        <v>0</v>
      </c>
      <c r="E25" s="12">
        <f t="shared" si="0"/>
        <v>0</v>
      </c>
      <c r="F25" s="12">
        <f t="shared" si="0"/>
        <v>0</v>
      </c>
      <c r="G25" s="12">
        <f t="shared" si="0"/>
        <v>0</v>
      </c>
      <c r="H25" s="12">
        <f t="shared" si="0"/>
        <v>0</v>
      </c>
      <c r="I25" s="12">
        <f t="shared" si="0"/>
        <v>0</v>
      </c>
      <c r="J25" s="11">
        <f>SUM(D25:I25)</f>
        <v>0</v>
      </c>
      <c r="K25" s="25"/>
    </row>
    <row r="26" ht="16.5" customHeight="1" spans="2:11">
      <c r="B26" s="13"/>
      <c r="C26" s="14"/>
      <c r="D26" s="14"/>
      <c r="E26" s="14"/>
      <c r="F26" s="14"/>
      <c r="G26" s="14"/>
      <c r="H26" s="14"/>
      <c r="I26" s="14"/>
      <c r="J26" s="13"/>
      <c r="K26" s="25"/>
    </row>
    <row r="27" ht="16.5" customHeight="1" spans="2:11">
      <c r="B27" s="13" t="s">
        <v>63</v>
      </c>
      <c r="C27" s="14"/>
      <c r="D27" s="14"/>
      <c r="E27" s="14"/>
      <c r="F27" s="14"/>
      <c r="G27" s="14"/>
      <c r="H27" s="14"/>
      <c r="I27" s="14"/>
      <c r="J27" s="13"/>
      <c r="K27" s="25"/>
    </row>
    <row r="28" ht="16.5" customHeight="1" spans="2:11">
      <c r="B28" s="13"/>
      <c r="C28" s="14"/>
      <c r="D28" s="14"/>
      <c r="E28" s="14"/>
      <c r="F28" s="14"/>
      <c r="G28" s="14"/>
      <c r="H28" s="14"/>
      <c r="I28" s="14"/>
      <c r="J28" s="13"/>
      <c r="K28" s="25"/>
    </row>
    <row r="29" ht="16.5" customHeight="1" spans="2:11">
      <c r="B29" s="13"/>
      <c r="C29" s="14"/>
      <c r="D29" s="14"/>
      <c r="E29" s="14"/>
      <c r="F29" s="14"/>
      <c r="G29" s="14"/>
      <c r="H29" s="14"/>
      <c r="I29" s="14"/>
      <c r="J29" s="13"/>
      <c r="K29" s="25"/>
    </row>
    <row r="30" ht="16.5" customHeight="1" spans="2:11">
      <c r="B30" s="13"/>
      <c r="C30" s="14"/>
      <c r="D30" s="14"/>
      <c r="E30" s="14"/>
      <c r="F30" s="14"/>
      <c r="G30" s="14"/>
      <c r="H30" s="14"/>
      <c r="I30" s="14"/>
      <c r="J30" s="13"/>
      <c r="K30" s="25"/>
    </row>
    <row r="31" ht="16.5" customHeight="1" spans="2:11">
      <c r="B31" s="13"/>
      <c r="C31" s="14"/>
      <c r="D31" s="14"/>
      <c r="E31" s="14"/>
      <c r="F31" s="14"/>
      <c r="G31" s="14"/>
      <c r="H31" s="14"/>
      <c r="I31" s="14"/>
      <c r="J31" s="13"/>
      <c r="K31" s="25"/>
    </row>
    <row r="32" ht="16.5" customHeight="1" spans="2:11">
      <c r="B32" s="13"/>
      <c r="C32" s="14"/>
      <c r="D32" s="14"/>
      <c r="E32" s="14"/>
      <c r="F32" s="14"/>
      <c r="G32" s="14"/>
      <c r="H32" s="14"/>
      <c r="I32" s="14"/>
      <c r="J32" s="13"/>
      <c r="K32" s="25"/>
    </row>
    <row r="33" ht="16.5" customHeight="1" spans="2:11">
      <c r="B33" s="13"/>
      <c r="C33" s="14"/>
      <c r="D33" s="14"/>
      <c r="E33" s="14"/>
      <c r="F33" s="14"/>
      <c r="G33" s="14"/>
      <c r="H33" s="14"/>
      <c r="I33" s="14"/>
      <c r="J33" s="13"/>
      <c r="K33" s="25"/>
    </row>
    <row r="36" ht="13.5" spans="2:2">
      <c r="B36" s="13" t="s">
        <v>64</v>
      </c>
    </row>
    <row r="37" ht="18.75" customHeight="1" spans="2:9">
      <c r="B37" s="11"/>
      <c r="C37" s="15" t="s">
        <v>23</v>
      </c>
      <c r="D37" s="4" t="s">
        <v>24</v>
      </c>
      <c r="E37" s="4" t="s">
        <v>25</v>
      </c>
      <c r="F37" s="4" t="s">
        <v>26</v>
      </c>
      <c r="G37" s="4" t="s">
        <v>27</v>
      </c>
      <c r="H37" s="4" t="s">
        <v>58</v>
      </c>
      <c r="I37" s="26" t="s">
        <v>59</v>
      </c>
    </row>
    <row r="38" ht="15.75" customHeight="1" spans="2:9">
      <c r="B38" s="7" t="s">
        <v>65</v>
      </c>
      <c r="C38" s="6"/>
      <c r="D38" s="16">
        <v>5.9</v>
      </c>
      <c r="E38" s="16">
        <v>6.05</v>
      </c>
      <c r="F38" s="16">
        <v>6.25</v>
      </c>
      <c r="G38" s="16">
        <v>6.45</v>
      </c>
      <c r="H38" s="16">
        <v>6.7</v>
      </c>
      <c r="I38" s="27"/>
    </row>
    <row r="39" ht="15.75" customHeight="1" spans="2:9">
      <c r="B39" s="7" t="s">
        <v>66</v>
      </c>
      <c r="C39" s="17">
        <v>1.3</v>
      </c>
      <c r="D39" s="18">
        <v>1.3</v>
      </c>
      <c r="E39" s="18">
        <v>1.3</v>
      </c>
      <c r="F39" s="18">
        <v>1.3</v>
      </c>
      <c r="G39" s="18">
        <v>1.3</v>
      </c>
      <c r="H39" s="18">
        <v>1.3</v>
      </c>
      <c r="I39" s="28">
        <v>1.3</v>
      </c>
    </row>
    <row r="40" ht="15.75" customHeight="1" spans="2:9">
      <c r="B40" s="7" t="s">
        <v>67</v>
      </c>
      <c r="C40" s="19">
        <f>+C38-C39</f>
        <v>-1.3</v>
      </c>
      <c r="D40" s="20">
        <f t="shared" ref="D40:I40" si="1">+D38-D39</f>
        <v>4.6</v>
      </c>
      <c r="E40" s="20">
        <f t="shared" si="1"/>
        <v>4.75</v>
      </c>
      <c r="F40" s="20">
        <f t="shared" si="1"/>
        <v>4.95</v>
      </c>
      <c r="G40" s="20">
        <f t="shared" si="1"/>
        <v>5.15</v>
      </c>
      <c r="H40" s="20">
        <f t="shared" si="1"/>
        <v>5.4</v>
      </c>
      <c r="I40" s="29">
        <f t="shared" si="1"/>
        <v>-1.3</v>
      </c>
    </row>
    <row r="41" ht="15.75" customHeight="1" spans="2:9">
      <c r="B41" s="7" t="s">
        <v>68</v>
      </c>
      <c r="C41" s="19">
        <v>18</v>
      </c>
      <c r="D41" s="20">
        <v>18</v>
      </c>
      <c r="E41" s="20">
        <v>18</v>
      </c>
      <c r="F41" s="20">
        <v>18</v>
      </c>
      <c r="G41" s="20">
        <v>18</v>
      </c>
      <c r="H41" s="20">
        <v>18</v>
      </c>
      <c r="I41" s="29">
        <v>18</v>
      </c>
    </row>
    <row r="42" ht="15.75" customHeight="1" spans="2:9">
      <c r="B42" s="21" t="s">
        <v>69</v>
      </c>
      <c r="C42" s="22">
        <f>+C40/C41</f>
        <v>-0.0722222222222222</v>
      </c>
      <c r="D42" s="23">
        <f t="shared" ref="D42:I42" si="2">+D40/D41</f>
        <v>0.255555555555556</v>
      </c>
      <c r="E42" s="23">
        <f t="shared" si="2"/>
        <v>0.263888888888889</v>
      </c>
      <c r="F42" s="23">
        <f t="shared" si="2"/>
        <v>0.275</v>
      </c>
      <c r="G42" s="23">
        <f t="shared" si="2"/>
        <v>0.286111111111111</v>
      </c>
      <c r="H42" s="23">
        <f t="shared" si="2"/>
        <v>0.3</v>
      </c>
      <c r="I42" s="30">
        <f t="shared" si="2"/>
        <v>-0.0722222222222222</v>
      </c>
    </row>
  </sheetData>
  <pageMargins left="0.708661417322835" right="0.708661417322835" top="0.748031496062992" bottom="0.748031496062992" header="0.31496062992126" footer="0.31496062992126"/>
  <pageSetup paperSize="9" scale="15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10944-(Bbinos-659)</vt:lpstr>
      <vt:lpstr>Bbinos-503</vt:lpstr>
      <vt:lpstr>Bbinos-375</vt:lpstr>
      <vt:lpstr>10944-(Bbinos-046)</vt:lpstr>
      <vt:lpstr>10944-(Bbinos-325) </vt:lpstr>
      <vt:lpstr>10944-(Bbinos-411)</vt:lpstr>
      <vt:lpstr>CUT QTY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shankarachar</dc:creator>
  <cp:lastModifiedBy>Laguna lg</cp:lastModifiedBy>
  <dcterms:created xsi:type="dcterms:W3CDTF">2014-07-08T10:23:00Z</dcterms:created>
  <cp:lastPrinted>2025-09-18T09:21:00Z</cp:lastPrinted>
  <dcterms:modified xsi:type="dcterms:W3CDTF">2025-12-15T18:13:51Z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44F60FFAC7D94653B9359606817D51D0_12</vt:lpwstr>
  </property>
  <property fmtid="{D5CDD505-2E9C-101B-9397-08002B2CF9AE}" pid="3" name="KSOProductBuildVer">
    <vt:lpwstr>1033-12.2.0.23155</vt:lpwstr>
  </property>
</Properties>
</file>