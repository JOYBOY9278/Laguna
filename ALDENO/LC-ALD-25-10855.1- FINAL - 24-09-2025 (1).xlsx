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tabRatio="739" firstSheet="2" activeTab="2"/>
  </bookViews>
  <sheets>
    <sheet name="LIGHT WASH (2)" sheetId="47" state="hidden" r:id="rId1"/>
    <sheet name="MEDIUM WASH (2)" sheetId="48" state="hidden" r:id="rId2"/>
    <sheet name="BLACK" sheetId="43" r:id="rId3"/>
    <sheet name="Sheet4" sheetId="50" state="hidden" r:id="rId4"/>
    <sheet name="DARK WASH (2)" sheetId="49" state="hidden" r:id="rId5"/>
    <sheet name="Sheet3" sheetId="46" state="hidden" r:id="rId6"/>
    <sheet name="Sheet1" sheetId="45" state="hidden" r:id="rId7"/>
    <sheet name="WHITE" sheetId="52" r:id="rId8"/>
    <sheet name="DETAILS" sheetId="53" state="hidden" r:id="rId9"/>
    <sheet name="CUT QTY" sheetId="27" state="hidden" r:id="rId10"/>
    <sheet name="Sheet2" sheetId="44" state="hidden" r:id="rId11"/>
  </sheets>
  <definedNames>
    <definedName name="_xlnm._FilterDatabase" localSheetId="2" hidden="1">BLACK!$A$19:$Q$23</definedName>
    <definedName name="_xlnm._FilterDatabase" localSheetId="4" hidden="1">'DARK WASH (2)'!$A$19:$Q$27</definedName>
    <definedName name="_xlnm._FilterDatabase" localSheetId="0" hidden="1">'LIGHT WASH (2)'!$A$19:$Q$27</definedName>
    <definedName name="_xlnm._FilterDatabase" localSheetId="1" hidden="1">'MEDIUM WASH (2)'!$A$19:$Q$26</definedName>
    <definedName name="_xlnm._FilterDatabase" localSheetId="7" hidden="1">WHITE!$A$19:$Q$24</definedName>
    <definedName name="_xlnm.Print_Area" localSheetId="2">BLACK!$A$1:$R$34</definedName>
    <definedName name="_xlnm.Print_Area" localSheetId="9">'CUT QTY'!#REF!</definedName>
    <definedName name="_xlnm.Print_Area" localSheetId="4">'DARK WASH (2)'!$A$1:$R$38</definedName>
    <definedName name="_xlnm.Print_Area" localSheetId="0">'LIGHT WASH (2)'!$A$1:$R$38</definedName>
    <definedName name="_xlnm.Print_Area" localSheetId="1">'MEDIUM WASH (2)'!$A$1:$R$37</definedName>
    <definedName name="_xlnm.Print_Area" localSheetId="7">WHITE!$A$1:$R$35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<sst xmlns="http://schemas.openxmlformats.org/spreadsheetml/2006/main" count="401" uniqueCount="71">
  <si>
    <t>ALDENO PACKING LIST</t>
  </si>
  <si>
    <t>Exporter</t>
  </si>
  <si>
    <t>M/S. LAGUNA CLOTHING  PVT. LTD.</t>
  </si>
  <si>
    <t>#143/2 KALEGOWDANA DODDI</t>
  </si>
  <si>
    <t>SHIVANAHALLI POST NH 209</t>
  </si>
  <si>
    <t>SATHNUR HOBLI KANAKAPURA TALUK</t>
  </si>
  <si>
    <t>RAMANAGARA DISTRICT</t>
  </si>
  <si>
    <t>Style Name</t>
  </si>
  <si>
    <t>:</t>
  </si>
  <si>
    <t>DNM 1</t>
  </si>
  <si>
    <t>Aldeno 9-BARI</t>
  </si>
  <si>
    <t>PRODUCT ID</t>
  </si>
  <si>
    <t>DOKE</t>
  </si>
  <si>
    <t>DESCRIPTION</t>
  </si>
  <si>
    <t>LC/ALD/24/10273.1</t>
  </si>
  <si>
    <t>TOTAL QTY</t>
  </si>
  <si>
    <t xml:space="preserve">TOTAL NO OF CARTONS </t>
  </si>
  <si>
    <t>CARTON DIM</t>
  </si>
  <si>
    <t>74*48*21 CMS</t>
  </si>
  <si>
    <t>MRP</t>
  </si>
  <si>
    <t>RS</t>
  </si>
  <si>
    <t>CTN No</t>
  </si>
  <si>
    <t xml:space="preserve">COLOR </t>
  </si>
  <si>
    <t>XS</t>
  </si>
  <si>
    <t>S</t>
  </si>
  <si>
    <t>M</t>
  </si>
  <si>
    <t>L</t>
  </si>
  <si>
    <t>XL</t>
  </si>
  <si>
    <t>2XL</t>
  </si>
  <si>
    <t>3XL</t>
  </si>
  <si>
    <t>NO OF PCS /CTN</t>
  </si>
  <si>
    <t>Total CTN</t>
  </si>
  <si>
    <t>Total Qnty</t>
  </si>
  <si>
    <t>N.WT</t>
  </si>
  <si>
    <t>G.WT</t>
  </si>
  <si>
    <t>LIGHT WASH</t>
  </si>
  <si>
    <t>TOTAL</t>
  </si>
  <si>
    <t>SUMMARY</t>
  </si>
  <si>
    <t>COLOR</t>
  </si>
  <si>
    <t>%</t>
  </si>
  <si>
    <t xml:space="preserve">TOTAL </t>
  </si>
  <si>
    <t>O.QTY</t>
  </si>
  <si>
    <t>CUT QTY</t>
  </si>
  <si>
    <t>SHIP QTY</t>
  </si>
  <si>
    <t>BAL.QTY</t>
  </si>
  <si>
    <t>FINAL-05-08-2024</t>
  </si>
  <si>
    <t>DAWN</t>
  </si>
  <si>
    <t>MEDIUM WASH</t>
  </si>
  <si>
    <t>WFX QTY</t>
  </si>
  <si>
    <t>DIFF</t>
  </si>
  <si>
    <t>AM-OS-1</t>
  </si>
  <si>
    <t>LEENA</t>
  </si>
  <si>
    <t>LC/ALD/25/10855.1</t>
  </si>
  <si>
    <t>BLACK</t>
  </si>
  <si>
    <t>FINAL -24-09-2025</t>
  </si>
  <si>
    <t>DONIL</t>
  </si>
  <si>
    <t>DARK WASH</t>
  </si>
  <si>
    <t>LEANA</t>
  </si>
  <si>
    <t>WHITE</t>
  </si>
  <si>
    <t>XXL</t>
  </si>
  <si>
    <t>XXXL</t>
  </si>
  <si>
    <t>C.QTY</t>
  </si>
  <si>
    <t>PKD QTY</t>
  </si>
  <si>
    <t>BAL</t>
  </si>
  <si>
    <t>WITH OUT BARCODE</t>
  </si>
  <si>
    <t>WEIGHT</t>
  </si>
  <si>
    <t>GW</t>
  </si>
  <si>
    <t>MT</t>
  </si>
  <si>
    <t>NTW</t>
  </si>
  <si>
    <t>PCS/CTN</t>
  </si>
  <si>
    <t>PCS 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</si>
</sst>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(* #,##0.00_);_(* \(#,##0.00\);_(* &quot;-&quot;??_);_(@_)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"/>
    <numFmt numFmtId="181" formatCode="d\/m"/>
    <numFmt numFmtId="182" formatCode="dd/mm/yyyy"/>
    <numFmt numFmtId="183" formatCode="0.0"/>
  </numFmts>
  <fonts count="34">
    <font>
      <sz val="10"/>
      <name val="Arial"/>
      <charset val="134"/>
    </font>
    <font>
      <b/>
      <sz val="10"/>
      <name val="Arial"/>
      <charset val="134"/>
    </font>
    <font>
      <u/>
      <sz val="10"/>
      <name val="Arial"/>
      <charset val="134"/>
    </font>
    <font>
      <sz val="18"/>
      <name val="Albertus Medium"/>
      <charset val="134"/>
    </font>
    <font>
      <sz val="11"/>
      <name val="Calibri"/>
      <charset val="134"/>
      <scheme val="minor"/>
    </font>
    <font>
      <u/>
      <sz val="10"/>
      <name val="Arial Narrow"/>
      <charset val="134"/>
    </font>
    <font>
      <sz val="10"/>
      <name val="Arial Narrow"/>
      <charset val="134"/>
    </font>
    <font>
      <b/>
      <u/>
      <sz val="10"/>
      <name val="Arial"/>
      <charset val="134"/>
    </font>
    <font>
      <b/>
      <u/>
      <sz val="10"/>
      <name val="Arial Narrow"/>
      <charset val="134"/>
    </font>
    <font>
      <sz val="9"/>
      <name val="Arial"/>
      <charset val="134"/>
    </font>
    <font>
      <b/>
      <sz val="11"/>
      <name val="Arial"/>
      <charset val="134"/>
    </font>
    <font>
      <sz val="10"/>
      <color indexed="10"/>
      <name val="Arial"/>
      <charset val="134"/>
    </font>
    <font>
      <b/>
      <sz val="8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6" borderId="5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1" applyNumberFormat="0" applyFill="0" applyAlignment="0" applyProtection="0">
      <alignment vertical="center"/>
    </xf>
    <xf numFmtId="0" fontId="21" fillId="0" borderId="51" applyNumberFormat="0" applyFill="0" applyAlignment="0" applyProtection="0">
      <alignment vertical="center"/>
    </xf>
    <xf numFmtId="0" fontId="22" fillId="0" borderId="5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53" applyNumberFormat="0" applyAlignment="0" applyProtection="0">
      <alignment vertical="center"/>
    </xf>
    <xf numFmtId="0" fontId="24" fillId="8" borderId="54" applyNumberFormat="0" applyAlignment="0" applyProtection="0">
      <alignment vertical="center"/>
    </xf>
    <xf numFmtId="0" fontId="25" fillId="8" borderId="53" applyNumberFormat="0" applyAlignment="0" applyProtection="0">
      <alignment vertical="center"/>
    </xf>
    <xf numFmtId="0" fontId="26" fillId="9" borderId="55" applyNumberFormat="0" applyAlignment="0" applyProtection="0">
      <alignment vertical="center"/>
    </xf>
    <xf numFmtId="0" fontId="27" fillId="0" borderId="56" applyNumberFormat="0" applyFill="0" applyAlignment="0" applyProtection="0">
      <alignment vertical="center"/>
    </xf>
    <xf numFmtId="0" fontId="28" fillId="0" borderId="57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212">
    <xf numFmtId="0" fontId="0" fillId="0" borderId="0" xfId="0"/>
    <xf numFmtId="49" fontId="0" fillId="0" borderId="0" xfId="0" applyNumberFormat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2" fontId="0" fillId="0" borderId="1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80" fontId="0" fillId="0" borderId="9" xfId="0" applyNumberFormat="1" applyBorder="1" applyAlignment="1">
      <alignment horizontal="center" vertical="center"/>
    </xf>
    <xf numFmtId="180" fontId="0" fillId="0" borderId="14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15" xfId="0" applyFont="1" applyBorder="1" applyAlignment="1">
      <alignment horizont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80" fontId="0" fillId="0" borderId="18" xfId="0" applyNumberFormat="1" applyBorder="1" applyAlignment="1">
      <alignment horizontal="center" vertical="center"/>
    </xf>
    <xf numFmtId="0" fontId="0" fillId="3" borderId="0" xfId="0" applyFont="1" applyFill="1" applyBorder="1"/>
    <xf numFmtId="0" fontId="2" fillId="3" borderId="0" xfId="0" applyFont="1" applyFill="1" applyBorder="1"/>
    <xf numFmtId="0" fontId="0" fillId="3" borderId="0" xfId="0" applyFont="1" applyFill="1" applyBorder="1" applyAlignment="1">
      <alignment horizontal="center"/>
    </xf>
    <xf numFmtId="0" fontId="0" fillId="0" borderId="0" xfId="0" applyFont="1" applyAlignment="1"/>
    <xf numFmtId="0" fontId="0" fillId="0" borderId="0" xfId="0" applyFont="1"/>
    <xf numFmtId="0" fontId="0" fillId="0" borderId="0" xfId="0" applyFont="1" applyAlignment="1">
      <alignment horizontal="left"/>
    </xf>
    <xf numFmtId="0" fontId="3" fillId="0" borderId="19" xfId="0" applyFont="1" applyBorder="1" applyAlignment="1">
      <alignment horizontal="center" vertical="center"/>
    </xf>
    <xf numFmtId="0" fontId="0" fillId="3" borderId="20" xfId="0" applyFont="1" applyFill="1" applyBorder="1" applyAlignment="1">
      <alignment horizontal="left" vertical="top"/>
    </xf>
    <xf numFmtId="0" fontId="0" fillId="3" borderId="21" xfId="0" applyFont="1" applyFill="1" applyBorder="1" applyAlignment="1">
      <alignment horizontal="left"/>
    </xf>
    <xf numFmtId="0" fontId="0" fillId="3" borderId="21" xfId="0" applyFont="1" applyFill="1" applyBorder="1"/>
    <xf numFmtId="0" fontId="0" fillId="3" borderId="20" xfId="0" applyFont="1" applyFill="1" applyBorder="1"/>
    <xf numFmtId="0" fontId="4" fillId="0" borderId="22" xfId="0" applyFont="1" applyBorder="1" applyAlignment="1"/>
    <xf numFmtId="0" fontId="0" fillId="3" borderId="0" xfId="0" applyFont="1" applyFill="1" applyBorder="1" applyAlignment="1">
      <alignment horizontal="left"/>
    </xf>
    <xf numFmtId="0" fontId="4" fillId="0" borderId="23" xfId="1" applyNumberFormat="1" applyFont="1" applyBorder="1" applyAlignment="1" applyProtection="1">
      <alignment horizontal="left" wrapText="1"/>
    </xf>
    <xf numFmtId="0" fontId="4" fillId="0" borderId="22" xfId="0" applyFont="1" applyBorder="1" applyAlignment="1">
      <alignment horizontal="left"/>
    </xf>
    <xf numFmtId="0" fontId="0" fillId="3" borderId="24" xfId="0" applyFont="1" applyFill="1" applyBorder="1" applyAlignment="1">
      <alignment horizontal="left" vertical="top"/>
    </xf>
    <xf numFmtId="0" fontId="0" fillId="3" borderId="19" xfId="0" applyFont="1" applyFill="1" applyBorder="1" applyAlignment="1">
      <alignment horizontal="left"/>
    </xf>
    <xf numFmtId="0" fontId="0" fillId="3" borderId="19" xfId="0" applyFont="1" applyFill="1" applyBorder="1"/>
    <xf numFmtId="0" fontId="0" fillId="3" borderId="24" xfId="0" applyFont="1" applyFill="1" applyBorder="1"/>
    <xf numFmtId="0" fontId="0" fillId="3" borderId="24" xfId="0" applyFont="1" applyFill="1" applyBorder="1" applyAlignment="1">
      <alignment horizontal="left"/>
    </xf>
    <xf numFmtId="0" fontId="0" fillId="3" borderId="20" xfId="0" applyFont="1" applyFill="1" applyBorder="1" applyAlignment="1">
      <alignment horizontal="left"/>
    </xf>
    <xf numFmtId="0" fontId="0" fillId="0" borderId="21" xfId="0" applyFill="1" applyBorder="1" applyAlignment="1">
      <alignment horizontal="left" vertical="center"/>
    </xf>
    <xf numFmtId="0" fontId="0" fillId="3" borderId="23" xfId="0" applyFont="1" applyFill="1" applyBorder="1" applyAlignment="1">
      <alignment horizontal="left"/>
    </xf>
    <xf numFmtId="0" fontId="0" fillId="3" borderId="0" xfId="0" applyFill="1" applyBorder="1"/>
    <xf numFmtId="0" fontId="0" fillId="4" borderId="0" xfId="0" applyFill="1" applyBorder="1" applyAlignment="1">
      <alignment horizontal="left"/>
    </xf>
    <xf numFmtId="0" fontId="0" fillId="4" borderId="0" xfId="0" applyFont="1" applyFill="1" applyBorder="1" applyAlignment="1">
      <alignment horizontal="left"/>
    </xf>
    <xf numFmtId="181" fontId="0" fillId="3" borderId="0" xfId="0" applyNumberFormat="1" applyFill="1" applyBorder="1" applyAlignment="1"/>
    <xf numFmtId="1" fontId="0" fillId="3" borderId="0" xfId="0" applyNumberFormat="1" applyFont="1" applyFill="1" applyBorder="1" applyAlignment="1">
      <alignment horizontal="left"/>
    </xf>
    <xf numFmtId="0" fontId="0" fillId="3" borderId="23" xfId="0" applyFill="1" applyBorder="1" applyAlignment="1">
      <alignment horizontal="left"/>
    </xf>
    <xf numFmtId="2" fontId="0" fillId="2" borderId="0" xfId="0" applyNumberFormat="1" applyFill="1" applyBorder="1" applyAlignment="1">
      <alignment horizontal="left"/>
    </xf>
    <xf numFmtId="2" fontId="0" fillId="2" borderId="0" xfId="0" applyNumberFormat="1" applyFont="1" applyFill="1" applyBorder="1" applyAlignment="1">
      <alignment horizontal="left"/>
    </xf>
    <xf numFmtId="2" fontId="0" fillId="3" borderId="19" xfId="0" applyNumberFormat="1" applyFont="1" applyFill="1" applyBorder="1" applyAlignment="1">
      <alignment horizontal="left"/>
    </xf>
    <xf numFmtId="0" fontId="2" fillId="3" borderId="21" xfId="0" applyFont="1" applyFill="1" applyBorder="1" applyAlignment="1">
      <alignment horizontal="left"/>
    </xf>
    <xf numFmtId="0" fontId="5" fillId="3" borderId="21" xfId="0" applyFont="1" applyFill="1" applyBorder="1" applyAlignment="1">
      <alignment horizontal="left"/>
    </xf>
    <xf numFmtId="0" fontId="0" fillId="3" borderId="23" xfId="0" applyFont="1" applyFill="1" applyBorder="1"/>
    <xf numFmtId="0" fontId="6" fillId="3" borderId="0" xfId="0" applyFont="1" applyFill="1" applyBorder="1"/>
    <xf numFmtId="0" fontId="7" fillId="3" borderId="25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49" fontId="7" fillId="3" borderId="26" xfId="0" applyNumberFormat="1" applyFont="1" applyFill="1" applyBorder="1" applyAlignment="1">
      <alignment horizontal="center" vertical="center"/>
    </xf>
    <xf numFmtId="1" fontId="0" fillId="0" borderId="12" xfId="0" applyNumberFormat="1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12" xfId="0" applyNumberFormat="1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" fontId="10" fillId="0" borderId="30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7" fillId="3" borderId="30" xfId="0" applyFont="1" applyFill="1" applyBorder="1" applyAlignment="1"/>
    <xf numFmtId="0" fontId="0" fillId="0" borderId="31" xfId="0" applyFont="1" applyBorder="1"/>
    <xf numFmtId="0" fontId="1" fillId="0" borderId="3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7" fillId="3" borderId="30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49" fontId="7" fillId="3" borderId="34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" fontId="0" fillId="0" borderId="12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1" fontId="0" fillId="0" borderId="14" xfId="0" applyNumberFormat="1" applyFont="1" applyBorder="1" applyAlignment="1">
      <alignment horizontal="center" vertical="center"/>
    </xf>
    <xf numFmtId="0" fontId="0" fillId="0" borderId="35" xfId="0" applyFont="1" applyBorder="1" applyAlignment="1">
      <alignment horizontal="center"/>
    </xf>
    <xf numFmtId="0" fontId="0" fillId="0" borderId="36" xfId="0" applyFont="1" applyBorder="1" applyAlignment="1">
      <alignment horizontal="center"/>
    </xf>
    <xf numFmtId="2" fontId="0" fillId="0" borderId="36" xfId="0" applyNumberFormat="1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2" borderId="12" xfId="0" applyFont="1" applyFill="1" applyBorder="1" applyAlignment="1">
      <alignment horizontal="center"/>
    </xf>
    <xf numFmtId="0" fontId="0" fillId="3" borderId="21" xfId="0" applyFont="1" applyFill="1" applyBorder="1" applyAlignment="1">
      <alignment horizontal="center"/>
    </xf>
    <xf numFmtId="49" fontId="0" fillId="3" borderId="21" xfId="0" applyNumberFormat="1" applyFont="1" applyFill="1" applyBorder="1"/>
    <xf numFmtId="0" fontId="0" fillId="3" borderId="21" xfId="0" applyFill="1" applyBorder="1" applyAlignment="1">
      <alignment horizontal="right"/>
    </xf>
    <xf numFmtId="182" fontId="0" fillId="3" borderId="33" xfId="0" applyNumberFormat="1" applyFont="1" applyFill="1" applyBorder="1"/>
    <xf numFmtId="0" fontId="4" fillId="0" borderId="0" xfId="1" applyNumberFormat="1" applyFont="1" applyBorder="1" applyAlignment="1" applyProtection="1">
      <alignment horizontal="left" wrapText="1"/>
    </xf>
    <xf numFmtId="0" fontId="11" fillId="3" borderId="0" xfId="0" applyFont="1" applyFill="1" applyBorder="1"/>
    <xf numFmtId="49" fontId="0" fillId="3" borderId="0" xfId="0" applyNumberFormat="1" applyFont="1" applyFill="1" applyBorder="1" applyAlignment="1"/>
    <xf numFmtId="0" fontId="0" fillId="3" borderId="37" xfId="0" applyFont="1" applyFill="1" applyBorder="1"/>
    <xf numFmtId="49" fontId="0" fillId="3" borderId="0" xfId="0" applyNumberFormat="1" applyFont="1" applyFill="1" applyBorder="1"/>
    <xf numFmtId="0" fontId="0" fillId="3" borderId="19" xfId="0" applyFont="1" applyFill="1" applyBorder="1" applyAlignment="1"/>
    <xf numFmtId="0" fontId="0" fillId="3" borderId="19" xfId="0" applyFont="1" applyFill="1" applyBorder="1" applyAlignment="1">
      <alignment horizontal="center"/>
    </xf>
    <xf numFmtId="49" fontId="0" fillId="3" borderId="19" xfId="0" applyNumberFormat="1" applyFont="1" applyFill="1" applyBorder="1"/>
    <xf numFmtId="0" fontId="0" fillId="3" borderId="38" xfId="0" applyFont="1" applyFill="1" applyBorder="1"/>
    <xf numFmtId="0" fontId="0" fillId="0" borderId="33" xfId="0" applyFill="1" applyBorder="1" applyAlignment="1">
      <alignment horizontal="left" vertical="center"/>
    </xf>
    <xf numFmtId="0" fontId="0" fillId="0" borderId="0" xfId="0" applyFont="1" applyFill="1" applyBorder="1"/>
    <xf numFmtId="0" fontId="10" fillId="4" borderId="0" xfId="0" applyFont="1" applyFill="1" applyBorder="1" applyAlignment="1">
      <alignment horizontal="center" vertical="center"/>
    </xf>
    <xf numFmtId="0" fontId="10" fillId="4" borderId="37" xfId="0" applyFont="1" applyFill="1" applyBorder="1" applyAlignment="1">
      <alignment horizontal="center" vertical="center"/>
    </xf>
    <xf numFmtId="0" fontId="0" fillId="3" borderId="33" xfId="0" applyFont="1" applyFill="1" applyBorder="1"/>
    <xf numFmtId="0" fontId="7" fillId="3" borderId="26" xfId="0" applyFont="1" applyFill="1" applyBorder="1" applyAlignment="1">
      <alignment horizontal="center" vertical="center" wrapText="1"/>
    </xf>
    <xf numFmtId="0" fontId="7" fillId="3" borderId="39" xfId="0" applyFont="1" applyFill="1" applyBorder="1" applyAlignment="1">
      <alignment horizontal="center" vertical="center"/>
    </xf>
    <xf numFmtId="2" fontId="0" fillId="0" borderId="12" xfId="0" applyNumberFormat="1" applyFont="1" applyFill="1" applyBorder="1" applyAlignment="1">
      <alignment horizontal="center" vertical="center"/>
    </xf>
    <xf numFmtId="0" fontId="10" fillId="3" borderId="3" xfId="0" applyNumberFormat="1" applyFont="1" applyFill="1" applyBorder="1" applyAlignment="1">
      <alignment horizontal="center" vertical="center"/>
    </xf>
    <xf numFmtId="2" fontId="10" fillId="3" borderId="3" xfId="0" applyNumberFormat="1" applyFont="1" applyFill="1" applyBorder="1" applyAlignment="1">
      <alignment horizontal="center" vertical="center"/>
    </xf>
    <xf numFmtId="2" fontId="10" fillId="3" borderId="15" xfId="0" applyNumberFormat="1" applyFont="1" applyFill="1" applyBorder="1" applyAlignment="1">
      <alignment horizontal="center" vertical="center"/>
    </xf>
    <xf numFmtId="2" fontId="10" fillId="0" borderId="31" xfId="0" applyNumberFormat="1" applyFont="1" applyBorder="1" applyAlignment="1">
      <alignment horizontal="center" vertical="center"/>
    </xf>
    <xf numFmtId="2" fontId="10" fillId="0" borderId="32" xfId="0" applyNumberFormat="1" applyFont="1" applyBorder="1" applyAlignment="1">
      <alignment horizontal="center" vertical="center"/>
    </xf>
    <xf numFmtId="2" fontId="10" fillId="0" borderId="0" xfId="0" applyNumberFormat="1" applyFont="1" applyBorder="1" applyAlignment="1">
      <alignment horizontal="center" vertical="center"/>
    </xf>
    <xf numFmtId="0" fontId="0" fillId="0" borderId="32" xfId="0" applyFont="1" applyBorder="1"/>
    <xf numFmtId="0" fontId="7" fillId="3" borderId="32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0" xfId="0" applyFont="1" applyFill="1"/>
    <xf numFmtId="49" fontId="7" fillId="3" borderId="4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/>
    </xf>
    <xf numFmtId="2" fontId="0" fillId="0" borderId="16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2" fontId="0" fillId="0" borderId="17" xfId="0" applyNumberFormat="1" applyFont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182" fontId="0" fillId="0" borderId="0" xfId="0" applyNumberFormat="1" applyFont="1" applyFill="1" applyAlignment="1">
      <alignment vertical="top"/>
    </xf>
    <xf numFmtId="2" fontId="0" fillId="0" borderId="18" xfId="0" applyNumberFormat="1" applyFont="1" applyBorder="1" applyAlignment="1">
      <alignment horizontal="center" vertical="center"/>
    </xf>
    <xf numFmtId="2" fontId="1" fillId="5" borderId="0" xfId="0" applyNumberFormat="1" applyFont="1" applyFill="1" applyBorder="1" applyAlignment="1">
      <alignment horizontal="center" vertical="center"/>
    </xf>
    <xf numFmtId="2" fontId="1" fillId="5" borderId="0" xfId="0" applyNumberFormat="1" applyFont="1" applyFill="1" applyAlignment="1">
      <alignment horizontal="center" vertical="center"/>
    </xf>
    <xf numFmtId="0" fontId="2" fillId="3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13" fillId="3" borderId="0" xfId="0" applyFont="1" applyFill="1" applyBorder="1"/>
    <xf numFmtId="2" fontId="0" fillId="0" borderId="0" xfId="0" applyNumberFormat="1" applyAlignment="1">
      <alignment horizontal="center"/>
    </xf>
    <xf numFmtId="180" fontId="0" fillId="0" borderId="0" xfId="0" applyNumberFormat="1"/>
    <xf numFmtId="0" fontId="13" fillId="0" borderId="0" xfId="0" applyFont="1" applyFill="1" applyBorder="1"/>
    <xf numFmtId="182" fontId="13" fillId="0" borderId="0" xfId="0" applyNumberFormat="1" applyFont="1" applyFill="1" applyBorder="1" applyAlignment="1">
      <alignment horizontal="left"/>
    </xf>
    <xf numFmtId="18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49" fontId="7" fillId="3" borderId="10" xfId="0" applyNumberFormat="1" applyFont="1" applyFill="1" applyBorder="1" applyAlignment="1">
      <alignment horizontal="center" vertical="center"/>
    </xf>
    <xf numFmtId="49" fontId="7" fillId="3" borderId="3" xfId="0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1" fontId="0" fillId="0" borderId="11" xfId="0" applyNumberFormat="1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1" fontId="0" fillId="0" borderId="35" xfId="0" applyNumberFormat="1" applyFont="1" applyBorder="1" applyAlignment="1">
      <alignment horizontal="center" vertical="center"/>
    </xf>
    <xf numFmtId="1" fontId="0" fillId="0" borderId="36" xfId="0" applyNumberFormat="1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" fontId="0" fillId="0" borderId="3" xfId="0" applyNumberFormat="1" applyFont="1" applyBorder="1" applyAlignment="1">
      <alignment horizontal="center" vertical="center"/>
    </xf>
    <xf numFmtId="49" fontId="7" fillId="3" borderId="44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2" fontId="0" fillId="0" borderId="33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2" fontId="0" fillId="0" borderId="37" xfId="0" applyNumberFormat="1" applyFont="1" applyBorder="1" applyAlignment="1">
      <alignment horizontal="center" vertical="center"/>
    </xf>
    <xf numFmtId="0" fontId="0" fillId="0" borderId="4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2" fontId="1" fillId="0" borderId="23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2" fontId="0" fillId="0" borderId="38" xfId="0" applyNumberFormat="1" applyFont="1" applyBorder="1" applyAlignment="1">
      <alignment horizontal="center" vertical="center"/>
    </xf>
    <xf numFmtId="2" fontId="1" fillId="5" borderId="23" xfId="0" applyNumberFormat="1" applyFont="1" applyFill="1" applyBorder="1" applyAlignment="1">
      <alignment horizontal="center" vertical="center"/>
    </xf>
    <xf numFmtId="0" fontId="0" fillId="0" borderId="21" xfId="0" applyFont="1" applyFill="1" applyBorder="1" applyAlignment="1">
      <alignment horizontal="left" vertical="center"/>
    </xf>
    <xf numFmtId="0" fontId="0" fillId="3" borderId="0" xfId="0" applyNumberFormat="1" applyFont="1" applyFill="1" applyBorder="1" applyAlignment="1">
      <alignment horizontal="left"/>
    </xf>
    <xf numFmtId="0" fontId="0" fillId="0" borderId="19" xfId="0" applyFont="1" applyFill="1" applyBorder="1" applyAlignment="1">
      <alignment horizontal="center"/>
    </xf>
    <xf numFmtId="0" fontId="0" fillId="0" borderId="3" xfId="0" applyNumberFormat="1" applyFont="1" applyFill="1" applyBorder="1" applyAlignment="1">
      <alignment horizontal="center" vertical="center"/>
    </xf>
    <xf numFmtId="0" fontId="0" fillId="0" borderId="48" xfId="0" applyFont="1" applyBorder="1" applyAlignment="1">
      <alignment horizontal="center"/>
    </xf>
    <xf numFmtId="2" fontId="0" fillId="0" borderId="48" xfId="0" applyNumberFormat="1" applyFont="1" applyBorder="1" applyAlignment="1">
      <alignment horizontal="center"/>
    </xf>
    <xf numFmtId="0" fontId="0" fillId="0" borderId="49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2" borderId="12" xfId="0" applyFont="1" applyFill="1" applyBorder="1"/>
    <xf numFmtId="0" fontId="10" fillId="0" borderId="0" xfId="0" applyFont="1" applyFill="1" applyBorder="1" applyAlignment="1">
      <alignment vertical="center"/>
    </xf>
    <xf numFmtId="183" fontId="0" fillId="0" borderId="0" xfId="0" applyNumberFormat="1" applyFont="1" applyAlignment="1">
      <alignment horizont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0,0_x000d__x000a_NA_x000d__x000a_" xfId="49"/>
    <cellStyle name="Normal 2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13</xdr:col>
      <xdr:colOff>465905</xdr:colOff>
      <xdr:row>20</xdr:row>
      <xdr:rowOff>56819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00225" y="647700"/>
          <a:ext cx="6466205" cy="264731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26</xdr:col>
      <xdr:colOff>132495</xdr:colOff>
      <xdr:row>10</xdr:row>
      <xdr:rowOff>85532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01125" y="161925"/>
          <a:ext cx="6732905" cy="1542415"/>
        </a:xfrm>
        <a:prstGeom prst="rect">
          <a:avLst/>
        </a:prstGeom>
      </xdr:spPr>
    </xdr:pic>
    <xdr:clientData/>
  </xdr:twoCellAnchor>
  <xdr:twoCellAnchor editAs="oneCell">
    <xdr:from>
      <xdr:col>15</xdr:col>
      <xdr:colOff>57150</xdr:colOff>
      <xdr:row>12</xdr:row>
      <xdr:rowOff>0</xdr:rowOff>
    </xdr:from>
    <xdr:to>
      <xdr:col>26</xdr:col>
      <xdr:colOff>322978</xdr:colOff>
      <xdr:row>22</xdr:row>
      <xdr:rowOff>9321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058275" y="1943100"/>
          <a:ext cx="6866255" cy="1628140"/>
        </a:xfrm>
        <a:prstGeom prst="rect">
          <a:avLst/>
        </a:prstGeom>
      </xdr:spPr>
    </xdr:pic>
    <xdr:clientData/>
  </xdr:twoCellAnchor>
  <xdr:twoCellAnchor editAs="oneCell">
    <xdr:from>
      <xdr:col>15</xdr:col>
      <xdr:colOff>114300</xdr:colOff>
      <xdr:row>23</xdr:row>
      <xdr:rowOff>104775</xdr:rowOff>
    </xdr:from>
    <xdr:to>
      <xdr:col>26</xdr:col>
      <xdr:colOff>294414</xdr:colOff>
      <xdr:row>33</xdr:row>
      <xdr:rowOff>85525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115425" y="3829050"/>
          <a:ext cx="6780530" cy="15995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15</xdr:col>
      <xdr:colOff>332267</xdr:colOff>
      <xdr:row>23</xdr:row>
      <xdr:rowOff>161500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485775"/>
          <a:ext cx="8733155" cy="33997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28</xdr:col>
      <xdr:colOff>55086</xdr:colOff>
      <xdr:row>52</xdr:row>
      <xdr:rowOff>8512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323850"/>
          <a:ext cx="16256635" cy="81045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</xdr:row>
      <xdr:rowOff>142875</xdr:rowOff>
    </xdr:from>
    <xdr:to>
      <xdr:col>25</xdr:col>
      <xdr:colOff>476250</xdr:colOff>
      <xdr:row>9</xdr:row>
      <xdr:rowOff>57150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466725"/>
          <a:ext cx="15106650" cy="104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123825</xdr:colOff>
      <xdr:row>16</xdr:row>
      <xdr:rowOff>123825</xdr:rowOff>
    </xdr:from>
    <xdr:to>
      <xdr:col>11</xdr:col>
      <xdr:colOff>314325</xdr:colOff>
      <xdr:row>30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3425" y="2714625"/>
          <a:ext cx="6286500" cy="2143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66675</xdr:colOff>
      <xdr:row>0</xdr:row>
      <xdr:rowOff>47625</xdr:rowOff>
    </xdr:from>
    <xdr:to>
      <xdr:col>21</xdr:col>
      <xdr:colOff>277092</xdr:colOff>
      <xdr:row>13</xdr:row>
      <xdr:rowOff>105077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77150" y="47625"/>
          <a:ext cx="6210935" cy="2162175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</xdr:colOff>
      <xdr:row>21</xdr:row>
      <xdr:rowOff>171450</xdr:rowOff>
    </xdr:from>
    <xdr:to>
      <xdr:col>21</xdr:col>
      <xdr:colOff>286618</xdr:colOff>
      <xdr:row>37</xdr:row>
      <xdr:rowOff>190955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77150" y="3600450"/>
          <a:ext cx="6220460" cy="3267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W44"/>
  <sheetViews>
    <sheetView showGridLines="0" zoomScale="90" zoomScaleNormal="90" topLeftCell="A4" workbookViewId="0">
      <selection activeCell="U34" sqref="U34"/>
    </sheetView>
  </sheetViews>
  <sheetFormatPr defaultColWidth="9.14285714285714" defaultRowHeight="12.75"/>
  <cols>
    <col min="1" max="1" width="6.14285714285714" style="38" customWidth="1"/>
    <col min="2" max="2" width="7.42857142857143" style="38" customWidth="1"/>
    <col min="3" max="3" width="10.4285714285714" style="38" customWidth="1"/>
    <col min="4" max="4" width="11.2857142857143" style="38" customWidth="1"/>
    <col min="5" max="5" width="7.14285714285714" style="38" customWidth="1"/>
    <col min="6" max="10" width="7.28571428571429" style="38" customWidth="1"/>
    <col min="11" max="11" width="5.85714285714286" style="38" customWidth="1"/>
    <col min="12" max="12" width="9.57142857142857" style="38" customWidth="1"/>
    <col min="13" max="13" width="7.71428571428571" style="38" customWidth="1"/>
    <col min="14" max="14" width="9.14285714285714" style="38" customWidth="1"/>
    <col min="15" max="16" width="10.7142857142857" style="38" customWidth="1"/>
    <col min="17" max="17" width="6.42857142857143" style="38" hidden="1" customWidth="1"/>
    <col min="18" max="18" width="11.7142857142857" style="39" customWidth="1"/>
    <col min="19" max="19" width="9.14285714285714" style="38"/>
    <col min="20" max="20" width="12.4285714285714" style="38" customWidth="1"/>
    <col min="21" max="16384" width="9.14285714285714" style="38"/>
  </cols>
  <sheetData>
    <row r="1" ht="32.25" customHeight="1" spans="1:16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="34" customFormat="1" ht="15" customHeight="1" spans="1:18">
      <c r="A2" s="41" t="s">
        <v>1</v>
      </c>
      <c r="B2" s="42"/>
      <c r="C2" s="43"/>
      <c r="D2" s="43"/>
      <c r="E2" s="43"/>
      <c r="F2" s="43"/>
      <c r="G2" s="43"/>
      <c r="H2" s="44"/>
      <c r="I2" s="43"/>
      <c r="J2" s="43"/>
      <c r="K2" s="43"/>
      <c r="L2" s="114"/>
      <c r="M2" s="115"/>
      <c r="N2" s="43"/>
      <c r="O2" s="116"/>
      <c r="P2" s="117"/>
      <c r="R2" s="46"/>
    </row>
    <row r="3" s="34" customFormat="1" ht="15" customHeight="1" spans="1:18">
      <c r="A3" s="45" t="s">
        <v>2</v>
      </c>
      <c r="B3" s="46"/>
      <c r="H3" s="47"/>
      <c r="I3" s="118"/>
      <c r="J3" s="118"/>
      <c r="K3" s="118"/>
      <c r="L3" s="119"/>
      <c r="M3" s="120"/>
      <c r="P3" s="121"/>
      <c r="R3" s="46"/>
    </row>
    <row r="4" s="34" customFormat="1" ht="15" customHeight="1" spans="1:18">
      <c r="A4" s="45" t="s">
        <v>3</v>
      </c>
      <c r="B4" s="46"/>
      <c r="H4" s="47"/>
      <c r="I4" s="118"/>
      <c r="J4" s="118"/>
      <c r="K4" s="118"/>
      <c r="L4" s="119"/>
      <c r="M4" s="122"/>
      <c r="P4" s="121"/>
      <c r="R4" s="46"/>
    </row>
    <row r="5" s="34" customFormat="1" ht="15" customHeight="1" spans="1:18">
      <c r="A5" s="48" t="s">
        <v>4</v>
      </c>
      <c r="B5" s="46"/>
      <c r="H5" s="47"/>
      <c r="I5" s="118"/>
      <c r="J5" s="118"/>
      <c r="K5" s="118"/>
      <c r="L5" s="119"/>
      <c r="M5" s="122"/>
      <c r="P5" s="121"/>
      <c r="R5" s="46"/>
    </row>
    <row r="6" s="34" customFormat="1" ht="15" customHeight="1" spans="1:18">
      <c r="A6" s="45" t="s">
        <v>5</v>
      </c>
      <c r="B6" s="46"/>
      <c r="H6" s="47"/>
      <c r="I6" s="118"/>
      <c r="J6" s="118"/>
      <c r="K6" s="118"/>
      <c r="L6" s="119"/>
      <c r="M6" s="122"/>
      <c r="P6" s="121"/>
      <c r="R6" s="46"/>
    </row>
    <row r="7" s="34" customFormat="1" ht="15" customHeight="1" spans="1:18">
      <c r="A7" s="45" t="s">
        <v>6</v>
      </c>
      <c r="B7" s="46"/>
      <c r="H7" s="47"/>
      <c r="I7" s="118"/>
      <c r="J7" s="118"/>
      <c r="K7" s="118"/>
      <c r="L7" s="119"/>
      <c r="M7" s="122"/>
      <c r="P7" s="121"/>
      <c r="R7" s="46"/>
    </row>
    <row r="8" s="34" customFormat="1" ht="12" customHeight="1" spans="1:18">
      <c r="A8" s="49"/>
      <c r="B8" s="50"/>
      <c r="C8" s="51"/>
      <c r="D8" s="51"/>
      <c r="E8" s="51"/>
      <c r="F8" s="51"/>
      <c r="G8" s="51"/>
      <c r="H8" s="52"/>
      <c r="I8" s="123"/>
      <c r="J8" s="124"/>
      <c r="K8" s="124"/>
      <c r="L8" s="124"/>
      <c r="M8" s="125"/>
      <c r="N8" s="51"/>
      <c r="O8" s="51"/>
      <c r="P8" s="126"/>
      <c r="R8" s="46"/>
    </row>
    <row r="9" s="34" customFormat="1" ht="21" customHeight="1" spans="1:18">
      <c r="A9" s="53"/>
      <c r="B9" s="50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126"/>
      <c r="R9" s="46"/>
    </row>
    <row r="10" s="35" customFormat="1" ht="15" customHeight="1" spans="1:18">
      <c r="A10" s="54" t="s">
        <v>7</v>
      </c>
      <c r="B10" s="42"/>
      <c r="C10" s="43"/>
      <c r="D10" s="43" t="s">
        <v>8</v>
      </c>
      <c r="E10" s="43"/>
      <c r="F10" s="55" t="s">
        <v>9</v>
      </c>
      <c r="G10" s="55" t="s">
        <v>10</v>
      </c>
      <c r="H10" s="55" t="s">
        <v>10</v>
      </c>
      <c r="I10" s="55" t="s">
        <v>10</v>
      </c>
      <c r="J10" s="55" t="s">
        <v>10</v>
      </c>
      <c r="K10" s="55" t="s">
        <v>10</v>
      </c>
      <c r="L10" s="55" t="s">
        <v>10</v>
      </c>
      <c r="M10" s="55" t="s">
        <v>10</v>
      </c>
      <c r="N10" s="55" t="s">
        <v>10</v>
      </c>
      <c r="O10" s="55" t="s">
        <v>10</v>
      </c>
      <c r="P10" s="127" t="s">
        <v>10</v>
      </c>
      <c r="R10" s="158"/>
    </row>
    <row r="11" s="34" customFormat="1" ht="15" customHeight="1" spans="1:18">
      <c r="A11" s="56" t="s">
        <v>11</v>
      </c>
      <c r="B11" s="46"/>
      <c r="D11" s="57" t="s">
        <v>8</v>
      </c>
      <c r="E11" s="57"/>
      <c r="F11" s="58" t="s">
        <v>12</v>
      </c>
      <c r="G11" s="59"/>
      <c r="H11" s="59"/>
      <c r="I11" s="59"/>
      <c r="P11" s="121"/>
      <c r="R11" s="46"/>
    </row>
    <row r="12" s="34" customFormat="1" ht="15" customHeight="1" spans="1:18">
      <c r="A12" s="56" t="s">
        <v>13</v>
      </c>
      <c r="B12" s="46"/>
      <c r="D12" s="34" t="s">
        <v>8</v>
      </c>
      <c r="F12" s="60" t="str">
        <f>F10</f>
        <v>DNM 1</v>
      </c>
      <c r="G12" s="60"/>
      <c r="H12" s="60"/>
      <c r="I12" s="60"/>
      <c r="L12" s="210"/>
      <c r="M12" s="129" t="s">
        <v>14</v>
      </c>
      <c r="N12" s="129"/>
      <c r="O12" s="129"/>
      <c r="P12" s="130"/>
      <c r="R12" s="46"/>
    </row>
    <row r="13" s="34" customFormat="1" ht="15" customHeight="1" spans="1:18">
      <c r="A13" s="56" t="s">
        <v>15</v>
      </c>
      <c r="B13" s="46"/>
      <c r="D13" s="34" t="s">
        <v>8</v>
      </c>
      <c r="F13" s="46">
        <f>+N29</f>
        <v>98</v>
      </c>
      <c r="G13" s="46"/>
      <c r="H13" s="46"/>
      <c r="P13" s="121"/>
      <c r="R13" s="46"/>
    </row>
    <row r="14" s="34" customFormat="1" ht="15" customHeight="1" spans="1:19">
      <c r="A14" s="56" t="s">
        <v>16</v>
      </c>
      <c r="B14" s="46"/>
      <c r="D14" s="34" t="s">
        <v>8</v>
      </c>
      <c r="F14" s="61">
        <f>+M29</f>
        <v>7</v>
      </c>
      <c r="G14" s="61"/>
      <c r="H14" s="61"/>
      <c r="P14" s="121"/>
      <c r="Q14" s="159"/>
      <c r="R14" s="159"/>
      <c r="S14" s="159"/>
    </row>
    <row r="15" s="34" customFormat="1" ht="15" customHeight="1" spans="1:18">
      <c r="A15" s="62" t="s">
        <v>17</v>
      </c>
      <c r="B15" s="46"/>
      <c r="D15" s="34" t="s">
        <v>8</v>
      </c>
      <c r="F15" s="63" t="s">
        <v>18</v>
      </c>
      <c r="G15" s="64"/>
      <c r="H15" s="64"/>
      <c r="P15" s="121"/>
      <c r="R15" s="46"/>
    </row>
    <row r="16" s="34" customFormat="1" ht="15" customHeight="1" spans="1:18">
      <c r="A16" s="53" t="s">
        <v>19</v>
      </c>
      <c r="B16" s="50" t="s">
        <v>20</v>
      </c>
      <c r="C16" s="51"/>
      <c r="D16" s="51" t="s">
        <v>8</v>
      </c>
      <c r="E16" s="51"/>
      <c r="F16" s="65"/>
      <c r="G16" s="65"/>
      <c r="H16" s="65"/>
      <c r="I16" s="51"/>
      <c r="J16" s="51"/>
      <c r="K16" s="51"/>
      <c r="L16" s="51"/>
      <c r="M16" s="51"/>
      <c r="N16" s="51"/>
      <c r="O16" s="51"/>
      <c r="P16" s="126"/>
      <c r="R16" s="46"/>
    </row>
    <row r="17" s="34" customFormat="1" ht="9" customHeight="1" spans="1:18">
      <c r="A17" s="44"/>
      <c r="B17" s="66"/>
      <c r="C17" s="67"/>
      <c r="D17" s="67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131"/>
      <c r="R17" s="46"/>
    </row>
    <row r="18" s="34" customFormat="1" ht="9" customHeight="1" spans="1:18">
      <c r="A18" s="68"/>
      <c r="C18" s="69"/>
      <c r="D18" s="69"/>
      <c r="P18" s="121"/>
      <c r="R18" s="46"/>
    </row>
    <row r="19" s="36" customFormat="1" ht="35.25" customHeight="1" spans="1:18">
      <c r="A19" s="70" t="s">
        <v>21</v>
      </c>
      <c r="B19" s="71"/>
      <c r="C19" s="72" t="s">
        <v>22</v>
      </c>
      <c r="D19" s="72"/>
      <c r="E19" s="73" t="s">
        <v>23</v>
      </c>
      <c r="F19" s="73" t="s">
        <v>24</v>
      </c>
      <c r="G19" s="73" t="s">
        <v>25</v>
      </c>
      <c r="H19" s="73" t="s">
        <v>26</v>
      </c>
      <c r="I19" s="73" t="s">
        <v>27</v>
      </c>
      <c r="J19" s="73" t="s">
        <v>28</v>
      </c>
      <c r="K19" s="73" t="s">
        <v>29</v>
      </c>
      <c r="L19" s="132" t="s">
        <v>30</v>
      </c>
      <c r="M19" s="132" t="s">
        <v>31</v>
      </c>
      <c r="N19" s="132" t="s">
        <v>32</v>
      </c>
      <c r="O19" s="71" t="s">
        <v>33</v>
      </c>
      <c r="P19" s="133" t="s">
        <v>34</v>
      </c>
      <c r="R19" s="46"/>
    </row>
    <row r="20" s="34" customFormat="1" ht="16.5" customHeight="1" spans="1:23">
      <c r="A20" s="74">
        <v>1</v>
      </c>
      <c r="B20" s="74">
        <f>+M20</f>
        <v>1</v>
      </c>
      <c r="C20" s="75" t="s">
        <v>35</v>
      </c>
      <c r="D20" s="76"/>
      <c r="E20" s="77"/>
      <c r="F20" s="77"/>
      <c r="G20" s="77">
        <f>N20</f>
        <v>16</v>
      </c>
      <c r="H20" s="77"/>
      <c r="I20" s="77"/>
      <c r="J20" s="77"/>
      <c r="K20" s="77"/>
      <c r="L20" s="77">
        <v>16</v>
      </c>
      <c r="M20" s="77">
        <v>1</v>
      </c>
      <c r="N20" s="77">
        <f t="shared" ref="N20:N26" si="0">+L20*M20</f>
        <v>16</v>
      </c>
      <c r="O20" s="134">
        <f>F20*0.35+G20*0.35+H20*0.4+I20*0.4+J20*0.4</f>
        <v>5.6</v>
      </c>
      <c r="P20" s="134">
        <f>1.8+O20</f>
        <v>7.4</v>
      </c>
      <c r="Q20" s="160">
        <f t="shared" ref="Q20:Q26" si="1">7.57/32</f>
        <v>0.2365625</v>
      </c>
      <c r="R20" s="161"/>
      <c r="S20" s="162"/>
      <c r="T20" s="162"/>
      <c r="U20" s="162"/>
      <c r="V20" s="162"/>
      <c r="W20" s="162"/>
    </row>
    <row r="21" s="34" customFormat="1" ht="16.5" customHeight="1" spans="1:23">
      <c r="A21" s="74">
        <f t="shared" ref="A21:A26" si="2">B20+1</f>
        <v>2</v>
      </c>
      <c r="B21" s="74">
        <f t="shared" ref="B21:B26" si="3">+B20+M21</f>
        <v>2</v>
      </c>
      <c r="C21" s="75" t="s">
        <v>35</v>
      </c>
      <c r="D21" s="76"/>
      <c r="E21" s="77"/>
      <c r="F21" s="77"/>
      <c r="G21" s="77"/>
      <c r="H21" s="77">
        <f>N21</f>
        <v>16</v>
      </c>
      <c r="I21" s="77"/>
      <c r="J21" s="77"/>
      <c r="K21" s="77"/>
      <c r="L21" s="77">
        <v>16</v>
      </c>
      <c r="M21" s="77">
        <v>1</v>
      </c>
      <c r="N21" s="77">
        <f t="shared" si="0"/>
        <v>16</v>
      </c>
      <c r="O21" s="134">
        <f t="shared" ref="O21:O26" si="4">F21*0.35+G21*0.35+H21*0.4+I21*0.4+J21*0.4</f>
        <v>6.4</v>
      </c>
      <c r="P21" s="134">
        <f t="shared" ref="P21:P26" si="5">1.8+O21</f>
        <v>8.2</v>
      </c>
      <c r="Q21" s="160">
        <f t="shared" si="1"/>
        <v>0.2365625</v>
      </c>
      <c r="R21" s="161"/>
      <c r="S21" s="162"/>
      <c r="T21" s="162"/>
      <c r="U21" s="162"/>
      <c r="V21" s="162"/>
      <c r="W21" s="162"/>
    </row>
    <row r="22" s="34" customFormat="1" ht="16.5" customHeight="1" spans="1:23">
      <c r="A22" s="74">
        <f t="shared" si="2"/>
        <v>3</v>
      </c>
      <c r="B22" s="74">
        <f t="shared" si="3"/>
        <v>3</v>
      </c>
      <c r="C22" s="75" t="s">
        <v>35</v>
      </c>
      <c r="D22" s="76"/>
      <c r="E22" s="77"/>
      <c r="F22" s="77">
        <v>16</v>
      </c>
      <c r="G22" s="77"/>
      <c r="H22" s="77"/>
      <c r="I22" s="77"/>
      <c r="J22" s="77"/>
      <c r="K22" s="77"/>
      <c r="L22" s="77">
        <f>SUM(E22:K22)</f>
        <v>16</v>
      </c>
      <c r="M22" s="77">
        <v>1</v>
      </c>
      <c r="N22" s="77">
        <f t="shared" si="0"/>
        <v>16</v>
      </c>
      <c r="O22" s="134">
        <f t="shared" si="4"/>
        <v>5.6</v>
      </c>
      <c r="P22" s="134">
        <f t="shared" si="5"/>
        <v>7.4</v>
      </c>
      <c r="Q22" s="160">
        <f t="shared" si="1"/>
        <v>0.2365625</v>
      </c>
      <c r="R22" s="161"/>
      <c r="S22" s="162"/>
      <c r="T22" s="162"/>
      <c r="U22" s="162"/>
      <c r="V22" s="162"/>
      <c r="W22" s="162"/>
    </row>
    <row r="23" s="34" customFormat="1" ht="16.5" customHeight="1" spans="1:23">
      <c r="A23" s="74">
        <f t="shared" si="2"/>
        <v>4</v>
      </c>
      <c r="B23" s="74">
        <f t="shared" si="3"/>
        <v>4</v>
      </c>
      <c r="C23" s="75" t="s">
        <v>35</v>
      </c>
      <c r="D23" s="76"/>
      <c r="E23" s="77"/>
      <c r="F23" s="77"/>
      <c r="G23" s="77">
        <v>10</v>
      </c>
      <c r="H23" s="77"/>
      <c r="I23" s="77"/>
      <c r="J23" s="77"/>
      <c r="K23" s="77"/>
      <c r="L23" s="77">
        <f>SUM(E23:K23)</f>
        <v>10</v>
      </c>
      <c r="M23" s="77">
        <v>1</v>
      </c>
      <c r="N23" s="77">
        <f t="shared" si="0"/>
        <v>10</v>
      </c>
      <c r="O23" s="134">
        <f t="shared" si="4"/>
        <v>3.5</v>
      </c>
      <c r="P23" s="134">
        <f t="shared" si="5"/>
        <v>5.3</v>
      </c>
      <c r="Q23" s="160">
        <f t="shared" si="1"/>
        <v>0.2365625</v>
      </c>
      <c r="R23" s="161"/>
      <c r="S23" s="162"/>
      <c r="T23" s="162"/>
      <c r="U23" s="162"/>
      <c r="V23" s="162"/>
      <c r="W23" s="162"/>
    </row>
    <row r="24" s="34" customFormat="1" ht="16.5" customHeight="1" spans="1:23">
      <c r="A24" s="74">
        <f t="shared" si="2"/>
        <v>5</v>
      </c>
      <c r="B24" s="74">
        <f t="shared" si="3"/>
        <v>5</v>
      </c>
      <c r="C24" s="75" t="s">
        <v>35</v>
      </c>
      <c r="D24" s="76"/>
      <c r="E24" s="77"/>
      <c r="F24" s="77"/>
      <c r="G24" s="77"/>
      <c r="H24" s="77">
        <v>10</v>
      </c>
      <c r="I24" s="77"/>
      <c r="J24" s="77"/>
      <c r="K24" s="77"/>
      <c r="L24" s="77">
        <f>SUM(E24:K24)</f>
        <v>10</v>
      </c>
      <c r="M24" s="77">
        <v>1</v>
      </c>
      <c r="N24" s="77">
        <f t="shared" si="0"/>
        <v>10</v>
      </c>
      <c r="O24" s="134">
        <f t="shared" si="4"/>
        <v>4</v>
      </c>
      <c r="P24" s="134">
        <f t="shared" si="5"/>
        <v>5.8</v>
      </c>
      <c r="Q24" s="160">
        <f t="shared" si="1"/>
        <v>0.2365625</v>
      </c>
      <c r="R24" s="161"/>
      <c r="S24" s="162"/>
      <c r="T24" s="162"/>
      <c r="U24" s="162"/>
      <c r="V24" s="162"/>
      <c r="W24" s="162"/>
    </row>
    <row r="25" s="34" customFormat="1" ht="16.5" customHeight="1" spans="1:23">
      <c r="A25" s="74">
        <f t="shared" si="2"/>
        <v>6</v>
      </c>
      <c r="B25" s="74">
        <f t="shared" si="3"/>
        <v>6</v>
      </c>
      <c r="C25" s="75" t="s">
        <v>35</v>
      </c>
      <c r="D25" s="76"/>
      <c r="E25" s="77"/>
      <c r="F25" s="77"/>
      <c r="G25" s="77"/>
      <c r="H25" s="77"/>
      <c r="I25" s="77">
        <v>15</v>
      </c>
      <c r="J25" s="77"/>
      <c r="K25" s="77"/>
      <c r="L25" s="77">
        <f>SUM(E25:K25)</f>
        <v>15</v>
      </c>
      <c r="M25" s="77">
        <v>1</v>
      </c>
      <c r="N25" s="77">
        <f t="shared" si="0"/>
        <v>15</v>
      </c>
      <c r="O25" s="134">
        <f t="shared" si="4"/>
        <v>6</v>
      </c>
      <c r="P25" s="134">
        <f t="shared" si="5"/>
        <v>7.8</v>
      </c>
      <c r="Q25" s="160">
        <f t="shared" si="1"/>
        <v>0.2365625</v>
      </c>
      <c r="R25" s="161"/>
      <c r="S25" s="162"/>
      <c r="T25" s="162"/>
      <c r="U25" s="162"/>
      <c r="V25" s="162"/>
      <c r="W25" s="162"/>
    </row>
    <row r="26" s="34" customFormat="1" ht="16.5" customHeight="1" spans="1:23">
      <c r="A26" s="74">
        <f t="shared" si="2"/>
        <v>7</v>
      </c>
      <c r="B26" s="74">
        <f t="shared" si="3"/>
        <v>7</v>
      </c>
      <c r="C26" s="75" t="s">
        <v>35</v>
      </c>
      <c r="D26" s="76"/>
      <c r="E26" s="77"/>
      <c r="F26" s="77"/>
      <c r="G26" s="77"/>
      <c r="H26" s="77"/>
      <c r="I26" s="77"/>
      <c r="J26" s="77">
        <v>15</v>
      </c>
      <c r="K26" s="77"/>
      <c r="L26" s="77">
        <f t="shared" ref="L26" si="6">SUM(E26:K26)</f>
        <v>15</v>
      </c>
      <c r="M26" s="77">
        <v>1</v>
      </c>
      <c r="N26" s="77">
        <f t="shared" si="0"/>
        <v>15</v>
      </c>
      <c r="O26" s="134">
        <f t="shared" si="4"/>
        <v>6</v>
      </c>
      <c r="P26" s="134">
        <f t="shared" si="5"/>
        <v>7.8</v>
      </c>
      <c r="Q26" s="160">
        <f t="shared" si="1"/>
        <v>0.2365625</v>
      </c>
      <c r="R26" s="161"/>
      <c r="S26" s="162"/>
      <c r="T26" s="162"/>
      <c r="U26" s="162"/>
      <c r="V26" s="162"/>
      <c r="W26" s="162"/>
    </row>
    <row r="27" s="34" customFormat="1" ht="16.5" customHeight="1" spans="1:18">
      <c r="A27" s="79"/>
      <c r="B27" s="80"/>
      <c r="C27" s="81"/>
      <c r="D27" s="81"/>
      <c r="E27" s="82">
        <f t="shared" ref="E27:K27" si="7">SUM(E20:E26)</f>
        <v>0</v>
      </c>
      <c r="F27" s="82">
        <f t="shared" si="7"/>
        <v>16</v>
      </c>
      <c r="G27" s="82">
        <f t="shared" si="7"/>
        <v>26</v>
      </c>
      <c r="H27" s="82">
        <f t="shared" si="7"/>
        <v>26</v>
      </c>
      <c r="I27" s="82">
        <f t="shared" si="7"/>
        <v>15</v>
      </c>
      <c r="J27" s="82">
        <f t="shared" si="7"/>
        <v>15</v>
      </c>
      <c r="K27" s="82">
        <f t="shared" si="7"/>
        <v>0</v>
      </c>
      <c r="L27" s="82"/>
      <c r="M27" s="82">
        <f>SUM(M20:M26)</f>
        <v>7</v>
      </c>
      <c r="N27" s="82">
        <f>SUM(N20:N26)</f>
        <v>98</v>
      </c>
      <c r="O27" s="136">
        <f>SUM(O20:O26)</f>
        <v>37.1</v>
      </c>
      <c r="P27" s="137">
        <f>SUM(P20:P26)</f>
        <v>49.7</v>
      </c>
      <c r="Q27" s="163"/>
      <c r="R27" s="164"/>
    </row>
    <row r="28" s="37" customFormat="1" ht="13.5" spans="18:18">
      <c r="R28" s="39"/>
    </row>
    <row r="29" ht="15.75" spans="1:20">
      <c r="A29" s="83"/>
      <c r="B29" s="84"/>
      <c r="C29" s="84" t="s">
        <v>36</v>
      </c>
      <c r="D29" s="84"/>
      <c r="E29" s="84">
        <f>E27</f>
        <v>0</v>
      </c>
      <c r="F29" s="84">
        <f>F27</f>
        <v>16</v>
      </c>
      <c r="G29" s="84">
        <f t="shared" ref="G29:K29" si="8">G27</f>
        <v>26</v>
      </c>
      <c r="H29" s="84">
        <f t="shared" si="8"/>
        <v>26</v>
      </c>
      <c r="I29" s="84">
        <f t="shared" si="8"/>
        <v>15</v>
      </c>
      <c r="J29" s="84">
        <f t="shared" si="8"/>
        <v>15</v>
      </c>
      <c r="K29" s="84">
        <f t="shared" si="8"/>
        <v>0</v>
      </c>
      <c r="L29" s="84"/>
      <c r="M29" s="84">
        <f>M27</f>
        <v>7</v>
      </c>
      <c r="N29" s="84">
        <f>N27</f>
        <v>98</v>
      </c>
      <c r="O29" s="138">
        <f>O27</f>
        <v>37.1</v>
      </c>
      <c r="P29" s="139">
        <f>P27</f>
        <v>49.7</v>
      </c>
      <c r="T29"/>
    </row>
    <row r="30" ht="16.5" customHeight="1" spans="1:20">
      <c r="A30" s="85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140"/>
      <c r="P30" s="140"/>
      <c r="T30"/>
    </row>
    <row r="31" ht="18" customHeight="1" spans="5:20">
      <c r="E31" s="87"/>
      <c r="F31" s="87"/>
      <c r="G31" s="87"/>
      <c r="H31" s="87"/>
      <c r="I31" s="87"/>
      <c r="J31" s="87"/>
      <c r="K31" s="87"/>
      <c r="T31"/>
    </row>
    <row r="32" ht="13.5" spans="3:13">
      <c r="C32" s="89" t="s">
        <v>37</v>
      </c>
      <c r="D32" s="90"/>
      <c r="E32" s="90"/>
      <c r="F32" s="90"/>
      <c r="G32" s="90"/>
      <c r="H32" s="90"/>
      <c r="I32" s="90"/>
      <c r="J32" s="90"/>
      <c r="K32" s="90"/>
      <c r="L32" s="90"/>
      <c r="M32" s="141"/>
    </row>
    <row r="33" ht="17.25" customHeight="1" spans="3:18">
      <c r="C33" s="91" t="s">
        <v>38</v>
      </c>
      <c r="D33" s="92"/>
      <c r="E33" s="93" t="str">
        <f>C20</f>
        <v>LIGHT WASH</v>
      </c>
      <c r="F33" s="94"/>
      <c r="G33" s="94"/>
      <c r="H33" s="94"/>
      <c r="I33" s="94"/>
      <c r="J33" s="94"/>
      <c r="K33" s="94"/>
      <c r="L33" s="142"/>
      <c r="M33" s="143" t="s">
        <v>39</v>
      </c>
      <c r="O33" s="144"/>
      <c r="P33" s="39"/>
      <c r="R33" s="38"/>
    </row>
    <row r="34" ht="17.25" customHeight="1" spans="3:18">
      <c r="C34" s="168"/>
      <c r="D34" s="169"/>
      <c r="E34" s="170" t="s">
        <v>23</v>
      </c>
      <c r="F34" s="171" t="s">
        <v>24</v>
      </c>
      <c r="G34" s="171" t="s">
        <v>25</v>
      </c>
      <c r="H34" s="171" t="s">
        <v>26</v>
      </c>
      <c r="I34" s="171" t="s">
        <v>27</v>
      </c>
      <c r="J34" s="171" t="s">
        <v>28</v>
      </c>
      <c r="K34" s="186" t="s">
        <v>29</v>
      </c>
      <c r="L34" s="187" t="s">
        <v>40</v>
      </c>
      <c r="M34" s="147"/>
      <c r="O34" s="144"/>
      <c r="P34" s="39"/>
      <c r="R34" s="38"/>
    </row>
    <row r="35" ht="15.75" customHeight="1" spans="3:18">
      <c r="C35" s="98" t="s">
        <v>41</v>
      </c>
      <c r="D35" s="172"/>
      <c r="E35" s="173"/>
      <c r="F35" s="174">
        <v>14</v>
      </c>
      <c r="G35" s="174">
        <v>29</v>
      </c>
      <c r="H35" s="174">
        <v>29</v>
      </c>
      <c r="I35" s="174">
        <v>14</v>
      </c>
      <c r="J35" s="174">
        <v>14</v>
      </c>
      <c r="K35" s="188"/>
      <c r="L35" s="189">
        <f>SUM(E35:K35)</f>
        <v>100</v>
      </c>
      <c r="M35" s="190">
        <f>+L37/L35*100-100</f>
        <v>-2</v>
      </c>
      <c r="N35" s="149"/>
      <c r="O35" s="150"/>
      <c r="P35" s="39"/>
      <c r="R35" s="38"/>
    </row>
    <row r="36" ht="15.75" customHeight="1" spans="3:18">
      <c r="C36" s="175" t="s">
        <v>42</v>
      </c>
      <c r="D36" s="176"/>
      <c r="E36" s="177"/>
      <c r="F36" s="178">
        <v>16</v>
      </c>
      <c r="G36" s="178">
        <v>30</v>
      </c>
      <c r="H36" s="178">
        <v>30</v>
      </c>
      <c r="I36" s="178">
        <v>15</v>
      </c>
      <c r="J36" s="178">
        <v>15</v>
      </c>
      <c r="K36" s="191"/>
      <c r="L36" s="192">
        <f>SUM(E36:K36)</f>
        <v>106</v>
      </c>
      <c r="M36" s="193"/>
      <c r="N36" s="149"/>
      <c r="O36" s="150"/>
      <c r="P36" s="39"/>
      <c r="R36" s="38"/>
    </row>
    <row r="37" ht="15.75" customHeight="1" spans="3:18">
      <c r="C37" s="179" t="s">
        <v>43</v>
      </c>
      <c r="D37" s="180"/>
      <c r="E37" s="181">
        <f>+E27</f>
        <v>0</v>
      </c>
      <c r="F37" s="182">
        <f>+F27</f>
        <v>16</v>
      </c>
      <c r="G37" s="182">
        <f>+G27</f>
        <v>26</v>
      </c>
      <c r="H37" s="182">
        <f t="shared" ref="H37:K37" si="9">+H27</f>
        <v>26</v>
      </c>
      <c r="I37" s="182">
        <f t="shared" si="9"/>
        <v>15</v>
      </c>
      <c r="J37" s="182">
        <f t="shared" si="9"/>
        <v>15</v>
      </c>
      <c r="K37" s="194">
        <f t="shared" si="9"/>
        <v>0</v>
      </c>
      <c r="L37" s="195">
        <f>SUM(E37:K37)</f>
        <v>98</v>
      </c>
      <c r="M37" s="193"/>
      <c r="N37" s="149"/>
      <c r="O37" s="150"/>
      <c r="P37" s="154"/>
      <c r="R37" s="38"/>
    </row>
    <row r="38" ht="15.75" customHeight="1" spans="3:18">
      <c r="C38" s="179" t="s">
        <v>44</v>
      </c>
      <c r="D38" s="180"/>
      <c r="E38" s="183">
        <f>+E36-E37</f>
        <v>0</v>
      </c>
      <c r="F38" s="184">
        <f t="shared" ref="F38:L38" si="10">+F36-F37</f>
        <v>0</v>
      </c>
      <c r="G38" s="185">
        <f t="shared" si="10"/>
        <v>4</v>
      </c>
      <c r="H38" s="184">
        <f t="shared" si="10"/>
        <v>4</v>
      </c>
      <c r="I38" s="184">
        <f t="shared" si="10"/>
        <v>0</v>
      </c>
      <c r="J38" s="184">
        <f t="shared" si="10"/>
        <v>0</v>
      </c>
      <c r="K38" s="198">
        <f t="shared" si="10"/>
        <v>0</v>
      </c>
      <c r="L38" s="12">
        <f t="shared" si="10"/>
        <v>8</v>
      </c>
      <c r="M38" s="199"/>
      <c r="N38" s="200" t="s">
        <v>45</v>
      </c>
      <c r="O38" s="157"/>
      <c r="P38" s="39"/>
      <c r="R38" s="38"/>
    </row>
    <row r="39" hidden="1" spans="3:11">
      <c r="C39" s="205" t="s">
        <v>39</v>
      </c>
      <c r="D39" s="205"/>
      <c r="E39" s="205"/>
      <c r="F39" s="206">
        <f>+F37/F35*100</f>
        <v>114.285714285714</v>
      </c>
      <c r="G39" s="206">
        <f t="shared" ref="G39:J39" si="11">+G37/G35*100</f>
        <v>89.6551724137931</v>
      </c>
      <c r="H39" s="206">
        <f t="shared" si="11"/>
        <v>89.6551724137931</v>
      </c>
      <c r="I39" s="206">
        <f t="shared" si="11"/>
        <v>107.142857142857</v>
      </c>
      <c r="J39" s="206">
        <f t="shared" si="11"/>
        <v>107.142857142857</v>
      </c>
      <c r="K39" s="211"/>
    </row>
    <row r="40" spans="5:11">
      <c r="E40" s="208"/>
      <c r="F40" s="208"/>
      <c r="G40" s="208"/>
      <c r="H40" s="208"/>
      <c r="I40" s="208"/>
      <c r="J40" s="208"/>
      <c r="K40" s="208"/>
    </row>
    <row r="41" spans="5:11">
      <c r="E41" s="208"/>
      <c r="F41" s="208"/>
      <c r="G41" s="208"/>
      <c r="H41" s="208"/>
      <c r="I41" s="208"/>
      <c r="J41" s="208"/>
      <c r="K41" s="208"/>
    </row>
    <row r="42" spans="5:11">
      <c r="E42" s="208"/>
      <c r="F42" s="208"/>
      <c r="G42" s="208"/>
      <c r="H42" s="208"/>
      <c r="I42" s="208"/>
      <c r="J42" s="208"/>
      <c r="K42" s="208"/>
    </row>
    <row r="43" spans="5:11">
      <c r="E43" s="208"/>
      <c r="F43" s="208"/>
      <c r="G43" s="208"/>
      <c r="H43" s="208"/>
      <c r="I43" s="208"/>
      <c r="J43" s="208"/>
      <c r="K43" s="208"/>
    </row>
    <row r="44" spans="5:11">
      <c r="E44" s="208"/>
      <c r="F44" s="208"/>
      <c r="G44" s="208"/>
      <c r="H44" s="208"/>
      <c r="I44" s="208"/>
      <c r="J44" s="208"/>
      <c r="K44" s="208"/>
    </row>
  </sheetData>
  <mergeCells count="34">
    <mergeCell ref="A1:P1"/>
    <mergeCell ref="F10:P10"/>
    <mergeCell ref="F11:I11"/>
    <mergeCell ref="M12:P12"/>
    <mergeCell ref="F13:H13"/>
    <mergeCell ref="F14:H14"/>
    <mergeCell ref="Q14:S14"/>
    <mergeCell ref="F15:H15"/>
    <mergeCell ref="F16:H16"/>
    <mergeCell ref="A19:B1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A29:B29"/>
    <mergeCell ref="C29:D29"/>
    <mergeCell ref="C33:D33"/>
    <mergeCell ref="E33:L33"/>
    <mergeCell ref="C34:D34"/>
    <mergeCell ref="C35:D35"/>
    <mergeCell ref="N35:O35"/>
    <mergeCell ref="C36:D36"/>
    <mergeCell ref="C37:D37"/>
    <mergeCell ref="C38:D38"/>
    <mergeCell ref="N38:O38"/>
    <mergeCell ref="C39:D39"/>
    <mergeCell ref="M33:M34"/>
    <mergeCell ref="M35:M38"/>
    <mergeCell ref="H3:K7"/>
  </mergeCells>
  <pageMargins left="0.275590551181102" right="0.354330708661417" top="0.433070866141732" bottom="0.15748031496063" header="0.15748031496063" footer="0.511811023622047"/>
  <pageSetup paperSize="9" scale="92" orientation="landscape"/>
  <headerFooter alignWithMargins="0">
    <oddHeader>&amp;C&amp;A</oddHeader>
    <oddFooter>&amp;R&amp;D&amp;T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W41"/>
  <sheetViews>
    <sheetView showGridLines="0" zoomScale="90" zoomScaleNormal="90" topLeftCell="A10" workbookViewId="0">
      <selection activeCell="I48" sqref="I48"/>
    </sheetView>
  </sheetViews>
  <sheetFormatPr defaultColWidth="9.14285714285714" defaultRowHeight="12.75"/>
  <cols>
    <col min="1" max="1" width="6.14285714285714" style="38" customWidth="1"/>
    <col min="2" max="2" width="7.42857142857143" style="38" customWidth="1"/>
    <col min="3" max="3" width="10.4285714285714" style="38" customWidth="1"/>
    <col min="4" max="4" width="11.2857142857143" style="38" customWidth="1"/>
    <col min="5" max="5" width="7.14285714285714" style="38" customWidth="1"/>
    <col min="6" max="11" width="7.42857142857143" style="38" customWidth="1"/>
    <col min="12" max="12" width="9.57142857142857" style="38" customWidth="1"/>
    <col min="13" max="13" width="7.71428571428571" style="38" customWidth="1"/>
    <col min="14" max="14" width="9.14285714285714" style="38" customWidth="1"/>
    <col min="15" max="16" width="10.7142857142857" style="38" customWidth="1"/>
    <col min="17" max="17" width="6.42857142857143" style="38" hidden="1" customWidth="1"/>
    <col min="18" max="18" width="11.7142857142857" style="39" customWidth="1"/>
    <col min="19" max="19" width="9.14285714285714" style="38"/>
    <col min="20" max="20" width="12.4285714285714" style="38" customWidth="1"/>
    <col min="21" max="16384" width="9.14285714285714" style="38"/>
  </cols>
  <sheetData>
    <row r="1" ht="32.25" customHeight="1" spans="1:16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="34" customFormat="1" ht="15" customHeight="1" spans="1:18">
      <c r="A2" s="41" t="s">
        <v>1</v>
      </c>
      <c r="B2" s="42"/>
      <c r="C2" s="43"/>
      <c r="D2" s="43"/>
      <c r="E2" s="43"/>
      <c r="F2" s="43"/>
      <c r="G2" s="43"/>
      <c r="H2" s="44"/>
      <c r="I2" s="43"/>
      <c r="J2" s="43"/>
      <c r="K2" s="43"/>
      <c r="L2" s="114"/>
      <c r="M2" s="115"/>
      <c r="N2" s="43"/>
      <c r="O2" s="116"/>
      <c r="P2" s="117"/>
      <c r="R2" s="46"/>
    </row>
    <row r="3" s="34" customFormat="1" ht="15" customHeight="1" spans="1:18">
      <c r="A3" s="45" t="s">
        <v>2</v>
      </c>
      <c r="B3" s="46"/>
      <c r="H3" s="47"/>
      <c r="I3" s="118"/>
      <c r="J3" s="118"/>
      <c r="K3" s="118"/>
      <c r="L3" s="119"/>
      <c r="M3" s="120"/>
      <c r="P3" s="121"/>
      <c r="R3" s="46"/>
    </row>
    <row r="4" s="34" customFormat="1" ht="15" customHeight="1" spans="1:18">
      <c r="A4" s="45" t="s">
        <v>3</v>
      </c>
      <c r="B4" s="46"/>
      <c r="H4" s="47"/>
      <c r="I4" s="118"/>
      <c r="J4" s="118"/>
      <c r="K4" s="118"/>
      <c r="L4" s="119"/>
      <c r="M4" s="122"/>
      <c r="P4" s="121"/>
      <c r="R4" s="46"/>
    </row>
    <row r="5" s="34" customFormat="1" ht="15" customHeight="1" spans="1:18">
      <c r="A5" s="48" t="s">
        <v>4</v>
      </c>
      <c r="B5" s="46"/>
      <c r="H5" s="47"/>
      <c r="I5" s="118"/>
      <c r="J5" s="118"/>
      <c r="K5" s="118"/>
      <c r="L5" s="119"/>
      <c r="M5" s="122"/>
      <c r="P5" s="121"/>
      <c r="R5" s="46"/>
    </row>
    <row r="6" s="34" customFormat="1" ht="15" customHeight="1" spans="1:18">
      <c r="A6" s="45" t="s">
        <v>5</v>
      </c>
      <c r="B6" s="46"/>
      <c r="H6" s="47"/>
      <c r="I6" s="118"/>
      <c r="J6" s="118"/>
      <c r="K6" s="118"/>
      <c r="L6" s="119"/>
      <c r="M6" s="122"/>
      <c r="P6" s="121"/>
      <c r="R6" s="46"/>
    </row>
    <row r="7" s="34" customFormat="1" ht="15" customHeight="1" spans="1:18">
      <c r="A7" s="45" t="s">
        <v>6</v>
      </c>
      <c r="B7" s="46"/>
      <c r="H7" s="47"/>
      <c r="I7" s="118"/>
      <c r="J7" s="118"/>
      <c r="K7" s="118"/>
      <c r="L7" s="119"/>
      <c r="M7" s="122"/>
      <c r="P7" s="121"/>
      <c r="R7" s="46"/>
    </row>
    <row r="8" s="34" customFormat="1" ht="12" customHeight="1" spans="1:18">
      <c r="A8" s="49"/>
      <c r="B8" s="50"/>
      <c r="C8" s="51"/>
      <c r="D8" s="51"/>
      <c r="E8" s="51"/>
      <c r="F8" s="51"/>
      <c r="G8" s="51"/>
      <c r="H8" s="52"/>
      <c r="I8" s="123"/>
      <c r="J8" s="124"/>
      <c r="K8" s="124"/>
      <c r="L8" s="124"/>
      <c r="M8" s="125"/>
      <c r="N8" s="51"/>
      <c r="O8" s="51"/>
      <c r="P8" s="126"/>
      <c r="R8" s="46"/>
    </row>
    <row r="9" s="34" customFormat="1" ht="21" customHeight="1" spans="1:18">
      <c r="A9" s="53"/>
      <c r="B9" s="50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126"/>
      <c r="R9" s="46"/>
    </row>
    <row r="10" s="35" customFormat="1" ht="15" customHeight="1" spans="1:18">
      <c r="A10" s="54" t="s">
        <v>7</v>
      </c>
      <c r="B10" s="42"/>
      <c r="C10" s="43"/>
      <c r="D10" s="43" t="s">
        <v>8</v>
      </c>
      <c r="E10" s="43"/>
      <c r="F10" s="55" t="s">
        <v>9</v>
      </c>
      <c r="G10" s="55" t="s">
        <v>10</v>
      </c>
      <c r="H10" s="55" t="s">
        <v>10</v>
      </c>
      <c r="I10" s="55" t="s">
        <v>10</v>
      </c>
      <c r="J10" s="55" t="s">
        <v>10</v>
      </c>
      <c r="K10" s="55" t="s">
        <v>10</v>
      </c>
      <c r="L10" s="55" t="s">
        <v>10</v>
      </c>
      <c r="M10" s="55" t="s">
        <v>10</v>
      </c>
      <c r="N10" s="55" t="s">
        <v>10</v>
      </c>
      <c r="O10" s="55" t="s">
        <v>10</v>
      </c>
      <c r="P10" s="127" t="s">
        <v>10</v>
      </c>
      <c r="R10" s="158"/>
    </row>
    <row r="11" s="34" customFormat="1" ht="15" customHeight="1" spans="1:18">
      <c r="A11" s="56" t="s">
        <v>11</v>
      </c>
      <c r="B11" s="46"/>
      <c r="D11" s="57" t="s">
        <v>8</v>
      </c>
      <c r="E11" s="57"/>
      <c r="F11" s="58" t="s">
        <v>46</v>
      </c>
      <c r="G11" s="59"/>
      <c r="H11" s="59"/>
      <c r="I11" s="59"/>
      <c r="P11" s="121"/>
      <c r="R11" s="46"/>
    </row>
    <row r="12" s="34" customFormat="1" ht="15" customHeight="1" spans="1:18">
      <c r="A12" s="56" t="s">
        <v>13</v>
      </c>
      <c r="B12" s="46"/>
      <c r="D12" s="34" t="s">
        <v>8</v>
      </c>
      <c r="F12" s="60" t="str">
        <f>F10</f>
        <v>DNM 1</v>
      </c>
      <c r="G12" s="60"/>
      <c r="H12" s="60"/>
      <c r="I12" s="60"/>
      <c r="L12" s="128"/>
      <c r="M12" s="129" t="s">
        <v>14</v>
      </c>
      <c r="N12" s="129"/>
      <c r="O12" s="129"/>
      <c r="P12" s="130"/>
      <c r="R12" s="46"/>
    </row>
    <row r="13" s="34" customFormat="1" ht="15" customHeight="1" spans="1:18">
      <c r="A13" s="56" t="s">
        <v>15</v>
      </c>
      <c r="B13" s="46"/>
      <c r="D13" s="34" t="s">
        <v>8</v>
      </c>
      <c r="F13" s="46">
        <f>+N28</f>
        <v>90</v>
      </c>
      <c r="G13" s="46"/>
      <c r="H13" s="46"/>
      <c r="P13" s="121"/>
      <c r="R13" s="46"/>
    </row>
    <row r="14" s="34" customFormat="1" ht="15" customHeight="1" spans="1:19">
      <c r="A14" s="56" t="s">
        <v>16</v>
      </c>
      <c r="B14" s="46"/>
      <c r="D14" s="34" t="s">
        <v>8</v>
      </c>
      <c r="F14" s="61">
        <f>+M28</f>
        <v>6</v>
      </c>
      <c r="G14" s="61"/>
      <c r="H14" s="61"/>
      <c r="P14" s="121"/>
      <c r="Q14" s="159"/>
      <c r="R14" s="159"/>
      <c r="S14" s="159"/>
    </row>
    <row r="15" s="34" customFormat="1" ht="15" customHeight="1" spans="1:18">
      <c r="A15" s="62" t="s">
        <v>17</v>
      </c>
      <c r="B15" s="46"/>
      <c r="D15" s="34" t="s">
        <v>8</v>
      </c>
      <c r="F15" s="63" t="s">
        <v>18</v>
      </c>
      <c r="G15" s="64"/>
      <c r="H15" s="64"/>
      <c r="P15" s="121"/>
      <c r="R15" s="46"/>
    </row>
    <row r="16" s="34" customFormat="1" ht="15" customHeight="1" spans="1:18">
      <c r="A16" s="53" t="s">
        <v>19</v>
      </c>
      <c r="B16" s="50" t="s">
        <v>20</v>
      </c>
      <c r="C16" s="51"/>
      <c r="D16" s="51" t="s">
        <v>8</v>
      </c>
      <c r="E16" s="51"/>
      <c r="F16" s="65"/>
      <c r="G16" s="65"/>
      <c r="H16" s="65"/>
      <c r="I16" s="51"/>
      <c r="J16" s="51"/>
      <c r="K16" s="51"/>
      <c r="L16" s="51"/>
      <c r="M16" s="51"/>
      <c r="N16" s="51"/>
      <c r="O16" s="51"/>
      <c r="P16" s="126"/>
      <c r="R16" s="46"/>
    </row>
    <row r="17" s="34" customFormat="1" ht="9" customHeight="1" spans="1:18">
      <c r="A17" s="44"/>
      <c r="B17" s="66"/>
      <c r="C17" s="67"/>
      <c r="D17" s="67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131"/>
      <c r="R17" s="46"/>
    </row>
    <row r="18" s="34" customFormat="1" ht="9" customHeight="1" spans="1:18">
      <c r="A18" s="68"/>
      <c r="C18" s="69"/>
      <c r="D18" s="69"/>
      <c r="P18" s="121"/>
      <c r="R18" s="46"/>
    </row>
    <row r="19" s="36" customFormat="1" ht="35.25" customHeight="1" spans="1:18">
      <c r="A19" s="70" t="s">
        <v>21</v>
      </c>
      <c r="B19" s="71"/>
      <c r="C19" s="72" t="s">
        <v>22</v>
      </c>
      <c r="D19" s="72"/>
      <c r="E19" s="73" t="s">
        <v>23</v>
      </c>
      <c r="F19" s="73" t="s">
        <v>24</v>
      </c>
      <c r="G19" s="73" t="s">
        <v>25</v>
      </c>
      <c r="H19" s="73" t="s">
        <v>26</v>
      </c>
      <c r="I19" s="73" t="s">
        <v>27</v>
      </c>
      <c r="J19" s="73" t="s">
        <v>28</v>
      </c>
      <c r="K19" s="73" t="s">
        <v>29</v>
      </c>
      <c r="L19" s="132" t="s">
        <v>30</v>
      </c>
      <c r="M19" s="132" t="s">
        <v>31</v>
      </c>
      <c r="N19" s="132" t="s">
        <v>32</v>
      </c>
      <c r="O19" s="71" t="s">
        <v>33</v>
      </c>
      <c r="P19" s="133" t="s">
        <v>34</v>
      </c>
      <c r="R19" s="46"/>
    </row>
    <row r="20" s="34" customFormat="1" ht="16.5" customHeight="1" spans="1:23">
      <c r="A20" s="74">
        <v>1</v>
      </c>
      <c r="B20" s="74">
        <f>+M20</f>
        <v>1</v>
      </c>
      <c r="C20" s="75" t="s">
        <v>47</v>
      </c>
      <c r="D20" s="76"/>
      <c r="E20" s="77"/>
      <c r="F20" s="77"/>
      <c r="G20" s="77">
        <f>N20</f>
        <v>16</v>
      </c>
      <c r="H20" s="77"/>
      <c r="I20" s="77"/>
      <c r="J20" s="77"/>
      <c r="K20" s="77"/>
      <c r="L20" s="77">
        <v>16</v>
      </c>
      <c r="M20" s="77">
        <v>1</v>
      </c>
      <c r="N20" s="77">
        <f t="shared" ref="N20:N25" si="0">+L20*M20</f>
        <v>16</v>
      </c>
      <c r="O20" s="134">
        <f>F20*0.35+G20*0.35+H20*0.4+I20*0.4+J20*0.4</f>
        <v>5.6</v>
      </c>
      <c r="P20" s="134">
        <f>1.8+O20</f>
        <v>7.4</v>
      </c>
      <c r="Q20" s="160">
        <f t="shared" ref="Q20:Q25" si="1">7.57/32</f>
        <v>0.2365625</v>
      </c>
      <c r="R20" s="161"/>
      <c r="S20" s="162"/>
      <c r="T20" s="162"/>
      <c r="U20" s="162"/>
      <c r="V20" s="162"/>
      <c r="W20" s="162"/>
    </row>
    <row r="21" s="34" customFormat="1" ht="16.5" customHeight="1" spans="1:23">
      <c r="A21" s="74">
        <f>B20+1</f>
        <v>2</v>
      </c>
      <c r="B21" s="74">
        <f>+B20+M21</f>
        <v>2</v>
      </c>
      <c r="C21" s="75" t="s">
        <v>47</v>
      </c>
      <c r="D21" s="76"/>
      <c r="E21" s="77"/>
      <c r="F21" s="77"/>
      <c r="G21" s="77"/>
      <c r="H21" s="77">
        <f>N21</f>
        <v>16</v>
      </c>
      <c r="I21" s="77"/>
      <c r="J21" s="77"/>
      <c r="K21" s="77"/>
      <c r="L21" s="78">
        <v>16</v>
      </c>
      <c r="M21" s="77">
        <v>1</v>
      </c>
      <c r="N21" s="77">
        <f t="shared" si="0"/>
        <v>16</v>
      </c>
      <c r="O21" s="134">
        <f t="shared" ref="O21:O25" si="2">F21*0.35+G21*0.35+H21*0.4+I21*0.4+J21*0.4</f>
        <v>6.4</v>
      </c>
      <c r="P21" s="134">
        <f t="shared" ref="P21:P25" si="3">1.8+O21</f>
        <v>8.2</v>
      </c>
      <c r="Q21" s="160">
        <f t="shared" si="1"/>
        <v>0.2365625</v>
      </c>
      <c r="R21" s="161"/>
      <c r="S21" s="162"/>
      <c r="T21" s="162"/>
      <c r="U21" s="162"/>
      <c r="V21" s="162"/>
      <c r="W21" s="162"/>
    </row>
    <row r="22" s="34" customFormat="1" ht="16.5" customHeight="1" spans="1:23">
      <c r="A22" s="74">
        <f t="shared" ref="A22:A25" si="4">B21+1</f>
        <v>3</v>
      </c>
      <c r="B22" s="74">
        <f t="shared" ref="B22:B25" si="5">+B21+M22</f>
        <v>3</v>
      </c>
      <c r="C22" s="75" t="s">
        <v>47</v>
      </c>
      <c r="D22" s="76"/>
      <c r="E22" s="77"/>
      <c r="F22" s="77">
        <v>15</v>
      </c>
      <c r="G22" s="77"/>
      <c r="H22" s="77"/>
      <c r="I22" s="77"/>
      <c r="J22" s="77"/>
      <c r="K22" s="77"/>
      <c r="L22" s="77">
        <f>SUM(E22:K22)</f>
        <v>15</v>
      </c>
      <c r="M22" s="77">
        <v>1</v>
      </c>
      <c r="N22" s="77">
        <f t="shared" si="0"/>
        <v>15</v>
      </c>
      <c r="O22" s="134">
        <f t="shared" si="2"/>
        <v>5.25</v>
      </c>
      <c r="P22" s="134">
        <f t="shared" si="3"/>
        <v>7.05</v>
      </c>
      <c r="Q22" s="160">
        <f t="shared" si="1"/>
        <v>0.2365625</v>
      </c>
      <c r="R22" s="161"/>
      <c r="S22" s="162"/>
      <c r="T22" s="162"/>
      <c r="U22" s="162"/>
      <c r="V22" s="162"/>
      <c r="W22" s="162"/>
    </row>
    <row r="23" s="34" customFormat="1" ht="16.5" customHeight="1" spans="1:23">
      <c r="A23" s="74">
        <f t="shared" si="4"/>
        <v>4</v>
      </c>
      <c r="B23" s="74">
        <f t="shared" si="5"/>
        <v>4</v>
      </c>
      <c r="C23" s="75" t="s">
        <v>47</v>
      </c>
      <c r="D23" s="76"/>
      <c r="E23" s="77"/>
      <c r="F23" s="77"/>
      <c r="G23" s="77">
        <v>11</v>
      </c>
      <c r="H23" s="77"/>
      <c r="I23" s="77"/>
      <c r="J23" s="77"/>
      <c r="K23" s="77"/>
      <c r="L23" s="77">
        <f t="shared" ref="L23" si="6">SUM(E23:K23)</f>
        <v>11</v>
      </c>
      <c r="M23" s="77">
        <v>1</v>
      </c>
      <c r="N23" s="77">
        <f t="shared" si="0"/>
        <v>11</v>
      </c>
      <c r="O23" s="134">
        <f t="shared" si="2"/>
        <v>3.85</v>
      </c>
      <c r="P23" s="134">
        <f t="shared" si="3"/>
        <v>5.65</v>
      </c>
      <c r="Q23" s="160">
        <f t="shared" si="1"/>
        <v>0.2365625</v>
      </c>
      <c r="R23" s="161"/>
      <c r="S23" s="162"/>
      <c r="T23" s="162"/>
      <c r="U23" s="162"/>
      <c r="V23" s="162"/>
      <c r="W23" s="162"/>
    </row>
    <row r="24" s="34" customFormat="1" ht="16.5" customHeight="1" spans="1:23">
      <c r="A24" s="74">
        <f t="shared" si="4"/>
        <v>5</v>
      </c>
      <c r="B24" s="74">
        <f t="shared" si="5"/>
        <v>5</v>
      </c>
      <c r="C24" s="75" t="s">
        <v>47</v>
      </c>
      <c r="D24" s="76"/>
      <c r="E24" s="77"/>
      <c r="F24" s="77"/>
      <c r="G24" s="77"/>
      <c r="H24" s="77">
        <v>3</v>
      </c>
      <c r="I24" s="77">
        <v>13</v>
      </c>
      <c r="J24" s="77"/>
      <c r="K24" s="77"/>
      <c r="L24" s="77">
        <f t="shared" ref="L24:L25" si="7">SUM(E24:K24)</f>
        <v>16</v>
      </c>
      <c r="M24" s="77">
        <v>1</v>
      </c>
      <c r="N24" s="77">
        <f t="shared" si="0"/>
        <v>16</v>
      </c>
      <c r="O24" s="134">
        <f t="shared" si="2"/>
        <v>6.4</v>
      </c>
      <c r="P24" s="134">
        <f t="shared" si="3"/>
        <v>8.2</v>
      </c>
      <c r="Q24" s="160">
        <f t="shared" si="1"/>
        <v>0.2365625</v>
      </c>
      <c r="R24" s="161"/>
      <c r="S24" s="162"/>
      <c r="T24" s="162"/>
      <c r="U24" s="162"/>
      <c r="V24" s="162"/>
      <c r="W24" s="162"/>
    </row>
    <row r="25" s="34" customFormat="1" ht="16.5" customHeight="1" spans="1:23">
      <c r="A25" s="74">
        <f t="shared" si="4"/>
        <v>6</v>
      </c>
      <c r="B25" s="74">
        <f t="shared" si="5"/>
        <v>6</v>
      </c>
      <c r="C25" s="75" t="s">
        <v>47</v>
      </c>
      <c r="D25" s="76"/>
      <c r="E25" s="77"/>
      <c r="F25" s="77"/>
      <c r="G25" s="77"/>
      <c r="H25" s="77">
        <v>4</v>
      </c>
      <c r="I25" s="77"/>
      <c r="J25" s="77">
        <v>12</v>
      </c>
      <c r="K25" s="77"/>
      <c r="L25" s="77">
        <f t="shared" si="7"/>
        <v>16</v>
      </c>
      <c r="M25" s="77">
        <v>1</v>
      </c>
      <c r="N25" s="77">
        <f t="shared" si="0"/>
        <v>16</v>
      </c>
      <c r="O25" s="134">
        <f t="shared" si="2"/>
        <v>6.4</v>
      </c>
      <c r="P25" s="134">
        <f t="shared" si="3"/>
        <v>8.2</v>
      </c>
      <c r="Q25" s="160">
        <f t="shared" si="1"/>
        <v>0.2365625</v>
      </c>
      <c r="R25" s="161"/>
      <c r="S25" s="162"/>
      <c r="T25" s="162"/>
      <c r="U25" s="162"/>
      <c r="V25" s="162"/>
      <c r="W25" s="162"/>
    </row>
    <row r="26" s="34" customFormat="1" ht="16.5" customHeight="1" spans="1:18">
      <c r="A26" s="79"/>
      <c r="B26" s="80"/>
      <c r="C26" s="81"/>
      <c r="D26" s="81"/>
      <c r="E26" s="82">
        <f t="shared" ref="E26:K26" si="8">SUM(E20:E25)</f>
        <v>0</v>
      </c>
      <c r="F26" s="135">
        <f t="shared" si="8"/>
        <v>15</v>
      </c>
      <c r="G26" s="82">
        <f t="shared" si="8"/>
        <v>27</v>
      </c>
      <c r="H26" s="82">
        <f t="shared" si="8"/>
        <v>23</v>
      </c>
      <c r="I26" s="82">
        <f t="shared" si="8"/>
        <v>13</v>
      </c>
      <c r="J26" s="82">
        <f t="shared" si="8"/>
        <v>12</v>
      </c>
      <c r="K26" s="82">
        <f t="shared" si="8"/>
        <v>0</v>
      </c>
      <c r="L26" s="82"/>
      <c r="M26" s="82">
        <f>SUM(M20:M25)</f>
        <v>6</v>
      </c>
      <c r="N26" s="82">
        <f>SUM(N20:N25)</f>
        <v>90</v>
      </c>
      <c r="O26" s="136">
        <f>SUM(O20:O25)</f>
        <v>33.9</v>
      </c>
      <c r="P26" s="137">
        <f>SUM(P20:P25)</f>
        <v>44.7</v>
      </c>
      <c r="Q26" s="163"/>
      <c r="R26" s="164"/>
    </row>
    <row r="27" s="37" customFormat="1" ht="13.5" spans="18:18">
      <c r="R27" s="39"/>
    </row>
    <row r="28" ht="15.75" spans="1:20">
      <c r="A28" s="83"/>
      <c r="B28" s="84"/>
      <c r="C28" s="84" t="s">
        <v>36</v>
      </c>
      <c r="D28" s="84"/>
      <c r="E28" s="84">
        <f>E26</f>
        <v>0</v>
      </c>
      <c r="F28" s="84">
        <f>F26</f>
        <v>15</v>
      </c>
      <c r="G28" s="84">
        <f t="shared" ref="G28:K28" si="9">G26</f>
        <v>27</v>
      </c>
      <c r="H28" s="84">
        <f t="shared" si="9"/>
        <v>23</v>
      </c>
      <c r="I28" s="84">
        <f t="shared" si="9"/>
        <v>13</v>
      </c>
      <c r="J28" s="84">
        <f t="shared" si="9"/>
        <v>12</v>
      </c>
      <c r="K28" s="84">
        <f t="shared" si="9"/>
        <v>0</v>
      </c>
      <c r="L28" s="84"/>
      <c r="M28" s="84">
        <f>M26</f>
        <v>6</v>
      </c>
      <c r="N28" s="84">
        <f>N26</f>
        <v>90</v>
      </c>
      <c r="O28" s="138">
        <f>O26</f>
        <v>33.9</v>
      </c>
      <c r="P28" s="139">
        <f>P26</f>
        <v>44.7</v>
      </c>
      <c r="T28"/>
    </row>
    <row r="29" ht="16.5" customHeight="1" spans="1:20">
      <c r="A29" s="85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140"/>
      <c r="P29" s="140"/>
      <c r="T29"/>
    </row>
    <row r="30" ht="18" customHeight="1" spans="5:20">
      <c r="E30" s="203"/>
      <c r="F30" s="203"/>
      <c r="G30" s="203"/>
      <c r="H30" s="203"/>
      <c r="I30" s="203"/>
      <c r="J30" s="203"/>
      <c r="K30" s="87"/>
      <c r="T30"/>
    </row>
    <row r="31" ht="13.5" spans="3:13">
      <c r="C31" s="89" t="s">
        <v>37</v>
      </c>
      <c r="D31" s="90"/>
      <c r="E31" s="90"/>
      <c r="F31" s="90"/>
      <c r="G31" s="90"/>
      <c r="H31" s="90"/>
      <c r="I31" s="90"/>
      <c r="J31" s="90"/>
      <c r="K31" s="90"/>
      <c r="L31" s="90"/>
      <c r="M31" s="141"/>
    </row>
    <row r="32" ht="17.25" customHeight="1" spans="3:18">
      <c r="C32" s="91" t="s">
        <v>38</v>
      </c>
      <c r="D32" s="92"/>
      <c r="E32" s="93" t="str">
        <f>C20</f>
        <v>MEDIUM WASH</v>
      </c>
      <c r="F32" s="94"/>
      <c r="G32" s="94"/>
      <c r="H32" s="94"/>
      <c r="I32" s="94"/>
      <c r="J32" s="94"/>
      <c r="K32" s="94"/>
      <c r="L32" s="142"/>
      <c r="M32" s="143" t="s">
        <v>39</v>
      </c>
      <c r="O32" s="144"/>
      <c r="P32" s="39"/>
      <c r="R32" s="38"/>
    </row>
    <row r="33" ht="17.25" customHeight="1" spans="3:18">
      <c r="C33" s="168"/>
      <c r="D33" s="169"/>
      <c r="E33" s="170" t="s">
        <v>23</v>
      </c>
      <c r="F33" s="171" t="s">
        <v>24</v>
      </c>
      <c r="G33" s="171" t="s">
        <v>25</v>
      </c>
      <c r="H33" s="171" t="s">
        <v>26</v>
      </c>
      <c r="I33" s="171" t="s">
        <v>27</v>
      </c>
      <c r="J33" s="171" t="s">
        <v>28</v>
      </c>
      <c r="K33" s="186" t="s">
        <v>29</v>
      </c>
      <c r="L33" s="187" t="s">
        <v>40</v>
      </c>
      <c r="M33" s="147"/>
      <c r="O33" s="144"/>
      <c r="P33" s="39"/>
      <c r="R33" s="38"/>
    </row>
    <row r="34" ht="15.75" customHeight="1" spans="3:18">
      <c r="C34" s="98" t="s">
        <v>41</v>
      </c>
      <c r="D34" s="172"/>
      <c r="E34" s="173"/>
      <c r="F34" s="174">
        <v>14</v>
      </c>
      <c r="G34" s="174">
        <v>29</v>
      </c>
      <c r="H34" s="174">
        <v>29</v>
      </c>
      <c r="I34" s="174">
        <v>14</v>
      </c>
      <c r="J34" s="174">
        <v>14</v>
      </c>
      <c r="K34" s="188"/>
      <c r="L34" s="189">
        <f>SUM(E34:K34)</f>
        <v>100</v>
      </c>
      <c r="M34" s="190">
        <f>+L36/L34*100-100</f>
        <v>-10</v>
      </c>
      <c r="N34" s="149"/>
      <c r="O34" s="150"/>
      <c r="P34" s="39"/>
      <c r="R34" s="38"/>
    </row>
    <row r="35" ht="15.75" customHeight="1" spans="3:18">
      <c r="C35" s="175" t="s">
        <v>42</v>
      </c>
      <c r="D35" s="176"/>
      <c r="E35" s="177"/>
      <c r="F35" s="178">
        <v>16</v>
      </c>
      <c r="G35" s="178">
        <v>30</v>
      </c>
      <c r="H35" s="178">
        <v>30</v>
      </c>
      <c r="I35" s="178">
        <v>15</v>
      </c>
      <c r="J35" s="178">
        <v>15</v>
      </c>
      <c r="K35" s="191"/>
      <c r="L35" s="192">
        <f>SUM(E35:K35)</f>
        <v>106</v>
      </c>
      <c r="M35" s="193"/>
      <c r="N35" s="149"/>
      <c r="O35" s="150"/>
      <c r="P35" s="39"/>
      <c r="R35" s="38"/>
    </row>
    <row r="36" ht="15.75" customHeight="1" spans="3:18">
      <c r="C36" s="179" t="s">
        <v>43</v>
      </c>
      <c r="D36" s="180"/>
      <c r="E36" s="181">
        <f>+E26</f>
        <v>0</v>
      </c>
      <c r="F36" s="204">
        <f>+F26</f>
        <v>15</v>
      </c>
      <c r="G36" s="204">
        <f>+G26</f>
        <v>27</v>
      </c>
      <c r="H36" s="182">
        <f t="shared" ref="H36:K36" si="10">+H26</f>
        <v>23</v>
      </c>
      <c r="I36" s="182">
        <f t="shared" si="10"/>
        <v>13</v>
      </c>
      <c r="J36" s="182">
        <f t="shared" si="10"/>
        <v>12</v>
      </c>
      <c r="K36" s="194">
        <f t="shared" si="10"/>
        <v>0</v>
      </c>
      <c r="L36" s="195">
        <f>SUM(E36:K36)</f>
        <v>90</v>
      </c>
      <c r="M36" s="193"/>
      <c r="N36" s="196"/>
      <c r="O36" s="197"/>
      <c r="P36" s="154"/>
      <c r="R36" s="38"/>
    </row>
    <row r="37" ht="15.75" customHeight="1" spans="3:18">
      <c r="C37" s="179" t="s">
        <v>44</v>
      </c>
      <c r="D37" s="180"/>
      <c r="E37" s="183">
        <f>+E35-E36</f>
        <v>0</v>
      </c>
      <c r="F37" s="184">
        <f t="shared" ref="F37:L37" si="11">+F35-F36</f>
        <v>1</v>
      </c>
      <c r="G37" s="185">
        <f t="shared" si="11"/>
        <v>3</v>
      </c>
      <c r="H37" s="184">
        <f t="shared" si="11"/>
        <v>7</v>
      </c>
      <c r="I37" s="184">
        <f t="shared" si="11"/>
        <v>2</v>
      </c>
      <c r="J37" s="184">
        <f t="shared" si="11"/>
        <v>3</v>
      </c>
      <c r="K37" s="198">
        <f t="shared" si="11"/>
        <v>0</v>
      </c>
      <c r="L37" s="12">
        <f t="shared" si="11"/>
        <v>16</v>
      </c>
      <c r="M37" s="199"/>
      <c r="N37" s="200" t="s">
        <v>45</v>
      </c>
      <c r="O37" s="157"/>
      <c r="P37" s="39"/>
      <c r="R37" s="38"/>
    </row>
    <row r="38" hidden="1" spans="3:11">
      <c r="C38" s="205" t="s">
        <v>39</v>
      </c>
      <c r="D38" s="205"/>
      <c r="E38" s="205"/>
      <c r="F38" s="206">
        <f>+F36/F34*100</f>
        <v>107.142857142857</v>
      </c>
      <c r="G38" s="206">
        <f t="shared" ref="G38:J38" si="12">+G36/G34*100</f>
        <v>93.1034482758621</v>
      </c>
      <c r="H38" s="206">
        <f t="shared" si="12"/>
        <v>79.3103448275862</v>
      </c>
      <c r="I38" s="206">
        <f t="shared" si="12"/>
        <v>92.8571428571429</v>
      </c>
      <c r="J38" s="206">
        <f t="shared" si="12"/>
        <v>85.7142857142857</v>
      </c>
      <c r="K38" s="205"/>
    </row>
    <row r="39" hidden="1" spans="3:12">
      <c r="C39" s="207" t="s">
        <v>48</v>
      </c>
      <c r="D39" s="207"/>
      <c r="E39" s="208"/>
      <c r="F39" s="208">
        <v>13</v>
      </c>
      <c r="G39" s="208">
        <v>26</v>
      </c>
      <c r="H39" s="208">
        <v>26</v>
      </c>
      <c r="I39" s="208">
        <v>14</v>
      </c>
      <c r="J39" s="208">
        <v>14</v>
      </c>
      <c r="K39" s="208"/>
      <c r="L39" s="38">
        <f>SUM(E39:K39)</f>
        <v>93</v>
      </c>
    </row>
    <row r="40" hidden="1" spans="3:12">
      <c r="C40" s="113" t="s">
        <v>49</v>
      </c>
      <c r="D40" s="113"/>
      <c r="E40" s="209"/>
      <c r="F40" s="113">
        <f>+F36-F39</f>
        <v>2</v>
      </c>
      <c r="G40" s="113">
        <f t="shared" ref="G40:J40" si="13">+G36-G39</f>
        <v>1</v>
      </c>
      <c r="H40" s="113">
        <f t="shared" si="13"/>
        <v>-3</v>
      </c>
      <c r="I40" s="113">
        <f t="shared" si="13"/>
        <v>-1</v>
      </c>
      <c r="J40" s="113">
        <f t="shared" si="13"/>
        <v>-2</v>
      </c>
      <c r="K40" s="209"/>
      <c r="L40" s="113">
        <f>SUM(F40:K40)</f>
        <v>-3</v>
      </c>
    </row>
    <row r="41" hidden="1"/>
  </sheetData>
  <mergeCells count="37">
    <mergeCell ref="A1:P1"/>
    <mergeCell ref="F10:P10"/>
    <mergeCell ref="F11:I11"/>
    <mergeCell ref="M12:P12"/>
    <mergeCell ref="F13:H13"/>
    <mergeCell ref="F14:H14"/>
    <mergeCell ref="Q14:S14"/>
    <mergeCell ref="F15:H15"/>
    <mergeCell ref="F16:H16"/>
    <mergeCell ref="A19:B19"/>
    <mergeCell ref="C19:D19"/>
    <mergeCell ref="C20:D20"/>
    <mergeCell ref="C21:D21"/>
    <mergeCell ref="C22:D22"/>
    <mergeCell ref="C23:D23"/>
    <mergeCell ref="C24:D24"/>
    <mergeCell ref="C25:D25"/>
    <mergeCell ref="C26:D26"/>
    <mergeCell ref="A28:B28"/>
    <mergeCell ref="C28:D28"/>
    <mergeCell ref="E30:J30"/>
    <mergeCell ref="C32:D32"/>
    <mergeCell ref="E32:L32"/>
    <mergeCell ref="C33:D33"/>
    <mergeCell ref="C34:D34"/>
    <mergeCell ref="N34:O34"/>
    <mergeCell ref="C35:D35"/>
    <mergeCell ref="C36:D36"/>
    <mergeCell ref="N36:O36"/>
    <mergeCell ref="C37:D37"/>
    <mergeCell ref="N37:O37"/>
    <mergeCell ref="C38:D38"/>
    <mergeCell ref="C39:D39"/>
    <mergeCell ref="C40:D40"/>
    <mergeCell ref="M32:M33"/>
    <mergeCell ref="M34:M37"/>
    <mergeCell ref="H3:K7"/>
  </mergeCells>
  <pageMargins left="0.275590551181102" right="0.354330708661417" top="0.433070866141732" bottom="0.15748031496063" header="0.15748031496063" footer="0.511811023622047"/>
  <pageSetup paperSize="9" scale="94" orientation="landscape"/>
  <headerFooter alignWithMargins="0">
    <oddHeader>&amp;C&amp;A</oddHeader>
    <oddFooter>&amp;R&amp;D&amp;T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W37"/>
  <sheetViews>
    <sheetView showGridLines="0" tabSelected="1" zoomScale="90" zoomScaleNormal="90" workbookViewId="0">
      <selection activeCell="T20" sqref="T20"/>
    </sheetView>
  </sheetViews>
  <sheetFormatPr defaultColWidth="9.14285714285714" defaultRowHeight="12.75"/>
  <cols>
    <col min="1" max="1" width="6.14285714285714" style="38" customWidth="1"/>
    <col min="2" max="2" width="7.42857142857143" style="38" customWidth="1"/>
    <col min="3" max="3" width="10.4285714285714" style="38" customWidth="1"/>
    <col min="4" max="4" width="14.7142857142857" style="38" customWidth="1"/>
    <col min="5" max="5" width="7.14285714285714" style="38" customWidth="1"/>
    <col min="6" max="10" width="7.57142857142857" style="38" customWidth="1"/>
    <col min="11" max="11" width="5.85714285714286" style="38" customWidth="1"/>
    <col min="12" max="12" width="9.57142857142857" style="38" customWidth="1"/>
    <col min="13" max="13" width="7.71428571428571" style="38" customWidth="1"/>
    <col min="14" max="14" width="9.14285714285714" style="38" customWidth="1"/>
    <col min="15" max="16" width="10.7142857142857" style="38" customWidth="1"/>
    <col min="17" max="17" width="6.42857142857143" style="38" hidden="1" customWidth="1"/>
    <col min="18" max="18" width="11.7142857142857" style="39" customWidth="1"/>
    <col min="19" max="19" width="9.14285714285714" style="38"/>
    <col min="20" max="20" width="12.4285714285714" style="38" customWidth="1"/>
    <col min="21" max="16384" width="9.14285714285714" style="38"/>
  </cols>
  <sheetData>
    <row r="1" ht="32.25" customHeight="1" spans="1:16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="34" customFormat="1" ht="15" customHeight="1" spans="1:18">
      <c r="A2" s="41" t="s">
        <v>1</v>
      </c>
      <c r="B2" s="42"/>
      <c r="C2" s="43"/>
      <c r="D2" s="43"/>
      <c r="E2" s="43"/>
      <c r="F2" s="43"/>
      <c r="G2" s="43"/>
      <c r="H2" s="44"/>
      <c r="I2" s="43"/>
      <c r="J2" s="43"/>
      <c r="K2" s="43"/>
      <c r="L2" s="114"/>
      <c r="M2" s="115"/>
      <c r="N2" s="43"/>
      <c r="O2" s="116"/>
      <c r="P2" s="117"/>
      <c r="R2" s="46"/>
    </row>
    <row r="3" s="34" customFormat="1" ht="15" customHeight="1" spans="1:18">
      <c r="A3" s="45" t="s">
        <v>2</v>
      </c>
      <c r="B3" s="46"/>
      <c r="H3" s="47"/>
      <c r="I3" s="118"/>
      <c r="J3" s="118"/>
      <c r="K3" s="118"/>
      <c r="L3" s="119"/>
      <c r="M3" s="120"/>
      <c r="P3" s="121"/>
      <c r="R3" s="46"/>
    </row>
    <row r="4" s="34" customFormat="1" ht="15" customHeight="1" spans="1:18">
      <c r="A4" s="45" t="s">
        <v>3</v>
      </c>
      <c r="B4" s="46"/>
      <c r="H4" s="47"/>
      <c r="I4" s="118"/>
      <c r="J4" s="118"/>
      <c r="K4" s="118"/>
      <c r="L4" s="119"/>
      <c r="M4" s="122"/>
      <c r="P4" s="121"/>
      <c r="R4" s="46"/>
    </row>
    <row r="5" s="34" customFormat="1" ht="15" customHeight="1" spans="1:18">
      <c r="A5" s="48" t="s">
        <v>4</v>
      </c>
      <c r="B5" s="46"/>
      <c r="H5" s="47"/>
      <c r="I5" s="118"/>
      <c r="J5" s="118"/>
      <c r="K5" s="118"/>
      <c r="L5" s="119"/>
      <c r="M5" s="122"/>
      <c r="P5" s="121"/>
      <c r="R5" s="46"/>
    </row>
    <row r="6" s="34" customFormat="1" ht="15" customHeight="1" spans="1:18">
      <c r="A6" s="45" t="s">
        <v>5</v>
      </c>
      <c r="B6" s="46"/>
      <c r="H6" s="47"/>
      <c r="I6" s="118"/>
      <c r="J6" s="118"/>
      <c r="K6" s="118"/>
      <c r="L6" s="119"/>
      <c r="M6" s="122"/>
      <c r="P6" s="121"/>
      <c r="R6" s="46"/>
    </row>
    <row r="7" s="34" customFormat="1" ht="15" customHeight="1" spans="1:18">
      <c r="A7" s="45" t="s">
        <v>6</v>
      </c>
      <c r="B7" s="46"/>
      <c r="H7" s="47"/>
      <c r="I7" s="118"/>
      <c r="J7" s="118"/>
      <c r="K7" s="118"/>
      <c r="L7" s="119"/>
      <c r="M7" s="122"/>
      <c r="P7" s="121"/>
      <c r="R7" s="46"/>
    </row>
    <row r="8" s="34" customFormat="1" ht="12" customHeight="1" spans="1:18">
      <c r="A8" s="49"/>
      <c r="B8" s="50"/>
      <c r="C8" s="51"/>
      <c r="D8" s="51"/>
      <c r="E8" s="51"/>
      <c r="F8" s="51"/>
      <c r="G8" s="51"/>
      <c r="H8" s="52"/>
      <c r="I8" s="123"/>
      <c r="J8" s="124"/>
      <c r="K8" s="124"/>
      <c r="L8" s="124"/>
      <c r="M8" s="125"/>
      <c r="N8" s="51"/>
      <c r="O8" s="51"/>
      <c r="P8" s="126"/>
      <c r="R8" s="46"/>
    </row>
    <row r="9" s="34" customFormat="1" ht="21" customHeight="1" spans="1:18">
      <c r="A9" s="53"/>
      <c r="B9" s="50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126"/>
      <c r="R9" s="46"/>
    </row>
    <row r="10" s="35" customFormat="1" ht="15" customHeight="1" spans="1:18">
      <c r="A10" s="54" t="s">
        <v>7</v>
      </c>
      <c r="B10" s="42"/>
      <c r="C10" s="43"/>
      <c r="D10" s="43" t="s">
        <v>8</v>
      </c>
      <c r="E10" s="43"/>
      <c r="F10" s="201" t="s">
        <v>50</v>
      </c>
      <c r="G10" s="55" t="s">
        <v>10</v>
      </c>
      <c r="H10" s="55" t="s">
        <v>10</v>
      </c>
      <c r="I10" s="55" t="s">
        <v>10</v>
      </c>
      <c r="J10" s="55" t="s">
        <v>10</v>
      </c>
      <c r="K10" s="55" t="s">
        <v>10</v>
      </c>
      <c r="L10" s="55" t="s">
        <v>10</v>
      </c>
      <c r="M10" s="55" t="s">
        <v>10</v>
      </c>
      <c r="N10" s="55" t="s">
        <v>10</v>
      </c>
      <c r="O10" s="55" t="s">
        <v>10</v>
      </c>
      <c r="P10" s="127" t="s">
        <v>10</v>
      </c>
      <c r="R10" s="158"/>
    </row>
    <row r="11" s="34" customFormat="1" ht="15" customHeight="1" spans="1:18">
      <c r="A11" s="56" t="s">
        <v>11</v>
      </c>
      <c r="B11" s="46"/>
      <c r="D11" s="57" t="s">
        <v>8</v>
      </c>
      <c r="E11" s="57"/>
      <c r="F11" s="58" t="s">
        <v>51</v>
      </c>
      <c r="G11" s="59"/>
      <c r="H11" s="59"/>
      <c r="I11" s="59"/>
      <c r="P11" s="121"/>
      <c r="R11" s="46"/>
    </row>
    <row r="12" s="34" customFormat="1" ht="15" customHeight="1" spans="1:18">
      <c r="A12" s="56" t="s">
        <v>13</v>
      </c>
      <c r="B12" s="46"/>
      <c r="D12" s="34" t="s">
        <v>8</v>
      </c>
      <c r="F12" s="60"/>
      <c r="G12" s="60"/>
      <c r="H12" s="60"/>
      <c r="I12" s="60"/>
      <c r="L12" s="128"/>
      <c r="M12" s="129" t="s">
        <v>52</v>
      </c>
      <c r="N12" s="129"/>
      <c r="O12" s="129"/>
      <c r="P12" s="130"/>
      <c r="R12" s="46"/>
    </row>
    <row r="13" s="34" customFormat="1" ht="15" customHeight="1" spans="1:18">
      <c r="A13" s="56" t="s">
        <v>15</v>
      </c>
      <c r="B13" s="46"/>
      <c r="D13" s="34" t="s">
        <v>8</v>
      </c>
      <c r="F13" s="202">
        <f>+N25</f>
        <v>35</v>
      </c>
      <c r="G13" s="46"/>
      <c r="H13" s="46"/>
      <c r="P13" s="121"/>
      <c r="R13" s="46"/>
    </row>
    <row r="14" s="34" customFormat="1" ht="15" customHeight="1" spans="1:19">
      <c r="A14" s="56" t="s">
        <v>16</v>
      </c>
      <c r="B14" s="46"/>
      <c r="D14" s="34" t="s">
        <v>8</v>
      </c>
      <c r="F14" s="61">
        <f>+M25</f>
        <v>3</v>
      </c>
      <c r="G14" s="61"/>
      <c r="H14" s="61"/>
      <c r="P14" s="121"/>
      <c r="Q14" s="159"/>
      <c r="R14" s="159"/>
      <c r="S14" s="159"/>
    </row>
    <row r="15" s="34" customFormat="1" ht="15" customHeight="1" spans="1:18">
      <c r="A15" s="62" t="s">
        <v>17</v>
      </c>
      <c r="B15" s="46"/>
      <c r="D15" s="34" t="s">
        <v>8</v>
      </c>
      <c r="F15" s="63" t="s">
        <v>18</v>
      </c>
      <c r="G15" s="64"/>
      <c r="H15" s="64"/>
      <c r="P15" s="121"/>
      <c r="R15" s="46"/>
    </row>
    <row r="16" s="34" customFormat="1" ht="15" customHeight="1" spans="1:18">
      <c r="A16" s="53" t="s">
        <v>19</v>
      </c>
      <c r="B16" s="50" t="s">
        <v>20</v>
      </c>
      <c r="C16" s="51"/>
      <c r="D16" s="51" t="s">
        <v>8</v>
      </c>
      <c r="E16" s="51"/>
      <c r="F16" s="65">
        <v>4999</v>
      </c>
      <c r="G16" s="65"/>
      <c r="H16" s="65"/>
      <c r="I16" s="51"/>
      <c r="J16" s="51"/>
      <c r="K16" s="51"/>
      <c r="L16" s="51"/>
      <c r="M16" s="51"/>
      <c r="N16" s="51"/>
      <c r="O16" s="51"/>
      <c r="P16" s="126"/>
      <c r="R16" s="46"/>
    </row>
    <row r="17" s="34" customFormat="1" ht="9" customHeight="1" spans="1:18">
      <c r="A17" s="44"/>
      <c r="B17" s="66"/>
      <c r="C17" s="67"/>
      <c r="D17" s="67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131"/>
      <c r="R17" s="46"/>
    </row>
    <row r="18" s="34" customFormat="1" ht="9" customHeight="1" spans="1:18">
      <c r="A18" s="68"/>
      <c r="C18" s="69"/>
      <c r="D18" s="69"/>
      <c r="P18" s="121"/>
      <c r="R18" s="46"/>
    </row>
    <row r="19" s="36" customFormat="1" ht="34.5" customHeight="1" spans="1:18">
      <c r="A19" s="70" t="s">
        <v>21</v>
      </c>
      <c r="B19" s="71"/>
      <c r="C19" s="72" t="s">
        <v>22</v>
      </c>
      <c r="D19" s="72"/>
      <c r="E19" s="73" t="s">
        <v>23</v>
      </c>
      <c r="F19" s="73" t="s">
        <v>24</v>
      </c>
      <c r="G19" s="73" t="s">
        <v>25</v>
      </c>
      <c r="H19" s="73" t="s">
        <v>26</v>
      </c>
      <c r="I19" s="73" t="s">
        <v>27</v>
      </c>
      <c r="J19" s="73" t="s">
        <v>28</v>
      </c>
      <c r="K19" s="73" t="s">
        <v>29</v>
      </c>
      <c r="L19" s="132" t="s">
        <v>30</v>
      </c>
      <c r="M19" s="132" t="s">
        <v>31</v>
      </c>
      <c r="N19" s="132" t="s">
        <v>32</v>
      </c>
      <c r="O19" s="71" t="s">
        <v>33</v>
      </c>
      <c r="P19" s="133" t="s">
        <v>34</v>
      </c>
      <c r="R19" s="46"/>
    </row>
    <row r="20" s="34" customFormat="1" ht="16.5" customHeight="1" spans="1:23">
      <c r="A20" s="74">
        <v>1</v>
      </c>
      <c r="B20" s="74">
        <f>+M20</f>
        <v>1</v>
      </c>
      <c r="C20" s="75" t="s">
        <v>53</v>
      </c>
      <c r="D20" s="76"/>
      <c r="E20" s="77"/>
      <c r="F20" s="77">
        <v>5</v>
      </c>
      <c r="G20" s="77"/>
      <c r="H20" s="77"/>
      <c r="I20" s="77"/>
      <c r="J20" s="77"/>
      <c r="K20" s="77"/>
      <c r="L20" s="78">
        <f>SUM(E20:K20)</f>
        <v>5</v>
      </c>
      <c r="M20" s="77">
        <v>1</v>
      </c>
      <c r="N20" s="77">
        <f t="shared" ref="N20:N22" si="0">+L20*M20</f>
        <v>5</v>
      </c>
      <c r="O20" s="134">
        <f>F20*0.3+G20*0.315+H20*0.325+I20*0.335+J20*0.35</f>
        <v>1.5</v>
      </c>
      <c r="P20" s="134">
        <f t="shared" ref="P20:P22" si="1">1.8+O20</f>
        <v>3.3</v>
      </c>
      <c r="Q20" s="160">
        <f t="shared" ref="Q20:Q22" si="2">7.57/32</f>
        <v>0.2365625</v>
      </c>
      <c r="R20" s="161"/>
      <c r="S20" s="162"/>
      <c r="T20" s="162"/>
      <c r="U20" s="162"/>
      <c r="V20" s="162"/>
      <c r="W20" s="162"/>
    </row>
    <row r="21" s="34" customFormat="1" ht="16.5" customHeight="1" spans="1:23">
      <c r="A21" s="74">
        <f t="shared" ref="A21" si="3">B20+1</f>
        <v>2</v>
      </c>
      <c r="B21" s="74">
        <f t="shared" ref="B21" si="4">+B20+M21</f>
        <v>2</v>
      </c>
      <c r="C21" s="75" t="s">
        <v>53</v>
      </c>
      <c r="D21" s="76"/>
      <c r="E21" s="77"/>
      <c r="F21" s="77"/>
      <c r="G21" s="77">
        <v>11</v>
      </c>
      <c r="H21" s="77"/>
      <c r="I21" s="77">
        <v>4</v>
      </c>
      <c r="J21" s="77"/>
      <c r="K21" s="77"/>
      <c r="L21" s="77">
        <f t="shared" ref="L21:L22" si="5">SUM(E21:K21)</f>
        <v>15</v>
      </c>
      <c r="M21" s="77">
        <v>1</v>
      </c>
      <c r="N21" s="77">
        <f t="shared" si="0"/>
        <v>15</v>
      </c>
      <c r="O21" s="134">
        <f>F21*0.3+G21*0.315+H21*0.325+I21*0.335+J21*0.35</f>
        <v>4.805</v>
      </c>
      <c r="P21" s="134">
        <f t="shared" si="1"/>
        <v>6.605</v>
      </c>
      <c r="Q21" s="160">
        <f t="shared" si="2"/>
        <v>0.2365625</v>
      </c>
      <c r="R21" s="161"/>
      <c r="S21" s="162"/>
      <c r="T21" s="162"/>
      <c r="U21" s="162"/>
      <c r="V21" s="162"/>
      <c r="W21" s="162"/>
    </row>
    <row r="22" s="34" customFormat="1" ht="16.5" customHeight="1" spans="1:23">
      <c r="A22" s="74">
        <f t="shared" ref="A22" si="6">B21+1</f>
        <v>3</v>
      </c>
      <c r="B22" s="74">
        <f t="shared" ref="B22" si="7">+B21+M22</f>
        <v>3</v>
      </c>
      <c r="C22" s="75" t="s">
        <v>53</v>
      </c>
      <c r="D22" s="76"/>
      <c r="E22" s="77"/>
      <c r="F22" s="77"/>
      <c r="G22" s="77"/>
      <c r="H22" s="77">
        <v>11</v>
      </c>
      <c r="I22" s="77"/>
      <c r="J22" s="77">
        <v>4</v>
      </c>
      <c r="K22" s="77"/>
      <c r="L22" s="77">
        <f t="shared" si="5"/>
        <v>15</v>
      </c>
      <c r="M22" s="77">
        <v>1</v>
      </c>
      <c r="N22" s="77">
        <f t="shared" si="0"/>
        <v>15</v>
      </c>
      <c r="O22" s="134">
        <f>F22*0.3+G22*0.315+H22*0.325+I22*0.335+J22*0.35</f>
        <v>4.975</v>
      </c>
      <c r="P22" s="134">
        <f t="shared" si="1"/>
        <v>6.775</v>
      </c>
      <c r="Q22" s="160">
        <f t="shared" si="2"/>
        <v>0.2365625</v>
      </c>
      <c r="R22" s="161"/>
      <c r="S22" s="162"/>
      <c r="T22" s="162"/>
      <c r="U22" s="162"/>
      <c r="V22" s="162"/>
      <c r="W22" s="162"/>
    </row>
    <row r="23" s="34" customFormat="1" ht="16.5" customHeight="1" spans="1:18">
      <c r="A23" s="79"/>
      <c r="B23" s="80"/>
      <c r="C23" s="81"/>
      <c r="D23" s="81"/>
      <c r="E23" s="82">
        <f t="shared" ref="E23:K23" si="8">SUM(E20:E22)</f>
        <v>0</v>
      </c>
      <c r="F23" s="82">
        <f t="shared" si="8"/>
        <v>5</v>
      </c>
      <c r="G23" s="82">
        <f t="shared" si="8"/>
        <v>11</v>
      </c>
      <c r="H23" s="82">
        <f t="shared" si="8"/>
        <v>11</v>
      </c>
      <c r="I23" s="82">
        <f t="shared" si="8"/>
        <v>4</v>
      </c>
      <c r="J23" s="82">
        <f t="shared" si="8"/>
        <v>4</v>
      </c>
      <c r="K23" s="82">
        <f t="shared" si="8"/>
        <v>0</v>
      </c>
      <c r="L23" s="82"/>
      <c r="M23" s="82">
        <f>SUM(M20:M22)</f>
        <v>3</v>
      </c>
      <c r="N23" s="82">
        <f>SUM(N20:N22)</f>
        <v>35</v>
      </c>
      <c r="O23" s="136">
        <f>SUM(O20:O22)</f>
        <v>11.28</v>
      </c>
      <c r="P23" s="137">
        <f>SUM(P20:P22)</f>
        <v>16.68</v>
      </c>
      <c r="Q23" s="163"/>
      <c r="R23" s="164"/>
    </row>
    <row r="24" s="37" customFormat="1" ht="13.5" spans="18:18">
      <c r="R24" s="39"/>
    </row>
    <row r="25" ht="15.75" spans="1:20">
      <c r="A25" s="83"/>
      <c r="B25" s="84"/>
      <c r="C25" s="84" t="s">
        <v>36</v>
      </c>
      <c r="D25" s="84"/>
      <c r="E25" s="84">
        <f>E23</f>
        <v>0</v>
      </c>
      <c r="F25" s="84">
        <f>F23</f>
        <v>5</v>
      </c>
      <c r="G25" s="84">
        <f t="shared" ref="G25:K25" si="9">G23</f>
        <v>11</v>
      </c>
      <c r="H25" s="84">
        <f t="shared" si="9"/>
        <v>11</v>
      </c>
      <c r="I25" s="84">
        <f t="shared" si="9"/>
        <v>4</v>
      </c>
      <c r="J25" s="84">
        <f t="shared" si="9"/>
        <v>4</v>
      </c>
      <c r="K25" s="84">
        <f t="shared" si="9"/>
        <v>0</v>
      </c>
      <c r="L25" s="84"/>
      <c r="M25" s="84">
        <f>M23</f>
        <v>3</v>
      </c>
      <c r="N25" s="84">
        <f>N23</f>
        <v>35</v>
      </c>
      <c r="O25" s="138">
        <f>O23</f>
        <v>11.28</v>
      </c>
      <c r="P25" s="139">
        <f>P23</f>
        <v>16.68</v>
      </c>
      <c r="T25"/>
    </row>
    <row r="26" ht="16.5" customHeight="1" spans="1:20">
      <c r="A26" s="85"/>
      <c r="B26" s="86"/>
      <c r="C26" s="86"/>
      <c r="D26" s="86"/>
      <c r="E26" s="86"/>
      <c r="F26" s="86">
        <v>11</v>
      </c>
      <c r="G26" s="86">
        <v>8</v>
      </c>
      <c r="H26" s="86">
        <v>8</v>
      </c>
      <c r="I26" s="86">
        <v>3</v>
      </c>
      <c r="J26" s="86">
        <v>3</v>
      </c>
      <c r="K26" s="86"/>
      <c r="L26" s="86"/>
      <c r="M26" s="86"/>
      <c r="N26" s="86"/>
      <c r="O26" s="140"/>
      <c r="P26" s="140"/>
      <c r="T26"/>
    </row>
    <row r="27" ht="18" customHeight="1" spans="5:20">
      <c r="E27" s="87"/>
      <c r="F27" s="88">
        <f>+F26-F25</f>
        <v>6</v>
      </c>
      <c r="G27" s="88">
        <f>+G26-G25</f>
        <v>-3</v>
      </c>
      <c r="H27" s="88">
        <f>+H26-H25</f>
        <v>-3</v>
      </c>
      <c r="I27" s="88">
        <f>+I26-I25</f>
        <v>-1</v>
      </c>
      <c r="J27" s="88">
        <f>+J26-J25</f>
        <v>-1</v>
      </c>
      <c r="K27" s="87"/>
      <c r="T27"/>
    </row>
    <row r="28" ht="13.5" spans="3:13">
      <c r="C28" s="89" t="s">
        <v>37</v>
      </c>
      <c r="D28" s="90"/>
      <c r="E28" s="90"/>
      <c r="F28" s="90"/>
      <c r="G28" s="90"/>
      <c r="H28" s="90"/>
      <c r="I28" s="90"/>
      <c r="J28" s="90"/>
      <c r="K28" s="90"/>
      <c r="L28" s="90"/>
      <c r="M28" s="141"/>
    </row>
    <row r="29" ht="17.25" customHeight="1" spans="3:18">
      <c r="C29" s="91" t="s">
        <v>38</v>
      </c>
      <c r="D29" s="92"/>
      <c r="E29" s="93" t="str">
        <f>+C20</f>
        <v>BLACK</v>
      </c>
      <c r="F29" s="94"/>
      <c r="G29" s="94"/>
      <c r="H29" s="94"/>
      <c r="I29" s="94"/>
      <c r="J29" s="94"/>
      <c r="K29" s="94"/>
      <c r="L29" s="142"/>
      <c r="M29" s="143" t="s">
        <v>39</v>
      </c>
      <c r="O29" s="144"/>
      <c r="P29" s="39"/>
      <c r="R29" s="38"/>
    </row>
    <row r="30" ht="17.25" customHeight="1" spans="3:18">
      <c r="C30" s="95"/>
      <c r="D30" s="96"/>
      <c r="E30" s="97" t="s">
        <v>23</v>
      </c>
      <c r="F30" s="73" t="s">
        <v>24</v>
      </c>
      <c r="G30" s="73" t="s">
        <v>25</v>
      </c>
      <c r="H30" s="73" t="s">
        <v>26</v>
      </c>
      <c r="I30" s="73" t="s">
        <v>27</v>
      </c>
      <c r="J30" s="73" t="s">
        <v>28</v>
      </c>
      <c r="K30" s="145" t="s">
        <v>29</v>
      </c>
      <c r="L30" s="146" t="s">
        <v>40</v>
      </c>
      <c r="M30" s="147"/>
      <c r="O30" s="144"/>
      <c r="P30" s="39"/>
      <c r="R30" s="38"/>
    </row>
    <row r="31" ht="15.75" customHeight="1" spans="3:18">
      <c r="C31" s="98" t="s">
        <v>41</v>
      </c>
      <c r="D31" s="99"/>
      <c r="E31" s="100"/>
      <c r="F31" s="100">
        <v>12</v>
      </c>
      <c r="G31" s="100">
        <v>25</v>
      </c>
      <c r="H31" s="100">
        <v>24</v>
      </c>
      <c r="I31" s="100">
        <v>12</v>
      </c>
      <c r="J31" s="100">
        <v>12</v>
      </c>
      <c r="K31" s="100"/>
      <c r="L31" s="99">
        <f>SUM(E31:K31)</f>
        <v>85</v>
      </c>
      <c r="M31" s="148">
        <f>+L33/L31*100-100</f>
        <v>-58.8235294117647</v>
      </c>
      <c r="N31" s="149"/>
      <c r="O31" s="150"/>
      <c r="P31" s="39"/>
      <c r="R31" s="38"/>
    </row>
    <row r="32" ht="15.75" customHeight="1" spans="3:18">
      <c r="C32" s="101" t="s">
        <v>42</v>
      </c>
      <c r="D32" s="102"/>
      <c r="E32" s="103"/>
      <c r="F32" s="104">
        <v>12</v>
      </c>
      <c r="G32" s="77">
        <v>11</v>
      </c>
      <c r="H32" s="104">
        <v>11</v>
      </c>
      <c r="I32" s="104">
        <v>4</v>
      </c>
      <c r="J32" s="104">
        <v>4</v>
      </c>
      <c r="K32" s="104"/>
      <c r="L32" s="102">
        <f>SUM(E32:K32)</f>
        <v>42</v>
      </c>
      <c r="M32" s="151"/>
      <c r="N32" s="149"/>
      <c r="O32" s="150"/>
      <c r="P32" s="39"/>
      <c r="R32" s="38"/>
    </row>
    <row r="33" ht="15.75" customHeight="1" spans="3:18">
      <c r="C33" s="101" t="s">
        <v>43</v>
      </c>
      <c r="D33" s="102"/>
      <c r="E33" s="77"/>
      <c r="F33" s="77">
        <f>+F23</f>
        <v>5</v>
      </c>
      <c r="G33" s="77">
        <f>+G23</f>
        <v>11</v>
      </c>
      <c r="H33" s="77">
        <f t="shared" ref="H33:K33" si="10">+H23</f>
        <v>11</v>
      </c>
      <c r="I33" s="77">
        <f t="shared" si="10"/>
        <v>4</v>
      </c>
      <c r="J33" s="77">
        <f t="shared" si="10"/>
        <v>4</v>
      </c>
      <c r="K33" s="77">
        <f t="shared" si="10"/>
        <v>0</v>
      </c>
      <c r="L33" s="152">
        <f>SUM(E33:K33)</f>
        <v>35</v>
      </c>
      <c r="M33" s="151"/>
      <c r="N33" s="153"/>
      <c r="O33" s="153"/>
      <c r="P33" s="154"/>
      <c r="R33" s="38"/>
    </row>
    <row r="34" ht="15.75" customHeight="1" spans="3:18">
      <c r="C34" s="105" t="s">
        <v>44</v>
      </c>
      <c r="D34" s="106"/>
      <c r="E34" s="107"/>
      <c r="F34" s="107">
        <f t="shared" ref="F34:L34" si="11">+F32-F33</f>
        <v>7</v>
      </c>
      <c r="G34" s="108">
        <f t="shared" si="11"/>
        <v>0</v>
      </c>
      <c r="H34" s="107">
        <f t="shared" si="11"/>
        <v>0</v>
      </c>
      <c r="I34" s="107">
        <f t="shared" si="11"/>
        <v>0</v>
      </c>
      <c r="J34" s="107">
        <f t="shared" si="11"/>
        <v>0</v>
      </c>
      <c r="K34" s="107">
        <f t="shared" si="11"/>
        <v>0</v>
      </c>
      <c r="L34" s="106">
        <f t="shared" si="11"/>
        <v>7</v>
      </c>
      <c r="M34" s="155"/>
      <c r="N34" s="156" t="s">
        <v>54</v>
      </c>
      <c r="O34" s="157"/>
      <c r="P34" s="39"/>
      <c r="R34" s="38"/>
    </row>
    <row r="35" hidden="1" spans="3:11">
      <c r="C35" s="87" t="s">
        <v>39</v>
      </c>
      <c r="D35" s="109"/>
      <c r="E35" s="110"/>
      <c r="F35" s="111">
        <f>+F33/F31*100</f>
        <v>41.6666666666667</v>
      </c>
      <c r="G35" s="111">
        <f t="shared" ref="G35:J35" si="12">+G33/G31*100</f>
        <v>44</v>
      </c>
      <c r="H35" s="111">
        <f t="shared" si="12"/>
        <v>45.8333333333333</v>
      </c>
      <c r="I35" s="111">
        <f t="shared" si="12"/>
        <v>33.3333333333333</v>
      </c>
      <c r="J35" s="111">
        <f t="shared" si="12"/>
        <v>33.3333333333333</v>
      </c>
      <c r="K35" s="110"/>
    </row>
    <row r="36" hidden="1" spans="3:12">
      <c r="C36" s="112" t="s">
        <v>48</v>
      </c>
      <c r="D36" s="112"/>
      <c r="E36" s="112"/>
      <c r="F36" s="112">
        <v>16</v>
      </c>
      <c r="G36" s="112">
        <v>29</v>
      </c>
      <c r="H36" s="112">
        <v>29</v>
      </c>
      <c r="I36" s="112">
        <v>15</v>
      </c>
      <c r="J36" s="112">
        <v>15</v>
      </c>
      <c r="K36" s="112"/>
      <c r="L36" s="112">
        <f>SUM(F36:K36)</f>
        <v>104</v>
      </c>
    </row>
    <row r="37" hidden="1" spans="3:12">
      <c r="C37" s="113" t="s">
        <v>49</v>
      </c>
      <c r="D37" s="113"/>
      <c r="E37" s="113"/>
      <c r="F37" s="113">
        <f>+F36-F33</f>
        <v>11</v>
      </c>
      <c r="G37" s="113">
        <f t="shared" ref="G37:J37" si="13">+G36-G33</f>
        <v>18</v>
      </c>
      <c r="H37" s="113">
        <f t="shared" si="13"/>
        <v>18</v>
      </c>
      <c r="I37" s="113">
        <f t="shared" si="13"/>
        <v>11</v>
      </c>
      <c r="J37" s="113">
        <f t="shared" si="13"/>
        <v>11</v>
      </c>
      <c r="K37" s="113"/>
      <c r="L37" s="113">
        <f>SUM(F37:K37)</f>
        <v>69</v>
      </c>
    </row>
  </sheetData>
  <mergeCells count="33">
    <mergeCell ref="A1:P1"/>
    <mergeCell ref="F10:P10"/>
    <mergeCell ref="F11:I11"/>
    <mergeCell ref="M12:P12"/>
    <mergeCell ref="F13:H13"/>
    <mergeCell ref="F14:H14"/>
    <mergeCell ref="Q14:S14"/>
    <mergeCell ref="F15:H15"/>
    <mergeCell ref="F16:H16"/>
    <mergeCell ref="A19:B19"/>
    <mergeCell ref="C19:D19"/>
    <mergeCell ref="C20:D20"/>
    <mergeCell ref="C21:D21"/>
    <mergeCell ref="C22:D22"/>
    <mergeCell ref="C23:D23"/>
    <mergeCell ref="A25:B25"/>
    <mergeCell ref="C25:D25"/>
    <mergeCell ref="C29:D29"/>
    <mergeCell ref="E29:L29"/>
    <mergeCell ref="C30:D30"/>
    <mergeCell ref="C31:D31"/>
    <mergeCell ref="N31:O31"/>
    <mergeCell ref="C32:D32"/>
    <mergeCell ref="C33:D33"/>
    <mergeCell ref="N33:O33"/>
    <mergeCell ref="C34:D34"/>
    <mergeCell ref="N34:O34"/>
    <mergeCell ref="C35:D35"/>
    <mergeCell ref="C36:D36"/>
    <mergeCell ref="C37:D37"/>
    <mergeCell ref="M29:M30"/>
    <mergeCell ref="M31:M34"/>
    <mergeCell ref="H3:K7"/>
  </mergeCells>
  <pageMargins left="0.275590551181102" right="0.354330708661417" top="0.433070866141732" bottom="0.15748031496063" header="0.15748031496063" footer="0.511811023622047"/>
  <pageSetup paperSize="9" scale="96" orientation="landscape"/>
  <headerFooter alignWithMargins="0">
    <oddHeader>&amp;C&amp;A</oddHeader>
    <oddFooter>&amp;R&amp;D&amp;T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P24" sqref="P24"/>
    </sheetView>
  </sheetViews>
  <sheetFormatPr defaultColWidth="9" defaultRowHeight="12.75"/>
  <sheetData/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W41"/>
  <sheetViews>
    <sheetView showGridLines="0" zoomScale="90" zoomScaleNormal="90" topLeftCell="A4" workbookViewId="0">
      <selection activeCell="F31" sqref="F31:H31"/>
    </sheetView>
  </sheetViews>
  <sheetFormatPr defaultColWidth="9.14285714285714" defaultRowHeight="12.75"/>
  <cols>
    <col min="1" max="1" width="6.14285714285714" style="38" customWidth="1"/>
    <col min="2" max="2" width="7.42857142857143" style="38" customWidth="1"/>
    <col min="3" max="3" width="10.4285714285714" style="38" customWidth="1"/>
    <col min="4" max="4" width="11.2857142857143" style="38" customWidth="1"/>
    <col min="5" max="5" width="7.14285714285714" style="38" customWidth="1"/>
    <col min="6" max="10" width="7.57142857142857" style="38" customWidth="1"/>
    <col min="11" max="11" width="5.85714285714286" style="38" customWidth="1"/>
    <col min="12" max="12" width="9.57142857142857" style="38" customWidth="1"/>
    <col min="13" max="13" width="7.71428571428571" style="38" customWidth="1"/>
    <col min="14" max="14" width="9.14285714285714" style="38" customWidth="1"/>
    <col min="15" max="16" width="10.7142857142857" style="38" customWidth="1"/>
    <col min="17" max="17" width="6.42857142857143" style="38" hidden="1" customWidth="1"/>
    <col min="18" max="18" width="11.7142857142857" style="39" customWidth="1"/>
    <col min="19" max="19" width="9.14285714285714" style="38"/>
    <col min="20" max="20" width="12.4285714285714" style="38" customWidth="1"/>
    <col min="21" max="16384" width="9.14285714285714" style="38"/>
  </cols>
  <sheetData>
    <row r="1" ht="32.25" customHeight="1" spans="1:16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="34" customFormat="1" ht="15" customHeight="1" spans="1:18">
      <c r="A2" s="41" t="s">
        <v>1</v>
      </c>
      <c r="B2" s="42"/>
      <c r="C2" s="43"/>
      <c r="D2" s="43"/>
      <c r="E2" s="43"/>
      <c r="F2" s="43"/>
      <c r="G2" s="43"/>
      <c r="H2" s="44"/>
      <c r="I2" s="43"/>
      <c r="J2" s="43"/>
      <c r="K2" s="43"/>
      <c r="L2" s="114"/>
      <c r="M2" s="115"/>
      <c r="N2" s="43"/>
      <c r="O2" s="116"/>
      <c r="P2" s="117"/>
      <c r="R2" s="46"/>
    </row>
    <row r="3" s="34" customFormat="1" ht="15" customHeight="1" spans="1:18">
      <c r="A3" s="45" t="s">
        <v>2</v>
      </c>
      <c r="B3" s="46"/>
      <c r="H3" s="47"/>
      <c r="I3" s="118"/>
      <c r="J3" s="118"/>
      <c r="K3" s="118"/>
      <c r="L3" s="119"/>
      <c r="M3" s="120"/>
      <c r="P3" s="121"/>
      <c r="R3" s="46"/>
    </row>
    <row r="4" s="34" customFormat="1" ht="15" customHeight="1" spans="1:18">
      <c r="A4" s="45" t="s">
        <v>3</v>
      </c>
      <c r="B4" s="46"/>
      <c r="H4" s="47"/>
      <c r="I4" s="118"/>
      <c r="J4" s="118"/>
      <c r="K4" s="118"/>
      <c r="L4" s="119"/>
      <c r="M4" s="122"/>
      <c r="P4" s="121"/>
      <c r="R4" s="46"/>
    </row>
    <row r="5" s="34" customFormat="1" ht="15" customHeight="1" spans="1:18">
      <c r="A5" s="48" t="s">
        <v>4</v>
      </c>
      <c r="B5" s="46"/>
      <c r="H5" s="47"/>
      <c r="I5" s="118"/>
      <c r="J5" s="118"/>
      <c r="K5" s="118"/>
      <c r="L5" s="119"/>
      <c r="M5" s="122"/>
      <c r="P5" s="121"/>
      <c r="R5" s="46"/>
    </row>
    <row r="6" s="34" customFormat="1" ht="15" customHeight="1" spans="1:18">
      <c r="A6" s="45" t="s">
        <v>5</v>
      </c>
      <c r="B6" s="46"/>
      <c r="H6" s="47"/>
      <c r="I6" s="118"/>
      <c r="J6" s="118"/>
      <c r="K6" s="118"/>
      <c r="L6" s="119"/>
      <c r="M6" s="122"/>
      <c r="P6" s="121"/>
      <c r="R6" s="46"/>
    </row>
    <row r="7" s="34" customFormat="1" ht="15" customHeight="1" spans="1:18">
      <c r="A7" s="45" t="s">
        <v>6</v>
      </c>
      <c r="B7" s="46"/>
      <c r="H7" s="47"/>
      <c r="I7" s="118"/>
      <c r="J7" s="118"/>
      <c r="K7" s="118"/>
      <c r="L7" s="119"/>
      <c r="M7" s="122"/>
      <c r="P7" s="121"/>
      <c r="R7" s="46"/>
    </row>
    <row r="8" s="34" customFormat="1" ht="12" customHeight="1" spans="1:18">
      <c r="A8" s="49"/>
      <c r="B8" s="50"/>
      <c r="C8" s="51"/>
      <c r="D8" s="51"/>
      <c r="E8" s="51"/>
      <c r="F8" s="51"/>
      <c r="G8" s="51"/>
      <c r="H8" s="52"/>
      <c r="I8" s="123"/>
      <c r="J8" s="124"/>
      <c r="K8" s="124"/>
      <c r="L8" s="124"/>
      <c r="M8" s="125"/>
      <c r="N8" s="51"/>
      <c r="O8" s="51"/>
      <c r="P8" s="126"/>
      <c r="R8" s="46"/>
    </row>
    <row r="9" s="34" customFormat="1" ht="21" customHeight="1" spans="1:18">
      <c r="A9" s="53"/>
      <c r="B9" s="50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126"/>
      <c r="R9" s="46"/>
    </row>
    <row r="10" s="35" customFormat="1" ht="15" customHeight="1" spans="1:18">
      <c r="A10" s="54" t="s">
        <v>7</v>
      </c>
      <c r="B10" s="42"/>
      <c r="C10" s="43"/>
      <c r="D10" s="43" t="s">
        <v>8</v>
      </c>
      <c r="E10" s="43"/>
      <c r="F10" s="55" t="s">
        <v>9</v>
      </c>
      <c r="G10" s="55" t="s">
        <v>10</v>
      </c>
      <c r="H10" s="55" t="s">
        <v>10</v>
      </c>
      <c r="I10" s="55" t="s">
        <v>10</v>
      </c>
      <c r="J10" s="55" t="s">
        <v>10</v>
      </c>
      <c r="K10" s="55" t="s">
        <v>10</v>
      </c>
      <c r="L10" s="55" t="s">
        <v>10</v>
      </c>
      <c r="M10" s="55" t="s">
        <v>10</v>
      </c>
      <c r="N10" s="55" t="s">
        <v>10</v>
      </c>
      <c r="O10" s="55" t="s">
        <v>10</v>
      </c>
      <c r="P10" s="127" t="s">
        <v>10</v>
      </c>
      <c r="R10" s="158"/>
    </row>
    <row r="11" s="34" customFormat="1" ht="15" customHeight="1" spans="1:18">
      <c r="A11" s="56" t="s">
        <v>11</v>
      </c>
      <c r="B11" s="46"/>
      <c r="D11" s="57" t="s">
        <v>8</v>
      </c>
      <c r="E11" s="57"/>
      <c r="F11" s="58" t="s">
        <v>55</v>
      </c>
      <c r="G11" s="59"/>
      <c r="H11" s="59"/>
      <c r="I11" s="59"/>
      <c r="P11" s="121"/>
      <c r="R11" s="46"/>
    </row>
    <row r="12" s="34" customFormat="1" ht="15" customHeight="1" spans="1:18">
      <c r="A12" s="56" t="s">
        <v>13</v>
      </c>
      <c r="B12" s="46"/>
      <c r="D12" s="34" t="s">
        <v>8</v>
      </c>
      <c r="F12" s="60" t="str">
        <f>F10</f>
        <v>DNM 1</v>
      </c>
      <c r="G12" s="60"/>
      <c r="H12" s="60"/>
      <c r="I12" s="60"/>
      <c r="L12" s="128"/>
      <c r="M12" s="129" t="s">
        <v>14</v>
      </c>
      <c r="N12" s="129"/>
      <c r="O12" s="129"/>
      <c r="P12" s="130"/>
      <c r="R12" s="46"/>
    </row>
    <row r="13" s="34" customFormat="1" ht="15" customHeight="1" spans="1:18">
      <c r="A13" s="56" t="s">
        <v>15</v>
      </c>
      <c r="B13" s="46"/>
      <c r="D13" s="34" t="s">
        <v>8</v>
      </c>
      <c r="F13" s="46">
        <f>+N29</f>
        <v>102</v>
      </c>
      <c r="G13" s="46"/>
      <c r="H13" s="46"/>
      <c r="P13" s="121"/>
      <c r="R13" s="46"/>
    </row>
    <row r="14" s="34" customFormat="1" ht="15" customHeight="1" spans="1:19">
      <c r="A14" s="56" t="s">
        <v>16</v>
      </c>
      <c r="B14" s="46"/>
      <c r="D14" s="34" t="s">
        <v>8</v>
      </c>
      <c r="F14" s="61">
        <f>+M29</f>
        <v>7</v>
      </c>
      <c r="G14" s="61"/>
      <c r="H14" s="61"/>
      <c r="P14" s="121"/>
      <c r="Q14" s="159"/>
      <c r="R14" s="159"/>
      <c r="S14" s="159"/>
    </row>
    <row r="15" s="34" customFormat="1" ht="15" customHeight="1" spans="1:18">
      <c r="A15" s="62" t="s">
        <v>17</v>
      </c>
      <c r="B15" s="46"/>
      <c r="D15" s="34" t="s">
        <v>8</v>
      </c>
      <c r="F15" s="63" t="s">
        <v>18</v>
      </c>
      <c r="G15" s="64"/>
      <c r="H15" s="64"/>
      <c r="P15" s="121"/>
      <c r="R15" s="46"/>
    </row>
    <row r="16" s="34" customFormat="1" ht="15" customHeight="1" spans="1:18">
      <c r="A16" s="53" t="s">
        <v>19</v>
      </c>
      <c r="B16" s="50" t="s">
        <v>20</v>
      </c>
      <c r="C16" s="51"/>
      <c r="D16" s="51" t="s">
        <v>8</v>
      </c>
      <c r="E16" s="51"/>
      <c r="F16" s="65"/>
      <c r="G16" s="65"/>
      <c r="H16" s="65"/>
      <c r="I16" s="51"/>
      <c r="J16" s="51"/>
      <c r="K16" s="51"/>
      <c r="L16" s="51"/>
      <c r="M16" s="51"/>
      <c r="N16" s="51"/>
      <c r="O16" s="51"/>
      <c r="P16" s="126"/>
      <c r="R16" s="46"/>
    </row>
    <row r="17" s="34" customFormat="1" ht="9" customHeight="1" spans="1:18">
      <c r="A17" s="44"/>
      <c r="B17" s="66"/>
      <c r="C17" s="67"/>
      <c r="D17" s="67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131"/>
      <c r="R17" s="46"/>
    </row>
    <row r="18" s="34" customFormat="1" ht="9" customHeight="1" spans="1:18">
      <c r="A18" s="68"/>
      <c r="C18" s="69"/>
      <c r="D18" s="69"/>
      <c r="P18" s="121"/>
      <c r="R18" s="46"/>
    </row>
    <row r="19" s="36" customFormat="1" ht="35.25" customHeight="1" spans="1:18">
      <c r="A19" s="70" t="s">
        <v>21</v>
      </c>
      <c r="B19" s="71"/>
      <c r="C19" s="72" t="s">
        <v>22</v>
      </c>
      <c r="D19" s="72"/>
      <c r="E19" s="73" t="s">
        <v>23</v>
      </c>
      <c r="F19" s="73" t="s">
        <v>24</v>
      </c>
      <c r="G19" s="73" t="s">
        <v>25</v>
      </c>
      <c r="H19" s="73" t="s">
        <v>26</v>
      </c>
      <c r="I19" s="73" t="s">
        <v>27</v>
      </c>
      <c r="J19" s="73" t="s">
        <v>28</v>
      </c>
      <c r="K19" s="73" t="s">
        <v>29</v>
      </c>
      <c r="L19" s="132" t="s">
        <v>30</v>
      </c>
      <c r="M19" s="132" t="s">
        <v>31</v>
      </c>
      <c r="N19" s="132" t="s">
        <v>32</v>
      </c>
      <c r="O19" s="71" t="s">
        <v>33</v>
      </c>
      <c r="P19" s="133" t="s">
        <v>34</v>
      </c>
      <c r="R19" s="46"/>
    </row>
    <row r="20" s="34" customFormat="1" ht="16.5" customHeight="1" spans="1:23">
      <c r="A20" s="74">
        <v>1</v>
      </c>
      <c r="B20" s="74">
        <f>+M20</f>
        <v>1</v>
      </c>
      <c r="C20" s="75" t="s">
        <v>56</v>
      </c>
      <c r="D20" s="76"/>
      <c r="E20" s="77"/>
      <c r="F20" s="77"/>
      <c r="G20" s="77">
        <f>N20</f>
        <v>16</v>
      </c>
      <c r="H20" s="77"/>
      <c r="I20" s="77"/>
      <c r="J20" s="77"/>
      <c r="K20" s="77"/>
      <c r="L20" s="77">
        <v>16</v>
      </c>
      <c r="M20" s="77">
        <v>1</v>
      </c>
      <c r="N20" s="77">
        <f t="shared" ref="N20:N22" si="0">+L20*M20</f>
        <v>16</v>
      </c>
      <c r="O20" s="134">
        <f>F20*0.35+G20*0.35+H20*0.4+I20*0.4+J20*0.4</f>
        <v>5.6</v>
      </c>
      <c r="P20" s="134">
        <f>1.8+O20</f>
        <v>7.4</v>
      </c>
      <c r="Q20" s="160">
        <f t="shared" ref="Q20:Q26" si="1">7.57/32</f>
        <v>0.2365625</v>
      </c>
      <c r="R20" s="161"/>
      <c r="S20" s="162"/>
      <c r="T20" s="162"/>
      <c r="U20" s="162"/>
      <c r="V20" s="162"/>
      <c r="W20" s="162"/>
    </row>
    <row r="21" s="34" customFormat="1" ht="16.5" customHeight="1" spans="1:23">
      <c r="A21" s="74">
        <f>B20+1</f>
        <v>2</v>
      </c>
      <c r="B21" s="74">
        <f>+B20+M21</f>
        <v>2</v>
      </c>
      <c r="C21" s="75" t="s">
        <v>56</v>
      </c>
      <c r="D21" s="76"/>
      <c r="E21" s="77"/>
      <c r="F21" s="77"/>
      <c r="G21" s="77"/>
      <c r="H21" s="77">
        <f>N21</f>
        <v>16</v>
      </c>
      <c r="I21" s="77"/>
      <c r="J21" s="77"/>
      <c r="K21" s="77"/>
      <c r="L21" s="77">
        <v>16</v>
      </c>
      <c r="M21" s="77">
        <v>1</v>
      </c>
      <c r="N21" s="77">
        <f t="shared" si="0"/>
        <v>16</v>
      </c>
      <c r="O21" s="134">
        <f t="shared" ref="O21:O26" si="2">F21*0.35+G21*0.35+H21*0.4+I21*0.4+J21*0.4</f>
        <v>6.4</v>
      </c>
      <c r="P21" s="134">
        <f t="shared" ref="P21:P26" si="3">1.8+O21</f>
        <v>8.2</v>
      </c>
      <c r="Q21" s="160">
        <f t="shared" si="1"/>
        <v>0.2365625</v>
      </c>
      <c r="R21" s="161"/>
      <c r="S21" s="162"/>
      <c r="T21" s="162"/>
      <c r="U21" s="162"/>
      <c r="V21" s="162"/>
      <c r="W21" s="162"/>
    </row>
    <row r="22" s="34" customFormat="1" ht="16.5" customHeight="1" spans="1:23">
      <c r="A22" s="74">
        <f t="shared" ref="A22:A26" si="4">B21+1</f>
        <v>3</v>
      </c>
      <c r="B22" s="74">
        <f t="shared" ref="B22:B26" si="5">+B21+M22</f>
        <v>3</v>
      </c>
      <c r="C22" s="75" t="s">
        <v>56</v>
      </c>
      <c r="D22" s="76"/>
      <c r="E22" s="77"/>
      <c r="F22" s="77">
        <v>15</v>
      </c>
      <c r="G22" s="77"/>
      <c r="H22" s="77"/>
      <c r="I22" s="77"/>
      <c r="J22" s="77"/>
      <c r="K22" s="77"/>
      <c r="L22" s="77">
        <f>SUM(E22:K22)</f>
        <v>15</v>
      </c>
      <c r="M22" s="77">
        <v>1</v>
      </c>
      <c r="N22" s="77">
        <f t="shared" si="0"/>
        <v>15</v>
      </c>
      <c r="O22" s="134">
        <f t="shared" si="2"/>
        <v>5.25</v>
      </c>
      <c r="P22" s="134">
        <f t="shared" si="3"/>
        <v>7.05</v>
      </c>
      <c r="Q22" s="160">
        <f t="shared" si="1"/>
        <v>0.2365625</v>
      </c>
      <c r="R22" s="161"/>
      <c r="S22" s="162"/>
      <c r="T22" s="162"/>
      <c r="U22" s="162"/>
      <c r="V22" s="162"/>
      <c r="W22" s="162"/>
    </row>
    <row r="23" s="34" customFormat="1" ht="16.5" customHeight="1" spans="1:23">
      <c r="A23" s="74">
        <f t="shared" si="4"/>
        <v>4</v>
      </c>
      <c r="B23" s="74">
        <f t="shared" si="5"/>
        <v>4</v>
      </c>
      <c r="C23" s="75" t="s">
        <v>56</v>
      </c>
      <c r="D23" s="76"/>
      <c r="E23" s="77"/>
      <c r="F23" s="77"/>
      <c r="G23" s="77">
        <v>12</v>
      </c>
      <c r="H23" s="77"/>
      <c r="I23" s="77"/>
      <c r="J23" s="77"/>
      <c r="K23" s="77"/>
      <c r="L23" s="77">
        <f t="shared" ref="L23:L26" si="6">SUM(E23:K23)</f>
        <v>12</v>
      </c>
      <c r="M23" s="77">
        <v>1</v>
      </c>
      <c r="N23" s="77">
        <f t="shared" ref="N23:N26" si="7">+L23*M23</f>
        <v>12</v>
      </c>
      <c r="O23" s="134">
        <f t="shared" si="2"/>
        <v>4.2</v>
      </c>
      <c r="P23" s="134">
        <f t="shared" si="3"/>
        <v>6</v>
      </c>
      <c r="Q23" s="160">
        <f t="shared" si="1"/>
        <v>0.2365625</v>
      </c>
      <c r="R23" s="161"/>
      <c r="S23" s="162"/>
      <c r="T23" s="162"/>
      <c r="U23" s="162"/>
      <c r="V23" s="162"/>
      <c r="W23" s="162"/>
    </row>
    <row r="24" s="34" customFormat="1" ht="16.5" customHeight="1" spans="1:23">
      <c r="A24" s="74">
        <f t="shared" si="4"/>
        <v>5</v>
      </c>
      <c r="B24" s="74">
        <f t="shared" si="5"/>
        <v>5</v>
      </c>
      <c r="C24" s="75" t="s">
        <v>56</v>
      </c>
      <c r="D24" s="76"/>
      <c r="E24" s="77"/>
      <c r="F24" s="77"/>
      <c r="G24" s="77"/>
      <c r="H24" s="77">
        <v>14</v>
      </c>
      <c r="I24" s="77"/>
      <c r="J24" s="77"/>
      <c r="K24" s="77"/>
      <c r="L24" s="77">
        <f t="shared" si="6"/>
        <v>14</v>
      </c>
      <c r="M24" s="77">
        <v>1</v>
      </c>
      <c r="N24" s="77">
        <f t="shared" si="7"/>
        <v>14</v>
      </c>
      <c r="O24" s="134">
        <f t="shared" si="2"/>
        <v>5.6</v>
      </c>
      <c r="P24" s="134">
        <f t="shared" si="3"/>
        <v>7.4</v>
      </c>
      <c r="Q24" s="160">
        <f t="shared" si="1"/>
        <v>0.2365625</v>
      </c>
      <c r="R24" s="161"/>
      <c r="S24" s="162"/>
      <c r="T24" s="162"/>
      <c r="U24" s="162"/>
      <c r="V24" s="162"/>
      <c r="W24" s="162"/>
    </row>
    <row r="25" s="34" customFormat="1" ht="16.5" customHeight="1" spans="1:23">
      <c r="A25" s="74">
        <f t="shared" si="4"/>
        <v>6</v>
      </c>
      <c r="B25" s="74">
        <f t="shared" si="5"/>
        <v>6</v>
      </c>
      <c r="C25" s="75" t="s">
        <v>56</v>
      </c>
      <c r="D25" s="76"/>
      <c r="E25" s="77"/>
      <c r="F25" s="77"/>
      <c r="G25" s="77"/>
      <c r="H25" s="77"/>
      <c r="I25" s="77">
        <v>14</v>
      </c>
      <c r="J25" s="77"/>
      <c r="K25" s="77"/>
      <c r="L25" s="77">
        <f t="shared" ref="L25" si="8">SUM(E25:K25)</f>
        <v>14</v>
      </c>
      <c r="M25" s="77">
        <v>1</v>
      </c>
      <c r="N25" s="77">
        <f t="shared" si="7"/>
        <v>14</v>
      </c>
      <c r="O25" s="134">
        <f t="shared" si="2"/>
        <v>5.6</v>
      </c>
      <c r="P25" s="134">
        <f t="shared" si="3"/>
        <v>7.4</v>
      </c>
      <c r="Q25" s="160">
        <f t="shared" si="1"/>
        <v>0.2365625</v>
      </c>
      <c r="R25" s="161"/>
      <c r="S25" s="162"/>
      <c r="T25" s="162"/>
      <c r="U25" s="162"/>
      <c r="V25" s="162"/>
      <c r="W25" s="162"/>
    </row>
    <row r="26" s="34" customFormat="1" ht="16.5" customHeight="1" spans="1:23">
      <c r="A26" s="74">
        <f t="shared" si="4"/>
        <v>7</v>
      </c>
      <c r="B26" s="74">
        <f t="shared" si="5"/>
        <v>7</v>
      </c>
      <c r="C26" s="75" t="s">
        <v>56</v>
      </c>
      <c r="D26" s="76"/>
      <c r="E26" s="77"/>
      <c r="F26" s="77"/>
      <c r="G26" s="77"/>
      <c r="H26" s="77"/>
      <c r="I26" s="77"/>
      <c r="J26" s="77">
        <v>15</v>
      </c>
      <c r="K26" s="77"/>
      <c r="L26" s="77">
        <f t="shared" si="6"/>
        <v>15</v>
      </c>
      <c r="M26" s="77">
        <v>1</v>
      </c>
      <c r="N26" s="77">
        <f t="shared" si="7"/>
        <v>15</v>
      </c>
      <c r="O26" s="134">
        <f t="shared" si="2"/>
        <v>6</v>
      </c>
      <c r="P26" s="134">
        <f t="shared" si="3"/>
        <v>7.8</v>
      </c>
      <c r="Q26" s="160">
        <f t="shared" si="1"/>
        <v>0.2365625</v>
      </c>
      <c r="R26" s="161"/>
      <c r="S26" s="162"/>
      <c r="T26" s="162"/>
      <c r="U26" s="162"/>
      <c r="V26" s="162"/>
      <c r="W26" s="162"/>
    </row>
    <row r="27" s="34" customFormat="1" ht="16.5" customHeight="1" spans="1:18">
      <c r="A27" s="79"/>
      <c r="B27" s="80"/>
      <c r="C27" s="81"/>
      <c r="D27" s="81"/>
      <c r="E27" s="82">
        <f t="shared" ref="E27:K27" si="9">SUM(E20:E26)</f>
        <v>0</v>
      </c>
      <c r="F27" s="82">
        <f t="shared" si="9"/>
        <v>15</v>
      </c>
      <c r="G27" s="82">
        <f t="shared" si="9"/>
        <v>28</v>
      </c>
      <c r="H27" s="82">
        <f t="shared" si="9"/>
        <v>30</v>
      </c>
      <c r="I27" s="82">
        <f t="shared" si="9"/>
        <v>14</v>
      </c>
      <c r="J27" s="82">
        <f t="shared" si="9"/>
        <v>15</v>
      </c>
      <c r="K27" s="82">
        <f t="shared" si="9"/>
        <v>0</v>
      </c>
      <c r="L27" s="82"/>
      <c r="M27" s="82">
        <f>SUM(M20:M26)</f>
        <v>7</v>
      </c>
      <c r="N27" s="82">
        <f>SUM(N20:N26)</f>
        <v>102</v>
      </c>
      <c r="O27" s="136">
        <f>SUM(O20:O26)</f>
        <v>38.65</v>
      </c>
      <c r="P27" s="137">
        <f>SUM(P20:P26)</f>
        <v>51.25</v>
      </c>
      <c r="Q27" s="163"/>
      <c r="R27" s="164"/>
    </row>
    <row r="28" s="37" customFormat="1" ht="13.5" spans="18:18">
      <c r="R28" s="39"/>
    </row>
    <row r="29" ht="15.75" spans="1:20">
      <c r="A29" s="83"/>
      <c r="B29" s="84"/>
      <c r="C29" s="84" t="s">
        <v>36</v>
      </c>
      <c r="D29" s="84"/>
      <c r="E29" s="84">
        <f>E27</f>
        <v>0</v>
      </c>
      <c r="F29" s="84">
        <f>F27</f>
        <v>15</v>
      </c>
      <c r="G29" s="84">
        <f t="shared" ref="G29:K29" si="10">G27</f>
        <v>28</v>
      </c>
      <c r="H29" s="84">
        <f t="shared" si="10"/>
        <v>30</v>
      </c>
      <c r="I29" s="84">
        <f t="shared" si="10"/>
        <v>14</v>
      </c>
      <c r="J29" s="84">
        <f t="shared" si="10"/>
        <v>15</v>
      </c>
      <c r="K29" s="84">
        <f t="shared" si="10"/>
        <v>0</v>
      </c>
      <c r="L29" s="84"/>
      <c r="M29" s="84">
        <f>M27</f>
        <v>7</v>
      </c>
      <c r="N29" s="84">
        <f>N27</f>
        <v>102</v>
      </c>
      <c r="O29" s="138">
        <f>O27</f>
        <v>38.65</v>
      </c>
      <c r="P29" s="139">
        <f>P27</f>
        <v>51.25</v>
      </c>
      <c r="T29"/>
    </row>
    <row r="30" ht="16.5" customHeight="1" spans="1:20">
      <c r="A30" s="85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140"/>
      <c r="P30" s="140"/>
      <c r="T30"/>
    </row>
    <row r="31" ht="18" customHeight="1" spans="5:20">
      <c r="E31" s="87"/>
      <c r="F31" s="88"/>
      <c r="G31" s="88"/>
      <c r="H31" s="88"/>
      <c r="I31" s="87"/>
      <c r="J31" s="87"/>
      <c r="K31" s="87"/>
      <c r="T31"/>
    </row>
    <row r="32" ht="13.5" spans="3:13">
      <c r="C32" s="89" t="s">
        <v>37</v>
      </c>
      <c r="D32" s="90"/>
      <c r="E32" s="90"/>
      <c r="F32" s="90"/>
      <c r="G32" s="90"/>
      <c r="H32" s="90"/>
      <c r="I32" s="90"/>
      <c r="J32" s="90"/>
      <c r="K32" s="90"/>
      <c r="L32" s="90"/>
      <c r="M32" s="141"/>
    </row>
    <row r="33" ht="17.25" customHeight="1" spans="3:18">
      <c r="C33" s="91" t="s">
        <v>38</v>
      </c>
      <c r="D33" s="92"/>
      <c r="E33" s="93" t="str">
        <f>C20</f>
        <v>DARK WASH</v>
      </c>
      <c r="F33" s="94"/>
      <c r="G33" s="94"/>
      <c r="H33" s="94"/>
      <c r="I33" s="94"/>
      <c r="J33" s="94"/>
      <c r="K33" s="94"/>
      <c r="L33" s="142"/>
      <c r="M33" s="143" t="s">
        <v>39</v>
      </c>
      <c r="O33" s="144"/>
      <c r="P33" s="39"/>
      <c r="R33" s="38"/>
    </row>
    <row r="34" ht="17.25" customHeight="1" spans="3:18">
      <c r="C34" s="168"/>
      <c r="D34" s="169"/>
      <c r="E34" s="170" t="s">
        <v>23</v>
      </c>
      <c r="F34" s="171" t="s">
        <v>24</v>
      </c>
      <c r="G34" s="171" t="s">
        <v>25</v>
      </c>
      <c r="H34" s="171" t="s">
        <v>26</v>
      </c>
      <c r="I34" s="171" t="s">
        <v>27</v>
      </c>
      <c r="J34" s="171" t="s">
        <v>28</v>
      </c>
      <c r="K34" s="186" t="s">
        <v>29</v>
      </c>
      <c r="L34" s="187" t="s">
        <v>40</v>
      </c>
      <c r="M34" s="147"/>
      <c r="O34" s="144"/>
      <c r="P34" s="39"/>
      <c r="R34" s="38"/>
    </row>
    <row r="35" ht="15.75" customHeight="1" spans="3:18">
      <c r="C35" s="98" t="s">
        <v>41</v>
      </c>
      <c r="D35" s="172"/>
      <c r="E35" s="173"/>
      <c r="F35" s="174">
        <v>14</v>
      </c>
      <c r="G35" s="174">
        <v>29</v>
      </c>
      <c r="H35" s="174">
        <v>29</v>
      </c>
      <c r="I35" s="174">
        <v>14</v>
      </c>
      <c r="J35" s="174">
        <v>14</v>
      </c>
      <c r="K35" s="188"/>
      <c r="L35" s="189">
        <f>SUM(E35:K35)</f>
        <v>100</v>
      </c>
      <c r="M35" s="190">
        <f>+L37/L35*100-100</f>
        <v>2</v>
      </c>
      <c r="N35" s="149"/>
      <c r="O35" s="150"/>
      <c r="P35" s="39"/>
      <c r="R35" s="38"/>
    </row>
    <row r="36" ht="15.75" customHeight="1" spans="3:18">
      <c r="C36" s="175" t="s">
        <v>42</v>
      </c>
      <c r="D36" s="176"/>
      <c r="E36" s="177"/>
      <c r="F36" s="178">
        <v>16</v>
      </c>
      <c r="G36" s="178">
        <v>30</v>
      </c>
      <c r="H36" s="178">
        <v>30</v>
      </c>
      <c r="I36" s="178">
        <v>15</v>
      </c>
      <c r="J36" s="178">
        <v>15</v>
      </c>
      <c r="K36" s="191"/>
      <c r="L36" s="192">
        <f>SUM(E36:K36)</f>
        <v>106</v>
      </c>
      <c r="M36" s="193"/>
      <c r="N36" s="149"/>
      <c r="O36" s="150"/>
      <c r="P36" s="39"/>
      <c r="R36" s="38"/>
    </row>
    <row r="37" ht="15.75" customHeight="1" spans="3:18">
      <c r="C37" s="179" t="s">
        <v>43</v>
      </c>
      <c r="D37" s="180"/>
      <c r="E37" s="181"/>
      <c r="F37" s="182">
        <f>+F27</f>
        <v>15</v>
      </c>
      <c r="G37" s="182">
        <f>+G27</f>
        <v>28</v>
      </c>
      <c r="H37" s="182">
        <f t="shared" ref="H37:K37" si="11">+H27</f>
        <v>30</v>
      </c>
      <c r="I37" s="182">
        <f t="shared" si="11"/>
        <v>14</v>
      </c>
      <c r="J37" s="182">
        <f t="shared" si="11"/>
        <v>15</v>
      </c>
      <c r="K37" s="194">
        <f t="shared" si="11"/>
        <v>0</v>
      </c>
      <c r="L37" s="195">
        <f>SUM(E37:K37)</f>
        <v>102</v>
      </c>
      <c r="M37" s="193"/>
      <c r="N37" s="196"/>
      <c r="O37" s="197"/>
      <c r="P37" s="154"/>
      <c r="R37" s="38"/>
    </row>
    <row r="38" ht="15.75" customHeight="1" spans="3:18">
      <c r="C38" s="179" t="s">
        <v>44</v>
      </c>
      <c r="D38" s="180"/>
      <c r="E38" s="183"/>
      <c r="F38" s="184">
        <f t="shared" ref="F38:L38" si="12">+F36-F37</f>
        <v>1</v>
      </c>
      <c r="G38" s="185">
        <f t="shared" si="12"/>
        <v>2</v>
      </c>
      <c r="H38" s="184">
        <f t="shared" si="12"/>
        <v>0</v>
      </c>
      <c r="I38" s="184">
        <f t="shared" si="12"/>
        <v>1</v>
      </c>
      <c r="J38" s="184">
        <f t="shared" si="12"/>
        <v>0</v>
      </c>
      <c r="K38" s="198">
        <f t="shared" si="12"/>
        <v>0</v>
      </c>
      <c r="L38" s="12">
        <f t="shared" si="12"/>
        <v>4</v>
      </c>
      <c r="M38" s="199"/>
      <c r="N38" s="200" t="s">
        <v>45</v>
      </c>
      <c r="O38" s="157"/>
      <c r="P38" s="39"/>
      <c r="R38" s="38"/>
    </row>
    <row r="39" hidden="1" spans="3:11">
      <c r="C39" s="87" t="s">
        <v>39</v>
      </c>
      <c r="D39" s="109"/>
      <c r="E39" s="110"/>
      <c r="F39" s="111">
        <f>+F37/F35*100</f>
        <v>107.142857142857</v>
      </c>
      <c r="G39" s="111">
        <f t="shared" ref="G39:J39" si="13">+G37/G35*100</f>
        <v>96.551724137931</v>
      </c>
      <c r="H39" s="111">
        <f t="shared" si="13"/>
        <v>103.448275862069</v>
      </c>
      <c r="I39" s="111">
        <f t="shared" si="13"/>
        <v>100</v>
      </c>
      <c r="J39" s="111">
        <f t="shared" si="13"/>
        <v>107.142857142857</v>
      </c>
      <c r="K39" s="110"/>
    </row>
    <row r="40" hidden="1" spans="3:12">
      <c r="C40" s="112" t="s">
        <v>48</v>
      </c>
      <c r="D40" s="112"/>
      <c r="E40" s="112"/>
      <c r="F40" s="112">
        <v>16</v>
      </c>
      <c r="G40" s="112">
        <v>29</v>
      </c>
      <c r="H40" s="112">
        <v>29</v>
      </c>
      <c r="I40" s="112">
        <v>15</v>
      </c>
      <c r="J40" s="112">
        <v>15</v>
      </c>
      <c r="K40" s="112"/>
      <c r="L40" s="112">
        <f>SUM(F40:K40)</f>
        <v>104</v>
      </c>
    </row>
    <row r="41" hidden="1" spans="3:12">
      <c r="C41" s="113" t="s">
        <v>49</v>
      </c>
      <c r="D41" s="113"/>
      <c r="E41" s="113"/>
      <c r="F41" s="113">
        <f>+F40-F37</f>
        <v>1</v>
      </c>
      <c r="G41" s="113">
        <f t="shared" ref="G41:J41" si="14">+G40-G37</f>
        <v>1</v>
      </c>
      <c r="H41" s="113">
        <f t="shared" si="14"/>
        <v>-1</v>
      </c>
      <c r="I41" s="113">
        <f t="shared" si="14"/>
        <v>1</v>
      </c>
      <c r="J41" s="113">
        <f t="shared" si="14"/>
        <v>0</v>
      </c>
      <c r="K41" s="113"/>
      <c r="L41" s="113">
        <f>SUM(F41:K41)</f>
        <v>2</v>
      </c>
    </row>
  </sheetData>
  <mergeCells count="37">
    <mergeCell ref="A1:P1"/>
    <mergeCell ref="F10:P10"/>
    <mergeCell ref="F11:I11"/>
    <mergeCell ref="M12:P12"/>
    <mergeCell ref="F13:H13"/>
    <mergeCell ref="F14:H14"/>
    <mergeCell ref="Q14:S14"/>
    <mergeCell ref="F15:H15"/>
    <mergeCell ref="F16:H16"/>
    <mergeCell ref="A19:B1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A29:B29"/>
    <mergeCell ref="C29:D29"/>
    <mergeCell ref="C33:D33"/>
    <mergeCell ref="E33:L33"/>
    <mergeCell ref="C34:D34"/>
    <mergeCell ref="C35:D35"/>
    <mergeCell ref="N35:O35"/>
    <mergeCell ref="C36:D36"/>
    <mergeCell ref="C37:D37"/>
    <mergeCell ref="N37:O37"/>
    <mergeCell ref="C38:D38"/>
    <mergeCell ref="N38:O38"/>
    <mergeCell ref="C39:D39"/>
    <mergeCell ref="C40:D40"/>
    <mergeCell ref="C41:D41"/>
    <mergeCell ref="M33:M34"/>
    <mergeCell ref="M35:M38"/>
    <mergeCell ref="H3:K7"/>
  </mergeCells>
  <pageMargins left="0.275590551181102" right="0.354330708661417" top="0.433070866141732" bottom="0.15748031496063" header="0.15748031496063" footer="0.511811023622047"/>
  <pageSetup paperSize="9" scale="92" orientation="landscape"/>
  <headerFooter alignWithMargins="0">
    <oddHeader>&amp;C&amp;A</oddHeader>
    <oddFooter>&amp;R&amp;D&amp;T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31:N38"/>
  <sheetViews>
    <sheetView workbookViewId="0">
      <selection activeCell="G33" sqref="G33"/>
    </sheetView>
  </sheetViews>
  <sheetFormatPr defaultColWidth="9" defaultRowHeight="12.75"/>
  <sheetData>
    <row r="31" spans="8:9">
      <c r="H31" s="165">
        <v>1.8</v>
      </c>
      <c r="I31" s="165"/>
    </row>
    <row r="32" spans="6:14">
      <c r="F32" s="1" t="e">
        <f>#REF!</f>
        <v>#REF!</v>
      </c>
      <c r="G32" s="1" t="e">
        <f>#REF!</f>
        <v>#REF!</v>
      </c>
      <c r="H32" s="1" t="e">
        <f>#REF!</f>
        <v>#REF!</v>
      </c>
      <c r="I32" s="1" t="e">
        <f>#REF!</f>
        <v>#REF!</v>
      </c>
      <c r="J32" s="1" t="e">
        <f>#REF!</f>
        <v>#REF!</v>
      </c>
      <c r="K32" s="1" t="e">
        <f>#REF!</f>
        <v>#REF!</v>
      </c>
      <c r="L32" s="1" t="e">
        <f>#REF!</f>
        <v>#REF!</v>
      </c>
      <c r="M32" s="167"/>
      <c r="N32" s="167"/>
    </row>
    <row r="33" spans="6:12">
      <c r="F33" s="166"/>
      <c r="G33" s="166">
        <v>0.35</v>
      </c>
      <c r="H33" s="166">
        <v>0.35</v>
      </c>
      <c r="I33" s="166">
        <v>0.4</v>
      </c>
      <c r="J33" s="166">
        <v>0.4</v>
      </c>
      <c r="K33" s="166">
        <v>0.4</v>
      </c>
      <c r="L33" s="166"/>
    </row>
    <row r="34" spans="6:12">
      <c r="F34" s="166"/>
      <c r="G34" s="166"/>
      <c r="H34" s="166"/>
      <c r="I34" s="166"/>
      <c r="J34" s="166"/>
      <c r="K34" s="166"/>
      <c r="L34" s="166"/>
    </row>
    <row r="35" spans="6:12">
      <c r="F35" s="166"/>
      <c r="G35" s="166"/>
      <c r="H35" s="166"/>
      <c r="I35" s="166"/>
      <c r="J35" s="166"/>
      <c r="K35" s="166"/>
      <c r="L35" s="166"/>
    </row>
    <row r="36" spans="6:12">
      <c r="F36" s="166"/>
      <c r="G36" s="166"/>
      <c r="H36" s="166"/>
      <c r="I36" s="166"/>
      <c r="J36" s="166"/>
      <c r="K36" s="166"/>
      <c r="L36" s="166"/>
    </row>
    <row r="37" spans="6:12">
      <c r="F37" s="166"/>
      <c r="G37" s="166"/>
      <c r="H37" s="166"/>
      <c r="I37" s="166"/>
      <c r="J37" s="166"/>
      <c r="K37" s="166"/>
      <c r="L37" s="166"/>
    </row>
    <row r="38" spans="6:12">
      <c r="F38" s="166"/>
      <c r="G38" s="166"/>
      <c r="H38" s="166"/>
      <c r="I38" s="166"/>
      <c r="J38" s="166"/>
      <c r="K38" s="166"/>
      <c r="L38" s="166"/>
    </row>
  </sheetData>
  <mergeCells count="1">
    <mergeCell ref="H31:I31"/>
  </mergeCell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"/>
  <sheetViews>
    <sheetView workbookViewId="0">
      <selection activeCell="B3" sqref="B3"/>
    </sheetView>
  </sheetViews>
  <sheetFormatPr defaultColWidth="9" defaultRowHeight="12.75"/>
  <sheetData/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W38"/>
  <sheetViews>
    <sheetView showGridLines="0" zoomScale="90" zoomScaleNormal="90" workbookViewId="0">
      <selection activeCell="J27" sqref="F27:J27"/>
    </sheetView>
  </sheetViews>
  <sheetFormatPr defaultColWidth="9.14285714285714" defaultRowHeight="12.75"/>
  <cols>
    <col min="1" max="1" width="6.14285714285714" style="38" customWidth="1"/>
    <col min="2" max="2" width="7.42857142857143" style="38" customWidth="1"/>
    <col min="3" max="3" width="10.4285714285714" style="38" customWidth="1"/>
    <col min="4" max="4" width="14.7142857142857" style="38" customWidth="1"/>
    <col min="5" max="5" width="7.14285714285714" style="38" customWidth="1"/>
    <col min="6" max="10" width="7.57142857142857" style="38" customWidth="1"/>
    <col min="11" max="11" width="5.85714285714286" style="38" customWidth="1"/>
    <col min="12" max="12" width="9.57142857142857" style="38" customWidth="1"/>
    <col min="13" max="13" width="7.71428571428571" style="38" customWidth="1"/>
    <col min="14" max="14" width="9.14285714285714" style="38" customWidth="1"/>
    <col min="15" max="16" width="10.7142857142857" style="38" customWidth="1"/>
    <col min="17" max="17" width="6.42857142857143" style="38" hidden="1" customWidth="1"/>
    <col min="18" max="18" width="11.7142857142857" style="39" customWidth="1"/>
    <col min="19" max="19" width="9.14285714285714" style="38"/>
    <col min="20" max="20" width="12.4285714285714" style="38" customWidth="1"/>
    <col min="21" max="16384" width="9.14285714285714" style="38"/>
  </cols>
  <sheetData>
    <row r="1" ht="32.25" customHeight="1" spans="1:16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="34" customFormat="1" ht="15" customHeight="1" spans="1:18">
      <c r="A2" s="41" t="s">
        <v>1</v>
      </c>
      <c r="B2" s="42"/>
      <c r="C2" s="43"/>
      <c r="D2" s="43"/>
      <c r="E2" s="43"/>
      <c r="F2" s="43"/>
      <c r="G2" s="43"/>
      <c r="H2" s="44"/>
      <c r="I2" s="43"/>
      <c r="J2" s="43"/>
      <c r="K2" s="43"/>
      <c r="L2" s="114"/>
      <c r="M2" s="115"/>
      <c r="N2" s="43"/>
      <c r="O2" s="116"/>
      <c r="P2" s="117"/>
      <c r="R2" s="46"/>
    </row>
    <row r="3" s="34" customFormat="1" ht="15" customHeight="1" spans="1:18">
      <c r="A3" s="45" t="s">
        <v>2</v>
      </c>
      <c r="B3" s="46"/>
      <c r="H3" s="47"/>
      <c r="I3" s="118"/>
      <c r="J3" s="118"/>
      <c r="K3" s="118"/>
      <c r="L3" s="119"/>
      <c r="M3" s="120"/>
      <c r="P3" s="121"/>
      <c r="R3" s="46"/>
    </row>
    <row r="4" s="34" customFormat="1" ht="15" customHeight="1" spans="1:18">
      <c r="A4" s="45" t="s">
        <v>3</v>
      </c>
      <c r="B4" s="46"/>
      <c r="H4" s="47"/>
      <c r="I4" s="118"/>
      <c r="J4" s="118"/>
      <c r="K4" s="118"/>
      <c r="L4" s="119"/>
      <c r="M4" s="122"/>
      <c r="P4" s="121"/>
      <c r="R4" s="46"/>
    </row>
    <row r="5" s="34" customFormat="1" ht="15" customHeight="1" spans="1:18">
      <c r="A5" s="48" t="s">
        <v>4</v>
      </c>
      <c r="B5" s="46"/>
      <c r="H5" s="47"/>
      <c r="I5" s="118"/>
      <c r="J5" s="118"/>
      <c r="K5" s="118"/>
      <c r="L5" s="119"/>
      <c r="M5" s="122"/>
      <c r="P5" s="121"/>
      <c r="R5" s="46"/>
    </row>
    <row r="6" s="34" customFormat="1" ht="15" customHeight="1" spans="1:18">
      <c r="A6" s="45" t="s">
        <v>5</v>
      </c>
      <c r="B6" s="46"/>
      <c r="H6" s="47"/>
      <c r="I6" s="118"/>
      <c r="J6" s="118"/>
      <c r="K6" s="118"/>
      <c r="L6" s="119"/>
      <c r="M6" s="122"/>
      <c r="P6" s="121"/>
      <c r="R6" s="46"/>
    </row>
    <row r="7" s="34" customFormat="1" ht="15" customHeight="1" spans="1:18">
      <c r="A7" s="45" t="s">
        <v>6</v>
      </c>
      <c r="B7" s="46"/>
      <c r="H7" s="47"/>
      <c r="I7" s="118"/>
      <c r="J7" s="118"/>
      <c r="K7" s="118"/>
      <c r="L7" s="119"/>
      <c r="M7" s="122"/>
      <c r="P7" s="121"/>
      <c r="R7" s="46"/>
    </row>
    <row r="8" s="34" customFormat="1" ht="12" customHeight="1" spans="1:18">
      <c r="A8" s="49"/>
      <c r="B8" s="50"/>
      <c r="C8" s="51"/>
      <c r="D8" s="51"/>
      <c r="E8" s="51"/>
      <c r="F8" s="51"/>
      <c r="G8" s="51"/>
      <c r="H8" s="52"/>
      <c r="I8" s="123"/>
      <c r="J8" s="124"/>
      <c r="K8" s="124"/>
      <c r="L8" s="124"/>
      <c r="M8" s="125"/>
      <c r="N8" s="51"/>
      <c r="O8" s="51"/>
      <c r="P8" s="126"/>
      <c r="R8" s="46"/>
    </row>
    <row r="9" s="34" customFormat="1" ht="21" customHeight="1" spans="1:18">
      <c r="A9" s="53"/>
      <c r="B9" s="50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126"/>
      <c r="R9" s="46"/>
    </row>
    <row r="10" s="35" customFormat="1" ht="15" customHeight="1" spans="1:18">
      <c r="A10" s="54" t="s">
        <v>7</v>
      </c>
      <c r="B10" s="42"/>
      <c r="C10" s="43"/>
      <c r="D10" s="43" t="s">
        <v>8</v>
      </c>
      <c r="E10" s="43"/>
      <c r="F10" s="55" t="s">
        <v>50</v>
      </c>
      <c r="G10" s="55" t="s">
        <v>10</v>
      </c>
      <c r="H10" s="55" t="s">
        <v>10</v>
      </c>
      <c r="I10" s="55" t="s">
        <v>10</v>
      </c>
      <c r="J10" s="55" t="s">
        <v>10</v>
      </c>
      <c r="K10" s="55" t="s">
        <v>10</v>
      </c>
      <c r="L10" s="55" t="s">
        <v>10</v>
      </c>
      <c r="M10" s="55" t="s">
        <v>10</v>
      </c>
      <c r="N10" s="55" t="s">
        <v>10</v>
      </c>
      <c r="O10" s="55" t="s">
        <v>10</v>
      </c>
      <c r="P10" s="127" t="s">
        <v>10</v>
      </c>
      <c r="R10" s="158"/>
    </row>
    <row r="11" s="34" customFormat="1" ht="15" customHeight="1" spans="1:18">
      <c r="A11" s="56" t="s">
        <v>11</v>
      </c>
      <c r="B11" s="46"/>
      <c r="D11" s="57" t="s">
        <v>8</v>
      </c>
      <c r="E11" s="57"/>
      <c r="F11" s="58" t="s">
        <v>57</v>
      </c>
      <c r="G11" s="59"/>
      <c r="H11" s="59"/>
      <c r="I11" s="59"/>
      <c r="P11" s="121"/>
      <c r="R11" s="46"/>
    </row>
    <row r="12" s="34" customFormat="1" ht="15" customHeight="1" spans="1:18">
      <c r="A12" s="56" t="s">
        <v>13</v>
      </c>
      <c r="B12" s="46"/>
      <c r="D12" s="34" t="s">
        <v>8</v>
      </c>
      <c r="F12" s="60"/>
      <c r="G12" s="60"/>
      <c r="H12" s="60"/>
      <c r="I12" s="60"/>
      <c r="L12" s="128"/>
      <c r="M12" s="129" t="s">
        <v>52</v>
      </c>
      <c r="N12" s="129"/>
      <c r="O12" s="129"/>
      <c r="P12" s="130"/>
      <c r="R12" s="46"/>
    </row>
    <row r="13" s="34" customFormat="1" ht="15" customHeight="1" spans="1:18">
      <c r="A13" s="56" t="s">
        <v>15</v>
      </c>
      <c r="B13" s="46"/>
      <c r="D13" s="34" t="s">
        <v>8</v>
      </c>
      <c r="F13" s="46">
        <f>+N26</f>
        <v>50</v>
      </c>
      <c r="G13" s="46"/>
      <c r="H13" s="46"/>
      <c r="P13" s="121"/>
      <c r="R13" s="46"/>
    </row>
    <row r="14" s="34" customFormat="1" ht="15" customHeight="1" spans="1:19">
      <c r="A14" s="56" t="s">
        <v>16</v>
      </c>
      <c r="B14" s="46"/>
      <c r="D14" s="34" t="s">
        <v>8</v>
      </c>
      <c r="F14" s="61">
        <f>+M26</f>
        <v>4</v>
      </c>
      <c r="G14" s="61"/>
      <c r="H14" s="61"/>
      <c r="P14" s="121"/>
      <c r="Q14" s="159"/>
      <c r="R14" s="159"/>
      <c r="S14" s="159"/>
    </row>
    <row r="15" s="34" customFormat="1" ht="15" customHeight="1" spans="1:18">
      <c r="A15" s="62" t="s">
        <v>17</v>
      </c>
      <c r="B15" s="46"/>
      <c r="D15" s="34" t="s">
        <v>8</v>
      </c>
      <c r="F15" s="63" t="s">
        <v>18</v>
      </c>
      <c r="G15" s="64"/>
      <c r="H15" s="64"/>
      <c r="P15" s="121"/>
      <c r="R15" s="46"/>
    </row>
    <row r="16" s="34" customFormat="1" ht="15" customHeight="1" spans="1:18">
      <c r="A16" s="53" t="s">
        <v>19</v>
      </c>
      <c r="B16" s="50" t="s">
        <v>20</v>
      </c>
      <c r="C16" s="51"/>
      <c r="D16" s="51" t="s">
        <v>8</v>
      </c>
      <c r="E16" s="51"/>
      <c r="F16" s="65">
        <v>4999</v>
      </c>
      <c r="G16" s="65"/>
      <c r="H16" s="65"/>
      <c r="I16" s="51"/>
      <c r="J16" s="51"/>
      <c r="K16" s="51"/>
      <c r="L16" s="51"/>
      <c r="M16" s="51"/>
      <c r="N16" s="51"/>
      <c r="O16" s="51"/>
      <c r="P16" s="126"/>
      <c r="R16" s="46"/>
    </row>
    <row r="17" s="34" customFormat="1" ht="9" customHeight="1" spans="1:18">
      <c r="A17" s="44"/>
      <c r="B17" s="66"/>
      <c r="C17" s="67"/>
      <c r="D17" s="67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131"/>
      <c r="R17" s="46"/>
    </row>
    <row r="18" s="34" customFormat="1" ht="9" customHeight="1" spans="1:18">
      <c r="A18" s="68"/>
      <c r="C18" s="69"/>
      <c r="D18" s="69"/>
      <c r="P18" s="121"/>
      <c r="R18" s="46"/>
    </row>
    <row r="19" s="36" customFormat="1" ht="35.25" customHeight="1" spans="1:18">
      <c r="A19" s="70" t="s">
        <v>21</v>
      </c>
      <c r="B19" s="71"/>
      <c r="C19" s="72" t="s">
        <v>22</v>
      </c>
      <c r="D19" s="72"/>
      <c r="E19" s="73" t="s">
        <v>23</v>
      </c>
      <c r="F19" s="73" t="s">
        <v>24</v>
      </c>
      <c r="G19" s="73" t="s">
        <v>25</v>
      </c>
      <c r="H19" s="73" t="s">
        <v>26</v>
      </c>
      <c r="I19" s="73" t="s">
        <v>27</v>
      </c>
      <c r="J19" s="73" t="s">
        <v>28</v>
      </c>
      <c r="K19" s="73" t="s">
        <v>29</v>
      </c>
      <c r="L19" s="132" t="s">
        <v>30</v>
      </c>
      <c r="M19" s="132" t="s">
        <v>31</v>
      </c>
      <c r="N19" s="132" t="s">
        <v>32</v>
      </c>
      <c r="O19" s="71" t="s">
        <v>33</v>
      </c>
      <c r="P19" s="133" t="s">
        <v>34</v>
      </c>
      <c r="R19" s="46"/>
    </row>
    <row r="20" s="34" customFormat="1" ht="16.5" customHeight="1" spans="1:23">
      <c r="A20" s="74">
        <v>1</v>
      </c>
      <c r="B20" s="74">
        <f>+M20</f>
        <v>1</v>
      </c>
      <c r="C20" s="75" t="s">
        <v>58</v>
      </c>
      <c r="D20" s="76"/>
      <c r="E20" s="77"/>
      <c r="F20" s="78"/>
      <c r="G20" s="77">
        <f>N20</f>
        <v>16</v>
      </c>
      <c r="H20" s="77"/>
      <c r="I20" s="77"/>
      <c r="J20" s="77"/>
      <c r="K20" s="77"/>
      <c r="L20" s="77">
        <v>16</v>
      </c>
      <c r="M20" s="77">
        <v>1</v>
      </c>
      <c r="N20" s="77">
        <f>+L20*M20</f>
        <v>16</v>
      </c>
      <c r="O20" s="134">
        <f>F20*0.285+G20*0.295+H20*0.305+I20*0.315+J20*0.33</f>
        <v>4.72</v>
      </c>
      <c r="P20" s="134">
        <f t="shared" ref="P20:P23" si="0">1.8+O20</f>
        <v>6.52</v>
      </c>
      <c r="Q20" s="160">
        <f t="shared" ref="Q20:Q23" si="1">7.57/32</f>
        <v>0.2365625</v>
      </c>
      <c r="R20" s="161"/>
      <c r="S20" s="162"/>
      <c r="T20" s="162"/>
      <c r="U20" s="162"/>
      <c r="V20" s="162"/>
      <c r="W20" s="162"/>
    </row>
    <row r="21" s="34" customFormat="1" ht="16.5" customHeight="1" spans="1:23">
      <c r="A21" s="74">
        <f>B20+1</f>
        <v>2</v>
      </c>
      <c r="B21" s="74">
        <f>+B20+M21</f>
        <v>2</v>
      </c>
      <c r="C21" s="75" t="s">
        <v>58</v>
      </c>
      <c r="D21" s="76"/>
      <c r="E21" s="77"/>
      <c r="F21" s="77"/>
      <c r="G21" s="77"/>
      <c r="H21" s="77">
        <v>15</v>
      </c>
      <c r="I21" s="77"/>
      <c r="J21" s="77"/>
      <c r="K21" s="77"/>
      <c r="L21" s="78">
        <f>SUM(E21:K21)</f>
        <v>15</v>
      </c>
      <c r="M21" s="77">
        <v>1</v>
      </c>
      <c r="N21" s="77">
        <f t="shared" ref="N21:N22" si="2">+L21*M21</f>
        <v>15</v>
      </c>
      <c r="O21" s="134">
        <f>F21*0.285+G21*0.295+H21*0.305+I21*0.315+J21*0.33</f>
        <v>4.575</v>
      </c>
      <c r="P21" s="134">
        <f t="shared" si="0"/>
        <v>6.375</v>
      </c>
      <c r="Q21" s="160">
        <f t="shared" si="1"/>
        <v>0.2365625</v>
      </c>
      <c r="R21" s="161"/>
      <c r="S21" s="162"/>
      <c r="T21" s="162"/>
      <c r="U21" s="162"/>
      <c r="V21" s="162"/>
      <c r="W21" s="162"/>
    </row>
    <row r="22" s="34" customFormat="1" ht="16.5" customHeight="1" spans="1:23">
      <c r="A22" s="74">
        <f>B21+1</f>
        <v>3</v>
      </c>
      <c r="B22" s="74">
        <f>+B21+M22</f>
        <v>3</v>
      </c>
      <c r="C22" s="75" t="s">
        <v>58</v>
      </c>
      <c r="D22" s="76"/>
      <c r="E22" s="77"/>
      <c r="F22" s="77">
        <v>8</v>
      </c>
      <c r="G22" s="77"/>
      <c r="H22" s="77"/>
      <c r="I22" s="77">
        <v>5</v>
      </c>
      <c r="J22" s="77"/>
      <c r="K22" s="77"/>
      <c r="L22" s="78">
        <f>SUM(E22:K22)</f>
        <v>13</v>
      </c>
      <c r="M22" s="77">
        <v>1</v>
      </c>
      <c r="N22" s="77">
        <f t="shared" si="2"/>
        <v>13</v>
      </c>
      <c r="O22" s="134">
        <f>F22*0.285+G22*0.295+H22*0.305+I22*0.315+J22*0.33</f>
        <v>3.855</v>
      </c>
      <c r="P22" s="134">
        <f t="shared" si="0"/>
        <v>5.655</v>
      </c>
      <c r="Q22" s="160">
        <f t="shared" si="1"/>
        <v>0.2365625</v>
      </c>
      <c r="R22" s="161"/>
      <c r="S22" s="162"/>
      <c r="T22" s="162"/>
      <c r="U22" s="162"/>
      <c r="V22" s="162"/>
      <c r="W22" s="162"/>
    </row>
    <row r="23" s="34" customFormat="1" ht="16.5" customHeight="1" spans="1:23">
      <c r="A23" s="74">
        <f>B22+1</f>
        <v>4</v>
      </c>
      <c r="B23" s="74">
        <f>+B22+M23</f>
        <v>4</v>
      </c>
      <c r="C23" s="75" t="s">
        <v>58</v>
      </c>
      <c r="D23" s="76"/>
      <c r="E23" s="77"/>
      <c r="F23" s="77"/>
      <c r="G23" s="77"/>
      <c r="H23" s="77"/>
      <c r="I23" s="77"/>
      <c r="J23" s="77">
        <v>6</v>
      </c>
      <c r="K23" s="77"/>
      <c r="L23" s="77">
        <f>SUM(E23:K23)</f>
        <v>6</v>
      </c>
      <c r="M23" s="77">
        <v>1</v>
      </c>
      <c r="N23" s="77">
        <f t="shared" ref="N23" si="3">+L23*M23</f>
        <v>6</v>
      </c>
      <c r="O23" s="134">
        <f>F23*0.285+G23*0.295+H23*0.305+I23*0.315+J23*0.33</f>
        <v>1.98</v>
      </c>
      <c r="P23" s="134">
        <f t="shared" si="0"/>
        <v>3.78</v>
      </c>
      <c r="Q23" s="160">
        <f t="shared" si="1"/>
        <v>0.2365625</v>
      </c>
      <c r="R23" s="161"/>
      <c r="S23" s="162"/>
      <c r="T23" s="162"/>
      <c r="U23" s="162"/>
      <c r="V23" s="162"/>
      <c r="W23" s="162"/>
    </row>
    <row r="24" s="34" customFormat="1" ht="16.5" customHeight="1" spans="1:18">
      <c r="A24" s="79"/>
      <c r="B24" s="80"/>
      <c r="C24" s="81"/>
      <c r="D24" s="81"/>
      <c r="E24" s="82">
        <f t="shared" ref="E24:K24" si="4">SUM(E20:E23)</f>
        <v>0</v>
      </c>
      <c r="F24" s="82">
        <f t="shared" si="4"/>
        <v>8</v>
      </c>
      <c r="G24" s="82">
        <f t="shared" si="4"/>
        <v>16</v>
      </c>
      <c r="H24" s="82">
        <f t="shared" si="4"/>
        <v>15</v>
      </c>
      <c r="I24" s="82">
        <f t="shared" si="4"/>
        <v>5</v>
      </c>
      <c r="J24" s="82">
        <f t="shared" si="4"/>
        <v>6</v>
      </c>
      <c r="K24" s="82">
        <f t="shared" si="4"/>
        <v>0</v>
      </c>
      <c r="L24" s="82"/>
      <c r="M24" s="82">
        <f>SUM(M20:M23)</f>
        <v>4</v>
      </c>
      <c r="N24" s="135">
        <f>SUM(N20:N23)</f>
        <v>50</v>
      </c>
      <c r="O24" s="136">
        <f>SUM(O20:O23)</f>
        <v>15.13</v>
      </c>
      <c r="P24" s="137">
        <f>SUM(P20:P23)</f>
        <v>22.33</v>
      </c>
      <c r="Q24" s="163"/>
      <c r="R24" s="164"/>
    </row>
    <row r="25" s="37" customFormat="1" ht="13.5" spans="18:18">
      <c r="R25" s="39"/>
    </row>
    <row r="26" ht="15.75" spans="1:20">
      <c r="A26" s="83"/>
      <c r="B26" s="84"/>
      <c r="C26" s="84" t="s">
        <v>36</v>
      </c>
      <c r="D26" s="84"/>
      <c r="E26" s="84">
        <f>E24</f>
        <v>0</v>
      </c>
      <c r="F26" s="84">
        <f>F24</f>
        <v>8</v>
      </c>
      <c r="G26" s="84">
        <f t="shared" ref="G26:K26" si="5">G24</f>
        <v>16</v>
      </c>
      <c r="H26" s="84">
        <f t="shared" si="5"/>
        <v>15</v>
      </c>
      <c r="I26" s="84">
        <f t="shared" si="5"/>
        <v>5</v>
      </c>
      <c r="J26" s="84">
        <f t="shared" si="5"/>
        <v>6</v>
      </c>
      <c r="K26" s="84">
        <f t="shared" si="5"/>
        <v>0</v>
      </c>
      <c r="L26" s="84"/>
      <c r="M26" s="84">
        <f>M24</f>
        <v>4</v>
      </c>
      <c r="N26" s="84">
        <f>N24</f>
        <v>50</v>
      </c>
      <c r="O26" s="138">
        <f>O24</f>
        <v>15.13</v>
      </c>
      <c r="P26" s="139">
        <f>P24</f>
        <v>22.33</v>
      </c>
      <c r="T26"/>
    </row>
    <row r="27" ht="16.5" customHeight="1" spans="1:20">
      <c r="A27" s="85"/>
      <c r="B27" s="86"/>
      <c r="C27" s="86"/>
      <c r="D27" s="86"/>
      <c r="E27" s="86"/>
      <c r="F27" s="86">
        <v>8</v>
      </c>
      <c r="G27" s="86">
        <v>15</v>
      </c>
      <c r="H27" s="86">
        <v>14</v>
      </c>
      <c r="I27" s="86">
        <v>6</v>
      </c>
      <c r="J27" s="86">
        <v>6</v>
      </c>
      <c r="K27" s="86"/>
      <c r="L27" s="86"/>
      <c r="M27" s="86"/>
      <c r="N27" s="86"/>
      <c r="O27" s="140"/>
      <c r="P27" s="140"/>
      <c r="T27"/>
    </row>
    <row r="28" ht="18" customHeight="1" spans="5:20">
      <c r="E28" s="87"/>
      <c r="F28" s="88"/>
      <c r="G28" s="88"/>
      <c r="H28" s="88"/>
      <c r="I28" s="87"/>
      <c r="J28" s="87"/>
      <c r="K28" s="87"/>
      <c r="T28"/>
    </row>
    <row r="29" spans="3:18">
      <c r="C29" s="89" t="s">
        <v>37</v>
      </c>
      <c r="D29" s="90"/>
      <c r="E29" s="90"/>
      <c r="F29" s="90"/>
      <c r="G29" s="90"/>
      <c r="H29" s="90"/>
      <c r="I29" s="90"/>
      <c r="J29" s="90"/>
      <c r="K29" s="90"/>
      <c r="L29" s="90"/>
      <c r="M29" s="141"/>
      <c r="R29" s="39">
        <f>+N24+BLACK!N25</f>
        <v>85</v>
      </c>
    </row>
    <row r="30" ht="17.25" customHeight="1" spans="3:18">
      <c r="C30" s="91" t="s">
        <v>38</v>
      </c>
      <c r="D30" s="92"/>
      <c r="E30" s="93" t="str">
        <f>C20</f>
        <v>WHITE</v>
      </c>
      <c r="F30" s="94"/>
      <c r="G30" s="94"/>
      <c r="H30" s="94"/>
      <c r="I30" s="94"/>
      <c r="J30" s="94"/>
      <c r="K30" s="94"/>
      <c r="L30" s="142"/>
      <c r="M30" s="143" t="s">
        <v>39</v>
      </c>
      <c r="O30" s="144"/>
      <c r="P30" s="39"/>
      <c r="R30" s="38"/>
    </row>
    <row r="31" ht="17.25" customHeight="1" spans="3:18">
      <c r="C31" s="95"/>
      <c r="D31" s="96"/>
      <c r="E31" s="97" t="s">
        <v>23</v>
      </c>
      <c r="F31" s="73" t="s">
        <v>24</v>
      </c>
      <c r="G31" s="73" t="s">
        <v>25</v>
      </c>
      <c r="H31" s="73" t="s">
        <v>26</v>
      </c>
      <c r="I31" s="73" t="s">
        <v>27</v>
      </c>
      <c r="J31" s="73" t="s">
        <v>28</v>
      </c>
      <c r="K31" s="145" t="s">
        <v>29</v>
      </c>
      <c r="L31" s="146" t="s">
        <v>40</v>
      </c>
      <c r="M31" s="147"/>
      <c r="O31" s="144"/>
      <c r="P31" s="39"/>
      <c r="R31" s="38"/>
    </row>
    <row r="32" ht="15.75" customHeight="1" spans="3:18">
      <c r="C32" s="98" t="s">
        <v>41</v>
      </c>
      <c r="D32" s="99"/>
      <c r="E32" s="100"/>
      <c r="F32" s="100">
        <v>12</v>
      </c>
      <c r="G32" s="100">
        <v>25</v>
      </c>
      <c r="H32" s="100">
        <v>24</v>
      </c>
      <c r="I32" s="100">
        <v>12</v>
      </c>
      <c r="J32" s="100">
        <v>12</v>
      </c>
      <c r="K32" s="100"/>
      <c r="L32" s="99">
        <f>SUM(E32:K32)</f>
        <v>85</v>
      </c>
      <c r="M32" s="148">
        <f>+L34/L32*100-100</f>
        <v>-41.1764705882353</v>
      </c>
      <c r="N32" s="149"/>
      <c r="O32" s="150"/>
      <c r="P32" s="39"/>
      <c r="R32" s="38"/>
    </row>
    <row r="33" ht="15.75" customHeight="1" spans="3:18">
      <c r="C33" s="101" t="s">
        <v>42</v>
      </c>
      <c r="D33" s="102"/>
      <c r="E33" s="103"/>
      <c r="F33" s="104">
        <v>8</v>
      </c>
      <c r="G33" s="104">
        <v>16</v>
      </c>
      <c r="H33" s="104">
        <v>16</v>
      </c>
      <c r="I33" s="104">
        <v>6</v>
      </c>
      <c r="J33" s="104">
        <v>6</v>
      </c>
      <c r="K33" s="104"/>
      <c r="L33" s="102">
        <f>SUM(E33:K33)</f>
        <v>52</v>
      </c>
      <c r="M33" s="151"/>
      <c r="N33" s="149"/>
      <c r="O33" s="150"/>
      <c r="P33" s="39"/>
      <c r="R33" s="38"/>
    </row>
    <row r="34" ht="15.75" customHeight="1" spans="3:18">
      <c r="C34" s="101" t="s">
        <v>43</v>
      </c>
      <c r="D34" s="102"/>
      <c r="E34" s="77"/>
      <c r="F34" s="77">
        <f>+F24</f>
        <v>8</v>
      </c>
      <c r="G34" s="77">
        <f>+G24</f>
        <v>16</v>
      </c>
      <c r="H34" s="77">
        <f t="shared" ref="H34:K34" si="6">+H24</f>
        <v>15</v>
      </c>
      <c r="I34" s="77">
        <f t="shared" si="6"/>
        <v>5</v>
      </c>
      <c r="J34" s="77">
        <f t="shared" si="6"/>
        <v>6</v>
      </c>
      <c r="K34" s="77">
        <f t="shared" si="6"/>
        <v>0</v>
      </c>
      <c r="L34" s="152">
        <f>SUM(E34:K34)</f>
        <v>50</v>
      </c>
      <c r="M34" s="151"/>
      <c r="N34" s="153"/>
      <c r="O34" s="153"/>
      <c r="P34" s="154"/>
      <c r="R34" s="38"/>
    </row>
    <row r="35" ht="15.75" customHeight="1" spans="3:18">
      <c r="C35" s="105" t="s">
        <v>44</v>
      </c>
      <c r="D35" s="106"/>
      <c r="E35" s="107"/>
      <c r="F35" s="107">
        <f t="shared" ref="F35:L35" si="7">+F33-F34</f>
        <v>0</v>
      </c>
      <c r="G35" s="108">
        <f t="shared" si="7"/>
        <v>0</v>
      </c>
      <c r="H35" s="107">
        <f t="shared" si="7"/>
        <v>1</v>
      </c>
      <c r="I35" s="107">
        <f t="shared" si="7"/>
        <v>1</v>
      </c>
      <c r="J35" s="107">
        <f t="shared" si="7"/>
        <v>0</v>
      </c>
      <c r="K35" s="107">
        <f t="shared" si="7"/>
        <v>0</v>
      </c>
      <c r="L35" s="106">
        <f t="shared" si="7"/>
        <v>2</v>
      </c>
      <c r="M35" s="155"/>
      <c r="N35" s="156" t="s">
        <v>54</v>
      </c>
      <c r="O35" s="157"/>
      <c r="P35" s="39"/>
      <c r="R35" s="38"/>
    </row>
    <row r="36" hidden="1" spans="3:11">
      <c r="C36" s="87" t="s">
        <v>39</v>
      </c>
      <c r="D36" s="109"/>
      <c r="E36" s="110"/>
      <c r="F36" s="111">
        <f>+F34/F32*100</f>
        <v>66.6666666666667</v>
      </c>
      <c r="G36" s="111">
        <f t="shared" ref="G36:J36" si="8">+G34/G32*100</f>
        <v>64</v>
      </c>
      <c r="H36" s="111">
        <f t="shared" si="8"/>
        <v>62.5</v>
      </c>
      <c r="I36" s="111">
        <f t="shared" si="8"/>
        <v>41.6666666666667</v>
      </c>
      <c r="J36" s="111">
        <f t="shared" si="8"/>
        <v>50</v>
      </c>
      <c r="K36" s="110"/>
    </row>
    <row r="37" hidden="1" spans="3:12">
      <c r="C37" s="112" t="s">
        <v>48</v>
      </c>
      <c r="D37" s="112"/>
      <c r="E37" s="112"/>
      <c r="F37" s="112">
        <v>16</v>
      </c>
      <c r="G37" s="112">
        <v>29</v>
      </c>
      <c r="H37" s="112">
        <v>29</v>
      </c>
      <c r="I37" s="112">
        <v>15</v>
      </c>
      <c r="J37" s="112">
        <v>15</v>
      </c>
      <c r="K37" s="112"/>
      <c r="L37" s="112">
        <f>SUM(F37:K37)</f>
        <v>104</v>
      </c>
    </row>
    <row r="38" hidden="1" spans="3:12">
      <c r="C38" s="113" t="s">
        <v>49</v>
      </c>
      <c r="D38" s="113"/>
      <c r="E38" s="113"/>
      <c r="F38" s="113">
        <f>+F37-F34</f>
        <v>8</v>
      </c>
      <c r="G38" s="113">
        <f t="shared" ref="G38:J38" si="9">+G37-G34</f>
        <v>13</v>
      </c>
      <c r="H38" s="113">
        <f t="shared" si="9"/>
        <v>14</v>
      </c>
      <c r="I38" s="113">
        <f t="shared" si="9"/>
        <v>10</v>
      </c>
      <c r="J38" s="113">
        <f t="shared" si="9"/>
        <v>9</v>
      </c>
      <c r="K38" s="113"/>
      <c r="L38" s="113">
        <f>SUM(F38:K38)</f>
        <v>54</v>
      </c>
    </row>
  </sheetData>
  <mergeCells count="34">
    <mergeCell ref="A1:P1"/>
    <mergeCell ref="F10:P10"/>
    <mergeCell ref="F11:I11"/>
    <mergeCell ref="M12:P12"/>
    <mergeCell ref="F13:H13"/>
    <mergeCell ref="F14:H14"/>
    <mergeCell ref="Q14:S14"/>
    <mergeCell ref="F15:H15"/>
    <mergeCell ref="F16:H16"/>
    <mergeCell ref="A19:B19"/>
    <mergeCell ref="C19:D19"/>
    <mergeCell ref="C20:D20"/>
    <mergeCell ref="C21:D21"/>
    <mergeCell ref="C22:D22"/>
    <mergeCell ref="C23:D23"/>
    <mergeCell ref="C24:D24"/>
    <mergeCell ref="A26:B26"/>
    <mergeCell ref="C26:D26"/>
    <mergeCell ref="C30:D30"/>
    <mergeCell ref="E30:L30"/>
    <mergeCell ref="C31:D31"/>
    <mergeCell ref="C32:D32"/>
    <mergeCell ref="N32:O32"/>
    <mergeCell ref="C33:D33"/>
    <mergeCell ref="C34:D34"/>
    <mergeCell ref="N34:O34"/>
    <mergeCell ref="C35:D35"/>
    <mergeCell ref="N35:O35"/>
    <mergeCell ref="C36:D36"/>
    <mergeCell ref="C37:D37"/>
    <mergeCell ref="C38:D38"/>
    <mergeCell ref="M30:M31"/>
    <mergeCell ref="M32:M35"/>
    <mergeCell ref="H3:K7"/>
  </mergeCells>
  <pageMargins left="0.275590551181102" right="0.354330708661417" top="0.433070866141732" bottom="0.15748031496063" header="0.15748031496063" footer="0.511811023622047"/>
  <pageSetup paperSize="9" scale="96" orientation="landscape"/>
  <headerFooter alignWithMargins="0">
    <oddHeader>&amp;C&amp;A</oddHeader>
    <oddFooter>&amp;R&amp;D&amp;T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3:I35"/>
  <sheetViews>
    <sheetView topLeftCell="A7" workbookViewId="0">
      <selection activeCell="E38" sqref="E38"/>
    </sheetView>
  </sheetViews>
  <sheetFormatPr defaultColWidth="9.14285714285714" defaultRowHeight="12.75"/>
  <sheetData>
    <row r="33" spans="4:9">
      <c r="D33">
        <v>12</v>
      </c>
      <c r="E33">
        <v>11</v>
      </c>
      <c r="F33">
        <v>11</v>
      </c>
      <c r="G33">
        <v>4</v>
      </c>
      <c r="H33">
        <v>4</v>
      </c>
      <c r="I33">
        <f>SUM(D33:H33)</f>
        <v>42</v>
      </c>
    </row>
    <row r="35" spans="4:9">
      <c r="D35">
        <v>8</v>
      </c>
      <c r="E35">
        <v>16</v>
      </c>
      <c r="F35">
        <v>16</v>
      </c>
      <c r="G35">
        <v>6</v>
      </c>
      <c r="H35">
        <v>6</v>
      </c>
      <c r="I35">
        <f>SUM(D35:H35)</f>
        <v>52</v>
      </c>
    </row>
  </sheetData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6:R42"/>
  <sheetViews>
    <sheetView zoomScaleSheetLayoutView="85" topLeftCell="A5" workbookViewId="0">
      <selection activeCell="N40" sqref="N40:R40"/>
    </sheetView>
  </sheetViews>
  <sheetFormatPr defaultColWidth="9" defaultRowHeight="12.75"/>
  <cols>
    <col min="1" max="1" width="4.85714285714286" customWidth="1"/>
    <col min="2" max="2" width="39.2857142857143" customWidth="1"/>
    <col min="3" max="9" width="7.42857142857143" customWidth="1"/>
  </cols>
  <sheetData>
    <row r="16" spans="14:18">
      <c r="N16">
        <v>25</v>
      </c>
      <c r="O16">
        <v>50</v>
      </c>
      <c r="P16">
        <v>50</v>
      </c>
      <c r="Q16">
        <v>25</v>
      </c>
      <c r="R16">
        <v>25</v>
      </c>
    </row>
    <row r="19" ht="13.5"/>
    <row r="20" ht="13.5" spans="2:3">
      <c r="B20" s="2" t="e">
        <f>#REF!</f>
        <v>#REF!</v>
      </c>
      <c r="C20" s="3"/>
    </row>
    <row r="21" ht="13.5" spans="2:11">
      <c r="B21" s="4"/>
      <c r="C21" s="5" t="s">
        <v>23</v>
      </c>
      <c r="D21" s="5" t="s">
        <v>24</v>
      </c>
      <c r="E21" s="5" t="s">
        <v>25</v>
      </c>
      <c r="F21" s="5" t="s">
        <v>26</v>
      </c>
      <c r="G21" s="5" t="s">
        <v>27</v>
      </c>
      <c r="H21" s="5" t="s">
        <v>59</v>
      </c>
      <c r="I21" s="5" t="s">
        <v>60</v>
      </c>
      <c r="J21" s="27" t="s">
        <v>36</v>
      </c>
      <c r="K21" s="28"/>
    </row>
    <row r="22" ht="16.5" customHeight="1" spans="2:11">
      <c r="B22" s="6" t="s">
        <v>41</v>
      </c>
      <c r="C22" s="7"/>
      <c r="D22" s="7">
        <v>135</v>
      </c>
      <c r="E22" s="7">
        <v>271</v>
      </c>
      <c r="F22" s="7">
        <v>271</v>
      </c>
      <c r="G22" s="7">
        <v>135</v>
      </c>
      <c r="H22" s="7">
        <v>135</v>
      </c>
      <c r="I22" s="7"/>
      <c r="J22" s="6">
        <f>SUM(C22:I22)</f>
        <v>947</v>
      </c>
      <c r="K22" s="28"/>
    </row>
    <row r="23" ht="16.5" customHeight="1" spans="2:11">
      <c r="B23" s="8" t="s">
        <v>61</v>
      </c>
      <c r="C23" s="9"/>
      <c r="D23" s="9">
        <v>108</v>
      </c>
      <c r="E23" s="9">
        <v>222</v>
      </c>
      <c r="F23" s="9">
        <v>222</v>
      </c>
      <c r="G23" s="9">
        <v>111</v>
      </c>
      <c r="H23" s="9">
        <v>111</v>
      </c>
      <c r="I23" s="9"/>
      <c r="J23" s="8">
        <f t="shared" ref="J23:J24" si="0">SUM(C23:I23)</f>
        <v>774</v>
      </c>
      <c r="K23" s="28"/>
    </row>
    <row r="24" ht="16.5" customHeight="1" spans="2:11">
      <c r="B24" s="10" t="s">
        <v>62</v>
      </c>
      <c r="C24" s="11"/>
      <c r="D24" s="11"/>
      <c r="E24" s="11"/>
      <c r="F24" s="11"/>
      <c r="G24" s="11"/>
      <c r="H24" s="11"/>
      <c r="I24" s="11"/>
      <c r="J24" s="10">
        <f t="shared" si="0"/>
        <v>0</v>
      </c>
      <c r="K24" s="28"/>
    </row>
    <row r="25" ht="16.5" customHeight="1" spans="2:11">
      <c r="B25" s="12" t="s">
        <v>63</v>
      </c>
      <c r="C25" s="13">
        <f t="shared" ref="C25" si="1">C23-C24</f>
        <v>0</v>
      </c>
      <c r="D25" s="13">
        <f t="shared" ref="D25:I25" si="2">D23-D24</f>
        <v>108</v>
      </c>
      <c r="E25" s="13">
        <f t="shared" si="2"/>
        <v>222</v>
      </c>
      <c r="F25" s="13">
        <f t="shared" si="2"/>
        <v>222</v>
      </c>
      <c r="G25" s="13">
        <f t="shared" si="2"/>
        <v>111</v>
      </c>
      <c r="H25" s="13">
        <f t="shared" si="2"/>
        <v>111</v>
      </c>
      <c r="I25" s="13">
        <f t="shared" si="2"/>
        <v>0</v>
      </c>
      <c r="J25" s="12">
        <f>SUM(D25:I25)</f>
        <v>774</v>
      </c>
      <c r="K25" s="28"/>
    </row>
    <row r="26" ht="16.5" customHeight="1" spans="2:11">
      <c r="B26" s="14"/>
      <c r="C26" s="15"/>
      <c r="D26" s="16"/>
      <c r="E26" s="15"/>
      <c r="F26" s="15"/>
      <c r="G26" s="15"/>
      <c r="H26" s="15"/>
      <c r="I26" s="15"/>
      <c r="J26" s="14"/>
      <c r="K26" s="28"/>
    </row>
    <row r="27" ht="16.5" customHeight="1" spans="2:11">
      <c r="B27" s="14" t="s">
        <v>64</v>
      </c>
      <c r="C27" s="15"/>
      <c r="D27" s="16"/>
      <c r="E27" s="15"/>
      <c r="F27" s="15"/>
      <c r="G27" s="15"/>
      <c r="H27" s="15"/>
      <c r="I27" s="15"/>
      <c r="J27" s="14"/>
      <c r="K27" s="28"/>
    </row>
    <row r="28" ht="16.5" customHeight="1" spans="2:11">
      <c r="B28" s="14"/>
      <c r="C28" s="15"/>
      <c r="D28" s="16"/>
      <c r="E28" s="15"/>
      <c r="F28" s="15"/>
      <c r="G28" s="15"/>
      <c r="H28" s="15"/>
      <c r="I28" s="15"/>
      <c r="J28" s="14"/>
      <c r="K28" s="28"/>
    </row>
    <row r="29" ht="16.5" customHeight="1" spans="2:11">
      <c r="B29" s="14"/>
      <c r="C29" s="15"/>
      <c r="D29" s="16"/>
      <c r="E29" s="15"/>
      <c r="F29" s="15"/>
      <c r="G29" s="15"/>
      <c r="H29" s="15"/>
      <c r="I29" s="15"/>
      <c r="J29" s="14"/>
      <c r="K29" s="28"/>
    </row>
    <row r="30" ht="16.5" customHeight="1" spans="2:11">
      <c r="B30" s="14"/>
      <c r="C30" s="15"/>
      <c r="D30" s="16"/>
      <c r="E30" s="15"/>
      <c r="F30" s="15"/>
      <c r="G30" s="15"/>
      <c r="H30" s="15"/>
      <c r="I30" s="15"/>
      <c r="J30" s="14"/>
      <c r="K30" s="28"/>
    </row>
    <row r="31" ht="16.5" customHeight="1" spans="2:11">
      <c r="B31" s="14"/>
      <c r="C31" s="15"/>
      <c r="D31" s="16"/>
      <c r="E31" s="15"/>
      <c r="F31" s="15"/>
      <c r="G31" s="15"/>
      <c r="H31" s="15"/>
      <c r="I31" s="15"/>
      <c r="J31" s="14"/>
      <c r="K31" s="28"/>
    </row>
    <row r="32" ht="16.5" customHeight="1" spans="2:11">
      <c r="B32" s="14"/>
      <c r="C32" s="15"/>
      <c r="D32" s="16"/>
      <c r="E32" s="15"/>
      <c r="F32" s="15"/>
      <c r="G32" s="15"/>
      <c r="H32" s="15"/>
      <c r="I32" s="15"/>
      <c r="J32" s="14"/>
      <c r="K32" s="28"/>
    </row>
    <row r="33" ht="16.5" customHeight="1" spans="2:11">
      <c r="B33" s="14"/>
      <c r="C33" s="15"/>
      <c r="D33" s="16"/>
      <c r="E33" s="15"/>
      <c r="F33" s="15"/>
      <c r="G33" s="15"/>
      <c r="H33" s="15"/>
      <c r="I33" s="15"/>
      <c r="J33" s="14"/>
      <c r="K33" s="28"/>
    </row>
    <row r="36" ht="13.5" spans="2:2">
      <c r="B36" s="17" t="s">
        <v>65</v>
      </c>
    </row>
    <row r="37" ht="18.75" customHeight="1" spans="2:9">
      <c r="B37" s="12"/>
      <c r="C37" s="18" t="s">
        <v>23</v>
      </c>
      <c r="D37" s="5" t="s">
        <v>24</v>
      </c>
      <c r="E37" s="5" t="s">
        <v>25</v>
      </c>
      <c r="F37" s="5" t="s">
        <v>26</v>
      </c>
      <c r="G37" s="5" t="s">
        <v>27</v>
      </c>
      <c r="H37" s="5" t="s">
        <v>59</v>
      </c>
      <c r="I37" s="29" t="s">
        <v>60</v>
      </c>
    </row>
    <row r="38" ht="15.75" customHeight="1" spans="2:9">
      <c r="B38" s="8" t="s">
        <v>66</v>
      </c>
      <c r="C38" s="7"/>
      <c r="D38" s="19">
        <v>5.9</v>
      </c>
      <c r="E38" s="19">
        <v>6.05</v>
      </c>
      <c r="F38" s="19">
        <v>6.25</v>
      </c>
      <c r="G38" s="19">
        <v>6.45</v>
      </c>
      <c r="H38" s="19">
        <v>6.7</v>
      </c>
      <c r="I38" s="30"/>
    </row>
    <row r="39" ht="15.75" customHeight="1" spans="2:9">
      <c r="B39" s="8" t="s">
        <v>67</v>
      </c>
      <c r="C39" s="20">
        <v>1.3</v>
      </c>
      <c r="D39" s="21">
        <v>1.3</v>
      </c>
      <c r="E39" s="21">
        <v>1.3</v>
      </c>
      <c r="F39" s="21">
        <v>1.3</v>
      </c>
      <c r="G39" s="21">
        <v>1.3</v>
      </c>
      <c r="H39" s="21">
        <v>1.3</v>
      </c>
      <c r="I39" s="31">
        <v>1.3</v>
      </c>
    </row>
    <row r="40" ht="15.75" customHeight="1" spans="2:18">
      <c r="B40" s="8" t="s">
        <v>68</v>
      </c>
      <c r="C40" s="22">
        <f>+C38-C39</f>
        <v>-1.3</v>
      </c>
      <c r="D40" s="23">
        <f t="shared" ref="D40:I40" si="3">+D38-D39</f>
        <v>4.6</v>
      </c>
      <c r="E40" s="23">
        <f t="shared" si="3"/>
        <v>4.75</v>
      </c>
      <c r="F40" s="23">
        <f t="shared" si="3"/>
        <v>4.95</v>
      </c>
      <c r="G40" s="23">
        <f t="shared" si="3"/>
        <v>5.15</v>
      </c>
      <c r="H40" s="23">
        <f t="shared" si="3"/>
        <v>5.4</v>
      </c>
      <c r="I40" s="32">
        <f t="shared" si="3"/>
        <v>-1.3</v>
      </c>
      <c r="N40">
        <v>26</v>
      </c>
      <c r="O40">
        <v>52</v>
      </c>
      <c r="P40">
        <v>52</v>
      </c>
      <c r="Q40">
        <v>25</v>
      </c>
      <c r="R40">
        <v>25</v>
      </c>
    </row>
    <row r="41" ht="15.75" customHeight="1" spans="2:9">
      <c r="B41" s="8" t="s">
        <v>69</v>
      </c>
      <c r="C41" s="22">
        <v>18</v>
      </c>
      <c r="D41" s="23">
        <v>18</v>
      </c>
      <c r="E41" s="23">
        <v>18</v>
      </c>
      <c r="F41" s="23">
        <v>18</v>
      </c>
      <c r="G41" s="23">
        <v>18</v>
      </c>
      <c r="H41" s="23">
        <v>18</v>
      </c>
      <c r="I41" s="32">
        <v>18</v>
      </c>
    </row>
    <row r="42" ht="15.75" customHeight="1" spans="2:9">
      <c r="B42" s="24" t="s">
        <v>70</v>
      </c>
      <c r="C42" s="25">
        <f>+C40/C41</f>
        <v>-0.0722222222222222</v>
      </c>
      <c r="D42" s="26">
        <f t="shared" ref="D42:I42" si="4">+D40/D41</f>
        <v>0.255555555555556</v>
      </c>
      <c r="E42" s="26">
        <f t="shared" si="4"/>
        <v>0.263888888888889</v>
      </c>
      <c r="F42" s="26">
        <f t="shared" si="4"/>
        <v>0.275</v>
      </c>
      <c r="G42" s="26">
        <f t="shared" si="4"/>
        <v>0.286111111111111</v>
      </c>
      <c r="H42" s="26">
        <f t="shared" si="4"/>
        <v>0.3</v>
      </c>
      <c r="I42" s="33">
        <f t="shared" si="4"/>
        <v>-0.0722222222222222</v>
      </c>
    </row>
  </sheetData>
  <pageMargins left="0.708661417322835" right="0.708661417322835" top="0.748031496062992" bottom="0.748031496062992" header="0.31496062992126" footer="0.31496062992126"/>
  <pageSetup paperSize="9" scale="15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1:I11"/>
  <sheetViews>
    <sheetView workbookViewId="0">
      <selection activeCell="E12" sqref="E12"/>
    </sheetView>
  </sheetViews>
  <sheetFormatPr defaultColWidth="9" defaultRowHeight="12.75"/>
  <sheetData>
    <row r="11" spans="4:9">
      <c r="D11" s="1" t="e">
        <f>+#REF!</f>
        <v>#REF!</v>
      </c>
      <c r="E11" s="1" t="e">
        <f>+#REF!</f>
        <v>#REF!</v>
      </c>
      <c r="F11" s="1" t="e">
        <f>+#REF!</f>
        <v>#REF!</v>
      </c>
      <c r="G11" s="1" t="e">
        <f>+#REF!</f>
        <v>#REF!</v>
      </c>
      <c r="H11" s="1" t="e">
        <f>+#REF!</f>
        <v>#REF!</v>
      </c>
      <c r="I11" s="1" t="e">
        <f>+#REF!</f>
        <v>#REF!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LIGHT WASH (2)</vt:lpstr>
      <vt:lpstr>MEDIUM WASH (2)</vt:lpstr>
      <vt:lpstr>BLACK</vt:lpstr>
      <vt:lpstr>Sheet4</vt:lpstr>
      <vt:lpstr>DARK WASH (2)</vt:lpstr>
      <vt:lpstr>Sheet3</vt:lpstr>
      <vt:lpstr>Sheet1</vt:lpstr>
      <vt:lpstr>WHITE</vt:lpstr>
      <vt:lpstr>DETAILS</vt:lpstr>
      <vt:lpstr>CUT QTY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shankarachar</dc:creator>
  <cp:lastModifiedBy>Laguna lg</cp:lastModifiedBy>
  <dcterms:created xsi:type="dcterms:W3CDTF">2014-07-08T10:23:00Z</dcterms:created>
  <cp:lastPrinted>2025-09-24T11:42:00Z</cp:lastPrinted>
  <dcterms:modified xsi:type="dcterms:W3CDTF">2025-12-15T18:13:47Z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44F60FFAC7D94653B9359606817D51D0_12</vt:lpwstr>
  </property>
  <property fmtid="{D5CDD505-2E9C-101B-9397-08002B2CF9AE}" pid="3" name="KSOProductBuildVer">
    <vt:lpwstr>1033-12.2.0.23155</vt:lpwstr>
  </property>
</Properties>
</file>