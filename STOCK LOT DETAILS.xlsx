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eady to ship\2019 - ALL BUYER PACKING LIST\POLO RALPH LAUREN PRL\2026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O5" i="1" s="1"/>
  <c r="M5" i="1"/>
  <c r="L5" i="1"/>
  <c r="K5" i="1"/>
  <c r="J5" i="1"/>
  <c r="O14" i="1"/>
  <c r="O11" i="1"/>
  <c r="L8" i="1"/>
  <c r="O8" i="1"/>
</calcChain>
</file>

<file path=xl/sharedStrings.xml><?xml version="1.0" encoding="utf-8"?>
<sst xmlns="http://schemas.openxmlformats.org/spreadsheetml/2006/main" count="44" uniqueCount="13">
  <si>
    <t>CON</t>
  </si>
  <si>
    <t>CUT QTY</t>
  </si>
  <si>
    <t>BEIGE</t>
  </si>
  <si>
    <t xml:space="preserve">XS </t>
  </si>
  <si>
    <t xml:space="preserve">S </t>
  </si>
  <si>
    <t>M</t>
  </si>
  <si>
    <t>L</t>
  </si>
  <si>
    <t>XL</t>
  </si>
  <si>
    <t>XXL</t>
  </si>
  <si>
    <t>TOTAL</t>
  </si>
  <si>
    <t>Color</t>
  </si>
  <si>
    <t>PINK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</si>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</sst>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O14"/>
  <sheetViews>
    <sheetView tabSelected="1" workbookViewId="0">
      <selection activeCell="H23" sqref="H23"/>
    </sheetView>
  </sheetViews>
  <sheetFormatPr defaultRowHeight="15" x14ac:dyDescent="0.25"/>
  <sheetData>
    <row r="4" spans="6:15" x14ac:dyDescent="0.25">
      <c r="F4" s="5" t="s">
        <v>0</v>
      </c>
      <c r="G4" s="6" t="s">
        <v>10</v>
      </c>
      <c r="H4" s="6" t="s">
        <v>1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4" t="s">
        <v>9</v>
      </c>
    </row>
    <row r="5" spans="6:15" x14ac:dyDescent="0.25">
      <c r="F5" s="2">
        <v>105</v>
      </c>
      <c r="G5" s="2" t="s">
        <v>12</v>
      </c>
      <c r="H5" s="2">
        <v>855</v>
      </c>
      <c r="I5" s="1">
        <v>36</v>
      </c>
      <c r="J5" s="1">
        <f>60+60+33</f>
        <v>153</v>
      </c>
      <c r="K5" s="1">
        <f>60+60+60+46</f>
        <v>226</v>
      </c>
      <c r="L5" s="1">
        <f>60+60+60+43</f>
        <v>223</v>
      </c>
      <c r="M5" s="1">
        <f>60+60+30</f>
        <v>150</v>
      </c>
      <c r="N5" s="1">
        <f>50+7</f>
        <v>57</v>
      </c>
      <c r="O5" s="2">
        <f>SUM(I5:N5)</f>
        <v>845</v>
      </c>
    </row>
    <row r="7" spans="6:15" x14ac:dyDescent="0.25">
      <c r="F7" s="5" t="s">
        <v>0</v>
      </c>
      <c r="G7" s="6" t="s">
        <v>10</v>
      </c>
      <c r="H7" s="6" t="s">
        <v>1</v>
      </c>
      <c r="I7" s="3" t="s">
        <v>3</v>
      </c>
      <c r="J7" s="3" t="s">
        <v>4</v>
      </c>
      <c r="K7" s="3" t="s">
        <v>5</v>
      </c>
      <c r="L7" s="3" t="s">
        <v>6</v>
      </c>
      <c r="M7" s="3" t="s">
        <v>7</v>
      </c>
      <c r="N7" s="3" t="s">
        <v>8</v>
      </c>
      <c r="O7" s="4" t="s">
        <v>9</v>
      </c>
    </row>
    <row r="8" spans="6:15" x14ac:dyDescent="0.25">
      <c r="F8" s="2">
        <v>107</v>
      </c>
      <c r="G8" s="2" t="s">
        <v>2</v>
      </c>
      <c r="H8" s="2">
        <v>269</v>
      </c>
      <c r="I8" s="1">
        <v>2</v>
      </c>
      <c r="J8" s="1">
        <v>40</v>
      </c>
      <c r="K8" s="1">
        <v>90</v>
      </c>
      <c r="L8" s="1">
        <f>60+28</f>
        <v>88</v>
      </c>
      <c r="M8" s="1">
        <v>39</v>
      </c>
      <c r="N8" s="1">
        <v>7</v>
      </c>
      <c r="O8" s="2">
        <f>SUM(I8:N8)</f>
        <v>266</v>
      </c>
    </row>
    <row r="10" spans="6:15" x14ac:dyDescent="0.25">
      <c r="F10" s="5" t="s">
        <v>0</v>
      </c>
      <c r="G10" s="6" t="s">
        <v>10</v>
      </c>
      <c r="H10" s="6" t="s">
        <v>1</v>
      </c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4" t="s">
        <v>9</v>
      </c>
    </row>
    <row r="11" spans="6:15" x14ac:dyDescent="0.25">
      <c r="F11" s="2">
        <v>108</v>
      </c>
      <c r="G11" s="2" t="s">
        <v>11</v>
      </c>
      <c r="H11" s="2">
        <v>229</v>
      </c>
      <c r="I11" s="1">
        <v>10</v>
      </c>
      <c r="J11" s="1">
        <v>40</v>
      </c>
      <c r="K11" s="1">
        <v>58</v>
      </c>
      <c r="L11" s="1">
        <v>58</v>
      </c>
      <c r="M11" s="1">
        <v>39</v>
      </c>
      <c r="N11" s="1">
        <v>19</v>
      </c>
      <c r="O11" s="2">
        <f>SUM(I11:N11)</f>
        <v>224</v>
      </c>
    </row>
    <row r="13" spans="6:15" x14ac:dyDescent="0.25">
      <c r="F13" s="5" t="s">
        <v>0</v>
      </c>
      <c r="G13" s="6" t="s">
        <v>10</v>
      </c>
      <c r="H13" s="6" t="s">
        <v>1</v>
      </c>
      <c r="I13" s="3" t="s">
        <v>3</v>
      </c>
      <c r="J13" s="3" t="s">
        <v>4</v>
      </c>
      <c r="K13" s="3" t="s">
        <v>5</v>
      </c>
      <c r="L13" s="3" t="s">
        <v>6</v>
      </c>
      <c r="M13" s="3" t="s">
        <v>7</v>
      </c>
      <c r="N13" s="3" t="s">
        <v>8</v>
      </c>
      <c r="O13" s="4" t="s">
        <v>9</v>
      </c>
    </row>
    <row r="14" spans="6:15" x14ac:dyDescent="0.25">
      <c r="F14" s="2">
        <v>109</v>
      </c>
      <c r="G14" s="2" t="s">
        <v>12</v>
      </c>
      <c r="H14" s="2">
        <v>1108</v>
      </c>
      <c r="I14" s="1">
        <v>50</v>
      </c>
      <c r="J14" s="1">
        <v>198</v>
      </c>
      <c r="K14" s="1">
        <v>260</v>
      </c>
      <c r="L14" s="1">
        <v>336</v>
      </c>
      <c r="M14" s="1">
        <v>197</v>
      </c>
      <c r="N14" s="1">
        <v>58</v>
      </c>
      <c r="O14" s="2">
        <f>SUM(I14:N14)</f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2026-03-02T09:17:00Z</dcterms:created>
  <dcterms:modified xsi:type="dcterms:W3CDTF">2026-03-02T09:34:40Z</dcterms:modified>
</cp:coreProperties>
</file>