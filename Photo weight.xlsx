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Ready to ship\2019 - ALL BUYER PACKING LIST\POLO RALPH LAUREN PRL\2026\"/>
    </mc:Choice>
  </mc:AlternateContent>
  <bookViews>
    <workbookView xWindow="0" yWindow="0" windowWidth="28800" windowHeight="11700"/>
  </bookViews>
  <sheets>
    <sheet name="Photo DMN Details" sheetId="1" r:id="rId1"/>
  </sheets>
  <externalReferences>
    <externalReference r:id="rId2"/>
  </externalReferences>
  <definedNames>
    <definedName name="_001">#REF!</definedName>
    <definedName name="_152">#REF!</definedName>
    <definedName name="_153">#REF!</definedName>
    <definedName name="_154">#REF!</definedName>
    <definedName name="_1593">#REF!</definedName>
    <definedName name="_17">#REF!</definedName>
    <definedName name="_18">#REF!</definedName>
    <definedName name="_35_3443">"$#REF!.$#REF!$#REF!"</definedName>
    <definedName name="_35_3443_2">"$#REF!.$#REF!$#REF!"</definedName>
    <definedName name="_35_3443_3">"$#REF!.$#REF!$#REF!"</definedName>
    <definedName name="_555">#REF!</definedName>
    <definedName name="_885">#REF!</definedName>
    <definedName name="_xlnm._FilterDatabase" localSheetId="0" hidden="1">'Photo DMN Details'!$AO$3:$AV$197</definedName>
    <definedName name="arjunkumar">"$#REF!.$#REF!$#REF!"</definedName>
    <definedName name="arjunkumar_2">"$#REF!.$#REF!$#REF!"</definedName>
    <definedName name="arjunkumar_3">"$#REF!.$#REF!$#REF!"</definedName>
    <definedName name="ckjs">#REF!</definedName>
    <definedName name="ckjs.">#REF!</definedName>
    <definedName name="dishu">#REF!</definedName>
    <definedName name="drt">#REF!</definedName>
    <definedName name="er">#REF!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fred">#REF!</definedName>
    <definedName name="gsf_5">#REF!</definedName>
    <definedName name="hh">#REF!</definedName>
    <definedName name="j">"$#REF!.$#REF!$#REF!"</definedName>
    <definedName name="j_2">"$#REF!.$#REF!$#REF!"</definedName>
    <definedName name="j_3">"$#REF!.$#REF!$#REF!"</definedName>
    <definedName name="king">'Photo DMN Details'!$B$13:$S$17</definedName>
    <definedName name="kl">"$#REF!.$#REF!$#REF!"</definedName>
    <definedName name="kl_2">"$#REF!.$#REF!$#REF!"</definedName>
    <definedName name="kl_3">"$#REF!.$#REF!$#REF!"</definedName>
    <definedName name="lk">#REF!</definedName>
    <definedName name="m">"$#REF!.$#REF!$#REF!"</definedName>
    <definedName name="m_2">"$#REF!.$#REF!$#REF!"</definedName>
    <definedName name="m_3">"$#REF!.$#REF!$#REF!"</definedName>
    <definedName name="mm">#REF!</definedName>
    <definedName name="mmm">#REF!</definedName>
    <definedName name="ni">#REF!</definedName>
    <definedName name="nike">#REF!</definedName>
    <definedName name="nike2555">#REF!</definedName>
    <definedName name="nike32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_xlnm.Print_Area" localSheetId="0">'Photo DMN Details'!$AO$2:$AV$20</definedName>
    <definedName name="prl">#REF!</definedName>
    <definedName name="re">#REF!</definedName>
    <definedName name="rews">#REF!</definedName>
    <definedName name="road">#REF!</definedName>
    <definedName name="road1">#REF!</definedName>
    <definedName name="rrr">#REF!</definedName>
    <definedName name="rt">#REF!</definedName>
    <definedName name="rte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11">#REF!</definedName>
    <definedName name="tommy111">#REF!</definedName>
    <definedName name="tommy2">#REF!</definedName>
    <definedName name="tommy321">#REF!</definedName>
    <definedName name="tommy99">#REF!</definedName>
    <definedName name="tommye">#REF!</definedName>
    <definedName name="tommyuu">#REF!</definedName>
    <definedName name="tur">#REF!</definedName>
    <definedName name="utt">#REF!</definedName>
    <definedName name="uyt">#REF!</definedName>
    <definedName name="we">#REF!</definedName>
    <definedName name="www">#REF!</definedName>
    <definedName name="yy">#REF!</definedName>
    <definedName name="yyou">#REF!</definedName>
    <definedName name="Z_EA7EA006_50C0_4E2C_AADD_3749625D4C95_.wvu.Cols" localSheetId="0" hidden="1">'Photo DMN Details'!$AA:$XFD</definedName>
    <definedName name="Z_EA7EA006_50C0_4E2C_AADD_3749625D4C95_.wvu.Rows" localSheetId="0" hidden="1">'Photo DMN Details'!$19:$22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9" i="1" l="1"/>
  <c r="N90" i="1" s="1"/>
  <c r="O90" i="1" s="1"/>
  <c r="P90" i="1" s="1"/>
  <c r="H89" i="1"/>
  <c r="G89" i="1"/>
  <c r="F89" i="1"/>
  <c r="E89" i="1"/>
  <c r="D89" i="1"/>
  <c r="C89" i="1"/>
  <c r="P88" i="1"/>
  <c r="P87" i="1"/>
  <c r="O87" i="1"/>
  <c r="K79" i="1"/>
  <c r="J79" i="1"/>
  <c r="I79" i="1"/>
  <c r="H79" i="1"/>
  <c r="G79" i="1"/>
  <c r="F79" i="1"/>
  <c r="E79" i="1"/>
  <c r="D79" i="1"/>
  <c r="C79" i="1"/>
  <c r="N78" i="1"/>
  <c r="N79" i="1" s="1"/>
  <c r="O79" i="1" s="1"/>
  <c r="P79" i="1" s="1"/>
  <c r="P77" i="1"/>
  <c r="P76" i="1"/>
  <c r="O76" i="1"/>
  <c r="H68" i="1"/>
  <c r="G68" i="1"/>
  <c r="F68" i="1"/>
  <c r="E68" i="1"/>
  <c r="D68" i="1"/>
  <c r="C68" i="1"/>
  <c r="V55" i="1"/>
  <c r="U55" i="1"/>
  <c r="T55" i="1"/>
  <c r="S55" i="1"/>
  <c r="R55" i="1"/>
  <c r="Q55" i="1"/>
  <c r="P55" i="1"/>
  <c r="O55" i="1"/>
  <c r="N55" i="1"/>
  <c r="K55" i="1"/>
  <c r="J55" i="1"/>
  <c r="I55" i="1"/>
  <c r="H55" i="1"/>
  <c r="G55" i="1"/>
  <c r="F55" i="1"/>
  <c r="E55" i="1"/>
  <c r="D55" i="1"/>
  <c r="C55" i="1"/>
  <c r="P31" i="1"/>
  <c r="O31" i="1"/>
  <c r="N31" i="1"/>
  <c r="M31" i="1"/>
  <c r="L31" i="1"/>
  <c r="K31" i="1"/>
  <c r="H31" i="1"/>
  <c r="G31" i="1"/>
  <c r="F31" i="1"/>
  <c r="E31" i="1"/>
  <c r="D31" i="1"/>
  <c r="C31" i="1"/>
  <c r="V24" i="1"/>
  <c r="V25" i="1" s="1"/>
  <c r="W25" i="1" s="1"/>
  <c r="X25" i="1" s="1"/>
  <c r="W23" i="1"/>
  <c r="X23" i="1" s="1"/>
  <c r="W22" i="1"/>
  <c r="X22" i="1" s="1"/>
  <c r="P22" i="1"/>
  <c r="O22" i="1"/>
  <c r="N22" i="1"/>
  <c r="M22" i="1"/>
  <c r="L22" i="1"/>
  <c r="K22" i="1"/>
  <c r="H22" i="1"/>
  <c r="G22" i="1"/>
  <c r="F22" i="1"/>
  <c r="E22" i="1"/>
  <c r="D22" i="1"/>
  <c r="C22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W16" i="1" s="1"/>
  <c r="X16" i="1" s="1"/>
  <c r="Q45" i="1" s="1"/>
  <c r="W15" i="1"/>
  <c r="X15" i="1" s="1"/>
  <c r="W14" i="1"/>
  <c r="X14" i="1" s="1"/>
  <c r="K10" i="1"/>
  <c r="K11" i="1" s="1"/>
  <c r="W8" i="1"/>
  <c r="V8" i="1"/>
  <c r="U8" i="1"/>
  <c r="T8" i="1"/>
  <c r="S8" i="1"/>
  <c r="R8" i="1"/>
  <c r="Q8" i="1"/>
  <c r="P8" i="1"/>
  <c r="O8" i="1"/>
  <c r="K8" i="1"/>
  <c r="J8" i="1"/>
  <c r="I8" i="1"/>
  <c r="H8" i="1"/>
  <c r="G8" i="1"/>
  <c r="F8" i="1"/>
  <c r="E8" i="1"/>
  <c r="D8" i="1"/>
  <c r="C8" i="1"/>
  <c r="O89" i="1" l="1"/>
  <c r="P89" i="1" s="1"/>
  <c r="O78" i="1"/>
  <c r="P78" i="1" s="1"/>
  <c r="W24" i="1"/>
  <c r="X24" i="1" s="1"/>
</calcChain>
</file>

<file path=xl/sharedStrings.xml><?xml version="1.0" encoding="utf-8"?>
<sst xmlns="http://schemas.openxmlformats.org/spreadsheetml/2006/main" count="679" uniqueCount="203">
  <si>
    <t>Style NO :-</t>
  </si>
  <si>
    <t>PRL Packaging Approval Status</t>
  </si>
  <si>
    <t>Item Weight - Stand Pack</t>
  </si>
  <si>
    <t>SL NO</t>
  </si>
  <si>
    <t>STYLE</t>
  </si>
  <si>
    <t xml:space="preserve">CDD </t>
  </si>
  <si>
    <t>STATUS</t>
  </si>
  <si>
    <t>Goods Status</t>
  </si>
  <si>
    <t>TTL Size</t>
  </si>
  <si>
    <t>Color</t>
  </si>
  <si>
    <t>Remarks</t>
  </si>
  <si>
    <t>Size</t>
  </si>
  <si>
    <t>Appoved</t>
  </si>
  <si>
    <t>Shipped</t>
  </si>
  <si>
    <t>XS to XXL - 6 Sizes</t>
  </si>
  <si>
    <t>PERFECT GREY</t>
  </si>
  <si>
    <t>XS Size Only Requred</t>
  </si>
  <si>
    <t>S-pcs</t>
  </si>
  <si>
    <t xml:space="preserve">Awaiting Approval </t>
  </si>
  <si>
    <t>5137A BLUE/WHITE</t>
  </si>
  <si>
    <t>Cleared</t>
  </si>
  <si>
    <t>Empty box</t>
  </si>
  <si>
    <t xml:space="preserve">14/ to 18/ - 9 Sizes </t>
  </si>
  <si>
    <t>6671H COASTAL BEIGE WHITE</t>
  </si>
  <si>
    <t>All Sizes Required</t>
  </si>
  <si>
    <t>No of Pcs</t>
  </si>
  <si>
    <t>710B15647</t>
  </si>
  <si>
    <t>7188B BLUE WHITE</t>
  </si>
  <si>
    <t>Full box Weight</t>
  </si>
  <si>
    <t>710B14315</t>
  </si>
  <si>
    <t>7105A BLUE ORANGE MULTI</t>
  </si>
  <si>
    <t>TLO – Hong Kong time is 2 hours and 30 minutes ahead of Indian time.</t>
  </si>
  <si>
    <t>710B14294</t>
  </si>
  <si>
    <t>6755 SEAFOAM BLUE MULTI</t>
  </si>
  <si>
    <t>S - PACK</t>
  </si>
  <si>
    <t>India</t>
  </si>
  <si>
    <t>712B16805</t>
  </si>
  <si>
    <t xml:space="preserve">Hong Kong </t>
  </si>
  <si>
    <t>Standard Height</t>
  </si>
  <si>
    <t>375/325/260mm</t>
  </si>
  <si>
    <t>Stand Pack</t>
  </si>
  <si>
    <t>POLO BLACK</t>
  </si>
  <si>
    <t>DMN</t>
  </si>
  <si>
    <t>710B14295</t>
  </si>
  <si>
    <t>Photo not taken</t>
  </si>
  <si>
    <t>7187 PURPLE BLUE MULTI</t>
  </si>
  <si>
    <t>Inner carton</t>
  </si>
  <si>
    <t>Hight</t>
  </si>
  <si>
    <t>CM</t>
  </si>
  <si>
    <t>Millimeter</t>
  </si>
  <si>
    <t>5137G COASTAL BEIGE/WHITE</t>
  </si>
  <si>
    <t>FULL HIGHT</t>
  </si>
  <si>
    <t>710B22363</t>
  </si>
  <si>
    <t>S to XXL - 5 Sizes</t>
  </si>
  <si>
    <t>6555E KEY WEST WHITE</t>
  </si>
  <si>
    <t>AWATING FOR APROVAL</t>
  </si>
  <si>
    <t>14/ 23</t>
  </si>
  <si>
    <t>15  23</t>
  </si>
  <si>
    <t>15  45</t>
  </si>
  <si>
    <t>15/ 23</t>
  </si>
  <si>
    <t>15/ 45</t>
  </si>
  <si>
    <t>16  23</t>
  </si>
  <si>
    <t>16  45</t>
  </si>
  <si>
    <t>16/ 23</t>
  </si>
  <si>
    <t>16/ 45</t>
  </si>
  <si>
    <t>17  23</t>
  </si>
  <si>
    <t>17  45</t>
  </si>
  <si>
    <t>17  67</t>
  </si>
  <si>
    <t>17/ 23</t>
  </si>
  <si>
    <t>17/ 45</t>
  </si>
  <si>
    <t>17/ 67</t>
  </si>
  <si>
    <t>18  45</t>
  </si>
  <si>
    <t>18  67</t>
  </si>
  <si>
    <t>(-)HIGHT</t>
  </si>
  <si>
    <t>710B16388</t>
  </si>
  <si>
    <t>1 pcs hight</t>
  </si>
  <si>
    <t>710B15594</t>
  </si>
  <si>
    <t>NEED TO UPLOAD PHOTO</t>
  </si>
  <si>
    <t>7188A WHITE BLUE / 7188E COASTAL BEIGE WHITE</t>
  </si>
  <si>
    <t>F - PACK</t>
  </si>
  <si>
    <t>Awaiting Approval</t>
  </si>
  <si>
    <t>14.5-18.5-9 Sizes</t>
  </si>
  <si>
    <t>WHITE</t>
  </si>
  <si>
    <t>Item Weight - Flat Pack</t>
  </si>
  <si>
    <t>Falt Pack</t>
  </si>
  <si>
    <t>REPEATED STYLE</t>
  </si>
  <si>
    <t>LT to 5XB - 9 Sizes</t>
  </si>
  <si>
    <t xml:space="preserve"> COASTAL BEIGE/WHITE</t>
  </si>
  <si>
    <t>711B18632</t>
  </si>
  <si>
    <t>710B18632</t>
  </si>
  <si>
    <t>6671I POWDER PURPLE/WHITE</t>
  </si>
  <si>
    <t>6671A CABANA BLUE/WHITE</t>
  </si>
  <si>
    <t>FULL PICS</t>
  </si>
  <si>
    <t>NEED TO TAKE PHOTO</t>
  </si>
  <si>
    <t>5089E LAVENDER PURPLE WHITE</t>
  </si>
  <si>
    <t>712B22550</t>
  </si>
  <si>
    <t>7316 WHITE BLUE</t>
  </si>
  <si>
    <t>Item Weight - Stand Pack Tag Price Missmatch Pcs are Hold</t>
  </si>
  <si>
    <t>shipped</t>
  </si>
  <si>
    <t>XS to XXL - 6 Sizes - 2 Sizes are Multi</t>
  </si>
  <si>
    <t>CARMEL PINK / POLO BLACK</t>
  </si>
  <si>
    <t>Cleared - Multi Sizes Required</t>
  </si>
  <si>
    <t>XS</t>
  </si>
  <si>
    <t>S</t>
  </si>
  <si>
    <t>M</t>
  </si>
  <si>
    <t>L</t>
  </si>
  <si>
    <t>XL</t>
  </si>
  <si>
    <t>XXL</t>
  </si>
  <si>
    <t>New Updated</t>
  </si>
  <si>
    <t>PCS</t>
  </si>
  <si>
    <t>Flat / Ratio Pack</t>
  </si>
  <si>
    <t>Weight</t>
  </si>
  <si>
    <t>AUSTIN BLUE</t>
  </si>
  <si>
    <t>54*38*37.5</t>
  </si>
  <si>
    <t>LT to XB - 9 Sizes</t>
  </si>
  <si>
    <t>CARMEL PINK</t>
  </si>
  <si>
    <t>54*38*32.5</t>
  </si>
  <si>
    <t>LT to 1XL - 13 Sizes</t>
  </si>
  <si>
    <t>7188B BLUE WHITE / 7188E COASTAL BEIGE WHITE</t>
  </si>
  <si>
    <t>All Sizes Required but MT &amp; 1XL Size not there</t>
  </si>
  <si>
    <t>54*38*26</t>
  </si>
  <si>
    <t>710B14232</t>
  </si>
  <si>
    <t>7169 BLUE GREEN MULTI</t>
  </si>
  <si>
    <t>710B16705</t>
  </si>
  <si>
    <t>7116B GREEN BLUE WHITE</t>
  </si>
  <si>
    <t>710B23578</t>
  </si>
  <si>
    <t>5463 WHITE/YELLOW MULTI</t>
  </si>
  <si>
    <t>48*38*32</t>
  </si>
  <si>
    <t>711B23578</t>
  </si>
  <si>
    <t>LT to XB - 8 Sizes</t>
  </si>
  <si>
    <t>48*38*26</t>
  </si>
  <si>
    <t xml:space="preserve">XS Size </t>
  </si>
  <si>
    <t>48*38*13</t>
  </si>
  <si>
    <t>6707A NAVY/GREEN MULTI</t>
  </si>
  <si>
    <t>710P07023</t>
  </si>
  <si>
    <t>HARBOR ISLAND BLUE</t>
  </si>
  <si>
    <t>LT</t>
  </si>
  <si>
    <t>XLT</t>
  </si>
  <si>
    <t>2LT</t>
  </si>
  <si>
    <t>3LT</t>
  </si>
  <si>
    <t>4LT</t>
  </si>
  <si>
    <t>5LT</t>
  </si>
  <si>
    <t>1XB</t>
  </si>
  <si>
    <t>2XB</t>
  </si>
  <si>
    <t>3XB</t>
  </si>
  <si>
    <t>4XB</t>
  </si>
  <si>
    <t>5XB</t>
  </si>
  <si>
    <t>6555B CABANA BLUE WHITE</t>
  </si>
  <si>
    <t>5137I CAMBRIDGE YELLOW/WHITE</t>
  </si>
  <si>
    <t>POLO BLACK / RL Navy</t>
  </si>
  <si>
    <t>SURREY TAN</t>
  </si>
  <si>
    <t>CARMEL PINK / POLO BLACK / SKY LAVENDER</t>
  </si>
  <si>
    <t>XS &amp; XL Size is Required</t>
  </si>
  <si>
    <t>710B14314</t>
  </si>
  <si>
    <t>4596A BLUE WHITE MULTI</t>
  </si>
  <si>
    <t>14/ 23 to 18 67 - 17 Sizes</t>
  </si>
  <si>
    <t>All Sizes Required but 13 Sizes are there in Running Po's</t>
  </si>
  <si>
    <t>14/ 23 to 18 67 - 9 Sizes</t>
  </si>
  <si>
    <t>CABANA BLUE WHITE / COASTAL BEIGE WHITE</t>
  </si>
  <si>
    <t>All Sizes Required - ( 5 Size)</t>
  </si>
  <si>
    <t>COOPER BROWN</t>
  </si>
  <si>
    <t>710B16389</t>
  </si>
  <si>
    <t>3334A BLUE/WHITE</t>
  </si>
  <si>
    <t>710P03855</t>
  </si>
  <si>
    <t>awaiting for approval</t>
  </si>
  <si>
    <t>7110A WHITE BRIGHT NAVY</t>
  </si>
  <si>
    <t>710B14228</t>
  </si>
  <si>
    <t>710P03854</t>
  </si>
  <si>
    <t>BSR WHITE / BLUE</t>
  </si>
  <si>
    <t>XS &amp; XXL Size is Required</t>
  </si>
  <si>
    <t>712B16811</t>
  </si>
  <si>
    <t>7239 NAVY WHITE</t>
  </si>
  <si>
    <t>710B18627</t>
  </si>
  <si>
    <t>6555H COASTAL BEIGE/WHITE</t>
  </si>
  <si>
    <t>6671H COASTAL BEIGE/WHITE</t>
  </si>
  <si>
    <t>7289A HRBR ISLND BLUE WHT MLTI</t>
  </si>
  <si>
    <t>710B18131</t>
  </si>
  <si>
    <t>7258 NAVY WHITE</t>
  </si>
  <si>
    <t>710B18274</t>
  </si>
  <si>
    <t>7312 NAVY MULTI</t>
  </si>
  <si>
    <t xml:space="preserve">710B18632 </t>
  </si>
  <si>
    <t>6555I POWDER PURPLE/WHITE</t>
  </si>
  <si>
    <t>need to submit</t>
  </si>
  <si>
    <t>710B22588</t>
  </si>
  <si>
    <t>710B22589</t>
  </si>
  <si>
    <t>6555B CABANA BLUE/WHITE</t>
  </si>
  <si>
    <t>7289C PWDR PURPLE WHITE MULTI</t>
  </si>
  <si>
    <t>710967632</t>
  </si>
  <si>
    <t xml:space="preserve"> Approved</t>
  </si>
  <si>
    <t>FI PENDING</t>
  </si>
  <si>
    <t>BSR BLUE</t>
  </si>
  <si>
    <t>710615870</t>
  </si>
  <si>
    <t>710615871</t>
  </si>
  <si>
    <t>BLUE/WHITE STRIPE</t>
  </si>
  <si>
    <t>710757702</t>
  </si>
  <si>
    <t>S to XL - 4 Sizes</t>
  </si>
  <si>
    <t>710B29639</t>
  </si>
  <si>
    <t>6937B WHITE GREEN MULTI</t>
  </si>
  <si>
    <t>NEW FOREST</t>
  </si>
  <si>
    <t>FI Pending</t>
  </si>
  <si>
    <t>7289B FADED MINT WHITE MULTI</t>
  </si>
  <si>
    <t>shankarkm010@gamil.com</t>
  </si>
  <si>
    <t>dishu1122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</si>
</sst>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[$INR]\ * #,##0.00_);_([$INR]\ * \(#,##0.00\);_([$INR]\ * &quot;-&quot;??_);_(@_)"/>
    <numFmt numFmtId="165" formatCode="_(&quot;$&quot;* #,##0.00_);_(&quot;$&quot;* \(#,##0.00\);_(&quot;$&quot;* &quot;-&quot;??_);_(@_)"/>
    <numFmt numFmtId="166" formatCode="[$-F400]h:mm:ss\ AM/PM"/>
    <numFmt numFmtId="167" formatCode="[$-F800]dddd\,\ mmmm\ dd\,\ yyyy"/>
    <numFmt numFmtId="168" formatCode="0.000"/>
    <numFmt numFmtId="169" formatCode="0.000_ "/>
    <numFmt numFmtId="170" formatCode="0.0"/>
  </numFmts>
  <fonts count="30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10"/>
      <name val="Calibri"/>
      <family val="2"/>
    </font>
    <font>
      <b/>
      <sz val="8"/>
      <name val="Calibri"/>
      <family val="2"/>
    </font>
    <font>
      <b/>
      <sz val="8"/>
      <name val="Calibri"/>
      <family val="2"/>
      <scheme val="minor"/>
    </font>
    <font>
      <b/>
      <sz val="10"/>
      <name val="Arial Black"/>
      <family val="2"/>
    </font>
    <font>
      <b/>
      <sz val="11"/>
      <name val="Calibri"/>
      <family val="2"/>
      <scheme val="minor"/>
    </font>
    <font>
      <b/>
      <u/>
      <sz val="8"/>
      <color indexed="10"/>
      <name val="Calibri"/>
      <family val="2"/>
      <scheme val="minor"/>
    </font>
    <font>
      <b/>
      <u/>
      <sz val="8"/>
      <color indexed="10"/>
      <name val="Calibri"/>
      <family val="2"/>
    </font>
    <font>
      <b/>
      <u/>
      <sz val="8"/>
      <color rgb="FFFF0000"/>
      <name val="Calibri"/>
      <family val="2"/>
      <scheme val="minor"/>
    </font>
    <font>
      <b/>
      <u/>
      <sz val="8"/>
      <color rgb="FFFF0000"/>
      <name val="Calibri"/>
      <family val="2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EE492E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8"/>
      <color rgb="FF00B0F0"/>
      <name val="Calibri"/>
      <family val="2"/>
      <scheme val="minor"/>
    </font>
    <font>
      <b/>
      <sz val="8"/>
      <color theme="1"/>
      <name val="Bookman Old Style"/>
      <family val="1"/>
    </font>
    <font>
      <b/>
      <sz val="8"/>
      <color rgb="FFFA7D00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indexed="10"/>
      <name val="Calibri"/>
      <family val="2"/>
    </font>
    <font>
      <sz val="8"/>
      <color indexed="8"/>
      <name val="Calibri"/>
      <family val="2"/>
    </font>
    <font>
      <b/>
      <sz val="8"/>
      <color theme="1"/>
      <name val="Calibri"/>
      <family val="2"/>
    </font>
    <font>
      <b/>
      <sz val="8"/>
      <color theme="7" tint="-0.499984740745262"/>
      <name val="Calibri"/>
      <family val="2"/>
    </font>
    <font>
      <b/>
      <sz val="8"/>
      <color theme="7" tint="-0.499984740745262"/>
      <name val="Calibri"/>
      <family val="2"/>
      <scheme val="minor"/>
    </font>
    <font>
      <b/>
      <sz val="8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gradientFill degree="135">
        <stop position="0">
          <color theme="7" tint="0.39887691885128329"/>
        </stop>
        <stop position="1">
          <color rgb="FF00B0F0"/>
        </stop>
      </gradientFill>
    </fill>
    <fill>
      <patternFill patternType="solid">
        <fgColor theme="9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88464003418072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EFBFF"/>
        <bgColor indexed="64"/>
      </patternFill>
    </fill>
    <fill>
      <patternFill patternType="solid">
        <fgColor rgb="FFFF99CC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7" fontId="19" fillId="7" borderId="22" applyProtection="0">
      <alignment horizontal="center" vertical="center"/>
      <protection hidden="1"/>
    </xf>
    <xf numFmtId="0" fontId="1" fillId="10" borderId="1" applyNumberFormat="0" applyAlignment="0" applyProtection="0"/>
  </cellStyleXfs>
  <cellXfs count="166">
    <xf numFmtId="0" fontId="0" fillId="0" borderId="0" xfId="0"/>
    <xf numFmtId="0" fontId="2" fillId="0" borderId="0" xfId="0" applyFont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166" fontId="15" fillId="0" borderId="16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14" fontId="8" fillId="5" borderId="19" xfId="0" applyNumberFormat="1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16" fillId="0" borderId="10" xfId="0" applyFont="1" applyBorder="1"/>
    <xf numFmtId="0" fontId="6" fillId="0" borderId="16" xfId="0" applyFont="1" applyBorder="1" applyAlignment="1">
      <alignment horizontal="center" vertical="center"/>
    </xf>
    <xf numFmtId="0" fontId="2" fillId="0" borderId="16" xfId="0" applyFont="1" applyBorder="1"/>
    <xf numFmtId="0" fontId="8" fillId="0" borderId="21" xfId="0" applyFont="1" applyBorder="1" applyAlignment="1">
      <alignment horizontal="center" vertical="center"/>
    </xf>
    <xf numFmtId="1" fontId="8" fillId="6" borderId="10" xfId="0" applyNumberFormat="1" applyFont="1" applyFill="1" applyBorder="1" applyAlignment="1">
      <alignment horizontal="center" vertical="center"/>
    </xf>
    <xf numFmtId="14" fontId="8" fillId="6" borderId="19" xfId="0" applyNumberFormat="1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10" xfId="0" applyFont="1" applyBorder="1"/>
    <xf numFmtId="167" fontId="20" fillId="8" borderId="22" xfId="1" applyFont="1" applyFill="1">
      <alignment horizontal="center" vertical="center"/>
      <protection hidden="1"/>
    </xf>
    <xf numFmtId="166" fontId="21" fillId="0" borderId="23" xfId="0" applyNumberFormat="1" applyFont="1" applyBorder="1" applyAlignment="1">
      <alignment horizontal="center"/>
    </xf>
    <xf numFmtId="166" fontId="21" fillId="0" borderId="24" xfId="0" applyNumberFormat="1" applyFont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22" fillId="10" borderId="26" xfId="2" applyFont="1" applyBorder="1" applyAlignment="1">
      <alignment horizontal="center"/>
    </xf>
    <xf numFmtId="0" fontId="22" fillId="10" borderId="27" xfId="2" applyFont="1" applyBorder="1" applyAlignment="1">
      <alignment horizontal="center"/>
    </xf>
    <xf numFmtId="0" fontId="22" fillId="10" borderId="28" xfId="2" applyFont="1" applyBorder="1" applyAlignment="1">
      <alignment horizontal="center"/>
    </xf>
    <xf numFmtId="0" fontId="8" fillId="6" borderId="29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64" fontId="24" fillId="2" borderId="2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7" fillId="13" borderId="30" xfId="0" applyFont="1" applyFill="1" applyBorder="1" applyAlignment="1">
      <alignment horizontal="center" vertical="center"/>
    </xf>
    <xf numFmtId="0" fontId="7" fillId="13" borderId="3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6" fillId="14" borderId="11" xfId="0" applyFont="1" applyFill="1" applyBorder="1" applyAlignment="1">
      <alignment horizontal="center" vertical="center"/>
    </xf>
    <xf numFmtId="0" fontId="27" fillId="14" borderId="1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/>
    </xf>
    <xf numFmtId="1" fontId="27" fillId="14" borderId="1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8" fillId="5" borderId="10" xfId="0" applyNumberFormat="1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1" fontId="26" fillId="14" borderId="11" xfId="0" applyNumberFormat="1" applyFont="1" applyFill="1" applyBorder="1" applyAlignment="1">
      <alignment horizontal="center" vertical="center"/>
    </xf>
    <xf numFmtId="1" fontId="26" fillId="14" borderId="6" xfId="0" applyNumberFormat="1" applyFont="1" applyFill="1" applyBorder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15" fillId="14" borderId="32" xfId="0" applyFont="1" applyFill="1" applyBorder="1" applyAlignment="1">
      <alignment horizontal="center" vertical="center"/>
    </xf>
    <xf numFmtId="2" fontId="27" fillId="14" borderId="6" xfId="0" applyNumberFormat="1" applyFont="1" applyFill="1" applyBorder="1" applyAlignment="1">
      <alignment horizontal="center" vertical="center"/>
    </xf>
    <xf numFmtId="2" fontId="27" fillId="14" borderId="11" xfId="0" applyNumberFormat="1" applyFont="1" applyFill="1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14" fontId="8" fillId="15" borderId="16" xfId="0" applyNumberFormat="1" applyFont="1" applyFill="1" applyBorder="1" applyAlignment="1">
      <alignment horizontal="center" vertical="center"/>
    </xf>
    <xf numFmtId="0" fontId="8" fillId="15" borderId="16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25" fillId="0" borderId="0" xfId="0" applyFont="1"/>
    <xf numFmtId="0" fontId="24" fillId="0" borderId="0" xfId="0" applyFont="1" applyAlignment="1">
      <alignment horizontal="center"/>
    </xf>
    <xf numFmtId="0" fontId="8" fillId="6" borderId="10" xfId="0" applyFont="1" applyFill="1" applyBorder="1" applyAlignment="1">
      <alignment horizontal="center" vertical="center"/>
    </xf>
    <xf numFmtId="14" fontId="8" fillId="6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8" fillId="12" borderId="16" xfId="0" applyNumberFormat="1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2" borderId="20" xfId="0" applyFont="1" applyFill="1" applyBorder="1" applyAlignment="1">
      <alignment horizontal="center" vertical="center"/>
    </xf>
    <xf numFmtId="168" fontId="6" fillId="0" borderId="16" xfId="0" applyNumberFormat="1" applyFont="1" applyBorder="1" applyAlignment="1">
      <alignment horizontal="center" vertical="center"/>
    </xf>
    <xf numFmtId="169" fontId="6" fillId="0" borderId="16" xfId="0" applyNumberFormat="1" applyFont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170" fontId="26" fillId="14" borderId="11" xfId="0" applyNumberFormat="1" applyFont="1" applyFill="1" applyBorder="1" applyAlignment="1">
      <alignment horizontal="center" vertical="center"/>
    </xf>
    <xf numFmtId="0" fontId="26" fillId="14" borderId="6" xfId="0" applyFont="1" applyFill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4" fontId="24" fillId="2" borderId="8" xfId="0" applyNumberFormat="1" applyFont="1" applyFill="1" applyBorder="1" applyAlignment="1">
      <alignment horizontal="center"/>
    </xf>
    <xf numFmtId="164" fontId="24" fillId="2" borderId="10" xfId="0" applyNumberFormat="1" applyFont="1" applyFill="1" applyBorder="1" applyAlignment="1">
      <alignment horizontal="center"/>
    </xf>
    <xf numFmtId="165" fontId="24" fillId="2" borderId="2" xfId="0" applyNumberFormat="1" applyFont="1" applyFill="1" applyBorder="1"/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28" fillId="14" borderId="32" xfId="0" applyFont="1" applyFill="1" applyBorder="1" applyAlignment="1">
      <alignment horizontal="center" vertical="center"/>
    </xf>
    <xf numFmtId="0" fontId="15" fillId="0" borderId="0" xfId="0" applyFont="1"/>
    <xf numFmtId="0" fontId="8" fillId="5" borderId="10" xfId="0" applyFont="1" applyFill="1" applyBorder="1" applyAlignment="1">
      <alignment horizontal="center" vertical="center"/>
    </xf>
    <xf numFmtId="14" fontId="8" fillId="5" borderId="16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12" borderId="25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70" fontId="2" fillId="0" borderId="36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6" fillId="17" borderId="16" xfId="0" applyNumberFormat="1" applyFont="1" applyFill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29" fillId="12" borderId="4" xfId="0" applyFont="1" applyFill="1" applyBorder="1" applyAlignment="1">
      <alignment horizontal="center"/>
    </xf>
    <xf numFmtId="2" fontId="2" fillId="0" borderId="0" xfId="0" applyNumberFormat="1" applyFont="1"/>
    <xf numFmtId="0" fontId="8" fillId="0" borderId="29" xfId="0" applyFont="1" applyBorder="1" applyAlignment="1">
      <alignment horizontal="left" vertical="center"/>
    </xf>
    <xf numFmtId="0" fontId="7" fillId="18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8" fillId="16" borderId="16" xfId="0" applyNumberFormat="1" applyFont="1" applyFill="1" applyBorder="1" applyAlignment="1">
      <alignment horizontal="center" vertical="center"/>
    </xf>
    <xf numFmtId="0" fontId="8" fillId="16" borderId="16" xfId="0" applyFont="1" applyFill="1" applyBorder="1" applyAlignment="1">
      <alignment horizontal="center" vertical="center"/>
    </xf>
    <xf numFmtId="0" fontId="8" fillId="16" borderId="29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4" fontId="8" fillId="3" borderId="16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39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</cellXfs>
  <cellStyles count="3">
    <cellStyle name="Calculation 2" xfId="2"/>
    <cellStyle name="Normal" xfId="0" builtinId="0"/>
    <cellStyle name="Style 3" xfId="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148259</xdr:colOff>
      <xdr:row>0</xdr:row>
      <xdr:rowOff>0</xdr:rowOff>
    </xdr:from>
    <xdr:to>
      <xdr:col>34</xdr:col>
      <xdr:colOff>91937</xdr:colOff>
      <xdr:row>27</xdr:row>
      <xdr:rowOff>49703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2159284" y="0"/>
          <a:ext cx="5144328" cy="5393228"/>
        </a:xfrm>
        <a:prstGeom prst="rect">
          <a:avLst/>
        </a:prstGeom>
      </xdr:spPr>
    </xdr:pic>
    <xdr:clientData/>
  </xdr:twoCellAnchor>
  <xdr:twoCellAnchor editAs="oneCell">
    <xdr:from>
      <xdr:col>17</xdr:col>
      <xdr:colOff>291923</xdr:colOff>
      <xdr:row>66</xdr:row>
      <xdr:rowOff>85725</xdr:rowOff>
    </xdr:from>
    <xdr:to>
      <xdr:col>28</xdr:col>
      <xdr:colOff>30646</xdr:colOff>
      <xdr:row>88</xdr:row>
      <xdr:rowOff>189914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8648" y="12896850"/>
          <a:ext cx="5206073" cy="44190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L%20CON'S%20STATUS%20&amp;%20ASN%20DETAILS%20NEW%20-%202026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D - 08.02.2026-SHIPPED"/>
      <sheetName val="CDD - 01.02.2026- SHIPPED"/>
      <sheetName val="CDD -26-01-2026 -SHIPPED"/>
      <sheetName val="CDD - 18-01-2026-SHIPPED"/>
      <sheetName val="CDD - 11-01-2026 - SHIPPED"/>
      <sheetName val="CDD - 04-01-2026-SHIPPED"/>
      <sheetName val="📊 Executive Summary"/>
      <sheetName val="DASH BOARD"/>
      <sheetName val="ASN Details-2026"/>
      <sheetName val="CDD - 15.02.2026 -SHIPPED"/>
      <sheetName val="CDD - 22.02.2026- SHIPPED"/>
      <sheetName val="CDD - 01.03.2026 - old"/>
      <sheetName val="CDD - 01.03.2026 - SHIPPED"/>
      <sheetName val="CDD-08.03.2026-SHIPPED"/>
      <sheetName val="CDD-15.03.2026-SHIPPED"/>
      <sheetName val="Sheet3"/>
      <sheetName val="Sheet1"/>
      <sheetName val="Sheet3-OLD FORMAT"/>
      <sheetName val="New Size Wise Details "/>
      <sheetName val="Rej Details - FEB - 26-old"/>
      <sheetName val="Rejection - FEB 2026"/>
      <sheetName val="Rejection - MAR 2026 "/>
      <sheetName val="Weight - JAN -26"/>
      <sheetName val="Short Shipment Data"/>
      <sheetName val="Photo DMN Details"/>
      <sheetName val="Packaging Approval"/>
      <sheetName val="Hugo bos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048556"/>
  <sheetViews>
    <sheetView showGridLines="0" tabSelected="1" topLeftCell="A62" zoomScaleNormal="100" workbookViewId="0">
      <selection activeCell="N70" sqref="N70"/>
    </sheetView>
  </sheetViews>
  <sheetFormatPr defaultColWidth="9.140625" defaultRowHeight="15" x14ac:dyDescent="0.25"/>
  <cols>
    <col min="1" max="1" width="4.140625" style="1" customWidth="1"/>
    <col min="2" max="2" width="11.28515625" style="1" customWidth="1"/>
    <col min="3" max="3" width="5.42578125" style="1" customWidth="1"/>
    <col min="4" max="4" width="5.7109375" style="1" customWidth="1"/>
    <col min="5" max="5" width="5.28515625" style="1" customWidth="1"/>
    <col min="6" max="7" width="5.42578125" style="1" customWidth="1"/>
    <col min="8" max="9" width="5.28515625" style="1" customWidth="1"/>
    <col min="10" max="10" width="12.28515625" style="1" customWidth="1"/>
    <col min="11" max="11" width="8.28515625" style="1" customWidth="1"/>
    <col min="12" max="12" width="5.7109375" style="1" customWidth="1"/>
    <col min="13" max="14" width="11.28515625" style="1" customWidth="1"/>
    <col min="15" max="15" width="5.42578125" style="1" customWidth="1"/>
    <col min="16" max="16" width="8.28515625" style="1" bestFit="1" customWidth="1"/>
    <col min="17" max="17" width="5.42578125" style="1" customWidth="1"/>
    <col min="18" max="18" width="5.28515625" style="1" customWidth="1"/>
    <col min="19" max="19" width="11.28515625" style="1" customWidth="1"/>
    <col min="20" max="20" width="5.140625" style="1" customWidth="1"/>
    <col min="21" max="21" width="12.28515625" style="1" customWidth="1"/>
    <col min="22" max="22" width="5.140625" style="1" customWidth="1"/>
    <col min="23" max="23" width="11.42578125" style="1" customWidth="1"/>
    <col min="24" max="24" width="8.28515625" style="1" customWidth="1"/>
    <col min="25" max="25" width="4.85546875" style="1" customWidth="1"/>
    <col min="26" max="26" width="7" style="1" hidden="1" customWidth="1"/>
    <col min="40" max="40" width="0" hidden="1" customWidth="1"/>
    <col min="41" max="41" width="7" hidden="1" customWidth="1"/>
    <col min="42" max="42" width="10.5703125" hidden="1" customWidth="1"/>
    <col min="43" max="43" width="18.5703125" hidden="1" customWidth="1"/>
    <col min="44" max="44" width="17.42578125" hidden="1" customWidth="1"/>
    <col min="45" max="45" width="31.85546875" hidden="1" customWidth="1"/>
    <col min="46" max="46" width="25.28515625" hidden="1" customWidth="1"/>
    <col min="47" max="47" width="41.7109375" hidden="1" customWidth="1"/>
    <col min="48" max="48" width="38.42578125" hidden="1" customWidth="1"/>
    <col min="49" max="49" width="7" hidden="1" customWidth="1"/>
    <col min="50" max="50" width="0" hidden="1" customWidth="1"/>
    <col min="51" max="51" width="10" customWidth="1"/>
    <col min="52" max="52" width="9.5703125" bestFit="1" customWidth="1"/>
    <col min="53" max="53" width="7.28515625" customWidth="1"/>
    <col min="54" max="54" width="11.28515625" bestFit="1" customWidth="1"/>
    <col min="55" max="55" width="20.28515625" bestFit="1" customWidth="1"/>
  </cols>
  <sheetData>
    <row r="1" spans="2:49" ht="15.75" thickBot="1" x14ac:dyDescent="0.3"/>
    <row r="2" spans="2:49" ht="15.75" thickBot="1" x14ac:dyDescent="0.3">
      <c r="B2" s="2">
        <v>103</v>
      </c>
      <c r="C2" s="3"/>
      <c r="D2" s="4">
        <v>1.2</v>
      </c>
      <c r="E2" s="4"/>
      <c r="F2" s="4"/>
      <c r="G2" s="5"/>
      <c r="H2" s="6" t="s">
        <v>0</v>
      </c>
      <c r="I2" s="7"/>
      <c r="J2" s="8">
        <v>712929278</v>
      </c>
      <c r="K2" s="8"/>
      <c r="N2" s="2">
        <v>103</v>
      </c>
      <c r="O2" s="3"/>
      <c r="P2" s="4">
        <v>1.2</v>
      </c>
      <c r="Q2" s="4"/>
      <c r="R2" s="4"/>
      <c r="S2" s="5"/>
      <c r="T2" s="6" t="s">
        <v>0</v>
      </c>
      <c r="U2" s="7"/>
      <c r="V2" s="8">
        <v>712917324</v>
      </c>
      <c r="W2" s="8"/>
      <c r="AO2" s="9"/>
      <c r="AP2" s="10" t="s">
        <v>1</v>
      </c>
      <c r="AQ2" s="11"/>
      <c r="AR2" s="11"/>
      <c r="AS2" s="11"/>
      <c r="AT2" s="11"/>
      <c r="AU2" s="11"/>
      <c r="AV2" s="12"/>
    </row>
    <row r="3" spans="2:49" ht="15.75" thickBot="1" x14ac:dyDescent="0.3">
      <c r="B3" s="13" t="s">
        <v>2</v>
      </c>
      <c r="C3" s="14"/>
      <c r="D3" s="14"/>
      <c r="E3" s="14"/>
      <c r="F3" s="14"/>
      <c r="G3" s="14"/>
      <c r="H3" s="14"/>
      <c r="I3" s="15"/>
      <c r="J3" s="15"/>
      <c r="K3" s="16"/>
      <c r="N3" s="13" t="s">
        <v>2</v>
      </c>
      <c r="O3" s="14"/>
      <c r="P3" s="14"/>
      <c r="Q3" s="14"/>
      <c r="R3" s="14"/>
      <c r="S3" s="14"/>
      <c r="T3" s="14"/>
      <c r="U3" s="15"/>
      <c r="V3" s="15"/>
      <c r="W3" s="16"/>
      <c r="AO3" s="17" t="s">
        <v>3</v>
      </c>
      <c r="AP3" s="18" t="s">
        <v>4</v>
      </c>
      <c r="AQ3" s="19" t="s">
        <v>5</v>
      </c>
      <c r="AR3" s="19" t="s">
        <v>6</v>
      </c>
      <c r="AS3" s="20" t="s">
        <v>7</v>
      </c>
      <c r="AT3" s="21" t="s">
        <v>8</v>
      </c>
      <c r="AU3" s="21" t="s">
        <v>9</v>
      </c>
      <c r="AV3" s="21" t="s">
        <v>10</v>
      </c>
    </row>
    <row r="4" spans="2:49" x14ac:dyDescent="0.25">
      <c r="B4" s="22" t="s">
        <v>11</v>
      </c>
      <c r="C4" s="23">
        <v>14.5</v>
      </c>
      <c r="D4" s="23">
        <v>15</v>
      </c>
      <c r="E4" s="23">
        <v>15.5</v>
      </c>
      <c r="F4" s="23">
        <v>16</v>
      </c>
      <c r="G4" s="23">
        <v>16.5</v>
      </c>
      <c r="H4" s="23">
        <v>17</v>
      </c>
      <c r="I4" s="24">
        <v>17.5</v>
      </c>
      <c r="J4" s="24">
        <v>18</v>
      </c>
      <c r="K4" s="24">
        <v>18.5</v>
      </c>
      <c r="N4" s="22" t="s">
        <v>11</v>
      </c>
      <c r="O4" s="25">
        <v>14.5</v>
      </c>
      <c r="P4" s="25">
        <v>15</v>
      </c>
      <c r="Q4" s="25">
        <v>15.5</v>
      </c>
      <c r="R4" s="25">
        <v>16</v>
      </c>
      <c r="S4" s="25">
        <v>16.5</v>
      </c>
      <c r="T4" s="25">
        <v>17</v>
      </c>
      <c r="U4" s="26">
        <v>17.5</v>
      </c>
      <c r="V4" s="26">
        <v>18</v>
      </c>
      <c r="W4" s="26">
        <v>18.5</v>
      </c>
      <c r="Z4" s="27">
        <v>0.104166666666667</v>
      </c>
      <c r="AO4" s="28">
        <v>1</v>
      </c>
      <c r="AP4" s="29">
        <v>710889739</v>
      </c>
      <c r="AQ4" s="30">
        <v>45907</v>
      </c>
      <c r="AR4" s="31" t="s">
        <v>12</v>
      </c>
      <c r="AS4" s="31" t="s">
        <v>13</v>
      </c>
      <c r="AT4" s="32" t="s">
        <v>14</v>
      </c>
      <c r="AU4" s="31" t="s">
        <v>15</v>
      </c>
      <c r="AV4" s="33" t="s">
        <v>16</v>
      </c>
      <c r="AW4" s="34"/>
    </row>
    <row r="5" spans="2:49" x14ac:dyDescent="0.25">
      <c r="B5" s="35" t="s">
        <v>17</v>
      </c>
      <c r="C5" s="35">
        <v>0.252</v>
      </c>
      <c r="D5" s="35">
        <v>0.26400000000000001</v>
      </c>
      <c r="E5" s="35">
        <v>0.27500000000000002</v>
      </c>
      <c r="F5" s="35">
        <v>0.27500000000000002</v>
      </c>
      <c r="G5" s="35">
        <v>0.28799999999999998</v>
      </c>
      <c r="H5" s="35">
        <v>0.30299999999999999</v>
      </c>
      <c r="I5" s="35">
        <v>0.30599999999999999</v>
      </c>
      <c r="J5" s="35">
        <v>0.314</v>
      </c>
      <c r="K5" s="35">
        <v>0.32</v>
      </c>
      <c r="N5" s="35" t="s">
        <v>17</v>
      </c>
      <c r="O5" s="35">
        <v>0.3</v>
      </c>
      <c r="P5" s="35">
        <v>0.3</v>
      </c>
      <c r="Q5" s="35">
        <v>0.32</v>
      </c>
      <c r="R5" s="35">
        <v>0.33</v>
      </c>
      <c r="S5" s="35">
        <v>0.34</v>
      </c>
      <c r="T5" s="35">
        <v>0.35</v>
      </c>
      <c r="U5" s="35">
        <v>0.36</v>
      </c>
      <c r="V5" s="35">
        <v>0.37</v>
      </c>
      <c r="W5" s="35">
        <v>0.38</v>
      </c>
      <c r="Z5" s="36"/>
      <c r="AO5" s="37">
        <v>2</v>
      </c>
      <c r="AP5" s="38">
        <v>710982143</v>
      </c>
      <c r="AQ5" s="39">
        <v>45956</v>
      </c>
      <c r="AR5" s="40" t="s">
        <v>18</v>
      </c>
      <c r="AS5" s="41" t="s">
        <v>13</v>
      </c>
      <c r="AT5" s="41" t="s">
        <v>14</v>
      </c>
      <c r="AU5" s="41" t="s">
        <v>19</v>
      </c>
      <c r="AV5" s="42" t="s">
        <v>20</v>
      </c>
      <c r="AW5" s="34"/>
    </row>
    <row r="6" spans="2:49" x14ac:dyDescent="0.25">
      <c r="B6" s="35" t="s">
        <v>21</v>
      </c>
      <c r="C6" s="35">
        <v>1.34</v>
      </c>
      <c r="D6" s="35">
        <v>1.34</v>
      </c>
      <c r="E6" s="35">
        <v>1.34</v>
      </c>
      <c r="F6" s="35">
        <v>1.34</v>
      </c>
      <c r="G6" s="35">
        <v>1.34</v>
      </c>
      <c r="H6" s="35">
        <v>1.34</v>
      </c>
      <c r="I6" s="35">
        <v>1.34</v>
      </c>
      <c r="J6" s="35">
        <v>1.34</v>
      </c>
      <c r="K6" s="35">
        <v>1.34</v>
      </c>
      <c r="N6" s="35" t="s">
        <v>21</v>
      </c>
      <c r="O6" s="35">
        <v>1.34</v>
      </c>
      <c r="P6" s="35">
        <v>1.34</v>
      </c>
      <c r="Q6" s="35">
        <v>1.34</v>
      </c>
      <c r="R6" s="35">
        <v>1.34</v>
      </c>
      <c r="S6" s="35">
        <v>1.34</v>
      </c>
      <c r="T6" s="35">
        <v>1.34</v>
      </c>
      <c r="U6" s="35">
        <v>1.34</v>
      </c>
      <c r="V6" s="35">
        <v>1.34</v>
      </c>
      <c r="W6" s="35">
        <v>1.34</v>
      </c>
      <c r="AO6" s="37">
        <v>3</v>
      </c>
      <c r="AP6" s="38">
        <v>712929278</v>
      </c>
      <c r="AQ6" s="39">
        <v>45956</v>
      </c>
      <c r="AR6" s="40" t="s">
        <v>18</v>
      </c>
      <c r="AS6" s="41" t="s">
        <v>13</v>
      </c>
      <c r="AT6" s="41" t="s">
        <v>22</v>
      </c>
      <c r="AU6" s="41" t="s">
        <v>23</v>
      </c>
      <c r="AV6" s="42" t="s">
        <v>24</v>
      </c>
      <c r="AW6" s="34"/>
    </row>
    <row r="7" spans="2:49" x14ac:dyDescent="0.25">
      <c r="B7" s="35" t="s">
        <v>25</v>
      </c>
      <c r="C7" s="35">
        <v>20</v>
      </c>
      <c r="D7" s="35">
        <v>20</v>
      </c>
      <c r="E7" s="35">
        <v>20</v>
      </c>
      <c r="F7" s="35">
        <v>20</v>
      </c>
      <c r="G7" s="35">
        <v>20</v>
      </c>
      <c r="H7" s="35">
        <v>20</v>
      </c>
      <c r="I7" s="35">
        <v>20</v>
      </c>
      <c r="J7" s="35">
        <v>20</v>
      </c>
      <c r="K7" s="35">
        <v>20</v>
      </c>
      <c r="N7" s="35" t="s">
        <v>25</v>
      </c>
      <c r="O7" s="35">
        <v>20</v>
      </c>
      <c r="P7" s="35">
        <v>20</v>
      </c>
      <c r="Q7" s="35">
        <v>20</v>
      </c>
      <c r="R7" s="35">
        <v>20</v>
      </c>
      <c r="S7" s="35">
        <v>20</v>
      </c>
      <c r="T7" s="35">
        <v>20</v>
      </c>
      <c r="U7" s="35">
        <v>20</v>
      </c>
      <c r="V7" s="35">
        <v>20</v>
      </c>
      <c r="W7" s="35">
        <v>20</v>
      </c>
      <c r="AO7" s="28">
        <v>4</v>
      </c>
      <c r="AP7" s="38" t="s">
        <v>26</v>
      </c>
      <c r="AQ7" s="39">
        <v>45963</v>
      </c>
      <c r="AR7" s="40" t="s">
        <v>18</v>
      </c>
      <c r="AS7" s="41" t="s">
        <v>13</v>
      </c>
      <c r="AT7" s="41" t="s">
        <v>14</v>
      </c>
      <c r="AU7" s="41" t="s">
        <v>27</v>
      </c>
      <c r="AV7" s="42" t="s">
        <v>20</v>
      </c>
      <c r="AW7" s="34"/>
    </row>
    <row r="8" spans="2:49" x14ac:dyDescent="0.25">
      <c r="B8" s="35" t="s">
        <v>28</v>
      </c>
      <c r="C8" s="43">
        <f t="shared" ref="C8:K8" si="0">C5*C7+C6</f>
        <v>6.38</v>
      </c>
      <c r="D8" s="43">
        <f t="shared" si="0"/>
        <v>6.62</v>
      </c>
      <c r="E8" s="43">
        <f t="shared" si="0"/>
        <v>6.84</v>
      </c>
      <c r="F8" s="43">
        <f t="shared" si="0"/>
        <v>6.84</v>
      </c>
      <c r="G8" s="43">
        <f t="shared" si="0"/>
        <v>7.1</v>
      </c>
      <c r="H8" s="43">
        <f t="shared" si="0"/>
        <v>7.3999999999999995</v>
      </c>
      <c r="I8" s="43">
        <f t="shared" si="0"/>
        <v>7.46</v>
      </c>
      <c r="J8" s="43">
        <f t="shared" si="0"/>
        <v>7.62</v>
      </c>
      <c r="K8" s="43">
        <f t="shared" si="0"/>
        <v>7.74</v>
      </c>
      <c r="N8" s="35" t="s">
        <v>28</v>
      </c>
      <c r="O8" s="43">
        <f>O5*O7+O6</f>
        <v>7.34</v>
      </c>
      <c r="P8" s="43">
        <f t="shared" ref="P8:W8" si="1">P5*P7+P6</f>
        <v>7.34</v>
      </c>
      <c r="Q8" s="43">
        <f t="shared" si="1"/>
        <v>7.74</v>
      </c>
      <c r="R8" s="43">
        <f t="shared" si="1"/>
        <v>7.94</v>
      </c>
      <c r="S8" s="43">
        <f t="shared" si="1"/>
        <v>8.14</v>
      </c>
      <c r="T8" s="43">
        <f t="shared" si="1"/>
        <v>8.34</v>
      </c>
      <c r="U8" s="43">
        <f t="shared" si="1"/>
        <v>8.5399999999999991</v>
      </c>
      <c r="V8" s="43">
        <f t="shared" si="1"/>
        <v>8.74</v>
      </c>
      <c r="W8" s="43">
        <f t="shared" si="1"/>
        <v>8.94</v>
      </c>
      <c r="AO8" s="37">
        <v>5</v>
      </c>
      <c r="AP8" s="38" t="s">
        <v>29</v>
      </c>
      <c r="AQ8" s="39">
        <v>45963</v>
      </c>
      <c r="AR8" s="40" t="s">
        <v>18</v>
      </c>
      <c r="AS8" s="41" t="s">
        <v>13</v>
      </c>
      <c r="AT8" s="41" t="s">
        <v>14</v>
      </c>
      <c r="AU8" s="41" t="s">
        <v>30</v>
      </c>
      <c r="AV8" s="42" t="s">
        <v>20</v>
      </c>
      <c r="AW8" s="34"/>
    </row>
    <row r="9" spans="2:49" ht="15.75" thickBot="1" x14ac:dyDescent="0.3">
      <c r="B9" s="44"/>
      <c r="C9" s="45"/>
      <c r="D9" s="45"/>
      <c r="E9" s="45"/>
      <c r="F9" s="45"/>
      <c r="G9" s="45"/>
      <c r="H9" s="45"/>
      <c r="I9" s="45"/>
      <c r="J9" s="46" t="s">
        <v>31</v>
      </c>
      <c r="K9" s="45"/>
      <c r="N9" s="44"/>
      <c r="O9" s="45"/>
      <c r="P9" s="45"/>
      <c r="Q9" s="45"/>
      <c r="R9" s="45"/>
      <c r="S9" s="45"/>
      <c r="T9" s="45"/>
      <c r="U9" s="45"/>
      <c r="V9" s="45"/>
      <c r="W9" s="45"/>
      <c r="AO9" s="37">
        <v>6</v>
      </c>
      <c r="AP9" s="38" t="s">
        <v>32</v>
      </c>
      <c r="AQ9" s="39">
        <v>45963</v>
      </c>
      <c r="AR9" s="40" t="s">
        <v>18</v>
      </c>
      <c r="AS9" s="41" t="s">
        <v>13</v>
      </c>
      <c r="AT9" s="41" t="s">
        <v>14</v>
      </c>
      <c r="AU9" s="41" t="s">
        <v>33</v>
      </c>
      <c r="AV9" s="42" t="s">
        <v>20</v>
      </c>
      <c r="AW9" s="47" t="s">
        <v>34</v>
      </c>
    </row>
    <row r="10" spans="2:49" ht="15.75" thickBot="1" x14ac:dyDescent="0.3">
      <c r="J10" s="48" t="s">
        <v>35</v>
      </c>
      <c r="K10" s="49">
        <f ca="1">NOW()-TRUNC(NOW())</f>
        <v>0.63739837962930324</v>
      </c>
      <c r="AO10" s="28">
        <v>7</v>
      </c>
      <c r="AP10" s="38" t="s">
        <v>36</v>
      </c>
      <c r="AQ10" s="39">
        <v>45963</v>
      </c>
      <c r="AR10" s="40" t="s">
        <v>18</v>
      </c>
      <c r="AS10" s="40" t="s">
        <v>13</v>
      </c>
      <c r="AT10" s="41" t="s">
        <v>22</v>
      </c>
      <c r="AU10" s="41" t="s">
        <v>23</v>
      </c>
      <c r="AV10" s="42" t="s">
        <v>20</v>
      </c>
      <c r="AW10" s="47" t="s">
        <v>34</v>
      </c>
    </row>
    <row r="11" spans="2:49" ht="15.75" thickBot="1" x14ac:dyDescent="0.3">
      <c r="J11" s="48" t="s">
        <v>37</v>
      </c>
      <c r="K11" s="50">
        <f ca="1">K10+Z4</f>
        <v>0.7415650462959702</v>
      </c>
      <c r="N11" s="51" t="s">
        <v>38</v>
      </c>
      <c r="O11" s="52"/>
      <c r="P11" s="53" t="s">
        <v>39</v>
      </c>
      <c r="Q11" s="54"/>
      <c r="R11" s="55"/>
      <c r="U11" s="56" t="s">
        <v>40</v>
      </c>
      <c r="V11" s="57"/>
      <c r="W11" s="57"/>
      <c r="X11" s="58"/>
      <c r="AO11" s="37">
        <v>8</v>
      </c>
      <c r="AP11" s="38">
        <v>710966421</v>
      </c>
      <c r="AQ11" s="39">
        <v>45998</v>
      </c>
      <c r="AR11" s="40" t="s">
        <v>18</v>
      </c>
      <c r="AS11" s="40" t="s">
        <v>13</v>
      </c>
      <c r="AT11" s="41" t="s">
        <v>14</v>
      </c>
      <c r="AU11" s="41" t="s">
        <v>41</v>
      </c>
      <c r="AV11" s="59" t="s">
        <v>20</v>
      </c>
      <c r="AW11" s="47" t="s">
        <v>34</v>
      </c>
    </row>
    <row r="12" spans="2:49" ht="15.75" thickBot="1" x14ac:dyDescent="0.3">
      <c r="U12" s="60" t="s">
        <v>42</v>
      </c>
      <c r="V12" s="61">
        <v>480</v>
      </c>
      <c r="W12" s="62">
        <v>380</v>
      </c>
      <c r="X12" s="63">
        <v>325</v>
      </c>
      <c r="AO12" s="37">
        <v>9</v>
      </c>
      <c r="AP12" s="64" t="s">
        <v>43</v>
      </c>
      <c r="AQ12" s="65">
        <v>46012</v>
      </c>
      <c r="AR12" s="66" t="s">
        <v>44</v>
      </c>
      <c r="AS12" s="66" t="s">
        <v>13</v>
      </c>
      <c r="AT12" s="66" t="s">
        <v>14</v>
      </c>
      <c r="AU12" s="66" t="s">
        <v>45</v>
      </c>
      <c r="AV12" s="67" t="s">
        <v>24</v>
      </c>
      <c r="AW12" s="47" t="s">
        <v>34</v>
      </c>
    </row>
    <row r="13" spans="2:49" ht="15.75" thickBot="1" x14ac:dyDescent="0.3">
      <c r="B13" s="68">
        <v>103</v>
      </c>
      <c r="C13" s="69"/>
      <c r="D13" s="70">
        <v>1.2</v>
      </c>
      <c r="E13" s="70"/>
      <c r="F13" s="70"/>
      <c r="G13" s="71"/>
      <c r="H13" s="7" t="s">
        <v>0</v>
      </c>
      <c r="I13" s="7"/>
      <c r="J13" s="72">
        <v>712966314</v>
      </c>
      <c r="K13" s="72"/>
      <c r="S13" s="73"/>
      <c r="U13" s="74" t="s">
        <v>46</v>
      </c>
      <c r="V13" s="74" t="s">
        <v>47</v>
      </c>
      <c r="W13" s="75" t="s">
        <v>48</v>
      </c>
      <c r="X13" s="74" t="s">
        <v>49</v>
      </c>
      <c r="AO13" s="28">
        <v>10</v>
      </c>
      <c r="AP13" s="64">
        <v>710982798</v>
      </c>
      <c r="AQ13" s="65">
        <v>46033</v>
      </c>
      <c r="AR13" s="66" t="s">
        <v>44</v>
      </c>
      <c r="AS13" s="66" t="s">
        <v>13</v>
      </c>
      <c r="AT13" s="66" t="s">
        <v>14</v>
      </c>
      <c r="AU13" s="66" t="s">
        <v>50</v>
      </c>
      <c r="AV13" s="67" t="s">
        <v>24</v>
      </c>
      <c r="AW13" s="47" t="s">
        <v>34</v>
      </c>
    </row>
    <row r="14" spans="2:49" ht="15.75" thickBot="1" x14ac:dyDescent="0.3">
      <c r="B14" s="76" t="s">
        <v>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  <c r="U14" s="77" t="s">
        <v>51</v>
      </c>
      <c r="V14" s="78">
        <v>32.5</v>
      </c>
      <c r="W14" s="79">
        <f>V14</f>
        <v>32.5</v>
      </c>
      <c r="X14" s="80">
        <f>CONVERT(W14,"cm","mm")</f>
        <v>325</v>
      </c>
      <c r="Y14" s="81"/>
      <c r="AO14" s="37">
        <v>11</v>
      </c>
      <c r="AP14" s="82" t="s">
        <v>52</v>
      </c>
      <c r="AQ14" s="30">
        <v>46034</v>
      </c>
      <c r="AR14" s="32" t="s">
        <v>18</v>
      </c>
      <c r="AS14" s="32" t="s">
        <v>13</v>
      </c>
      <c r="AT14" s="32" t="s">
        <v>53</v>
      </c>
      <c r="AU14" s="32" t="s">
        <v>54</v>
      </c>
      <c r="AV14" s="83" t="s">
        <v>55</v>
      </c>
      <c r="AW14" s="47" t="s">
        <v>34</v>
      </c>
    </row>
    <row r="15" spans="2:49" ht="15.75" thickBot="1" x14ac:dyDescent="0.3">
      <c r="B15" s="35" t="s">
        <v>11</v>
      </c>
      <c r="C15" s="24" t="s">
        <v>56</v>
      </c>
      <c r="D15" s="24" t="s">
        <v>57</v>
      </c>
      <c r="E15" s="24" t="s">
        <v>58</v>
      </c>
      <c r="F15" s="24" t="s">
        <v>59</v>
      </c>
      <c r="G15" s="24" t="s">
        <v>60</v>
      </c>
      <c r="H15" s="24" t="s">
        <v>61</v>
      </c>
      <c r="I15" s="24" t="s">
        <v>62</v>
      </c>
      <c r="J15" s="24" t="s">
        <v>63</v>
      </c>
      <c r="K15" s="24" t="s">
        <v>64</v>
      </c>
      <c r="L15" s="24" t="s">
        <v>65</v>
      </c>
      <c r="M15" s="24" t="s">
        <v>66</v>
      </c>
      <c r="N15" s="24" t="s">
        <v>67</v>
      </c>
      <c r="O15" s="84" t="s">
        <v>68</v>
      </c>
      <c r="P15" s="84" t="s">
        <v>69</v>
      </c>
      <c r="Q15" s="84" t="s">
        <v>70</v>
      </c>
      <c r="R15" s="84" t="s">
        <v>71</v>
      </c>
      <c r="S15" s="84" t="s">
        <v>72</v>
      </c>
      <c r="U15" s="77" t="s">
        <v>73</v>
      </c>
      <c r="V15" s="85">
        <v>1</v>
      </c>
      <c r="W15" s="86">
        <f>V15</f>
        <v>1</v>
      </c>
      <c r="X15" s="77">
        <f>CONVERT(W15,"cm","mm")</f>
        <v>10</v>
      </c>
      <c r="Y15" s="87"/>
      <c r="AO15" s="37">
        <v>12</v>
      </c>
      <c r="AP15" s="38" t="s">
        <v>74</v>
      </c>
      <c r="AQ15" s="39">
        <v>46047</v>
      </c>
      <c r="AR15" s="41" t="s">
        <v>18</v>
      </c>
      <c r="AS15" s="41" t="s">
        <v>13</v>
      </c>
      <c r="AT15" s="41" t="s">
        <v>14</v>
      </c>
      <c r="AU15" s="41" t="s">
        <v>19</v>
      </c>
      <c r="AV15" s="42" t="s">
        <v>20</v>
      </c>
      <c r="AW15" s="47" t="s">
        <v>34</v>
      </c>
    </row>
    <row r="16" spans="2:49" ht="15.75" thickBot="1" x14ac:dyDescent="0.3">
      <c r="B16" s="35" t="s">
        <v>25</v>
      </c>
      <c r="C16" s="35">
        <v>31</v>
      </c>
      <c r="D16" s="35">
        <v>20</v>
      </c>
      <c r="E16" s="35">
        <v>20</v>
      </c>
      <c r="F16" s="35">
        <v>20</v>
      </c>
      <c r="G16" s="35">
        <v>20</v>
      </c>
      <c r="H16" s="35">
        <v>20</v>
      </c>
      <c r="I16" s="35">
        <v>20</v>
      </c>
      <c r="J16" s="35">
        <v>20</v>
      </c>
      <c r="K16" s="35">
        <v>20</v>
      </c>
      <c r="L16" s="35">
        <v>20</v>
      </c>
      <c r="M16" s="35">
        <v>20</v>
      </c>
      <c r="N16" s="35">
        <v>20</v>
      </c>
      <c r="O16" s="35">
        <v>20</v>
      </c>
      <c r="P16" s="35">
        <v>20</v>
      </c>
      <c r="Q16" s="35">
        <v>20</v>
      </c>
      <c r="R16" s="35">
        <v>20</v>
      </c>
      <c r="S16" s="35">
        <v>20</v>
      </c>
      <c r="U16" s="88" t="s">
        <v>75</v>
      </c>
      <c r="V16" s="78" t="e">
        <f>#REF!/16</f>
        <v>#REF!</v>
      </c>
      <c r="W16" s="89" t="e">
        <f>V16</f>
        <v>#REF!</v>
      </c>
      <c r="X16" s="90" t="e">
        <f>CONVERT(W16,"cm","mm")</f>
        <v>#REF!</v>
      </c>
      <c r="Y16" s="81"/>
      <c r="AO16" s="28">
        <v>13</v>
      </c>
      <c r="AP16" s="91" t="s">
        <v>76</v>
      </c>
      <c r="AQ16" s="92">
        <v>46054</v>
      </c>
      <c r="AR16" s="93" t="s">
        <v>77</v>
      </c>
      <c r="AS16" s="93" t="s">
        <v>13</v>
      </c>
      <c r="AT16" s="93" t="s">
        <v>14</v>
      </c>
      <c r="AU16" s="93" t="s">
        <v>78</v>
      </c>
      <c r="AV16" s="94" t="s">
        <v>24</v>
      </c>
      <c r="AW16" s="47" t="s">
        <v>79</v>
      </c>
    </row>
    <row r="17" spans="2:49" x14ac:dyDescent="0.25">
      <c r="B17" s="35" t="s">
        <v>28</v>
      </c>
      <c r="C17" s="43" t="e">
        <f>#REF!*C16+#REF!</f>
        <v>#REF!</v>
      </c>
      <c r="D17" s="43" t="e">
        <f>#REF!*D16+#REF!</f>
        <v>#REF!</v>
      </c>
      <c r="E17" s="43" t="e">
        <f>#REF!*E16+#REF!</f>
        <v>#REF!</v>
      </c>
      <c r="F17" s="43" t="e">
        <f>#REF!*F16+#REF!</f>
        <v>#REF!</v>
      </c>
      <c r="G17" s="43" t="e">
        <f>#REF!*G16+#REF!</f>
        <v>#REF!</v>
      </c>
      <c r="H17" s="43" t="e">
        <f>#REF!*H16+#REF!</f>
        <v>#REF!</v>
      </c>
      <c r="I17" s="43" t="e">
        <f>#REF!*I16+#REF!</f>
        <v>#REF!</v>
      </c>
      <c r="J17" s="43" t="e">
        <f>#REF!*J16+#REF!</f>
        <v>#REF!</v>
      </c>
      <c r="K17" s="43" t="e">
        <f>#REF!*K16+#REF!</f>
        <v>#REF!</v>
      </c>
      <c r="L17" s="43" t="e">
        <f>#REF!*L16+#REF!</f>
        <v>#REF!</v>
      </c>
      <c r="M17" s="43" t="e">
        <f>#REF!*M16+#REF!</f>
        <v>#REF!</v>
      </c>
      <c r="N17" s="43" t="e">
        <f>#REF!*N16+#REF!</f>
        <v>#REF!</v>
      </c>
      <c r="O17" s="43" t="e">
        <f>#REF!*O16+#REF!</f>
        <v>#REF!</v>
      </c>
      <c r="P17" s="43" t="e">
        <f>#REF!*P16+#REF!</f>
        <v>#REF!</v>
      </c>
      <c r="Q17" s="43" t="e">
        <f>#REF!*Q16+#REF!</f>
        <v>#REF!</v>
      </c>
      <c r="R17" s="43" t="e">
        <f>#REF!*R16+#REF!</f>
        <v>#REF!</v>
      </c>
      <c r="S17" s="43" t="e">
        <f>#REF!*S16+#REF!</f>
        <v>#REF!</v>
      </c>
      <c r="U17" s="95"/>
      <c r="V17" s="96"/>
      <c r="W17" s="96"/>
      <c r="X17" s="95"/>
      <c r="Y17" s="81"/>
      <c r="AO17" s="37">
        <v>14</v>
      </c>
      <c r="AP17" s="97">
        <v>712917324</v>
      </c>
      <c r="AQ17" s="98">
        <v>46068</v>
      </c>
      <c r="AR17" s="41" t="s">
        <v>80</v>
      </c>
      <c r="AS17" s="41" t="s">
        <v>13</v>
      </c>
      <c r="AT17" s="41" t="s">
        <v>81</v>
      </c>
      <c r="AU17" s="41" t="s">
        <v>82</v>
      </c>
      <c r="AV17" s="59" t="s">
        <v>80</v>
      </c>
      <c r="AW17" s="34"/>
    </row>
    <row r="18" spans="2:49" ht="15.75" thickBot="1" x14ac:dyDescent="0.3">
      <c r="H18" s="99"/>
      <c r="K18" s="81"/>
      <c r="L18" s="81"/>
      <c r="M18" s="81"/>
      <c r="N18" s="87"/>
      <c r="Q18" s="81"/>
      <c r="R18" s="81"/>
      <c r="S18" s="81"/>
      <c r="U18" s="81"/>
      <c r="Y18" s="95"/>
      <c r="AO18" s="37">
        <v>15</v>
      </c>
      <c r="AP18" s="97">
        <v>712925893</v>
      </c>
      <c r="AQ18" s="98">
        <v>46068</v>
      </c>
      <c r="AR18" s="41" t="s">
        <v>80</v>
      </c>
      <c r="AS18" s="41" t="s">
        <v>13</v>
      </c>
      <c r="AT18" s="41" t="s">
        <v>81</v>
      </c>
      <c r="AU18" s="41" t="s">
        <v>82</v>
      </c>
      <c r="AV18" s="59" t="s">
        <v>80</v>
      </c>
      <c r="AW18" s="34"/>
    </row>
    <row r="19" spans="2:49" ht="15.75" thickBot="1" x14ac:dyDescent="0.3">
      <c r="B19" s="76" t="s">
        <v>2</v>
      </c>
      <c r="C19" s="15"/>
      <c r="D19" s="15"/>
      <c r="E19" s="15"/>
      <c r="F19" s="15"/>
      <c r="G19" s="15"/>
      <c r="H19" s="16"/>
      <c r="J19" s="76" t="s">
        <v>83</v>
      </c>
      <c r="K19" s="15"/>
      <c r="L19" s="15"/>
      <c r="M19" s="15"/>
      <c r="N19" s="15"/>
      <c r="O19" s="15"/>
      <c r="P19" s="16"/>
      <c r="U19" s="56" t="s">
        <v>84</v>
      </c>
      <c r="V19" s="57"/>
      <c r="W19" s="57"/>
      <c r="X19" s="58"/>
      <c r="AO19" s="28">
        <v>16</v>
      </c>
      <c r="AP19" s="64">
        <v>712917324</v>
      </c>
      <c r="AQ19" s="100">
        <v>46068</v>
      </c>
      <c r="AR19" s="101" t="s">
        <v>85</v>
      </c>
      <c r="AS19" s="101" t="s">
        <v>13</v>
      </c>
      <c r="AT19" s="101" t="s">
        <v>86</v>
      </c>
      <c r="AU19" s="101" t="s">
        <v>87</v>
      </c>
      <c r="AV19" s="102"/>
      <c r="AW19" s="47" t="s">
        <v>34</v>
      </c>
    </row>
    <row r="20" spans="2:49" ht="15.75" thickBot="1" x14ac:dyDescent="0.3">
      <c r="B20" s="35" t="s">
        <v>17</v>
      </c>
      <c r="C20" s="103">
        <v>0.255</v>
      </c>
      <c r="D20" s="104">
        <v>0.27400000000000002</v>
      </c>
      <c r="E20" s="104">
        <v>0.28799999999999998</v>
      </c>
      <c r="F20" s="104">
        <v>0.30399999999999999</v>
      </c>
      <c r="G20" s="104">
        <v>0.32100000000000001</v>
      </c>
      <c r="H20" s="103">
        <v>0.34100000000000003</v>
      </c>
      <c r="J20" s="35" t="s">
        <v>17</v>
      </c>
      <c r="K20" s="103">
        <v>0.31</v>
      </c>
      <c r="L20" s="104">
        <v>0.35</v>
      </c>
      <c r="M20" s="104">
        <v>0.36</v>
      </c>
      <c r="N20" s="104">
        <v>0.39</v>
      </c>
      <c r="O20" s="104">
        <v>0.42</v>
      </c>
      <c r="P20" s="103">
        <v>0.45</v>
      </c>
      <c r="U20" s="60" t="s">
        <v>42</v>
      </c>
      <c r="V20" s="61">
        <v>540</v>
      </c>
      <c r="W20" s="62">
        <v>380</v>
      </c>
      <c r="X20" s="63">
        <v>375</v>
      </c>
      <c r="AO20" s="37">
        <v>17</v>
      </c>
      <c r="AP20" s="105">
        <v>712925893</v>
      </c>
      <c r="AQ20" s="100">
        <v>46068</v>
      </c>
      <c r="AR20" s="101" t="s">
        <v>85</v>
      </c>
      <c r="AS20" s="101" t="s">
        <v>13</v>
      </c>
      <c r="AT20" s="101"/>
      <c r="AU20" s="101"/>
      <c r="AV20" s="106"/>
      <c r="AW20" s="34"/>
    </row>
    <row r="21" spans="2:49" ht="15.75" thickBot="1" x14ac:dyDescent="0.3">
      <c r="B21" s="35" t="s">
        <v>21</v>
      </c>
      <c r="C21" s="43">
        <v>1.34</v>
      </c>
      <c r="D21" s="43">
        <v>1.34</v>
      </c>
      <c r="E21" s="43">
        <v>1.34</v>
      </c>
      <c r="F21" s="43">
        <v>1.34</v>
      </c>
      <c r="G21" s="43">
        <v>1.34</v>
      </c>
      <c r="H21" s="43">
        <v>1.34</v>
      </c>
      <c r="J21" s="35" t="s">
        <v>21</v>
      </c>
      <c r="K21" s="43">
        <v>1.56</v>
      </c>
      <c r="L21" s="43">
        <v>1.56</v>
      </c>
      <c r="M21" s="43">
        <v>1.56</v>
      </c>
      <c r="N21" s="43">
        <v>1.56</v>
      </c>
      <c r="O21" s="43">
        <v>1.56</v>
      </c>
      <c r="P21" s="43">
        <v>1.56</v>
      </c>
      <c r="U21" s="74" t="s">
        <v>46</v>
      </c>
      <c r="V21" s="74" t="s">
        <v>47</v>
      </c>
      <c r="W21" s="75" t="s">
        <v>48</v>
      </c>
      <c r="X21" s="74" t="s">
        <v>49</v>
      </c>
      <c r="AO21" s="37">
        <v>18</v>
      </c>
      <c r="AP21" s="64" t="s">
        <v>88</v>
      </c>
      <c r="AQ21" s="100">
        <v>46082</v>
      </c>
      <c r="AR21" s="101" t="s">
        <v>85</v>
      </c>
      <c r="AS21" s="101" t="s">
        <v>13</v>
      </c>
      <c r="AT21" s="101" t="s">
        <v>86</v>
      </c>
      <c r="AU21" s="101" t="s">
        <v>87</v>
      </c>
      <c r="AV21" s="106"/>
      <c r="AW21" s="34"/>
    </row>
    <row r="22" spans="2:49" ht="15.75" thickBot="1" x14ac:dyDescent="0.3">
      <c r="B22" s="35" t="s">
        <v>28</v>
      </c>
      <c r="C22" s="43" t="e">
        <f>C20*#REF!+C21</f>
        <v>#REF!</v>
      </c>
      <c r="D22" s="43" t="e">
        <f>D20*#REF!+D21</f>
        <v>#REF!</v>
      </c>
      <c r="E22" s="43" t="e">
        <f>E20*#REF!+E21</f>
        <v>#REF!</v>
      </c>
      <c r="F22" s="43" t="e">
        <f>F20*#REF!+F21</f>
        <v>#REF!</v>
      </c>
      <c r="G22" s="43" t="e">
        <f>G20*#REF!+G21</f>
        <v>#REF!</v>
      </c>
      <c r="H22" s="43" t="e">
        <f>H20*#REF!+H21</f>
        <v>#REF!</v>
      </c>
      <c r="J22" s="35" t="s">
        <v>28</v>
      </c>
      <c r="K22" s="43" t="e">
        <f>K20*#REF!+K21</f>
        <v>#REF!</v>
      </c>
      <c r="L22" s="43" t="e">
        <f>L20*#REF!+L21</f>
        <v>#REF!</v>
      </c>
      <c r="M22" s="43" t="e">
        <f>M20*#REF!+M21</f>
        <v>#REF!</v>
      </c>
      <c r="N22" s="43" t="e">
        <f>N20*#REF!+N21</f>
        <v>#REF!</v>
      </c>
      <c r="O22" s="43" t="e">
        <f>O20*#REF!+O21</f>
        <v>#REF!</v>
      </c>
      <c r="P22" s="43" t="e">
        <f>P20*#REF!+P21</f>
        <v>#REF!</v>
      </c>
      <c r="U22" s="78" t="s">
        <v>51</v>
      </c>
      <c r="V22" s="78">
        <v>37.5</v>
      </c>
      <c r="W22" s="79">
        <f>V22</f>
        <v>37.5</v>
      </c>
      <c r="X22" s="80">
        <f>CONVERT(W22,"cm","mm")</f>
        <v>375</v>
      </c>
      <c r="AO22" s="28">
        <v>19</v>
      </c>
      <c r="AP22" s="97" t="s">
        <v>89</v>
      </c>
      <c r="AQ22" s="98">
        <v>46082</v>
      </c>
      <c r="AR22" s="41" t="s">
        <v>80</v>
      </c>
      <c r="AS22" s="41" t="s">
        <v>13</v>
      </c>
      <c r="AT22" s="41" t="s">
        <v>14</v>
      </c>
      <c r="AU22" s="41" t="s">
        <v>90</v>
      </c>
      <c r="AV22" s="59" t="s">
        <v>80</v>
      </c>
      <c r="AW22" s="34"/>
    </row>
    <row r="23" spans="2:49" ht="15.75" thickBot="1" x14ac:dyDescent="0.3">
      <c r="U23" s="77" t="s">
        <v>73</v>
      </c>
      <c r="V23" s="85">
        <v>1</v>
      </c>
      <c r="W23" s="86">
        <f>V23</f>
        <v>1</v>
      </c>
      <c r="X23" s="77">
        <f>CONVERT(W23,"cm","mm")</f>
        <v>10</v>
      </c>
      <c r="AO23" s="37">
        <v>20</v>
      </c>
      <c r="AP23" s="107" t="s">
        <v>88</v>
      </c>
      <c r="AQ23" s="100">
        <v>46082</v>
      </c>
      <c r="AR23" s="101" t="s">
        <v>85</v>
      </c>
      <c r="AS23" s="101" t="s">
        <v>13</v>
      </c>
      <c r="AT23" s="101" t="s">
        <v>86</v>
      </c>
      <c r="AU23" s="101" t="s">
        <v>91</v>
      </c>
      <c r="AV23" s="106">
        <v>4702068713</v>
      </c>
      <c r="AW23" s="34"/>
    </row>
    <row r="24" spans="2:49" ht="15.75" thickBot="1" x14ac:dyDescent="0.3">
      <c r="U24" s="78" t="s">
        <v>92</v>
      </c>
      <c r="V24" s="108">
        <f>V22-V23</f>
        <v>36.5</v>
      </c>
      <c r="W24" s="109">
        <f>V24</f>
        <v>36.5</v>
      </c>
      <c r="X24" s="85">
        <f>CONVERT(W24,"cm","mm")</f>
        <v>365</v>
      </c>
      <c r="AO24" s="37">
        <v>21</v>
      </c>
      <c r="AP24" s="64">
        <v>712936018</v>
      </c>
      <c r="AQ24" s="110">
        <v>46082</v>
      </c>
      <c r="AR24" s="66" t="s">
        <v>93</v>
      </c>
      <c r="AS24" s="66" t="s">
        <v>13</v>
      </c>
      <c r="AT24" s="66" t="s">
        <v>81</v>
      </c>
      <c r="AU24" s="66" t="s">
        <v>94</v>
      </c>
      <c r="AV24" s="111">
        <v>4702077438</v>
      </c>
      <c r="AW24" s="34"/>
    </row>
    <row r="25" spans="2:49" ht="15.75" thickBot="1" x14ac:dyDescent="0.3">
      <c r="B25" s="112">
        <v>103</v>
      </c>
      <c r="C25" s="113"/>
      <c r="D25" s="114">
        <v>1.2</v>
      </c>
      <c r="E25" s="115" t="s">
        <v>0</v>
      </c>
      <c r="F25" s="116"/>
      <c r="G25" s="117" t="s">
        <v>52</v>
      </c>
      <c r="H25" s="118"/>
      <c r="J25" s="112">
        <v>103</v>
      </c>
      <c r="K25" s="113"/>
      <c r="L25" s="114">
        <v>1.2</v>
      </c>
      <c r="M25" s="115" t="s">
        <v>0</v>
      </c>
      <c r="N25" s="116"/>
      <c r="O25" s="117">
        <v>710953355</v>
      </c>
      <c r="P25" s="118"/>
      <c r="U25" s="119" t="s">
        <v>75</v>
      </c>
      <c r="V25" s="78">
        <f>V24/55</f>
        <v>0.66363636363636369</v>
      </c>
      <c r="W25" s="89">
        <f>V25</f>
        <v>0.66363636363636369</v>
      </c>
      <c r="X25" s="90">
        <f>CONVERT(W25,"cm","mm")</f>
        <v>6.6363636363636367</v>
      </c>
      <c r="AO25" s="28">
        <v>22</v>
      </c>
      <c r="AP25" s="64" t="s">
        <v>95</v>
      </c>
      <c r="AQ25" s="110">
        <v>46082</v>
      </c>
      <c r="AR25" s="66" t="s">
        <v>93</v>
      </c>
      <c r="AS25" s="66" t="s">
        <v>13</v>
      </c>
      <c r="AT25" s="66" t="s">
        <v>81</v>
      </c>
      <c r="AU25" s="66" t="s">
        <v>96</v>
      </c>
      <c r="AV25" s="67">
        <v>4702077439</v>
      </c>
      <c r="AW25" s="34"/>
    </row>
    <row r="26" spans="2:49" ht="15.75" thickBot="1" x14ac:dyDescent="0.3">
      <c r="B26" s="76" t="s">
        <v>97</v>
      </c>
      <c r="C26" s="15"/>
      <c r="D26" s="15"/>
      <c r="E26" s="15"/>
      <c r="F26" s="15"/>
      <c r="G26" s="15"/>
      <c r="H26" s="16"/>
      <c r="I26" s="120"/>
      <c r="J26" s="76" t="s">
        <v>83</v>
      </c>
      <c r="K26" s="15"/>
      <c r="L26" s="15"/>
      <c r="M26" s="15"/>
      <c r="N26" s="15"/>
      <c r="O26" s="15"/>
      <c r="P26" s="16"/>
      <c r="AO26" s="37">
        <v>23</v>
      </c>
      <c r="AP26" s="121">
        <v>710966292</v>
      </c>
      <c r="AQ26" s="122">
        <v>46026</v>
      </c>
      <c r="AR26" s="32" t="s">
        <v>12</v>
      </c>
      <c r="AS26" s="32" t="s">
        <v>98</v>
      </c>
      <c r="AT26" s="32" t="s">
        <v>99</v>
      </c>
      <c r="AU26" s="32" t="s">
        <v>100</v>
      </c>
      <c r="AV26" s="83" t="s">
        <v>101</v>
      </c>
      <c r="AW26" s="34"/>
    </row>
    <row r="27" spans="2:49" ht="15.75" thickBot="1" x14ac:dyDescent="0.3">
      <c r="B27" s="123" t="s">
        <v>11</v>
      </c>
      <c r="C27" s="124" t="s">
        <v>102</v>
      </c>
      <c r="D27" s="124" t="s">
        <v>103</v>
      </c>
      <c r="E27" s="124" t="s">
        <v>104</v>
      </c>
      <c r="F27" s="124" t="s">
        <v>105</v>
      </c>
      <c r="G27" s="124" t="s">
        <v>106</v>
      </c>
      <c r="H27" s="124" t="s">
        <v>107</v>
      </c>
      <c r="J27" s="123" t="s">
        <v>11</v>
      </c>
      <c r="K27" s="124" t="s">
        <v>102</v>
      </c>
      <c r="L27" s="124" t="s">
        <v>103</v>
      </c>
      <c r="M27" s="124" t="s">
        <v>104</v>
      </c>
      <c r="N27" s="124" t="s">
        <v>105</v>
      </c>
      <c r="O27" s="124" t="s">
        <v>106</v>
      </c>
      <c r="P27" s="124" t="s">
        <v>107</v>
      </c>
      <c r="U27" s="125" t="s">
        <v>108</v>
      </c>
      <c r="V27" s="126" t="s">
        <v>109</v>
      </c>
      <c r="W27" s="127" t="s">
        <v>110</v>
      </c>
      <c r="X27" s="128" t="s">
        <v>111</v>
      </c>
      <c r="AO27" s="37">
        <v>24</v>
      </c>
      <c r="AP27" s="64">
        <v>710966293</v>
      </c>
      <c r="AQ27" s="110">
        <v>46026</v>
      </c>
      <c r="AR27" s="66" t="s">
        <v>44</v>
      </c>
      <c r="AS27" s="66" t="s">
        <v>13</v>
      </c>
      <c r="AT27" s="66" t="s">
        <v>14</v>
      </c>
      <c r="AU27" s="66" t="s">
        <v>112</v>
      </c>
      <c r="AV27" s="67" t="s">
        <v>24</v>
      </c>
      <c r="AW27" s="34"/>
    </row>
    <row r="28" spans="2:49" x14ac:dyDescent="0.25">
      <c r="B28" s="35" t="s">
        <v>17</v>
      </c>
      <c r="C28" s="103"/>
      <c r="D28" s="104">
        <v>0.27700000000000002</v>
      </c>
      <c r="E28" s="104">
        <v>0.29499999999999998</v>
      </c>
      <c r="F28" s="104">
        <v>0.312</v>
      </c>
      <c r="G28" s="104">
        <v>0.33</v>
      </c>
      <c r="H28" s="103">
        <v>0.34399999999999997</v>
      </c>
      <c r="J28" s="35" t="s">
        <v>17</v>
      </c>
      <c r="K28" s="103"/>
      <c r="L28" s="104"/>
      <c r="M28" s="104"/>
      <c r="N28" s="104"/>
      <c r="O28" s="104"/>
      <c r="P28" s="103"/>
      <c r="U28" s="99"/>
      <c r="V28" s="129">
        <v>40</v>
      </c>
      <c r="W28" s="130" t="s">
        <v>113</v>
      </c>
      <c r="X28" s="131">
        <v>1.56</v>
      </c>
      <c r="AO28" s="28">
        <v>25</v>
      </c>
      <c r="AP28" s="121">
        <v>711967632</v>
      </c>
      <c r="AQ28" s="122">
        <v>46026</v>
      </c>
      <c r="AR28" s="32" t="s">
        <v>12</v>
      </c>
      <c r="AS28" s="32" t="s">
        <v>13</v>
      </c>
      <c r="AT28" s="32" t="s">
        <v>114</v>
      </c>
      <c r="AU28" s="32" t="s">
        <v>115</v>
      </c>
      <c r="AV28" s="83" t="s">
        <v>20</v>
      </c>
      <c r="AW28" s="34"/>
    </row>
    <row r="29" spans="2:49" x14ac:dyDescent="0.25">
      <c r="B29" s="35" t="s">
        <v>21</v>
      </c>
      <c r="C29" s="43">
        <v>1.56</v>
      </c>
      <c r="D29" s="43">
        <v>1.56</v>
      </c>
      <c r="E29" s="43">
        <v>1.56</v>
      </c>
      <c r="F29" s="43">
        <v>1.56</v>
      </c>
      <c r="G29" s="43">
        <v>1.56</v>
      </c>
      <c r="H29" s="43">
        <v>1.56</v>
      </c>
      <c r="J29" s="35" t="s">
        <v>21</v>
      </c>
      <c r="K29" s="43">
        <v>1.56</v>
      </c>
      <c r="L29" s="43">
        <v>1.56</v>
      </c>
      <c r="M29" s="43">
        <v>1.56</v>
      </c>
      <c r="N29" s="43">
        <v>1.56</v>
      </c>
      <c r="O29" s="43">
        <v>1.56</v>
      </c>
      <c r="P29" s="43">
        <v>1.56</v>
      </c>
      <c r="U29" s="99"/>
      <c r="V29" s="132">
        <v>30</v>
      </c>
      <c r="W29" s="133" t="s">
        <v>116</v>
      </c>
      <c r="X29" s="134">
        <v>1.4</v>
      </c>
      <c r="AO29" s="37">
        <v>26</v>
      </c>
      <c r="AP29" s="64">
        <v>711978098</v>
      </c>
      <c r="AQ29" s="110">
        <v>46026</v>
      </c>
      <c r="AR29" s="66" t="s">
        <v>44</v>
      </c>
      <c r="AS29" s="66" t="s">
        <v>13</v>
      </c>
      <c r="AT29" s="66" t="s">
        <v>117</v>
      </c>
      <c r="AU29" s="66" t="s">
        <v>118</v>
      </c>
      <c r="AV29" s="67" t="s">
        <v>119</v>
      </c>
      <c r="AW29" s="47"/>
    </row>
    <row r="30" spans="2:49" ht="15.75" thickBot="1" x14ac:dyDescent="0.3">
      <c r="B30" s="35" t="s">
        <v>25</v>
      </c>
      <c r="C30" s="35"/>
      <c r="D30" s="35">
        <v>18</v>
      </c>
      <c r="E30" s="35">
        <v>18</v>
      </c>
      <c r="F30" s="35">
        <v>18</v>
      </c>
      <c r="G30" s="35">
        <v>18</v>
      </c>
      <c r="H30" s="35">
        <v>18</v>
      </c>
      <c r="J30" s="35" t="s">
        <v>25</v>
      </c>
      <c r="K30" s="35">
        <v>30</v>
      </c>
      <c r="L30" s="35">
        <v>30</v>
      </c>
      <c r="M30" s="35">
        <v>30</v>
      </c>
      <c r="N30" s="35">
        <v>30</v>
      </c>
      <c r="O30" s="35">
        <v>27</v>
      </c>
      <c r="P30" s="35">
        <v>27</v>
      </c>
      <c r="S30" s="44"/>
      <c r="U30" s="99"/>
      <c r="V30" s="135">
        <v>22</v>
      </c>
      <c r="W30" s="136" t="s">
        <v>120</v>
      </c>
      <c r="X30" s="137">
        <v>1.29</v>
      </c>
      <c r="AO30" s="37">
        <v>27</v>
      </c>
      <c r="AP30" s="64" t="s">
        <v>121</v>
      </c>
      <c r="AQ30" s="110">
        <v>46026</v>
      </c>
      <c r="AR30" s="66" t="s">
        <v>44</v>
      </c>
      <c r="AS30" s="66" t="s">
        <v>13</v>
      </c>
      <c r="AT30" s="66" t="s">
        <v>14</v>
      </c>
      <c r="AU30" s="66" t="s">
        <v>122</v>
      </c>
      <c r="AV30" s="67" t="s">
        <v>24</v>
      </c>
      <c r="AW30" s="47"/>
    </row>
    <row r="31" spans="2:49" ht="15.75" thickBot="1" x14ac:dyDescent="0.3">
      <c r="B31" s="35" t="s">
        <v>28</v>
      </c>
      <c r="C31" s="43">
        <f t="shared" ref="C31:H31" si="2">C28*C30+C29</f>
        <v>1.56</v>
      </c>
      <c r="D31" s="138">
        <f t="shared" si="2"/>
        <v>6.5460000000000012</v>
      </c>
      <c r="E31" s="138">
        <f t="shared" si="2"/>
        <v>6.8699999999999992</v>
      </c>
      <c r="F31" s="138">
        <f t="shared" si="2"/>
        <v>7.1760000000000002</v>
      </c>
      <c r="G31" s="138">
        <f t="shared" si="2"/>
        <v>7.5</v>
      </c>
      <c r="H31" s="138">
        <f t="shared" si="2"/>
        <v>7.7519999999999989</v>
      </c>
      <c r="J31" s="35" t="s">
        <v>28</v>
      </c>
      <c r="K31" s="43">
        <f t="shared" ref="K31:P31" si="3">K28*K30+K29</f>
        <v>1.56</v>
      </c>
      <c r="L31" s="43">
        <f t="shared" si="3"/>
        <v>1.56</v>
      </c>
      <c r="M31" s="43">
        <f t="shared" si="3"/>
        <v>1.56</v>
      </c>
      <c r="N31" s="43">
        <f t="shared" si="3"/>
        <v>1.56</v>
      </c>
      <c r="O31" s="43">
        <f t="shared" si="3"/>
        <v>1.56</v>
      </c>
      <c r="P31" s="43">
        <f t="shared" si="3"/>
        <v>1.56</v>
      </c>
      <c r="AO31" s="28">
        <v>28</v>
      </c>
      <c r="AP31" s="64" t="s">
        <v>123</v>
      </c>
      <c r="AQ31" s="110">
        <v>46026</v>
      </c>
      <c r="AR31" s="66" t="s">
        <v>44</v>
      </c>
      <c r="AS31" s="66" t="s">
        <v>13</v>
      </c>
      <c r="AT31" s="66" t="s">
        <v>14</v>
      </c>
      <c r="AU31" s="66" t="s">
        <v>124</v>
      </c>
      <c r="AV31" s="67" t="s">
        <v>24</v>
      </c>
      <c r="AW31" s="47"/>
    </row>
    <row r="32" spans="2:49" ht="15.75" thickBot="1" x14ac:dyDescent="0.3">
      <c r="V32" s="126" t="s">
        <v>109</v>
      </c>
      <c r="W32" s="127" t="s">
        <v>40</v>
      </c>
      <c r="X32" s="128" t="s">
        <v>111</v>
      </c>
      <c r="AO32" s="37">
        <v>29</v>
      </c>
      <c r="AP32" s="64" t="s">
        <v>125</v>
      </c>
      <c r="AQ32" s="110">
        <v>46026</v>
      </c>
      <c r="AR32" s="66" t="s">
        <v>44</v>
      </c>
      <c r="AS32" s="66" t="s">
        <v>13</v>
      </c>
      <c r="AT32" s="66" t="s">
        <v>53</v>
      </c>
      <c r="AU32" s="66" t="s">
        <v>126</v>
      </c>
      <c r="AV32" s="67" t="s">
        <v>24</v>
      </c>
      <c r="AW32" s="47" t="s">
        <v>79</v>
      </c>
    </row>
    <row r="33" spans="2:49" x14ac:dyDescent="0.25">
      <c r="V33" s="129">
        <v>20</v>
      </c>
      <c r="W33" s="130" t="s">
        <v>127</v>
      </c>
      <c r="X33" s="131">
        <v>1.34</v>
      </c>
      <c r="AO33" s="37">
        <v>30</v>
      </c>
      <c r="AP33" s="64" t="s">
        <v>128</v>
      </c>
      <c r="AQ33" s="110">
        <v>46026</v>
      </c>
      <c r="AR33" s="66" t="s">
        <v>44</v>
      </c>
      <c r="AS33" s="66" t="s">
        <v>13</v>
      </c>
      <c r="AT33" s="66" t="s">
        <v>129</v>
      </c>
      <c r="AU33" s="66" t="s">
        <v>126</v>
      </c>
      <c r="AV33" s="67" t="s">
        <v>24</v>
      </c>
      <c r="AW33" s="47"/>
    </row>
    <row r="34" spans="2:49" x14ac:dyDescent="0.25">
      <c r="V34" s="132">
        <v>12</v>
      </c>
      <c r="W34" s="133" t="s">
        <v>130</v>
      </c>
      <c r="X34" s="139">
        <v>1.2030000000000001</v>
      </c>
      <c r="AO34" s="28">
        <v>31</v>
      </c>
      <c r="AP34" s="64">
        <v>710967632</v>
      </c>
      <c r="AQ34" s="110">
        <v>46026</v>
      </c>
      <c r="AR34" s="66" t="s">
        <v>12</v>
      </c>
      <c r="AS34" s="66" t="s">
        <v>13</v>
      </c>
      <c r="AT34" s="66" t="s">
        <v>131</v>
      </c>
      <c r="AU34" s="66" t="s">
        <v>115</v>
      </c>
      <c r="AV34" s="67" t="s">
        <v>16</v>
      </c>
      <c r="AW34" s="34"/>
    </row>
    <row r="35" spans="2:49" ht="15.75" thickBot="1" x14ac:dyDescent="0.3">
      <c r="B35" s="68">
        <v>103</v>
      </c>
      <c r="C35" s="69"/>
      <c r="D35" s="70">
        <v>1.1599999999999999</v>
      </c>
      <c r="E35" s="70"/>
      <c r="F35" s="70"/>
      <c r="G35" s="71"/>
      <c r="H35" s="7" t="s">
        <v>0</v>
      </c>
      <c r="I35" s="7"/>
      <c r="J35" s="72">
        <v>711548535</v>
      </c>
      <c r="K35" s="72"/>
      <c r="S35" s="73"/>
      <c r="V35" s="135">
        <v>8</v>
      </c>
      <c r="W35" s="136" t="s">
        <v>132</v>
      </c>
      <c r="X35" s="140">
        <v>0.98299999999999998</v>
      </c>
      <c r="AO35" s="37">
        <v>32</v>
      </c>
      <c r="AP35" s="64">
        <v>710965825</v>
      </c>
      <c r="AQ35" s="110">
        <v>46026</v>
      </c>
      <c r="AR35" s="66" t="s">
        <v>44</v>
      </c>
      <c r="AS35" s="66" t="s">
        <v>13</v>
      </c>
      <c r="AT35" s="66" t="s">
        <v>14</v>
      </c>
      <c r="AU35" s="66" t="s">
        <v>133</v>
      </c>
      <c r="AV35" s="67" t="s">
        <v>24</v>
      </c>
      <c r="AW35" s="34"/>
    </row>
    <row r="36" spans="2:49" x14ac:dyDescent="0.25">
      <c r="B36" s="141" t="s">
        <v>2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AO36" s="37">
        <v>33</v>
      </c>
      <c r="AP36" s="64" t="s">
        <v>134</v>
      </c>
      <c r="AQ36" s="110">
        <v>46026</v>
      </c>
      <c r="AR36" s="66" t="s">
        <v>44</v>
      </c>
      <c r="AS36" s="66" t="s">
        <v>13</v>
      </c>
      <c r="AT36" s="66" t="s">
        <v>14</v>
      </c>
      <c r="AU36" s="66" t="s">
        <v>135</v>
      </c>
      <c r="AV36" s="67" t="s">
        <v>24</v>
      </c>
      <c r="AW36" s="47"/>
    </row>
    <row r="37" spans="2:49" x14ac:dyDescent="0.25">
      <c r="B37" s="35" t="s">
        <v>11</v>
      </c>
      <c r="C37" s="24" t="s">
        <v>136</v>
      </c>
      <c r="D37" s="24" t="s">
        <v>137</v>
      </c>
      <c r="E37" s="24" t="s">
        <v>138</v>
      </c>
      <c r="F37" s="24" t="s">
        <v>139</v>
      </c>
      <c r="G37" s="24" t="s">
        <v>140</v>
      </c>
      <c r="H37" s="24" t="s">
        <v>141</v>
      </c>
      <c r="I37" s="24" t="s">
        <v>142</v>
      </c>
      <c r="J37" s="24" t="s">
        <v>143</v>
      </c>
      <c r="K37" s="24" t="s">
        <v>144</v>
      </c>
      <c r="L37" s="24" t="s">
        <v>145</v>
      </c>
      <c r="M37" s="24" t="s">
        <v>146</v>
      </c>
      <c r="AO37" s="28">
        <v>34</v>
      </c>
      <c r="AP37" s="64">
        <v>710968971</v>
      </c>
      <c r="AQ37" s="110">
        <v>46033</v>
      </c>
      <c r="AR37" s="66" t="s">
        <v>44</v>
      </c>
      <c r="AS37" s="66" t="s">
        <v>13</v>
      </c>
      <c r="AT37" s="66" t="s">
        <v>14</v>
      </c>
      <c r="AU37" s="66" t="s">
        <v>147</v>
      </c>
      <c r="AV37" s="67" t="s">
        <v>24</v>
      </c>
      <c r="AW37" s="47"/>
    </row>
    <row r="38" spans="2:49" x14ac:dyDescent="0.25">
      <c r="B38" s="35" t="s">
        <v>17</v>
      </c>
      <c r="C38" s="35">
        <v>0.42699999999999999</v>
      </c>
      <c r="D38" s="35">
        <v>0.46700000000000003</v>
      </c>
      <c r="E38" s="35">
        <v>0.47</v>
      </c>
      <c r="F38" s="35">
        <v>0.68100000000000005</v>
      </c>
      <c r="G38" s="35">
        <v>0.56399999999999995</v>
      </c>
      <c r="H38" s="35">
        <v>0.56399999999999995</v>
      </c>
      <c r="I38" s="35">
        <v>0.56399999999999995</v>
      </c>
      <c r="J38" s="35">
        <v>0.47599999999999998</v>
      </c>
      <c r="K38" s="35">
        <v>0.64900000000000002</v>
      </c>
      <c r="L38" s="35">
        <v>0.68100000000000005</v>
      </c>
      <c r="M38" s="35">
        <v>0.71199999999999997</v>
      </c>
      <c r="AO38" s="37">
        <v>35</v>
      </c>
      <c r="AP38" s="64">
        <v>710982800</v>
      </c>
      <c r="AQ38" s="110">
        <v>46033</v>
      </c>
      <c r="AR38" s="66" t="s">
        <v>44</v>
      </c>
      <c r="AS38" s="66" t="s">
        <v>13</v>
      </c>
      <c r="AT38" s="66" t="s">
        <v>14</v>
      </c>
      <c r="AU38" s="66" t="s">
        <v>148</v>
      </c>
      <c r="AV38" s="67" t="s">
        <v>24</v>
      </c>
      <c r="AW38" s="47"/>
    </row>
    <row r="39" spans="2:49" x14ac:dyDescent="0.25">
      <c r="B39" s="22" t="s">
        <v>21</v>
      </c>
      <c r="C39" s="22">
        <v>1.55</v>
      </c>
      <c r="D39" s="22">
        <v>1.55</v>
      </c>
      <c r="E39" s="22">
        <v>1.55</v>
      </c>
      <c r="F39" s="22">
        <v>1.55</v>
      </c>
      <c r="G39" s="22">
        <v>1.55</v>
      </c>
      <c r="H39" s="22"/>
      <c r="I39" s="35"/>
      <c r="J39" s="35">
        <v>1.55</v>
      </c>
      <c r="K39" s="35">
        <v>1.55</v>
      </c>
      <c r="L39" s="35">
        <v>1.55</v>
      </c>
      <c r="M39" s="22">
        <v>1.55</v>
      </c>
      <c r="AO39" s="37">
        <v>36</v>
      </c>
      <c r="AP39" s="82">
        <v>710716303</v>
      </c>
      <c r="AQ39" s="122">
        <v>45977</v>
      </c>
      <c r="AR39" s="32" t="s">
        <v>12</v>
      </c>
      <c r="AS39" s="32" t="s">
        <v>13</v>
      </c>
      <c r="AT39" s="32" t="s">
        <v>14</v>
      </c>
      <c r="AU39" s="32" t="s">
        <v>149</v>
      </c>
      <c r="AV39" s="83" t="s">
        <v>20</v>
      </c>
      <c r="AW39" s="47" t="s">
        <v>34</v>
      </c>
    </row>
    <row r="40" spans="2:49" x14ac:dyDescent="0.25">
      <c r="AO40" s="28">
        <v>37</v>
      </c>
      <c r="AP40" s="82">
        <v>710888705</v>
      </c>
      <c r="AQ40" s="122">
        <v>45977</v>
      </c>
      <c r="AR40" s="32" t="s">
        <v>12</v>
      </c>
      <c r="AS40" s="32" t="s">
        <v>13</v>
      </c>
      <c r="AT40" s="32" t="s">
        <v>14</v>
      </c>
      <c r="AU40" s="32" t="s">
        <v>15</v>
      </c>
      <c r="AV40" s="83" t="s">
        <v>20</v>
      </c>
      <c r="AW40" s="47"/>
    </row>
    <row r="41" spans="2:49" x14ac:dyDescent="0.25">
      <c r="AO41" s="37">
        <v>38</v>
      </c>
      <c r="AP41" s="82">
        <v>710729232</v>
      </c>
      <c r="AQ41" s="122">
        <v>45977</v>
      </c>
      <c r="AR41" s="32" t="s">
        <v>12</v>
      </c>
      <c r="AS41" s="32" t="s">
        <v>13</v>
      </c>
      <c r="AT41" s="32" t="s">
        <v>14</v>
      </c>
      <c r="AU41" s="32" t="s">
        <v>82</v>
      </c>
      <c r="AV41" s="83" t="s">
        <v>20</v>
      </c>
      <c r="AW41" s="47" t="s">
        <v>34</v>
      </c>
    </row>
    <row r="42" spans="2:49" x14ac:dyDescent="0.25">
      <c r="W42"/>
      <c r="X42"/>
      <c r="Y42"/>
      <c r="Z42"/>
      <c r="AO42" s="37">
        <v>39</v>
      </c>
      <c r="AP42" s="38">
        <v>710733596</v>
      </c>
      <c r="AQ42" s="98">
        <v>45977</v>
      </c>
      <c r="AR42" s="41" t="s">
        <v>18</v>
      </c>
      <c r="AS42" s="41" t="s">
        <v>13</v>
      </c>
      <c r="AT42" s="41" t="s">
        <v>14</v>
      </c>
      <c r="AU42" s="41" t="s">
        <v>150</v>
      </c>
      <c r="AV42" s="59" t="s">
        <v>20</v>
      </c>
      <c r="AW42" s="47"/>
    </row>
    <row r="43" spans="2:49" x14ac:dyDescent="0.25">
      <c r="W43"/>
      <c r="X43"/>
      <c r="Y43"/>
      <c r="Z43"/>
      <c r="AO43" s="28">
        <v>40</v>
      </c>
      <c r="AP43" s="97">
        <v>710966294</v>
      </c>
      <c r="AQ43" s="98">
        <v>45991</v>
      </c>
      <c r="AR43" s="41" t="s">
        <v>18</v>
      </c>
      <c r="AS43" s="41" t="s">
        <v>13</v>
      </c>
      <c r="AT43" s="41" t="s">
        <v>99</v>
      </c>
      <c r="AU43" s="41" t="s">
        <v>151</v>
      </c>
      <c r="AV43" s="59" t="s">
        <v>152</v>
      </c>
      <c r="AW43" s="34"/>
    </row>
    <row r="44" spans="2:49" x14ac:dyDescent="0.25">
      <c r="B44" s="68">
        <v>103</v>
      </c>
      <c r="C44" s="69"/>
      <c r="D44" s="114">
        <v>1.2</v>
      </c>
      <c r="E44" s="115" t="s">
        <v>0</v>
      </c>
      <c r="F44" s="116"/>
      <c r="G44" s="142">
        <v>710966421</v>
      </c>
      <c r="H44" s="142"/>
      <c r="J44" s="68">
        <v>103</v>
      </c>
      <c r="K44" s="69"/>
      <c r="L44" s="114">
        <v>1.6</v>
      </c>
      <c r="M44" s="115" t="s">
        <v>0</v>
      </c>
      <c r="N44" s="116"/>
      <c r="O44" s="143"/>
      <c r="P44" s="143"/>
      <c r="W44"/>
      <c r="X44"/>
      <c r="Y44"/>
      <c r="Z44"/>
      <c r="AO44" s="37">
        <v>41</v>
      </c>
      <c r="AP44" s="64" t="s">
        <v>153</v>
      </c>
      <c r="AQ44" s="110">
        <v>45984</v>
      </c>
      <c r="AR44" s="66" t="s">
        <v>44</v>
      </c>
      <c r="AS44" s="66" t="s">
        <v>13</v>
      </c>
      <c r="AT44" s="66" t="s">
        <v>14</v>
      </c>
      <c r="AU44" s="66" t="s">
        <v>154</v>
      </c>
      <c r="AV44" s="67" t="s">
        <v>24</v>
      </c>
      <c r="AW44" s="34"/>
    </row>
    <row r="45" spans="2:49" x14ac:dyDescent="0.25">
      <c r="B45" s="35" t="s">
        <v>25</v>
      </c>
      <c r="C45" s="35">
        <v>60</v>
      </c>
      <c r="D45" s="35">
        <v>60</v>
      </c>
      <c r="E45" s="35">
        <v>60</v>
      </c>
      <c r="F45" s="35">
        <v>60</v>
      </c>
      <c r="G45" s="35">
        <v>55</v>
      </c>
      <c r="H45" s="35">
        <v>55</v>
      </c>
      <c r="J45" s="35" t="s">
        <v>25</v>
      </c>
      <c r="K45" s="35">
        <v>16</v>
      </c>
      <c r="L45" s="35">
        <v>16</v>
      </c>
      <c r="M45" s="35">
        <v>16</v>
      </c>
      <c r="N45" s="35">
        <v>16</v>
      </c>
      <c r="O45" s="35">
        <v>14</v>
      </c>
      <c r="P45" s="35">
        <v>14</v>
      </c>
      <c r="Q45" s="144" t="e">
        <f>X16</f>
        <v>#REF!</v>
      </c>
      <c r="W45"/>
      <c r="X45"/>
      <c r="Y45"/>
      <c r="Z45"/>
      <c r="AO45" s="37">
        <v>42</v>
      </c>
      <c r="AP45" s="64">
        <v>712980684</v>
      </c>
      <c r="AQ45" s="110">
        <v>45984</v>
      </c>
      <c r="AR45" s="66" t="s">
        <v>44</v>
      </c>
      <c r="AS45" s="66" t="s">
        <v>13</v>
      </c>
      <c r="AT45" s="66" t="s">
        <v>155</v>
      </c>
      <c r="AU45" s="66" t="s">
        <v>82</v>
      </c>
      <c r="AV45" s="145" t="s">
        <v>156</v>
      </c>
      <c r="AW45" s="34"/>
    </row>
    <row r="46" spans="2:49" x14ac:dyDescent="0.25">
      <c r="W46"/>
      <c r="X46"/>
      <c r="Y46"/>
      <c r="Z46"/>
      <c r="AO46" s="28">
        <v>43</v>
      </c>
      <c r="AP46" s="64">
        <v>712966320</v>
      </c>
      <c r="AQ46" s="110">
        <v>45991</v>
      </c>
      <c r="AR46" s="66" t="s">
        <v>44</v>
      </c>
      <c r="AS46" s="66" t="s">
        <v>13</v>
      </c>
      <c r="AT46" s="66" t="s">
        <v>157</v>
      </c>
      <c r="AU46" s="66" t="s">
        <v>158</v>
      </c>
      <c r="AV46" s="67" t="s">
        <v>159</v>
      </c>
      <c r="AW46" s="34"/>
    </row>
    <row r="47" spans="2:49" x14ac:dyDescent="0.25">
      <c r="W47"/>
      <c r="X47"/>
      <c r="Y47"/>
      <c r="Z47"/>
      <c r="AO47" s="37">
        <v>44</v>
      </c>
      <c r="AP47" s="64">
        <v>710967669</v>
      </c>
      <c r="AQ47" s="110">
        <v>45991</v>
      </c>
      <c r="AR47" s="66" t="s">
        <v>44</v>
      </c>
      <c r="AS47" s="66" t="s">
        <v>13</v>
      </c>
      <c r="AT47" s="66" t="s">
        <v>14</v>
      </c>
      <c r="AU47" s="66" t="s">
        <v>160</v>
      </c>
      <c r="AV47" s="67" t="s">
        <v>24</v>
      </c>
      <c r="AW47" s="34"/>
    </row>
    <row r="48" spans="2:49" x14ac:dyDescent="0.25">
      <c r="B48" s="68">
        <v>103</v>
      </c>
      <c r="C48" s="69"/>
      <c r="D48" s="114">
        <v>1.17</v>
      </c>
      <c r="E48" s="115" t="s">
        <v>0</v>
      </c>
      <c r="F48" s="116"/>
      <c r="G48" s="146">
        <v>710733596</v>
      </c>
      <c r="H48" s="146"/>
      <c r="J48" s="2">
        <v>103</v>
      </c>
      <c r="K48" s="3"/>
      <c r="L48" s="4">
        <v>1.2</v>
      </c>
      <c r="M48" s="4"/>
      <c r="N48" s="4"/>
      <c r="O48" s="5"/>
      <c r="P48" s="6" t="s">
        <v>0</v>
      </c>
      <c r="Q48" s="7"/>
      <c r="R48" s="147"/>
      <c r="S48" s="147"/>
      <c r="W48"/>
      <c r="X48"/>
      <c r="Y48"/>
      <c r="Z48"/>
      <c r="AO48" s="37">
        <v>45</v>
      </c>
      <c r="AP48" s="64" t="s">
        <v>161</v>
      </c>
      <c r="AQ48" s="110">
        <v>45991</v>
      </c>
      <c r="AR48" s="66" t="s">
        <v>44</v>
      </c>
      <c r="AS48" s="66" t="s">
        <v>13</v>
      </c>
      <c r="AT48" s="66" t="s">
        <v>14</v>
      </c>
      <c r="AU48" s="66" t="s">
        <v>162</v>
      </c>
      <c r="AV48" s="67" t="s">
        <v>24</v>
      </c>
      <c r="AW48" s="34"/>
    </row>
    <row r="49" spans="2:49" x14ac:dyDescent="0.25">
      <c r="B49" s="123" t="s">
        <v>11</v>
      </c>
      <c r="C49" s="124" t="s">
        <v>102</v>
      </c>
      <c r="D49" s="124" t="s">
        <v>103</v>
      </c>
      <c r="E49" s="124" t="s">
        <v>104</v>
      </c>
      <c r="F49" s="124" t="s">
        <v>105</v>
      </c>
      <c r="G49" s="124" t="s">
        <v>106</v>
      </c>
      <c r="H49" s="124" t="s">
        <v>107</v>
      </c>
      <c r="J49" s="22" t="s">
        <v>11</v>
      </c>
      <c r="K49" s="25">
        <v>14.5</v>
      </c>
      <c r="L49" s="25">
        <v>15</v>
      </c>
      <c r="M49" s="25">
        <v>15.5</v>
      </c>
      <c r="N49" s="25">
        <v>16</v>
      </c>
      <c r="O49" s="25">
        <v>16.5</v>
      </c>
      <c r="P49" s="25">
        <v>17</v>
      </c>
      <c r="Q49" s="26">
        <v>17.5</v>
      </c>
      <c r="R49" s="26">
        <v>18</v>
      </c>
      <c r="S49" s="26">
        <v>18.5</v>
      </c>
      <c r="W49"/>
      <c r="X49"/>
      <c r="Y49"/>
      <c r="Z49"/>
      <c r="AO49" s="28">
        <v>46</v>
      </c>
      <c r="AP49" s="97" t="s">
        <v>163</v>
      </c>
      <c r="AQ49" s="148">
        <v>45991</v>
      </c>
      <c r="AR49" s="149" t="s">
        <v>164</v>
      </c>
      <c r="AS49" s="149" t="s">
        <v>13</v>
      </c>
      <c r="AT49" s="149" t="s">
        <v>14</v>
      </c>
      <c r="AU49" s="149" t="s">
        <v>165</v>
      </c>
      <c r="AV49" s="150" t="s">
        <v>20</v>
      </c>
      <c r="AW49" s="34"/>
    </row>
    <row r="50" spans="2:49" x14ac:dyDescent="0.25">
      <c r="B50" s="35" t="s">
        <v>17</v>
      </c>
      <c r="C50" s="103">
        <v>0.317</v>
      </c>
      <c r="D50" s="104">
        <v>0.33600000000000002</v>
      </c>
      <c r="E50" s="104">
        <v>0.36499999999999999</v>
      </c>
      <c r="F50" s="104">
        <v>0.38600000000000001</v>
      </c>
      <c r="G50" s="104">
        <v>0.40400000000000003</v>
      </c>
      <c r="H50" s="103">
        <v>0.43099999999999999</v>
      </c>
      <c r="J50" s="35" t="s">
        <v>17</v>
      </c>
      <c r="K50" s="35">
        <v>0.27500000000000002</v>
      </c>
      <c r="L50" s="35">
        <v>0.28699999999999998</v>
      </c>
      <c r="M50" s="35">
        <v>0.29899999999999999</v>
      </c>
      <c r="N50" s="35">
        <v>0.307</v>
      </c>
      <c r="O50" s="35">
        <v>0.32</v>
      </c>
      <c r="P50" s="35">
        <v>0.33300000000000002</v>
      </c>
      <c r="Q50" s="35">
        <v>0.33900000000000002</v>
      </c>
      <c r="R50" s="35">
        <v>0.35199999999999998</v>
      </c>
      <c r="S50" s="35">
        <v>0.36499999999999999</v>
      </c>
      <c r="W50"/>
      <c r="X50"/>
      <c r="Y50"/>
      <c r="Z50"/>
      <c r="AO50" s="37">
        <v>47</v>
      </c>
      <c r="AP50" s="64">
        <v>711966292</v>
      </c>
      <c r="AQ50" s="110">
        <v>45991</v>
      </c>
      <c r="AR50" s="66" t="s">
        <v>44</v>
      </c>
      <c r="AS50" s="66" t="s">
        <v>13</v>
      </c>
      <c r="AT50" s="66" t="s">
        <v>117</v>
      </c>
      <c r="AU50" s="66" t="s">
        <v>112</v>
      </c>
      <c r="AV50" s="67" t="s">
        <v>24</v>
      </c>
      <c r="AW50" s="34"/>
    </row>
    <row r="51" spans="2:49" x14ac:dyDescent="0.25">
      <c r="B51" s="35" t="s">
        <v>21</v>
      </c>
      <c r="C51" s="43">
        <v>1.56</v>
      </c>
      <c r="D51" s="43">
        <v>1.56</v>
      </c>
      <c r="E51" s="43">
        <v>1.56</v>
      </c>
      <c r="F51" s="43">
        <v>1.56</v>
      </c>
      <c r="G51" s="43">
        <v>1.56</v>
      </c>
      <c r="H51" s="43">
        <v>1.56</v>
      </c>
      <c r="J51" s="35" t="s">
        <v>21</v>
      </c>
      <c r="K51" s="35">
        <v>1.34</v>
      </c>
      <c r="L51" s="35">
        <v>1.34</v>
      </c>
      <c r="M51" s="35">
        <v>1.34</v>
      </c>
      <c r="N51" s="35">
        <v>1.34</v>
      </c>
      <c r="O51" s="35">
        <v>1.34</v>
      </c>
      <c r="P51" s="35">
        <v>1.34</v>
      </c>
      <c r="Q51" s="35">
        <v>1.34</v>
      </c>
      <c r="R51" s="35">
        <v>1.34</v>
      </c>
      <c r="S51" s="35">
        <v>1.34</v>
      </c>
      <c r="W51"/>
      <c r="X51"/>
      <c r="Y51"/>
      <c r="Z51"/>
      <c r="AO51" s="37">
        <v>48</v>
      </c>
      <c r="AP51" s="64" t="s">
        <v>166</v>
      </c>
      <c r="AQ51" s="110">
        <v>45991</v>
      </c>
      <c r="AR51" s="66" t="s">
        <v>44</v>
      </c>
      <c r="AS51" s="66" t="s">
        <v>13</v>
      </c>
      <c r="AT51" s="66" t="s">
        <v>14</v>
      </c>
      <c r="AU51" s="66" t="s">
        <v>124</v>
      </c>
      <c r="AV51" s="67" t="s">
        <v>24</v>
      </c>
      <c r="AW51" s="34"/>
    </row>
    <row r="52" spans="2:49" x14ac:dyDescent="0.25">
      <c r="B52" s="35" t="s">
        <v>25</v>
      </c>
      <c r="C52" s="35">
        <v>36</v>
      </c>
      <c r="D52" s="35">
        <v>36</v>
      </c>
      <c r="E52" s="35">
        <v>36</v>
      </c>
      <c r="F52" s="35">
        <v>36</v>
      </c>
      <c r="G52" s="35">
        <v>33</v>
      </c>
      <c r="H52" s="35">
        <v>33</v>
      </c>
      <c r="J52" s="35" t="s">
        <v>25</v>
      </c>
      <c r="K52" s="35">
        <v>18</v>
      </c>
      <c r="L52" s="35">
        <v>18</v>
      </c>
      <c r="M52" s="35">
        <v>18</v>
      </c>
      <c r="N52" s="35">
        <v>18</v>
      </c>
      <c r="O52" s="35">
        <v>18</v>
      </c>
      <c r="P52" s="35">
        <v>18</v>
      </c>
      <c r="Q52" s="35">
        <v>16</v>
      </c>
      <c r="R52" s="35">
        <v>16</v>
      </c>
      <c r="S52" s="35">
        <v>16</v>
      </c>
      <c r="W52"/>
      <c r="X52"/>
      <c r="Y52"/>
      <c r="Z52"/>
      <c r="AO52" s="28">
        <v>49</v>
      </c>
      <c r="AP52" s="97" t="s">
        <v>167</v>
      </c>
      <c r="AQ52" s="98">
        <v>45991</v>
      </c>
      <c r="AR52" s="41" t="s">
        <v>18</v>
      </c>
      <c r="AS52" s="41" t="s">
        <v>13</v>
      </c>
      <c r="AT52" s="41" t="s">
        <v>14</v>
      </c>
      <c r="AU52" s="41" t="s">
        <v>168</v>
      </c>
      <c r="AV52" s="59" t="s">
        <v>169</v>
      </c>
      <c r="AW52" s="34"/>
    </row>
    <row r="53" spans="2:49" x14ac:dyDescent="0.25">
      <c r="B53" s="35" t="s">
        <v>17</v>
      </c>
      <c r="C53" s="35">
        <v>0.27500000000000002</v>
      </c>
      <c r="D53" s="35">
        <v>0.28699999999999998</v>
      </c>
      <c r="E53" s="35">
        <v>0.29899999999999999</v>
      </c>
      <c r="F53" s="35">
        <v>0.307</v>
      </c>
      <c r="G53" s="103">
        <v>0.32</v>
      </c>
      <c r="H53" s="35">
        <v>0.33300000000000002</v>
      </c>
      <c r="I53" s="35">
        <v>0.33900000000000002</v>
      </c>
      <c r="J53" s="35">
        <v>0.35199999999999998</v>
      </c>
      <c r="K53" s="35">
        <v>0.36499999999999999</v>
      </c>
      <c r="M53" s="35" t="s">
        <v>17</v>
      </c>
      <c r="N53" s="35">
        <v>0.25700000000000001</v>
      </c>
      <c r="O53" s="35">
        <v>0.26300000000000001</v>
      </c>
      <c r="P53" s="35">
        <v>0.27600000000000002</v>
      </c>
      <c r="Q53" s="35">
        <v>0.28599999999999998</v>
      </c>
      <c r="R53" s="103">
        <v>0.29399999999999998</v>
      </c>
      <c r="S53" s="35">
        <v>0.30099999999999999</v>
      </c>
      <c r="T53" s="35">
        <v>0.311</v>
      </c>
      <c r="U53" s="35">
        <v>0.32200000000000001</v>
      </c>
      <c r="V53" s="35">
        <v>0.32800000000000001</v>
      </c>
      <c r="AO53" s="37">
        <v>50</v>
      </c>
      <c r="AP53" s="64" t="s">
        <v>170</v>
      </c>
      <c r="AQ53" s="110">
        <v>45991</v>
      </c>
      <c r="AR53" s="66" t="s">
        <v>44</v>
      </c>
      <c r="AS53" s="66" t="s">
        <v>13</v>
      </c>
      <c r="AT53" s="66" t="s">
        <v>22</v>
      </c>
      <c r="AU53" s="66" t="s">
        <v>171</v>
      </c>
      <c r="AV53" s="67" t="s">
        <v>24</v>
      </c>
      <c r="AW53" s="34"/>
    </row>
    <row r="54" spans="2:49" x14ac:dyDescent="0.25">
      <c r="B54" s="35" t="s">
        <v>25</v>
      </c>
      <c r="C54" s="35">
        <v>18</v>
      </c>
      <c r="D54" s="35">
        <v>18</v>
      </c>
      <c r="E54" s="35">
        <v>18</v>
      </c>
      <c r="F54" s="35">
        <v>18</v>
      </c>
      <c r="G54" s="35">
        <v>18</v>
      </c>
      <c r="H54" s="35">
        <v>16</v>
      </c>
      <c r="I54" s="35">
        <v>16</v>
      </c>
      <c r="J54" s="35">
        <v>16</v>
      </c>
      <c r="K54" s="35">
        <v>16</v>
      </c>
      <c r="M54" s="35" t="s">
        <v>25</v>
      </c>
      <c r="N54" s="35"/>
      <c r="O54" s="35"/>
      <c r="P54" s="35"/>
      <c r="Q54" s="35"/>
      <c r="R54" s="35"/>
      <c r="S54" s="35"/>
      <c r="T54" s="35"/>
      <c r="U54" s="35"/>
      <c r="V54" s="35"/>
      <c r="AO54" s="37">
        <v>51</v>
      </c>
      <c r="AP54" s="97" t="s">
        <v>172</v>
      </c>
      <c r="AQ54" s="98">
        <v>46089</v>
      </c>
      <c r="AR54" s="41" t="s">
        <v>80</v>
      </c>
      <c r="AS54" s="41" t="s">
        <v>13</v>
      </c>
      <c r="AT54" s="41" t="s">
        <v>14</v>
      </c>
      <c r="AU54" s="41" t="s">
        <v>173</v>
      </c>
      <c r="AV54" s="59" t="s">
        <v>80</v>
      </c>
      <c r="AW54" s="34"/>
    </row>
    <row r="55" spans="2:49" x14ac:dyDescent="0.25">
      <c r="B55" s="35" t="s">
        <v>28</v>
      </c>
      <c r="C55" s="43" t="e">
        <f>C53*C54+#REF!</f>
        <v>#REF!</v>
      </c>
      <c r="D55" s="43" t="e">
        <f>D53*D54+#REF!</f>
        <v>#REF!</v>
      </c>
      <c r="E55" s="43" t="e">
        <f>E53*E54+#REF!</f>
        <v>#REF!</v>
      </c>
      <c r="F55" s="43" t="e">
        <f>F53*F54+#REF!</f>
        <v>#REF!</v>
      </c>
      <c r="G55" s="43" t="e">
        <f>G53*G54+#REF!</f>
        <v>#REF!</v>
      </c>
      <c r="H55" s="43" t="e">
        <f>H53*H54+#REF!</f>
        <v>#REF!</v>
      </c>
      <c r="I55" s="43" t="e">
        <f>I53*I54+#REF!</f>
        <v>#REF!</v>
      </c>
      <c r="J55" s="43" t="e">
        <f>J53*J54+#REF!</f>
        <v>#REF!</v>
      </c>
      <c r="K55" s="43" t="e">
        <f>K53*K54+#REF!</f>
        <v>#REF!</v>
      </c>
      <c r="M55" s="35" t="s">
        <v>28</v>
      </c>
      <c r="N55" s="43" t="e">
        <f>N53*N54+#REF!</f>
        <v>#REF!</v>
      </c>
      <c r="O55" s="43" t="e">
        <f>O53*O54+#REF!</f>
        <v>#REF!</v>
      </c>
      <c r="P55" s="43" t="e">
        <f>P53*P54+#REF!</f>
        <v>#REF!</v>
      </c>
      <c r="Q55" s="43" t="e">
        <f>Q53*Q54+#REF!</f>
        <v>#REF!</v>
      </c>
      <c r="R55" s="43" t="e">
        <f>R53*R54+#REF!</f>
        <v>#REF!</v>
      </c>
      <c r="S55" s="43" t="e">
        <f>S53*S54+#REF!</f>
        <v>#REF!</v>
      </c>
      <c r="T55" s="43" t="e">
        <f>T53*T54+#REF!</f>
        <v>#REF!</v>
      </c>
      <c r="U55" s="43" t="e">
        <f>U53*U54+#REF!</f>
        <v>#REF!</v>
      </c>
      <c r="V55" s="43" t="e">
        <f>V53*V54+#REF!</f>
        <v>#REF!</v>
      </c>
      <c r="AO55" s="28">
        <v>52</v>
      </c>
      <c r="AP55" s="121" t="s">
        <v>52</v>
      </c>
      <c r="AQ55" s="100">
        <v>46034</v>
      </c>
      <c r="AR55" s="101" t="s">
        <v>80</v>
      </c>
      <c r="AS55" s="101" t="s">
        <v>13</v>
      </c>
      <c r="AT55" s="101" t="s">
        <v>14</v>
      </c>
      <c r="AU55" s="101" t="s">
        <v>54</v>
      </c>
      <c r="AV55" s="106" t="s">
        <v>80</v>
      </c>
      <c r="AW55" s="34"/>
    </row>
    <row r="56" spans="2:49" x14ac:dyDescent="0.25">
      <c r="AO56" s="37">
        <v>53</v>
      </c>
      <c r="AP56" s="97" t="s">
        <v>89</v>
      </c>
      <c r="AQ56" s="98">
        <v>46075</v>
      </c>
      <c r="AR56" s="41" t="s">
        <v>80</v>
      </c>
      <c r="AS56" s="41" t="s">
        <v>13</v>
      </c>
      <c r="AT56" s="41" t="s">
        <v>14</v>
      </c>
      <c r="AU56" s="41" t="s">
        <v>91</v>
      </c>
      <c r="AV56" s="59" t="s">
        <v>80</v>
      </c>
      <c r="AW56" s="34"/>
    </row>
    <row r="57" spans="2:49" x14ac:dyDescent="0.25">
      <c r="AO57" s="37">
        <v>54</v>
      </c>
      <c r="AP57" s="97" t="s">
        <v>89</v>
      </c>
      <c r="AQ57" s="98">
        <v>46075</v>
      </c>
      <c r="AR57" s="41" t="s">
        <v>80</v>
      </c>
      <c r="AS57" s="41" t="s">
        <v>13</v>
      </c>
      <c r="AT57" s="41" t="s">
        <v>14</v>
      </c>
      <c r="AU57" s="41" t="s">
        <v>90</v>
      </c>
      <c r="AV57" s="59" t="s">
        <v>80</v>
      </c>
      <c r="AW57" s="34"/>
    </row>
    <row r="58" spans="2:49" x14ac:dyDescent="0.25">
      <c r="AO58" s="28">
        <v>55</v>
      </c>
      <c r="AP58" s="97" t="s">
        <v>89</v>
      </c>
      <c r="AQ58" s="98">
        <v>46075</v>
      </c>
      <c r="AR58" s="41" t="s">
        <v>80</v>
      </c>
      <c r="AS58" s="41" t="s">
        <v>13</v>
      </c>
      <c r="AT58" s="41" t="s">
        <v>14</v>
      </c>
      <c r="AU58" s="41" t="s">
        <v>174</v>
      </c>
      <c r="AV58" s="59" t="s">
        <v>80</v>
      </c>
      <c r="AW58" s="34"/>
    </row>
    <row r="59" spans="2:49" x14ac:dyDescent="0.25">
      <c r="B59" s="123" t="s">
        <v>11</v>
      </c>
      <c r="C59" s="124" t="s">
        <v>102</v>
      </c>
      <c r="D59" s="124" t="s">
        <v>103</v>
      </c>
      <c r="E59" s="124" t="s">
        <v>104</v>
      </c>
      <c r="F59" s="124" t="s">
        <v>105</v>
      </c>
      <c r="G59" s="124" t="s">
        <v>106</v>
      </c>
      <c r="H59" s="124" t="s">
        <v>107</v>
      </c>
      <c r="AO59" s="37">
        <v>56</v>
      </c>
      <c r="AP59" s="97" t="s">
        <v>89</v>
      </c>
      <c r="AQ59" s="98">
        <v>46082</v>
      </c>
      <c r="AR59" s="41" t="s">
        <v>80</v>
      </c>
      <c r="AS59" s="41" t="s">
        <v>13</v>
      </c>
      <c r="AT59" s="41" t="s">
        <v>14</v>
      </c>
      <c r="AU59" s="41" t="s">
        <v>90</v>
      </c>
      <c r="AV59" s="59" t="s">
        <v>80</v>
      </c>
      <c r="AW59" s="34"/>
    </row>
    <row r="60" spans="2:49" x14ac:dyDescent="0.25">
      <c r="AO60" s="37">
        <v>59</v>
      </c>
      <c r="AP60" s="64" t="s">
        <v>163</v>
      </c>
      <c r="AQ60" s="92">
        <v>46089</v>
      </c>
      <c r="AR60" s="93" t="s">
        <v>77</v>
      </c>
      <c r="AS60" s="93" t="s">
        <v>13</v>
      </c>
      <c r="AT60" s="93" t="s">
        <v>14</v>
      </c>
      <c r="AU60" s="93" t="s">
        <v>175</v>
      </c>
      <c r="AV60" s="94" t="s">
        <v>24</v>
      </c>
      <c r="AW60" s="34"/>
    </row>
    <row r="61" spans="2:49" x14ac:dyDescent="0.25">
      <c r="AO61" s="37">
        <v>60</v>
      </c>
      <c r="AP61" s="101" t="s">
        <v>176</v>
      </c>
      <c r="AQ61" s="100">
        <v>46089</v>
      </c>
      <c r="AR61" s="101" t="s">
        <v>85</v>
      </c>
      <c r="AS61" s="101"/>
      <c r="AT61" s="101" t="s">
        <v>14</v>
      </c>
      <c r="AU61" s="101" t="s">
        <v>177</v>
      </c>
      <c r="AV61" s="106" t="s">
        <v>24</v>
      </c>
      <c r="AW61" s="34"/>
    </row>
    <row r="62" spans="2:49" x14ac:dyDescent="0.25">
      <c r="AO62" s="28">
        <v>61</v>
      </c>
      <c r="AP62" s="91" t="s">
        <v>178</v>
      </c>
      <c r="AQ62" s="92">
        <v>46089</v>
      </c>
      <c r="AR62" s="93" t="s">
        <v>77</v>
      </c>
      <c r="AS62" s="93"/>
      <c r="AT62" s="93" t="s">
        <v>14</v>
      </c>
      <c r="AU62" s="93" t="s">
        <v>179</v>
      </c>
      <c r="AV62" s="94" t="s">
        <v>24</v>
      </c>
      <c r="AW62" s="34"/>
    </row>
    <row r="63" spans="2:49" x14ac:dyDescent="0.25">
      <c r="B63" s="2">
        <v>103</v>
      </c>
      <c r="C63" s="3"/>
      <c r="D63" s="4">
        <v>1.2</v>
      </c>
      <c r="E63" s="4"/>
      <c r="F63" s="4"/>
      <c r="G63" s="5"/>
      <c r="H63" s="151" t="s">
        <v>0</v>
      </c>
      <c r="I63" s="152"/>
      <c r="J63" s="153" t="s">
        <v>180</v>
      </c>
      <c r="K63" s="154"/>
      <c r="AO63" s="37">
        <v>62</v>
      </c>
      <c r="AP63" s="97" t="s">
        <v>172</v>
      </c>
      <c r="AQ63" s="98">
        <v>46089</v>
      </c>
      <c r="AR63" s="41" t="s">
        <v>80</v>
      </c>
      <c r="AS63" s="41"/>
      <c r="AT63" s="41" t="s">
        <v>14</v>
      </c>
      <c r="AU63" s="41" t="s">
        <v>181</v>
      </c>
      <c r="AV63" s="59" t="s">
        <v>182</v>
      </c>
      <c r="AW63" s="34"/>
    </row>
    <row r="64" spans="2:49" x14ac:dyDescent="0.25">
      <c r="B64" s="13" t="s">
        <v>2</v>
      </c>
      <c r="C64" s="14"/>
      <c r="D64" s="14"/>
      <c r="E64" s="14"/>
      <c r="F64" s="14"/>
      <c r="G64" s="14"/>
      <c r="H64" s="155"/>
      <c r="I64"/>
      <c r="J64"/>
      <c r="K64"/>
      <c r="AO64" s="37">
        <v>63</v>
      </c>
      <c r="AP64" s="97" t="s">
        <v>89</v>
      </c>
      <c r="AQ64" s="98">
        <v>46089</v>
      </c>
      <c r="AR64" s="41" t="s">
        <v>80</v>
      </c>
      <c r="AS64" s="41" t="s">
        <v>13</v>
      </c>
      <c r="AT64" s="41" t="s">
        <v>14</v>
      </c>
      <c r="AU64" s="41" t="s">
        <v>91</v>
      </c>
      <c r="AV64" s="59" t="s">
        <v>24</v>
      </c>
      <c r="AW64" s="34"/>
    </row>
    <row r="65" spans="2:49" x14ac:dyDescent="0.25">
      <c r="B65" s="22" t="s">
        <v>11</v>
      </c>
      <c r="C65" s="23" t="s">
        <v>102</v>
      </c>
      <c r="D65" s="23" t="s">
        <v>103</v>
      </c>
      <c r="E65" s="23" t="s">
        <v>104</v>
      </c>
      <c r="F65" s="23" t="s">
        <v>105</v>
      </c>
      <c r="G65" s="23" t="s">
        <v>106</v>
      </c>
      <c r="H65" s="23" t="s">
        <v>107</v>
      </c>
      <c r="I65"/>
      <c r="J65"/>
      <c r="K65"/>
      <c r="AO65" s="28">
        <v>64</v>
      </c>
      <c r="AP65" s="107" t="s">
        <v>183</v>
      </c>
      <c r="AQ65" s="100">
        <v>46089</v>
      </c>
      <c r="AR65" s="101" t="s">
        <v>85</v>
      </c>
      <c r="AS65" s="101"/>
      <c r="AT65" s="101" t="s">
        <v>14</v>
      </c>
      <c r="AU65" s="101" t="s">
        <v>174</v>
      </c>
      <c r="AV65" s="106" t="s">
        <v>24</v>
      </c>
      <c r="AW65" s="34"/>
    </row>
    <row r="66" spans="2:49" x14ac:dyDescent="0.25">
      <c r="B66" s="35" t="s">
        <v>17</v>
      </c>
      <c r="C66" s="103">
        <v>0.26333333333333336</v>
      </c>
      <c r="D66" s="103">
        <v>0.27799999999999997</v>
      </c>
      <c r="E66" s="103">
        <v>0.29433333333333334</v>
      </c>
      <c r="F66" s="103">
        <v>0.3116666666666667</v>
      </c>
      <c r="G66" s="103">
        <v>0.32466666666666666</v>
      </c>
      <c r="H66" s="103">
        <v>0.35333333333333333</v>
      </c>
      <c r="I66"/>
      <c r="J66"/>
      <c r="K66"/>
      <c r="AO66" s="37">
        <v>65</v>
      </c>
      <c r="AP66" s="64" t="s">
        <v>184</v>
      </c>
      <c r="AQ66" s="110">
        <v>46089</v>
      </c>
      <c r="AR66" s="66" t="s">
        <v>93</v>
      </c>
      <c r="AS66" s="66" t="s">
        <v>13</v>
      </c>
      <c r="AT66" s="66" t="s">
        <v>14</v>
      </c>
      <c r="AU66" s="66" t="s">
        <v>185</v>
      </c>
      <c r="AV66" s="67" t="s">
        <v>24</v>
      </c>
      <c r="AW66" s="34"/>
    </row>
    <row r="67" spans="2:49" x14ac:dyDescent="0.25">
      <c r="B67" s="35" t="s">
        <v>25</v>
      </c>
      <c r="C67" s="35">
        <v>18</v>
      </c>
      <c r="D67" s="35">
        <v>18</v>
      </c>
      <c r="E67" s="35">
        <v>18</v>
      </c>
      <c r="F67" s="35">
        <v>18</v>
      </c>
      <c r="G67" s="35">
        <v>16</v>
      </c>
      <c r="H67" s="35">
        <v>16</v>
      </c>
      <c r="I67"/>
      <c r="J67"/>
      <c r="K67"/>
      <c r="AO67" s="37">
        <v>66</v>
      </c>
      <c r="AP67" s="64" t="s">
        <v>163</v>
      </c>
      <c r="AQ67" s="100">
        <v>46089</v>
      </c>
      <c r="AR67" s="101" t="s">
        <v>85</v>
      </c>
      <c r="AS67" s="101"/>
      <c r="AT67" s="101" t="s">
        <v>14</v>
      </c>
      <c r="AU67" s="101" t="s">
        <v>175</v>
      </c>
      <c r="AV67" s="106" t="s">
        <v>24</v>
      </c>
      <c r="AW67" s="34"/>
    </row>
    <row r="68" spans="2:49" x14ac:dyDescent="0.25">
      <c r="B68" s="35" t="s">
        <v>28</v>
      </c>
      <c r="C68" s="43" t="e">
        <f>C66*C67+#REF!</f>
        <v>#REF!</v>
      </c>
      <c r="D68" s="43" t="e">
        <f>D66*D67+#REF!</f>
        <v>#REF!</v>
      </c>
      <c r="E68" s="43" t="e">
        <f>E66*E67+#REF!</f>
        <v>#REF!</v>
      </c>
      <c r="F68" s="43" t="e">
        <f>F66*F67+#REF!</f>
        <v>#REF!</v>
      </c>
      <c r="G68" s="43" t="e">
        <f>G66*G67+#REF!</f>
        <v>#REF!</v>
      </c>
      <c r="H68" s="43" t="e">
        <f>H66*H67+#REF!</f>
        <v>#REF!</v>
      </c>
      <c r="I68"/>
      <c r="J68"/>
      <c r="K68"/>
      <c r="AO68" s="28">
        <v>67</v>
      </c>
      <c r="AP68" s="101" t="s">
        <v>176</v>
      </c>
      <c r="AQ68" s="100">
        <v>46103</v>
      </c>
      <c r="AR68" s="101" t="s">
        <v>85</v>
      </c>
      <c r="AS68" s="101"/>
      <c r="AT68" s="101" t="s">
        <v>14</v>
      </c>
      <c r="AU68" s="101" t="s">
        <v>177</v>
      </c>
      <c r="AV68" s="106" t="s">
        <v>24</v>
      </c>
      <c r="AW68" s="34"/>
    </row>
    <row r="69" spans="2:49" x14ac:dyDescent="0.25">
      <c r="AO69" s="37">
        <v>68</v>
      </c>
      <c r="AP69" s="64" t="s">
        <v>178</v>
      </c>
      <c r="AQ69" s="100">
        <v>46103</v>
      </c>
      <c r="AR69" s="101" t="s">
        <v>85</v>
      </c>
      <c r="AS69" s="101"/>
      <c r="AT69" s="101" t="s">
        <v>14</v>
      </c>
      <c r="AU69" s="101" t="s">
        <v>179</v>
      </c>
      <c r="AV69" s="106" t="s">
        <v>24</v>
      </c>
      <c r="AW69" s="34"/>
    </row>
    <row r="70" spans="2:49" x14ac:dyDescent="0.25">
      <c r="AO70" s="37">
        <v>69</v>
      </c>
      <c r="AP70" s="107" t="s">
        <v>163</v>
      </c>
      <c r="AQ70" s="100">
        <v>46110</v>
      </c>
      <c r="AR70" s="101" t="s">
        <v>85</v>
      </c>
      <c r="AS70" s="101"/>
      <c r="AT70" s="101" t="s">
        <v>14</v>
      </c>
      <c r="AU70" s="101" t="s">
        <v>186</v>
      </c>
      <c r="AV70" s="106" t="s">
        <v>24</v>
      </c>
      <c r="AW70" s="34"/>
    </row>
    <row r="71" spans="2:49" x14ac:dyDescent="0.25">
      <c r="AO71" s="28">
        <v>70</v>
      </c>
      <c r="AP71" s="66" t="s">
        <v>176</v>
      </c>
      <c r="AQ71" s="110">
        <v>46110</v>
      </c>
      <c r="AR71" s="66" t="s">
        <v>93</v>
      </c>
      <c r="AS71" s="66"/>
      <c r="AT71" s="66" t="s">
        <v>14</v>
      </c>
      <c r="AU71" s="66" t="s">
        <v>177</v>
      </c>
      <c r="AV71" s="67" t="s">
        <v>24</v>
      </c>
      <c r="AW71" s="34"/>
    </row>
    <row r="72" spans="2:49" x14ac:dyDescent="0.25">
      <c r="AO72" s="37">
        <v>71</v>
      </c>
      <c r="AP72" s="64" t="s">
        <v>178</v>
      </c>
      <c r="AQ72" s="100">
        <v>46110</v>
      </c>
      <c r="AR72" s="101" t="s">
        <v>85</v>
      </c>
      <c r="AS72" s="101"/>
      <c r="AT72" s="101" t="s">
        <v>14</v>
      </c>
      <c r="AU72" s="101" t="s">
        <v>179</v>
      </c>
      <c r="AV72" s="106" t="s">
        <v>24</v>
      </c>
      <c r="AW72" s="34"/>
    </row>
    <row r="73" spans="2:49" ht="15.75" thickBot="1" x14ac:dyDescent="0.3">
      <c r="AO73" s="37">
        <v>72</v>
      </c>
      <c r="AP73" s="107" t="s">
        <v>183</v>
      </c>
      <c r="AQ73" s="100">
        <v>46110</v>
      </c>
      <c r="AR73" s="101" t="s">
        <v>85</v>
      </c>
      <c r="AS73" s="101"/>
      <c r="AT73" s="101" t="s">
        <v>14</v>
      </c>
      <c r="AU73" s="101" t="s">
        <v>91</v>
      </c>
      <c r="AV73" s="106" t="s">
        <v>24</v>
      </c>
      <c r="AW73" s="34"/>
    </row>
    <row r="74" spans="2:49" ht="15.75" thickBot="1" x14ac:dyDescent="0.3">
      <c r="B74" s="2">
        <v>103</v>
      </c>
      <c r="C74" s="3"/>
      <c r="D74" s="4">
        <v>1.2</v>
      </c>
      <c r="E74" s="4"/>
      <c r="F74" s="4"/>
      <c r="G74" s="5"/>
      <c r="H74" s="6" t="s">
        <v>0</v>
      </c>
      <c r="I74" s="7"/>
      <c r="J74" s="153">
        <v>712925893</v>
      </c>
      <c r="K74" s="154"/>
      <c r="M74" s="56" t="s">
        <v>40</v>
      </c>
      <c r="N74" s="57"/>
      <c r="O74" s="57"/>
      <c r="P74" s="58"/>
      <c r="AO74" s="28">
        <v>73</v>
      </c>
      <c r="AP74" s="156" t="s">
        <v>187</v>
      </c>
      <c r="AQ74" s="157">
        <v>46110</v>
      </c>
      <c r="AR74" s="158" t="s">
        <v>188</v>
      </c>
      <c r="AS74" s="158" t="s">
        <v>189</v>
      </c>
      <c r="AT74" s="158" t="s">
        <v>14</v>
      </c>
      <c r="AU74" s="158" t="s">
        <v>82</v>
      </c>
      <c r="AV74" s="159" t="s">
        <v>24</v>
      </c>
      <c r="AW74" s="34"/>
    </row>
    <row r="75" spans="2:49" ht="15.75" thickBot="1" x14ac:dyDescent="0.3">
      <c r="B75" s="22" t="s">
        <v>11</v>
      </c>
      <c r="C75" s="25">
        <v>14.5</v>
      </c>
      <c r="D75" s="25">
        <v>15</v>
      </c>
      <c r="E75" s="25">
        <v>15.5</v>
      </c>
      <c r="F75" s="25">
        <v>16</v>
      </c>
      <c r="G75" s="25">
        <v>16.5</v>
      </c>
      <c r="H75" s="25">
        <v>17</v>
      </c>
      <c r="I75" s="26">
        <v>17.5</v>
      </c>
      <c r="J75" s="26">
        <v>18</v>
      </c>
      <c r="K75" s="26">
        <v>18.5</v>
      </c>
      <c r="M75" s="74" t="s">
        <v>46</v>
      </c>
      <c r="N75" s="74" t="s">
        <v>47</v>
      </c>
      <c r="O75" s="75" t="s">
        <v>48</v>
      </c>
      <c r="P75" s="74" t="s">
        <v>49</v>
      </c>
      <c r="AO75" s="37">
        <v>74</v>
      </c>
      <c r="AP75" s="91">
        <v>710615870</v>
      </c>
      <c r="AQ75" s="92">
        <v>46096</v>
      </c>
      <c r="AR75" s="93" t="s">
        <v>77</v>
      </c>
      <c r="AS75" s="93" t="s">
        <v>189</v>
      </c>
      <c r="AT75" s="93" t="s">
        <v>14</v>
      </c>
      <c r="AU75" s="93" t="s">
        <v>190</v>
      </c>
      <c r="AV75" s="94" t="s">
        <v>24</v>
      </c>
      <c r="AW75" s="34"/>
    </row>
    <row r="76" spans="2:49" ht="15.75" thickBot="1" x14ac:dyDescent="0.3">
      <c r="B76" s="35" t="s">
        <v>17</v>
      </c>
      <c r="C76" s="35">
        <v>0.25700000000000001</v>
      </c>
      <c r="D76" s="35">
        <v>0.26700000000000002</v>
      </c>
      <c r="E76" s="35">
        <v>0.27400000000000002</v>
      </c>
      <c r="F76" s="35">
        <v>0.28199999999999997</v>
      </c>
      <c r="G76" s="35">
        <v>0.29399999999999998</v>
      </c>
      <c r="H76" s="35">
        <v>0.30399999999999999</v>
      </c>
      <c r="I76" s="35">
        <v>0.313</v>
      </c>
      <c r="J76" s="35">
        <v>0.32600000000000001</v>
      </c>
      <c r="K76" s="35">
        <v>0.33300000000000002</v>
      </c>
      <c r="M76" s="77" t="s">
        <v>51</v>
      </c>
      <c r="N76" s="78">
        <v>32.5</v>
      </c>
      <c r="O76" s="79">
        <f>N76</f>
        <v>32.5</v>
      </c>
      <c r="P76" s="80">
        <f>CONVERT(O76,"cm","mm")</f>
        <v>325</v>
      </c>
      <c r="AO76" s="37">
        <v>75</v>
      </c>
      <c r="AP76" s="107" t="s">
        <v>191</v>
      </c>
      <c r="AQ76" s="100">
        <v>46096</v>
      </c>
      <c r="AR76" s="101" t="s">
        <v>85</v>
      </c>
      <c r="AS76" s="101"/>
      <c r="AT76" s="101"/>
      <c r="AU76" s="101"/>
      <c r="AV76" s="106"/>
      <c r="AW76" s="34"/>
    </row>
    <row r="77" spans="2:49" ht="15.75" thickBot="1" x14ac:dyDescent="0.3">
      <c r="B77" s="35" t="s">
        <v>21</v>
      </c>
      <c r="C77" s="35">
        <v>1.28</v>
      </c>
      <c r="D77" s="35">
        <v>1.28</v>
      </c>
      <c r="E77" s="35">
        <v>1.28</v>
      </c>
      <c r="F77" s="35">
        <v>1.28</v>
      </c>
      <c r="G77" s="35">
        <v>1.28</v>
      </c>
      <c r="H77" s="35">
        <v>1.28</v>
      </c>
      <c r="I77" s="35">
        <v>1.28</v>
      </c>
      <c r="J77" s="35">
        <v>1.28</v>
      </c>
      <c r="K77" s="35">
        <v>1.28</v>
      </c>
      <c r="M77" s="77" t="s">
        <v>73</v>
      </c>
      <c r="N77" s="85">
        <v>1</v>
      </c>
      <c r="O77" s="86">
        <v>1</v>
      </c>
      <c r="P77" s="77">
        <f>CONVERT(O77,"cm","mm")</f>
        <v>10</v>
      </c>
      <c r="AO77" s="28">
        <v>76</v>
      </c>
      <c r="AP77" s="91" t="s">
        <v>192</v>
      </c>
      <c r="AQ77" s="92">
        <v>46096</v>
      </c>
      <c r="AR77" s="93" t="s">
        <v>77</v>
      </c>
      <c r="AS77" s="93" t="s">
        <v>189</v>
      </c>
      <c r="AT77" s="93" t="s">
        <v>14</v>
      </c>
      <c r="AU77" s="93" t="s">
        <v>193</v>
      </c>
      <c r="AV77" s="94" t="s">
        <v>24</v>
      </c>
      <c r="AW77" s="34"/>
    </row>
    <row r="78" spans="2:49" ht="15.75" thickBot="1" x14ac:dyDescent="0.3">
      <c r="B78" s="35" t="s">
        <v>25</v>
      </c>
      <c r="C78" s="35">
        <v>18</v>
      </c>
      <c r="D78" s="35">
        <v>18</v>
      </c>
      <c r="E78" s="35">
        <v>18</v>
      </c>
      <c r="F78" s="35">
        <v>18</v>
      </c>
      <c r="G78" s="35">
        <v>18</v>
      </c>
      <c r="H78" s="35">
        <v>18</v>
      </c>
      <c r="I78" s="35">
        <v>18</v>
      </c>
      <c r="J78" s="35">
        <v>18</v>
      </c>
      <c r="K78" s="35">
        <v>18</v>
      </c>
      <c r="M78" s="77" t="s">
        <v>92</v>
      </c>
      <c r="N78" s="108">
        <f>N76-N77</f>
        <v>31.5</v>
      </c>
      <c r="O78" s="109">
        <f>N78</f>
        <v>31.5</v>
      </c>
      <c r="P78" s="85">
        <f>CONVERT(O78,"cm","mm")</f>
        <v>315</v>
      </c>
      <c r="AO78" s="37">
        <v>77</v>
      </c>
      <c r="AP78" s="91" t="s">
        <v>194</v>
      </c>
      <c r="AQ78" s="92">
        <v>46096</v>
      </c>
      <c r="AR78" s="93" t="s">
        <v>77</v>
      </c>
      <c r="AS78" s="93" t="s">
        <v>189</v>
      </c>
      <c r="AT78" s="93" t="s">
        <v>195</v>
      </c>
      <c r="AU78" s="93" t="s">
        <v>82</v>
      </c>
      <c r="AV78" s="94" t="s">
        <v>24</v>
      </c>
      <c r="AW78" s="34"/>
    </row>
    <row r="79" spans="2:49" ht="15.75" thickBot="1" x14ac:dyDescent="0.3">
      <c r="B79" s="35" t="s">
        <v>28</v>
      </c>
      <c r="C79" s="43">
        <f>C76*C78+C77</f>
        <v>5.9060000000000006</v>
      </c>
      <c r="D79" s="43">
        <f t="shared" ref="D79:K79" si="4">D76*D78+D77</f>
        <v>6.0860000000000003</v>
      </c>
      <c r="E79" s="43">
        <f t="shared" si="4"/>
        <v>6.2120000000000006</v>
      </c>
      <c r="F79" s="43">
        <f t="shared" si="4"/>
        <v>6.3559999999999999</v>
      </c>
      <c r="G79" s="43">
        <f t="shared" si="4"/>
        <v>6.5720000000000001</v>
      </c>
      <c r="H79" s="43">
        <f t="shared" si="4"/>
        <v>6.7519999999999998</v>
      </c>
      <c r="I79" s="43">
        <f t="shared" si="4"/>
        <v>6.9140000000000006</v>
      </c>
      <c r="J79" s="43">
        <f t="shared" si="4"/>
        <v>7.1480000000000006</v>
      </c>
      <c r="K79" s="43">
        <f t="shared" si="4"/>
        <v>7.2740000000000009</v>
      </c>
      <c r="M79" s="88" t="s">
        <v>75</v>
      </c>
      <c r="N79" s="78">
        <f>N78/18</f>
        <v>1.75</v>
      </c>
      <c r="O79" s="89">
        <f>N79</f>
        <v>1.75</v>
      </c>
      <c r="P79" s="90">
        <f>CONVERT(O79,"cm","mm")</f>
        <v>17.5</v>
      </c>
      <c r="AO79" s="37">
        <v>78</v>
      </c>
      <c r="AP79" s="64" t="s">
        <v>176</v>
      </c>
      <c r="AQ79" s="100">
        <v>46103</v>
      </c>
      <c r="AR79" s="101" t="s">
        <v>85</v>
      </c>
      <c r="AS79" s="101"/>
      <c r="AT79" s="101" t="s">
        <v>14</v>
      </c>
      <c r="AU79" s="101" t="s">
        <v>177</v>
      </c>
      <c r="AV79" s="106" t="s">
        <v>24</v>
      </c>
      <c r="AW79" s="34"/>
    </row>
    <row r="80" spans="2:49" x14ac:dyDescent="0.25">
      <c r="AO80" s="28">
        <v>79</v>
      </c>
      <c r="AP80" s="64" t="s">
        <v>178</v>
      </c>
      <c r="AQ80" s="100">
        <v>46103</v>
      </c>
      <c r="AR80" s="101" t="s">
        <v>85</v>
      </c>
      <c r="AS80" s="101"/>
      <c r="AT80" s="101" t="s">
        <v>14</v>
      </c>
      <c r="AU80" s="101" t="s">
        <v>179</v>
      </c>
      <c r="AV80" s="106" t="s">
        <v>24</v>
      </c>
      <c r="AW80" s="34"/>
    </row>
    <row r="81" spans="2:49" x14ac:dyDescent="0.25">
      <c r="AO81" s="37">
        <v>80</v>
      </c>
      <c r="AP81" s="64" t="s">
        <v>178</v>
      </c>
      <c r="AQ81" s="100">
        <v>46110</v>
      </c>
      <c r="AR81" s="101" t="s">
        <v>85</v>
      </c>
      <c r="AS81" s="101"/>
      <c r="AT81" s="101"/>
      <c r="AU81" s="101" t="s">
        <v>179</v>
      </c>
      <c r="AV81" s="106"/>
      <c r="AW81" s="34"/>
    </row>
    <row r="82" spans="2:49" x14ac:dyDescent="0.25">
      <c r="AO82" s="37">
        <v>81</v>
      </c>
      <c r="AP82" s="64" t="s">
        <v>196</v>
      </c>
      <c r="AQ82" s="100">
        <v>46110</v>
      </c>
      <c r="AR82" s="101" t="s">
        <v>85</v>
      </c>
      <c r="AS82" s="101"/>
      <c r="AT82" s="101"/>
      <c r="AU82" s="101" t="s">
        <v>197</v>
      </c>
      <c r="AV82" s="106"/>
      <c r="AW82" s="34"/>
    </row>
    <row r="83" spans="2:49" ht="15.75" thickBot="1" x14ac:dyDescent="0.3">
      <c r="B83" s="2">
        <v>103</v>
      </c>
      <c r="C83" s="3"/>
      <c r="D83" s="4">
        <v>1.2</v>
      </c>
      <c r="E83" s="4"/>
      <c r="F83" s="4"/>
      <c r="G83" s="5"/>
      <c r="H83" s="151" t="s">
        <v>0</v>
      </c>
      <c r="I83" s="152"/>
      <c r="J83" s="153" t="s">
        <v>172</v>
      </c>
      <c r="K83" s="154"/>
      <c r="AO83" s="28">
        <v>82</v>
      </c>
      <c r="AP83" s="64">
        <v>710804257</v>
      </c>
      <c r="AQ83" s="100">
        <v>46110</v>
      </c>
      <c r="AR83" s="101" t="s">
        <v>85</v>
      </c>
      <c r="AS83" s="101"/>
      <c r="AT83" s="101"/>
      <c r="AU83" s="101" t="s">
        <v>198</v>
      </c>
      <c r="AV83" s="106"/>
      <c r="AW83" s="34"/>
    </row>
    <row r="84" spans="2:49" ht="15.75" thickBot="1" x14ac:dyDescent="0.3">
      <c r="B84" s="13" t="s">
        <v>2</v>
      </c>
      <c r="C84" s="14"/>
      <c r="D84" s="14"/>
      <c r="E84" s="14"/>
      <c r="F84" s="14"/>
      <c r="G84" s="14"/>
      <c r="H84" s="155"/>
      <c r="I84"/>
      <c r="J84"/>
      <c r="K84"/>
      <c r="M84" s="56" t="s">
        <v>40</v>
      </c>
      <c r="N84" s="57"/>
      <c r="O84" s="57"/>
      <c r="P84" s="58"/>
      <c r="AO84" s="37">
        <v>83</v>
      </c>
      <c r="AP84" s="64" t="s">
        <v>183</v>
      </c>
      <c r="AQ84" s="110">
        <v>46110</v>
      </c>
      <c r="AR84" s="66" t="s">
        <v>93</v>
      </c>
      <c r="AS84" s="66" t="s">
        <v>199</v>
      </c>
      <c r="AT84" s="66" t="s">
        <v>14</v>
      </c>
      <c r="AU84" s="66" t="s">
        <v>91</v>
      </c>
      <c r="AV84" s="67" t="s">
        <v>24</v>
      </c>
      <c r="AW84" s="34"/>
    </row>
    <row r="85" spans="2:49" ht="15.75" thickBot="1" x14ac:dyDescent="0.3">
      <c r="B85" s="22" t="s">
        <v>11</v>
      </c>
      <c r="C85" s="23" t="s">
        <v>102</v>
      </c>
      <c r="D85" s="23" t="s">
        <v>103</v>
      </c>
      <c r="E85" s="23" t="s">
        <v>104</v>
      </c>
      <c r="F85" s="23" t="s">
        <v>105</v>
      </c>
      <c r="G85" s="23" t="s">
        <v>106</v>
      </c>
      <c r="H85" s="23" t="s">
        <v>107</v>
      </c>
      <c r="I85"/>
      <c r="J85"/>
      <c r="K85"/>
      <c r="M85" s="60" t="s">
        <v>42</v>
      </c>
      <c r="N85" s="61">
        <v>480</v>
      </c>
      <c r="O85" s="62">
        <v>380</v>
      </c>
      <c r="P85" s="63">
        <v>325</v>
      </c>
      <c r="AO85" s="37">
        <v>84</v>
      </c>
      <c r="AP85" s="64" t="s">
        <v>163</v>
      </c>
      <c r="AQ85" s="100">
        <v>46110</v>
      </c>
      <c r="AR85" s="101" t="s">
        <v>85</v>
      </c>
      <c r="AS85" s="101"/>
      <c r="AT85" s="101"/>
      <c r="AU85" s="101" t="s">
        <v>186</v>
      </c>
      <c r="AV85" s="106"/>
      <c r="AW85" s="34"/>
    </row>
    <row r="86" spans="2:49" ht="15.75" thickBot="1" x14ac:dyDescent="0.3">
      <c r="B86" s="35" t="s">
        <v>17</v>
      </c>
      <c r="C86" s="103">
        <v>0.27200000000000002</v>
      </c>
      <c r="D86" s="103">
        <v>0.28100000000000003</v>
      </c>
      <c r="E86" s="103">
        <v>0.29399999999999998</v>
      </c>
      <c r="F86" s="103">
        <v>0.315</v>
      </c>
      <c r="G86" s="103">
        <v>0.33100000000000002</v>
      </c>
      <c r="H86" s="103">
        <v>0.35099999999999998</v>
      </c>
      <c r="I86"/>
      <c r="J86"/>
      <c r="K86"/>
      <c r="M86" s="74" t="s">
        <v>46</v>
      </c>
      <c r="N86" s="74" t="s">
        <v>47</v>
      </c>
      <c r="O86" s="75" t="s">
        <v>48</v>
      </c>
      <c r="P86" s="74" t="s">
        <v>49</v>
      </c>
      <c r="AO86" s="28">
        <v>85</v>
      </c>
      <c r="AP86" s="64" t="s">
        <v>163</v>
      </c>
      <c r="AQ86" s="100">
        <v>46110</v>
      </c>
      <c r="AR86" s="101" t="s">
        <v>85</v>
      </c>
      <c r="AS86" s="101"/>
      <c r="AT86" s="101"/>
      <c r="AU86" s="101" t="s">
        <v>200</v>
      </c>
      <c r="AV86" s="106"/>
      <c r="AW86" s="34"/>
    </row>
    <row r="87" spans="2:49" ht="15.75" thickBot="1" x14ac:dyDescent="0.3">
      <c r="B87" s="35" t="s">
        <v>21</v>
      </c>
      <c r="C87" s="35">
        <v>1.28</v>
      </c>
      <c r="D87" s="35">
        <v>1.28</v>
      </c>
      <c r="E87" s="35">
        <v>1.28</v>
      </c>
      <c r="F87" s="35">
        <v>1.28</v>
      </c>
      <c r="G87" s="35">
        <v>1.28</v>
      </c>
      <c r="H87" s="35">
        <v>1.28</v>
      </c>
      <c r="I87"/>
      <c r="J87"/>
      <c r="K87"/>
      <c r="M87" s="77" t="s">
        <v>51</v>
      </c>
      <c r="N87" s="78">
        <v>32.5</v>
      </c>
      <c r="O87" s="79">
        <f>N87</f>
        <v>32.5</v>
      </c>
      <c r="P87" s="80">
        <f>CONVERT(O87,"cm","mm")</f>
        <v>325</v>
      </c>
      <c r="AO87" s="37">
        <v>86</v>
      </c>
      <c r="AP87" s="64" t="s">
        <v>176</v>
      </c>
      <c r="AQ87" s="100">
        <v>46110</v>
      </c>
      <c r="AR87" s="101" t="s">
        <v>85</v>
      </c>
      <c r="AS87" s="101"/>
      <c r="AT87" s="101"/>
      <c r="AU87" s="101" t="s">
        <v>177</v>
      </c>
      <c r="AV87" s="106"/>
      <c r="AW87" s="34"/>
    </row>
    <row r="88" spans="2:49" ht="15.75" thickBot="1" x14ac:dyDescent="0.3">
      <c r="B88" s="35" t="s">
        <v>25</v>
      </c>
      <c r="C88" s="35">
        <v>18</v>
      </c>
      <c r="D88" s="35">
        <v>18</v>
      </c>
      <c r="E88" s="35">
        <v>18</v>
      </c>
      <c r="F88" s="35">
        <v>18</v>
      </c>
      <c r="G88" s="35">
        <v>16</v>
      </c>
      <c r="H88" s="35">
        <v>16</v>
      </c>
      <c r="I88"/>
      <c r="J88"/>
      <c r="K88"/>
      <c r="M88" s="77" t="s">
        <v>73</v>
      </c>
      <c r="N88" s="85">
        <v>1</v>
      </c>
      <c r="O88" s="86">
        <v>1</v>
      </c>
      <c r="P88" s="77">
        <f>CONVERT(O88,"cm","mm")</f>
        <v>10</v>
      </c>
      <c r="AO88" s="37">
        <v>87</v>
      </c>
      <c r="AP88" s="64">
        <v>710967632</v>
      </c>
      <c r="AQ88" s="100">
        <v>46110</v>
      </c>
      <c r="AR88" s="101" t="s">
        <v>85</v>
      </c>
      <c r="AS88" s="101"/>
      <c r="AT88" s="101"/>
      <c r="AU88" s="101" t="s">
        <v>82</v>
      </c>
      <c r="AV88" s="106"/>
      <c r="AW88" s="34"/>
    </row>
    <row r="89" spans="2:49" ht="15.75" thickBot="1" x14ac:dyDescent="0.3">
      <c r="B89" s="35" t="s">
        <v>28</v>
      </c>
      <c r="C89" s="43">
        <f t="shared" ref="C89:H89" si="5">C86*C88+C87</f>
        <v>6.176000000000001</v>
      </c>
      <c r="D89" s="43">
        <f t="shared" si="5"/>
        <v>6.338000000000001</v>
      </c>
      <c r="E89" s="43">
        <f t="shared" si="5"/>
        <v>6.5720000000000001</v>
      </c>
      <c r="F89" s="43">
        <f t="shared" si="5"/>
        <v>6.95</v>
      </c>
      <c r="G89" s="43">
        <f t="shared" si="5"/>
        <v>6.5760000000000005</v>
      </c>
      <c r="H89" s="43">
        <f t="shared" si="5"/>
        <v>6.8959999999999999</v>
      </c>
      <c r="I89"/>
      <c r="J89"/>
      <c r="K89"/>
      <c r="M89" s="77" t="s">
        <v>92</v>
      </c>
      <c r="N89" s="108">
        <f>N87-N88</f>
        <v>31.5</v>
      </c>
      <c r="O89" s="109">
        <f>N89</f>
        <v>31.5</v>
      </c>
      <c r="P89" s="85">
        <f>CONVERT(O89,"cm","mm")</f>
        <v>315</v>
      </c>
      <c r="AO89" s="28">
        <v>88</v>
      </c>
      <c r="AP89" s="64" t="s">
        <v>178</v>
      </c>
      <c r="AQ89" s="100">
        <v>46110</v>
      </c>
      <c r="AR89" s="101" t="s">
        <v>85</v>
      </c>
      <c r="AS89" s="101"/>
      <c r="AT89" s="101"/>
      <c r="AU89" s="101" t="s">
        <v>179</v>
      </c>
      <c r="AV89" s="106"/>
      <c r="AW89" s="34"/>
    </row>
    <row r="90" spans="2:49" ht="15.75" thickBot="1" x14ac:dyDescent="0.3">
      <c r="M90" s="88" t="s">
        <v>75</v>
      </c>
      <c r="N90" s="78">
        <f>N89/16</f>
        <v>1.96875</v>
      </c>
      <c r="O90" s="89">
        <f>N90</f>
        <v>1.96875</v>
      </c>
      <c r="P90" s="90">
        <f>CONVERT(O90,"cm","mm")</f>
        <v>19.6875</v>
      </c>
      <c r="AO90" s="37">
        <v>89</v>
      </c>
      <c r="AP90" s="64">
        <v>710804257</v>
      </c>
      <c r="AQ90" s="100">
        <v>46110</v>
      </c>
      <c r="AR90" s="101" t="s">
        <v>85</v>
      </c>
      <c r="AS90" s="101"/>
      <c r="AT90" s="101"/>
      <c r="AU90" s="101" t="s">
        <v>198</v>
      </c>
      <c r="AV90" s="106"/>
      <c r="AW90" s="34"/>
    </row>
    <row r="91" spans="2:49" x14ac:dyDescent="0.25">
      <c r="AO91" s="37">
        <v>90</v>
      </c>
      <c r="AP91" s="64" t="s">
        <v>196</v>
      </c>
      <c r="AQ91" s="100">
        <v>46110</v>
      </c>
      <c r="AR91" s="101" t="s">
        <v>85</v>
      </c>
      <c r="AS91" s="101"/>
      <c r="AT91" s="101"/>
      <c r="AU91" s="101" t="s">
        <v>197</v>
      </c>
      <c r="AV91" s="160"/>
      <c r="AW91" s="34"/>
    </row>
    <row r="92" spans="2:49" x14ac:dyDescent="0.25">
      <c r="AO92" s="28">
        <v>91</v>
      </c>
      <c r="AP92" s="91">
        <v>710967894</v>
      </c>
      <c r="AQ92" s="92">
        <v>46110</v>
      </c>
      <c r="AR92" s="93" t="s">
        <v>77</v>
      </c>
      <c r="AS92" s="93"/>
      <c r="AT92" s="93"/>
      <c r="AU92" s="93" t="s">
        <v>82</v>
      </c>
      <c r="AV92" s="94" t="s">
        <v>24</v>
      </c>
      <c r="AW92" s="34"/>
    </row>
    <row r="93" spans="2:49" x14ac:dyDescent="0.25">
      <c r="AO93" s="37">
        <v>92</v>
      </c>
      <c r="AP93" s="64">
        <v>710967632</v>
      </c>
      <c r="AQ93" s="100">
        <v>46110</v>
      </c>
      <c r="AR93" s="101" t="s">
        <v>85</v>
      </c>
      <c r="AS93" s="101"/>
      <c r="AT93" s="101"/>
      <c r="AU93" s="101" t="s">
        <v>82</v>
      </c>
      <c r="AV93" s="160"/>
      <c r="AW93" s="34"/>
    </row>
    <row r="94" spans="2:49" x14ac:dyDescent="0.25">
      <c r="AO94" s="37">
        <v>93</v>
      </c>
      <c r="AP94" s="64"/>
      <c r="AQ94" s="110"/>
      <c r="AR94" s="66"/>
      <c r="AS94" s="66"/>
      <c r="AT94" s="66"/>
      <c r="AU94" s="66"/>
      <c r="AV94" s="67"/>
      <c r="AW94" s="34"/>
    </row>
    <row r="95" spans="2:49" x14ac:dyDescent="0.25">
      <c r="AO95" s="28">
        <v>94</v>
      </c>
      <c r="AP95" s="64"/>
      <c r="AQ95" s="66"/>
      <c r="AR95" s="66"/>
      <c r="AS95" s="66"/>
      <c r="AT95" s="66"/>
      <c r="AU95" s="66"/>
      <c r="AV95" s="67"/>
      <c r="AW95" s="34"/>
    </row>
    <row r="96" spans="2:49" x14ac:dyDescent="0.25">
      <c r="AO96" s="37">
        <v>95</v>
      </c>
      <c r="AP96" s="64"/>
      <c r="AQ96" s="66"/>
      <c r="AR96" s="66"/>
      <c r="AS96" s="66"/>
      <c r="AT96" s="66"/>
      <c r="AU96" s="66"/>
      <c r="AV96" s="161"/>
      <c r="AW96" s="34"/>
    </row>
    <row r="97" spans="41:49" x14ac:dyDescent="0.25">
      <c r="AO97" s="37">
        <v>96</v>
      </c>
      <c r="AP97" s="64"/>
      <c r="AQ97" s="66"/>
      <c r="AR97" s="66"/>
      <c r="AS97" s="66"/>
      <c r="AT97" s="66"/>
      <c r="AU97" s="66"/>
      <c r="AV97" s="67"/>
      <c r="AW97" s="34"/>
    </row>
    <row r="98" spans="41:49" x14ac:dyDescent="0.25">
      <c r="AO98" s="28">
        <v>97</v>
      </c>
      <c r="AP98" s="64"/>
      <c r="AQ98" s="66"/>
      <c r="AR98" s="66"/>
      <c r="AS98" s="66"/>
      <c r="AT98" s="66"/>
      <c r="AU98" s="66"/>
      <c r="AV98" s="67"/>
      <c r="AW98" s="34"/>
    </row>
    <row r="99" spans="41:49" x14ac:dyDescent="0.25">
      <c r="AO99" s="37">
        <v>98</v>
      </c>
      <c r="AP99" s="64"/>
      <c r="AQ99" s="66"/>
      <c r="AR99" s="66"/>
      <c r="AS99" s="66"/>
      <c r="AT99" s="66"/>
      <c r="AU99" s="66"/>
      <c r="AV99" s="161"/>
      <c r="AW99" s="34"/>
    </row>
    <row r="100" spans="41:49" x14ac:dyDescent="0.25">
      <c r="AO100" s="37">
        <v>99</v>
      </c>
      <c r="AP100" s="64"/>
      <c r="AQ100" s="66"/>
      <c r="AR100" s="66"/>
      <c r="AS100" s="66"/>
      <c r="AT100" s="66"/>
      <c r="AU100" s="66"/>
      <c r="AV100" s="67"/>
      <c r="AW100" s="34"/>
    </row>
    <row r="101" spans="41:49" x14ac:dyDescent="0.25">
      <c r="AO101" s="28">
        <v>100</v>
      </c>
      <c r="AP101" s="64"/>
      <c r="AQ101" s="66"/>
      <c r="AR101" s="66"/>
      <c r="AS101" s="66"/>
      <c r="AT101" s="66"/>
      <c r="AU101" s="66"/>
      <c r="AV101" s="161"/>
      <c r="AW101" s="34"/>
    </row>
    <row r="102" spans="41:49" x14ac:dyDescent="0.25">
      <c r="AO102" s="37">
        <v>101</v>
      </c>
      <c r="AP102" s="64"/>
      <c r="AQ102" s="66"/>
      <c r="AR102" s="66"/>
      <c r="AS102" s="66"/>
      <c r="AT102" s="66"/>
      <c r="AU102" s="66"/>
      <c r="AV102" s="67"/>
      <c r="AW102" s="34"/>
    </row>
    <row r="103" spans="41:49" x14ac:dyDescent="0.25">
      <c r="AO103" s="37">
        <v>102</v>
      </c>
      <c r="AP103" s="64"/>
      <c r="AQ103" s="66"/>
      <c r="AR103" s="66"/>
      <c r="AS103" s="66"/>
      <c r="AT103" s="66"/>
      <c r="AU103" s="66"/>
      <c r="AV103" s="67"/>
      <c r="AW103" s="34"/>
    </row>
    <row r="104" spans="41:49" x14ac:dyDescent="0.25">
      <c r="AO104" s="28">
        <v>103</v>
      </c>
      <c r="AP104" s="64"/>
      <c r="AQ104" s="66"/>
      <c r="AR104" s="66"/>
      <c r="AS104" s="66"/>
      <c r="AT104" s="66"/>
      <c r="AU104" s="66"/>
      <c r="AV104" s="161"/>
      <c r="AW104" s="34"/>
    </row>
    <row r="105" spans="41:49" x14ac:dyDescent="0.25">
      <c r="AO105" s="37">
        <v>104</v>
      </c>
      <c r="AP105" s="64"/>
      <c r="AQ105" s="66"/>
      <c r="AR105" s="66"/>
      <c r="AS105" s="66"/>
      <c r="AT105" s="66"/>
      <c r="AU105" s="66"/>
      <c r="AV105" s="67"/>
      <c r="AW105" s="34"/>
    </row>
    <row r="106" spans="41:49" x14ac:dyDescent="0.25">
      <c r="AO106" s="37">
        <v>105</v>
      </c>
      <c r="AP106" s="64"/>
      <c r="AQ106" s="66"/>
      <c r="AR106" s="66"/>
      <c r="AS106" s="66"/>
      <c r="AT106" s="66"/>
      <c r="AU106" s="66"/>
      <c r="AV106" s="161"/>
      <c r="AW106" s="34"/>
    </row>
    <row r="107" spans="41:49" x14ac:dyDescent="0.25">
      <c r="AO107" s="28">
        <v>106</v>
      </c>
      <c r="AP107" s="64"/>
      <c r="AQ107" s="66"/>
      <c r="AR107" s="66"/>
      <c r="AS107" s="66"/>
      <c r="AT107" s="66"/>
      <c r="AU107" s="66"/>
      <c r="AV107" s="67"/>
      <c r="AW107" s="34"/>
    </row>
    <row r="108" spans="41:49" x14ac:dyDescent="0.25">
      <c r="AO108" s="37">
        <v>107</v>
      </c>
      <c r="AP108" s="162"/>
      <c r="AQ108" s="66"/>
      <c r="AR108" s="66"/>
      <c r="AS108" s="66"/>
      <c r="AT108" s="66"/>
      <c r="AU108" s="66"/>
      <c r="AV108" s="67"/>
      <c r="AW108" s="34"/>
    </row>
    <row r="109" spans="41:49" x14ac:dyDescent="0.25">
      <c r="AO109" s="37">
        <v>108</v>
      </c>
      <c r="AP109" s="162"/>
      <c r="AQ109" s="66"/>
      <c r="AR109" s="66"/>
      <c r="AS109" s="66"/>
      <c r="AT109" s="66"/>
      <c r="AU109" s="66"/>
      <c r="AV109" s="67"/>
      <c r="AW109" s="34"/>
    </row>
    <row r="110" spans="41:49" x14ac:dyDescent="0.25">
      <c r="AO110" s="28">
        <v>109</v>
      </c>
      <c r="AP110" s="162"/>
      <c r="AQ110" s="66"/>
      <c r="AR110" s="66"/>
      <c r="AS110" s="66"/>
      <c r="AT110" s="66"/>
      <c r="AU110" s="66"/>
      <c r="AV110" s="67"/>
      <c r="AW110" s="34"/>
    </row>
    <row r="111" spans="41:49" x14ac:dyDescent="0.25">
      <c r="AO111" s="37">
        <v>110</v>
      </c>
      <c r="AP111" s="162"/>
      <c r="AQ111" s="66"/>
      <c r="AR111" s="66"/>
      <c r="AS111" s="66"/>
      <c r="AT111" s="66"/>
      <c r="AU111" s="66"/>
      <c r="AV111" s="67"/>
      <c r="AW111" s="34"/>
    </row>
    <row r="112" spans="41:49" x14ac:dyDescent="0.25">
      <c r="AO112" s="37">
        <v>111</v>
      </c>
      <c r="AP112" s="162"/>
      <c r="AQ112" s="66"/>
      <c r="AR112" s="66"/>
      <c r="AS112" s="66"/>
      <c r="AT112" s="66"/>
      <c r="AU112" s="66"/>
      <c r="AV112" s="67"/>
      <c r="AW112" s="34"/>
    </row>
    <row r="113" spans="41:49" x14ac:dyDescent="0.25">
      <c r="AO113" s="28">
        <v>112</v>
      </c>
      <c r="AP113" s="162"/>
      <c r="AQ113" s="66"/>
      <c r="AR113" s="66"/>
      <c r="AS113" s="66"/>
      <c r="AT113" s="66"/>
      <c r="AU113" s="66"/>
      <c r="AV113" s="67"/>
      <c r="AW113" s="34"/>
    </row>
    <row r="114" spans="41:49" x14ac:dyDescent="0.25">
      <c r="AO114" s="37">
        <v>113</v>
      </c>
      <c r="AP114" s="64"/>
      <c r="AQ114" s="66"/>
      <c r="AR114" s="66"/>
      <c r="AS114" s="66"/>
      <c r="AT114" s="66"/>
      <c r="AU114" s="66"/>
      <c r="AV114" s="67"/>
      <c r="AW114" s="34"/>
    </row>
    <row r="115" spans="41:49" x14ac:dyDescent="0.25">
      <c r="AO115" s="37">
        <v>114</v>
      </c>
      <c r="AP115" s="64"/>
      <c r="AQ115" s="66"/>
      <c r="AR115" s="66"/>
      <c r="AS115" s="66"/>
      <c r="AT115" s="66"/>
      <c r="AU115" s="66"/>
      <c r="AV115" s="67"/>
      <c r="AW115" s="34"/>
    </row>
    <row r="116" spans="41:49" x14ac:dyDescent="0.25">
      <c r="AO116" s="28">
        <v>115</v>
      </c>
      <c r="AP116" s="64"/>
      <c r="AQ116" s="66"/>
      <c r="AR116" s="66"/>
      <c r="AS116" s="66"/>
      <c r="AT116" s="66"/>
      <c r="AU116" s="66"/>
      <c r="AV116" s="67"/>
      <c r="AW116" s="34"/>
    </row>
    <row r="117" spans="41:49" x14ac:dyDescent="0.25">
      <c r="AO117" s="37">
        <v>116</v>
      </c>
      <c r="AP117" s="64"/>
      <c r="AQ117" s="66"/>
      <c r="AR117" s="66"/>
      <c r="AS117" s="66"/>
      <c r="AT117" s="66"/>
      <c r="AU117" s="66"/>
      <c r="AV117" s="67"/>
      <c r="AW117" s="34"/>
    </row>
    <row r="118" spans="41:49" x14ac:dyDescent="0.25">
      <c r="AO118" s="37">
        <v>117</v>
      </c>
      <c r="AP118" s="64"/>
      <c r="AQ118" s="66"/>
      <c r="AR118" s="66"/>
      <c r="AS118" s="66"/>
      <c r="AT118" s="66"/>
      <c r="AU118" s="66"/>
      <c r="AV118" s="67"/>
      <c r="AW118" s="34"/>
    </row>
    <row r="119" spans="41:49" x14ac:dyDescent="0.25">
      <c r="AO119" s="28">
        <v>118</v>
      </c>
      <c r="AP119" s="64"/>
      <c r="AQ119" s="66"/>
      <c r="AR119" s="66"/>
      <c r="AS119" s="66"/>
      <c r="AT119" s="66"/>
      <c r="AU119" s="66"/>
      <c r="AV119" s="67"/>
      <c r="AW119" s="34"/>
    </row>
    <row r="120" spans="41:49" x14ac:dyDescent="0.25">
      <c r="AO120" s="37">
        <v>119</v>
      </c>
      <c r="AP120" s="64"/>
      <c r="AQ120" s="66"/>
      <c r="AR120" s="66"/>
      <c r="AS120" s="66"/>
      <c r="AT120" s="66"/>
      <c r="AU120" s="66"/>
      <c r="AV120" s="67"/>
      <c r="AW120" s="34"/>
    </row>
    <row r="121" spans="41:49" x14ac:dyDescent="0.25">
      <c r="AO121" s="37">
        <v>120</v>
      </c>
      <c r="AP121" s="64"/>
      <c r="AQ121" s="66"/>
      <c r="AR121" s="66"/>
      <c r="AS121" s="66"/>
      <c r="AT121" s="66"/>
      <c r="AU121" s="66"/>
      <c r="AV121" s="67"/>
      <c r="AW121" s="34"/>
    </row>
    <row r="122" spans="41:49" x14ac:dyDescent="0.25">
      <c r="AO122" s="28">
        <v>121</v>
      </c>
      <c r="AP122" s="64"/>
      <c r="AQ122" s="66"/>
      <c r="AR122" s="66"/>
      <c r="AS122" s="66"/>
      <c r="AT122" s="66"/>
      <c r="AU122" s="66"/>
      <c r="AV122" s="67"/>
      <c r="AW122" s="34"/>
    </row>
    <row r="123" spans="41:49" x14ac:dyDescent="0.25">
      <c r="AO123" s="37">
        <v>122</v>
      </c>
      <c r="AP123" s="64"/>
      <c r="AQ123" s="66"/>
      <c r="AR123" s="66"/>
      <c r="AS123" s="66"/>
      <c r="AT123" s="66"/>
      <c r="AU123" s="66"/>
      <c r="AV123" s="67"/>
      <c r="AW123" s="34"/>
    </row>
    <row r="124" spans="41:49" x14ac:dyDescent="0.25">
      <c r="AO124" s="37">
        <v>123</v>
      </c>
      <c r="AP124" s="64"/>
      <c r="AQ124" s="66"/>
      <c r="AR124" s="66"/>
      <c r="AS124" s="66"/>
      <c r="AT124" s="66"/>
      <c r="AU124" s="66"/>
      <c r="AV124" s="67"/>
      <c r="AW124" s="34"/>
    </row>
    <row r="125" spans="41:49" x14ac:dyDescent="0.25">
      <c r="AO125" s="28">
        <v>124</v>
      </c>
      <c r="AP125" s="64"/>
      <c r="AQ125" s="66"/>
      <c r="AR125" s="66"/>
      <c r="AS125" s="66"/>
      <c r="AT125" s="66"/>
      <c r="AU125" s="66"/>
      <c r="AV125" s="67"/>
      <c r="AW125" s="34"/>
    </row>
    <row r="126" spans="41:49" x14ac:dyDescent="0.25">
      <c r="AO126" s="37">
        <v>125</v>
      </c>
      <c r="AP126" s="64"/>
      <c r="AQ126" s="66"/>
      <c r="AR126" s="66"/>
      <c r="AS126" s="66"/>
      <c r="AT126" s="66"/>
      <c r="AU126" s="66"/>
      <c r="AV126" s="67"/>
      <c r="AW126" s="34"/>
    </row>
    <row r="127" spans="41:49" x14ac:dyDescent="0.25">
      <c r="AO127" s="37">
        <v>126</v>
      </c>
      <c r="AP127" s="64"/>
      <c r="AQ127" s="66"/>
      <c r="AR127" s="66"/>
      <c r="AS127" s="66"/>
      <c r="AT127" s="66"/>
      <c r="AU127" s="66"/>
      <c r="AV127" s="67"/>
      <c r="AW127" s="34"/>
    </row>
    <row r="128" spans="41:49" x14ac:dyDescent="0.25">
      <c r="AO128" s="28">
        <v>127</v>
      </c>
      <c r="AP128" s="64"/>
      <c r="AQ128" s="66"/>
      <c r="AR128" s="66"/>
      <c r="AS128" s="66"/>
      <c r="AT128" s="66"/>
      <c r="AU128" s="66"/>
      <c r="AV128" s="67"/>
      <c r="AW128" s="34"/>
    </row>
    <row r="129" spans="41:49" x14ac:dyDescent="0.25">
      <c r="AO129" s="37">
        <v>128</v>
      </c>
      <c r="AP129" s="64"/>
      <c r="AQ129" s="66"/>
      <c r="AR129" s="66"/>
      <c r="AS129" s="66"/>
      <c r="AT129" s="66"/>
      <c r="AU129" s="66"/>
      <c r="AV129" s="67"/>
      <c r="AW129" s="34"/>
    </row>
    <row r="130" spans="41:49" x14ac:dyDescent="0.25">
      <c r="AO130" s="37">
        <v>129</v>
      </c>
      <c r="AP130" s="64"/>
      <c r="AQ130" s="66"/>
      <c r="AR130" s="66"/>
      <c r="AS130" s="66"/>
      <c r="AT130" s="66"/>
      <c r="AU130" s="66"/>
      <c r="AV130" s="67"/>
      <c r="AW130" s="34"/>
    </row>
    <row r="131" spans="41:49" x14ac:dyDescent="0.25">
      <c r="AO131" s="28">
        <v>130</v>
      </c>
      <c r="AP131" s="64"/>
      <c r="AQ131" s="66"/>
      <c r="AR131" s="66"/>
      <c r="AS131" s="66"/>
      <c r="AT131" s="66"/>
      <c r="AU131" s="66"/>
      <c r="AV131" s="67"/>
      <c r="AW131" s="34"/>
    </row>
    <row r="132" spans="41:49" x14ac:dyDescent="0.25">
      <c r="AO132" s="37">
        <v>131</v>
      </c>
      <c r="AP132" s="64"/>
      <c r="AQ132" s="66"/>
      <c r="AR132" s="66"/>
      <c r="AS132" s="66"/>
      <c r="AT132" s="66"/>
      <c r="AU132" s="66"/>
      <c r="AV132" s="67"/>
      <c r="AW132" s="34"/>
    </row>
    <row r="133" spans="41:49" x14ac:dyDescent="0.25">
      <c r="AO133" s="37">
        <v>132</v>
      </c>
      <c r="AP133" s="64"/>
      <c r="AQ133" s="66"/>
      <c r="AR133" s="66"/>
      <c r="AS133" s="66"/>
      <c r="AT133" s="66"/>
      <c r="AU133" s="66"/>
      <c r="AV133" s="67"/>
      <c r="AW133" s="34"/>
    </row>
    <row r="134" spans="41:49" x14ac:dyDescent="0.25">
      <c r="AO134" s="28">
        <v>133</v>
      </c>
      <c r="AP134" s="64"/>
      <c r="AQ134" s="66"/>
      <c r="AR134" s="66"/>
      <c r="AS134" s="66"/>
      <c r="AT134" s="66"/>
      <c r="AU134" s="66"/>
      <c r="AV134" s="67"/>
      <c r="AW134" s="34"/>
    </row>
    <row r="135" spans="41:49" x14ac:dyDescent="0.25">
      <c r="AO135" s="37">
        <v>134</v>
      </c>
      <c r="AP135" s="64"/>
      <c r="AQ135" s="66"/>
      <c r="AR135" s="66"/>
      <c r="AS135" s="66"/>
      <c r="AT135" s="66"/>
      <c r="AU135" s="66"/>
      <c r="AV135" s="67"/>
      <c r="AW135" s="34"/>
    </row>
    <row r="136" spans="41:49" x14ac:dyDescent="0.25">
      <c r="AO136" s="37">
        <v>135</v>
      </c>
      <c r="AP136" s="64"/>
      <c r="AQ136" s="66"/>
      <c r="AR136" s="66"/>
      <c r="AS136" s="66"/>
      <c r="AT136" s="66"/>
      <c r="AU136" s="66"/>
      <c r="AV136" s="67"/>
      <c r="AW136" s="34"/>
    </row>
    <row r="137" spans="41:49" x14ac:dyDescent="0.25">
      <c r="AO137" s="28">
        <v>136</v>
      </c>
      <c r="AP137" s="64"/>
      <c r="AQ137" s="66"/>
      <c r="AR137" s="66"/>
      <c r="AS137" s="66"/>
      <c r="AT137" s="66"/>
      <c r="AU137" s="66"/>
      <c r="AV137" s="67"/>
      <c r="AW137" s="34"/>
    </row>
    <row r="138" spans="41:49" x14ac:dyDescent="0.25">
      <c r="AO138" s="37">
        <v>137</v>
      </c>
      <c r="AP138" s="64"/>
      <c r="AQ138" s="66"/>
      <c r="AR138" s="66"/>
      <c r="AS138" s="66"/>
      <c r="AT138" s="66"/>
      <c r="AU138" s="66"/>
      <c r="AV138" s="67"/>
      <c r="AW138" s="34"/>
    </row>
    <row r="139" spans="41:49" x14ac:dyDescent="0.25">
      <c r="AO139" s="37">
        <v>138</v>
      </c>
      <c r="AP139" s="64"/>
      <c r="AQ139" s="66"/>
      <c r="AR139" s="66"/>
      <c r="AS139" s="66"/>
      <c r="AT139" s="66"/>
      <c r="AU139" s="66"/>
      <c r="AV139" s="67"/>
      <c r="AW139" s="34"/>
    </row>
    <row r="140" spans="41:49" x14ac:dyDescent="0.25">
      <c r="AO140" s="28">
        <v>139</v>
      </c>
      <c r="AP140" s="64"/>
      <c r="AQ140" s="66"/>
      <c r="AR140" s="66"/>
      <c r="AS140" s="66"/>
      <c r="AT140" s="66"/>
      <c r="AU140" s="66"/>
      <c r="AV140" s="67"/>
      <c r="AW140" s="34"/>
    </row>
    <row r="141" spans="41:49" x14ac:dyDescent="0.25">
      <c r="AO141" s="37">
        <v>140</v>
      </c>
      <c r="AP141" s="64"/>
      <c r="AQ141" s="66"/>
      <c r="AR141" s="66"/>
      <c r="AS141" s="66"/>
      <c r="AT141" s="66"/>
      <c r="AU141" s="66"/>
      <c r="AV141" s="67"/>
      <c r="AW141" s="34"/>
    </row>
    <row r="142" spans="41:49" x14ac:dyDescent="0.25">
      <c r="AO142" s="37">
        <v>141</v>
      </c>
      <c r="AP142" s="64"/>
      <c r="AQ142" s="66"/>
      <c r="AR142" s="66"/>
      <c r="AS142" s="66"/>
      <c r="AT142" s="66"/>
      <c r="AU142" s="66"/>
      <c r="AV142" s="67"/>
      <c r="AW142" s="34"/>
    </row>
    <row r="143" spans="41:49" x14ac:dyDescent="0.25">
      <c r="AO143" s="28">
        <v>142</v>
      </c>
      <c r="AP143" s="64"/>
      <c r="AQ143" s="66"/>
      <c r="AR143" s="66"/>
      <c r="AS143" s="66"/>
      <c r="AT143" s="66"/>
      <c r="AU143" s="66"/>
      <c r="AV143" s="67"/>
      <c r="AW143" s="34"/>
    </row>
    <row r="144" spans="41:49" x14ac:dyDescent="0.25">
      <c r="AO144" s="37">
        <v>143</v>
      </c>
      <c r="AP144" s="64"/>
      <c r="AQ144" s="66"/>
      <c r="AR144" s="66"/>
      <c r="AS144" s="66"/>
      <c r="AT144" s="66"/>
      <c r="AU144" s="66"/>
      <c r="AV144" s="67"/>
      <c r="AW144" s="34"/>
    </row>
    <row r="145" spans="41:49" x14ac:dyDescent="0.25">
      <c r="AO145" s="37">
        <v>144</v>
      </c>
      <c r="AP145" s="64"/>
      <c r="AQ145" s="66"/>
      <c r="AR145" s="66"/>
      <c r="AS145" s="66"/>
      <c r="AT145" s="66"/>
      <c r="AU145" s="66"/>
      <c r="AV145" s="67"/>
      <c r="AW145" s="34"/>
    </row>
    <row r="146" spans="41:49" x14ac:dyDescent="0.25">
      <c r="AO146" s="28">
        <v>145</v>
      </c>
      <c r="AP146" s="64"/>
      <c r="AQ146" s="66"/>
      <c r="AR146" s="66"/>
      <c r="AS146" s="66"/>
      <c r="AT146" s="66"/>
      <c r="AU146" s="66"/>
      <c r="AV146" s="67"/>
      <c r="AW146" s="34"/>
    </row>
    <row r="147" spans="41:49" x14ac:dyDescent="0.25">
      <c r="AO147" s="37">
        <v>146</v>
      </c>
      <c r="AP147" s="64"/>
      <c r="AQ147" s="66"/>
      <c r="AR147" s="66"/>
      <c r="AS147" s="66"/>
      <c r="AT147" s="66"/>
      <c r="AU147" s="66"/>
      <c r="AV147" s="67"/>
      <c r="AW147" s="34"/>
    </row>
    <row r="148" spans="41:49" x14ac:dyDescent="0.25">
      <c r="AO148" s="37">
        <v>147</v>
      </c>
      <c r="AP148" s="64"/>
      <c r="AQ148" s="66"/>
      <c r="AR148" s="66"/>
      <c r="AS148" s="66"/>
      <c r="AT148" s="66"/>
      <c r="AU148" s="66"/>
      <c r="AV148" s="67"/>
      <c r="AW148" s="34"/>
    </row>
    <row r="149" spans="41:49" x14ac:dyDescent="0.25">
      <c r="AO149" s="28">
        <v>148</v>
      </c>
      <c r="AP149" s="64"/>
      <c r="AQ149" s="66"/>
      <c r="AR149" s="66"/>
      <c r="AS149" s="66"/>
      <c r="AT149" s="66"/>
      <c r="AU149" s="66"/>
      <c r="AV149" s="67"/>
      <c r="AW149" s="34"/>
    </row>
    <row r="150" spans="41:49" x14ac:dyDescent="0.25">
      <c r="AO150" s="37">
        <v>149</v>
      </c>
      <c r="AP150" s="64"/>
      <c r="AQ150" s="66"/>
      <c r="AR150" s="66"/>
      <c r="AS150" s="66"/>
      <c r="AT150" s="66"/>
      <c r="AU150" s="66"/>
      <c r="AV150" s="67"/>
      <c r="AW150" s="34"/>
    </row>
    <row r="151" spans="41:49" x14ac:dyDescent="0.25">
      <c r="AO151" s="37">
        <v>150</v>
      </c>
      <c r="AP151" s="64"/>
      <c r="AQ151" s="66"/>
      <c r="AR151" s="66"/>
      <c r="AS151" s="66"/>
      <c r="AT151" s="66"/>
      <c r="AU151" s="66"/>
      <c r="AV151" s="67"/>
      <c r="AW151" s="34"/>
    </row>
    <row r="152" spans="41:49" x14ac:dyDescent="0.25">
      <c r="AO152" s="28">
        <v>151</v>
      </c>
      <c r="AP152" s="64"/>
      <c r="AQ152" s="66"/>
      <c r="AR152" s="66"/>
      <c r="AS152" s="66"/>
      <c r="AT152" s="66"/>
      <c r="AU152" s="66"/>
      <c r="AV152" s="67"/>
      <c r="AW152" s="34"/>
    </row>
    <row r="153" spans="41:49" x14ac:dyDescent="0.25">
      <c r="AO153" s="37">
        <v>152</v>
      </c>
      <c r="AP153" s="64"/>
      <c r="AQ153" s="66"/>
      <c r="AR153" s="66"/>
      <c r="AS153" s="66"/>
      <c r="AT153" s="66"/>
      <c r="AU153" s="66"/>
      <c r="AV153" s="67"/>
      <c r="AW153" s="34"/>
    </row>
    <row r="154" spans="41:49" x14ac:dyDescent="0.25">
      <c r="AO154" s="37">
        <v>153</v>
      </c>
      <c r="AP154" s="64"/>
      <c r="AQ154" s="66"/>
      <c r="AR154" s="66"/>
      <c r="AS154" s="66"/>
      <c r="AT154" s="66"/>
      <c r="AU154" s="66"/>
      <c r="AV154" s="67"/>
      <c r="AW154" s="34"/>
    </row>
    <row r="155" spans="41:49" x14ac:dyDescent="0.25">
      <c r="AO155" s="28">
        <v>154</v>
      </c>
      <c r="AP155" s="64"/>
      <c r="AQ155" s="66"/>
      <c r="AR155" s="66"/>
      <c r="AS155" s="66"/>
      <c r="AT155" s="66"/>
      <c r="AU155" s="66"/>
      <c r="AV155" s="67"/>
      <c r="AW155" s="34"/>
    </row>
    <row r="156" spans="41:49" x14ac:dyDescent="0.25">
      <c r="AO156" s="37">
        <v>155</v>
      </c>
      <c r="AP156" s="64"/>
      <c r="AQ156" s="66"/>
      <c r="AR156" s="66"/>
      <c r="AS156" s="66"/>
      <c r="AT156" s="66"/>
      <c r="AU156" s="66"/>
      <c r="AV156" s="67"/>
      <c r="AW156" s="34"/>
    </row>
    <row r="157" spans="41:49" x14ac:dyDescent="0.25">
      <c r="AO157" s="37">
        <v>156</v>
      </c>
      <c r="AP157" s="64"/>
      <c r="AQ157" s="66"/>
      <c r="AR157" s="66"/>
      <c r="AS157" s="66"/>
      <c r="AT157" s="66"/>
      <c r="AU157" s="66"/>
      <c r="AV157" s="67"/>
      <c r="AW157" s="34"/>
    </row>
    <row r="158" spans="41:49" x14ac:dyDescent="0.25">
      <c r="AO158" s="28">
        <v>157</v>
      </c>
      <c r="AP158" s="64"/>
      <c r="AQ158" s="66"/>
      <c r="AR158" s="66"/>
      <c r="AS158" s="66"/>
      <c r="AT158" s="66"/>
      <c r="AU158" s="66"/>
      <c r="AV158" s="67"/>
      <c r="AW158" s="34"/>
    </row>
    <row r="159" spans="41:49" x14ac:dyDescent="0.25">
      <c r="AO159" s="37">
        <v>158</v>
      </c>
      <c r="AP159" s="64"/>
      <c r="AQ159" s="66"/>
      <c r="AR159" s="66"/>
      <c r="AS159" s="66"/>
      <c r="AT159" s="66"/>
      <c r="AU159" s="66"/>
      <c r="AV159" s="67"/>
      <c r="AW159" s="34"/>
    </row>
    <row r="160" spans="41:49" x14ac:dyDescent="0.25">
      <c r="AO160" s="37">
        <v>159</v>
      </c>
      <c r="AP160" s="64"/>
      <c r="AQ160" s="66"/>
      <c r="AR160" s="66"/>
      <c r="AS160" s="66"/>
      <c r="AT160" s="66"/>
      <c r="AU160" s="66"/>
      <c r="AV160" s="67"/>
      <c r="AW160" s="34"/>
    </row>
    <row r="161" spans="41:49" x14ac:dyDescent="0.25">
      <c r="AO161" s="28">
        <v>160</v>
      </c>
      <c r="AP161" s="64"/>
      <c r="AQ161" s="66"/>
      <c r="AR161" s="66"/>
      <c r="AS161" s="66"/>
      <c r="AT161" s="66"/>
      <c r="AU161" s="66"/>
      <c r="AV161" s="67"/>
      <c r="AW161" s="34"/>
    </row>
    <row r="162" spans="41:49" x14ac:dyDescent="0.25">
      <c r="AO162" s="37">
        <v>161</v>
      </c>
      <c r="AP162" s="64"/>
      <c r="AQ162" s="66"/>
      <c r="AR162" s="66"/>
      <c r="AS162" s="66"/>
      <c r="AT162" s="66"/>
      <c r="AU162" s="66"/>
      <c r="AV162" s="67"/>
      <c r="AW162" s="34"/>
    </row>
    <row r="163" spans="41:49" x14ac:dyDescent="0.25">
      <c r="AO163" s="37">
        <v>162</v>
      </c>
      <c r="AP163" s="64"/>
      <c r="AQ163" s="66"/>
      <c r="AR163" s="66"/>
      <c r="AS163" s="66"/>
      <c r="AT163" s="66"/>
      <c r="AU163" s="66"/>
      <c r="AV163" s="67"/>
      <c r="AW163" s="34"/>
    </row>
    <row r="164" spans="41:49" x14ac:dyDescent="0.25">
      <c r="AO164" s="28">
        <v>163</v>
      </c>
      <c r="AP164" s="64"/>
      <c r="AQ164" s="66"/>
      <c r="AR164" s="66"/>
      <c r="AS164" s="66"/>
      <c r="AT164" s="66"/>
      <c r="AU164" s="66"/>
      <c r="AV164" s="67"/>
      <c r="AW164" s="34"/>
    </row>
    <row r="165" spans="41:49" x14ac:dyDescent="0.25">
      <c r="AO165" s="37">
        <v>164</v>
      </c>
      <c r="AP165" s="64"/>
      <c r="AQ165" s="66"/>
      <c r="AR165" s="66"/>
      <c r="AS165" s="66"/>
      <c r="AT165" s="66"/>
      <c r="AU165" s="66"/>
      <c r="AV165" s="67"/>
      <c r="AW165" s="34"/>
    </row>
    <row r="166" spans="41:49" x14ac:dyDescent="0.25">
      <c r="AO166" s="37">
        <v>165</v>
      </c>
      <c r="AP166" s="64"/>
      <c r="AQ166" s="66"/>
      <c r="AR166" s="66"/>
      <c r="AS166" s="66"/>
      <c r="AT166" s="66"/>
      <c r="AU166" s="66"/>
      <c r="AV166" s="67"/>
      <c r="AW166" s="34"/>
    </row>
    <row r="167" spans="41:49" x14ac:dyDescent="0.25">
      <c r="AO167" s="28">
        <v>166</v>
      </c>
      <c r="AP167" s="64"/>
      <c r="AQ167" s="66"/>
      <c r="AR167" s="66"/>
      <c r="AS167" s="66"/>
      <c r="AT167" s="66"/>
      <c r="AU167" s="66"/>
      <c r="AV167" s="67"/>
      <c r="AW167" s="34"/>
    </row>
    <row r="168" spans="41:49" x14ac:dyDescent="0.25">
      <c r="AO168" s="37">
        <v>167</v>
      </c>
      <c r="AP168" s="64"/>
      <c r="AQ168" s="66"/>
      <c r="AR168" s="66"/>
      <c r="AS168" s="66"/>
      <c r="AT168" s="66"/>
      <c r="AU168" s="66"/>
      <c r="AV168" s="67"/>
      <c r="AW168" s="34"/>
    </row>
    <row r="169" spans="41:49" x14ac:dyDescent="0.25">
      <c r="AO169" s="37">
        <v>168</v>
      </c>
      <c r="AP169" s="64"/>
      <c r="AQ169" s="66"/>
      <c r="AR169" s="66"/>
      <c r="AS169" s="66"/>
      <c r="AT169" s="66"/>
      <c r="AU169" s="66"/>
      <c r="AV169" s="67"/>
      <c r="AW169" s="34"/>
    </row>
    <row r="170" spans="41:49" x14ac:dyDescent="0.25">
      <c r="AO170" s="28">
        <v>169</v>
      </c>
      <c r="AP170" s="64"/>
      <c r="AQ170" s="66"/>
      <c r="AR170" s="66"/>
      <c r="AS170" s="66"/>
      <c r="AT170" s="66"/>
      <c r="AU170" s="66"/>
      <c r="AV170" s="67"/>
      <c r="AW170" s="34"/>
    </row>
    <row r="171" spans="41:49" x14ac:dyDescent="0.25">
      <c r="AO171" s="37">
        <v>170</v>
      </c>
      <c r="AP171" s="64"/>
      <c r="AQ171" s="66"/>
      <c r="AR171" s="66"/>
      <c r="AS171" s="66"/>
      <c r="AT171" s="66"/>
      <c r="AU171" s="66"/>
      <c r="AV171" s="67"/>
      <c r="AW171" s="34"/>
    </row>
    <row r="172" spans="41:49" x14ac:dyDescent="0.25">
      <c r="AO172" s="37">
        <v>171</v>
      </c>
      <c r="AP172" s="64"/>
      <c r="AQ172" s="66"/>
      <c r="AR172" s="66"/>
      <c r="AS172" s="66"/>
      <c r="AT172" s="66"/>
      <c r="AU172" s="66"/>
      <c r="AV172" s="67"/>
      <c r="AW172" s="34"/>
    </row>
    <row r="173" spans="41:49" x14ac:dyDescent="0.25">
      <c r="AO173" s="28">
        <v>172</v>
      </c>
      <c r="AP173" s="64"/>
      <c r="AQ173" s="66"/>
      <c r="AR173" s="66"/>
      <c r="AS173" s="66"/>
      <c r="AT173" s="66"/>
      <c r="AU173" s="66"/>
      <c r="AV173" s="67"/>
      <c r="AW173" s="34"/>
    </row>
    <row r="174" spans="41:49" x14ac:dyDescent="0.25">
      <c r="AO174" s="37">
        <v>173</v>
      </c>
      <c r="AP174" s="64"/>
      <c r="AQ174" s="66"/>
      <c r="AR174" s="66"/>
      <c r="AS174" s="66"/>
      <c r="AT174" s="66"/>
      <c r="AU174" s="66"/>
      <c r="AV174" s="67"/>
      <c r="AW174" s="34"/>
    </row>
    <row r="175" spans="41:49" x14ac:dyDescent="0.25">
      <c r="AO175" s="37">
        <v>174</v>
      </c>
      <c r="AP175" s="64"/>
      <c r="AQ175" s="66"/>
      <c r="AR175" s="66"/>
      <c r="AS175" s="66"/>
      <c r="AT175" s="66"/>
      <c r="AU175" s="66"/>
      <c r="AV175" s="67"/>
      <c r="AW175" s="34"/>
    </row>
    <row r="176" spans="41:49" x14ac:dyDescent="0.25">
      <c r="AO176" s="28">
        <v>175</v>
      </c>
      <c r="AP176" s="64"/>
      <c r="AQ176" s="66"/>
      <c r="AR176" s="66"/>
      <c r="AS176" s="66"/>
      <c r="AT176" s="66"/>
      <c r="AU176" s="66"/>
      <c r="AV176" s="67"/>
      <c r="AW176" s="34"/>
    </row>
    <row r="177" spans="41:49" x14ac:dyDescent="0.25">
      <c r="AO177" s="37">
        <v>176</v>
      </c>
      <c r="AP177" s="64"/>
      <c r="AQ177" s="66"/>
      <c r="AR177" s="66"/>
      <c r="AS177" s="66"/>
      <c r="AT177" s="66"/>
      <c r="AU177" s="66"/>
      <c r="AV177" s="67"/>
      <c r="AW177" s="34"/>
    </row>
    <row r="178" spans="41:49" x14ac:dyDescent="0.25">
      <c r="AO178" s="37">
        <v>177</v>
      </c>
      <c r="AP178" s="64"/>
      <c r="AQ178" s="66"/>
      <c r="AR178" s="66"/>
      <c r="AS178" s="66"/>
      <c r="AT178" s="66"/>
      <c r="AU178" s="66"/>
      <c r="AV178" s="67"/>
      <c r="AW178" s="34"/>
    </row>
    <row r="179" spans="41:49" x14ac:dyDescent="0.25">
      <c r="AO179" s="28">
        <v>178</v>
      </c>
      <c r="AP179" s="64"/>
      <c r="AQ179" s="66"/>
      <c r="AR179" s="66"/>
      <c r="AS179" s="66"/>
      <c r="AT179" s="66"/>
      <c r="AU179" s="66"/>
      <c r="AV179" s="67"/>
      <c r="AW179" s="34"/>
    </row>
    <row r="180" spans="41:49" x14ac:dyDescent="0.25">
      <c r="AO180" s="37">
        <v>179</v>
      </c>
      <c r="AP180" s="64"/>
      <c r="AQ180" s="66"/>
      <c r="AR180" s="66"/>
      <c r="AS180" s="66"/>
      <c r="AT180" s="66"/>
      <c r="AU180" s="66"/>
      <c r="AV180" s="67"/>
      <c r="AW180" s="34"/>
    </row>
    <row r="181" spans="41:49" x14ac:dyDescent="0.25">
      <c r="AO181" s="37">
        <v>180</v>
      </c>
      <c r="AP181" s="64"/>
      <c r="AQ181" s="66"/>
      <c r="AR181" s="66"/>
      <c r="AS181" s="66"/>
      <c r="AT181" s="66"/>
      <c r="AU181" s="66"/>
      <c r="AV181" s="67"/>
      <c r="AW181" s="34"/>
    </row>
    <row r="182" spans="41:49" x14ac:dyDescent="0.25">
      <c r="AO182" s="28">
        <v>181</v>
      </c>
      <c r="AP182" s="64"/>
      <c r="AQ182" s="66"/>
      <c r="AR182" s="66"/>
      <c r="AS182" s="66"/>
      <c r="AT182" s="66"/>
      <c r="AU182" s="66"/>
      <c r="AV182" s="67"/>
      <c r="AW182" s="34"/>
    </row>
    <row r="183" spans="41:49" x14ac:dyDescent="0.25">
      <c r="AO183" s="37">
        <v>182</v>
      </c>
      <c r="AP183" s="64"/>
      <c r="AQ183" s="66"/>
      <c r="AR183" s="66"/>
      <c r="AS183" s="66"/>
      <c r="AT183" s="66"/>
      <c r="AU183" s="66"/>
      <c r="AV183" s="67"/>
      <c r="AW183" s="34"/>
    </row>
    <row r="184" spans="41:49" x14ac:dyDescent="0.25">
      <c r="AO184" s="37">
        <v>183</v>
      </c>
      <c r="AP184" s="64"/>
      <c r="AQ184" s="66"/>
      <c r="AR184" s="66"/>
      <c r="AS184" s="66"/>
      <c r="AT184" s="66"/>
      <c r="AU184" s="66"/>
      <c r="AV184" s="67"/>
      <c r="AW184" s="34"/>
    </row>
    <row r="185" spans="41:49" x14ac:dyDescent="0.25">
      <c r="AO185" s="28">
        <v>184</v>
      </c>
      <c r="AP185" s="64"/>
      <c r="AQ185" s="66"/>
      <c r="AR185" s="66"/>
      <c r="AS185" s="66"/>
      <c r="AT185" s="66"/>
      <c r="AU185" s="66"/>
      <c r="AV185" s="67"/>
      <c r="AW185" s="34"/>
    </row>
    <row r="186" spans="41:49" x14ac:dyDescent="0.25">
      <c r="AO186" s="37">
        <v>185</v>
      </c>
      <c r="AP186" s="64"/>
      <c r="AQ186" s="66"/>
      <c r="AR186" s="66"/>
      <c r="AS186" s="66"/>
      <c r="AT186" s="66"/>
      <c r="AU186" s="66"/>
      <c r="AV186" s="67"/>
      <c r="AW186" s="34"/>
    </row>
    <row r="187" spans="41:49" x14ac:dyDescent="0.25">
      <c r="AO187" s="37">
        <v>186</v>
      </c>
      <c r="AP187" s="64"/>
      <c r="AQ187" s="66"/>
      <c r="AR187" s="66"/>
      <c r="AS187" s="66"/>
      <c r="AT187" s="66"/>
      <c r="AU187" s="66"/>
      <c r="AV187" s="67"/>
      <c r="AW187" s="34"/>
    </row>
    <row r="188" spans="41:49" x14ac:dyDescent="0.25">
      <c r="AO188" s="28">
        <v>187</v>
      </c>
      <c r="AP188" s="64"/>
      <c r="AQ188" s="66"/>
      <c r="AR188" s="66"/>
      <c r="AS188" s="66"/>
      <c r="AT188" s="66"/>
      <c r="AU188" s="66"/>
      <c r="AV188" s="67"/>
      <c r="AW188" s="34"/>
    </row>
    <row r="189" spans="41:49" x14ac:dyDescent="0.25">
      <c r="AO189" s="37">
        <v>188</v>
      </c>
      <c r="AP189" s="64"/>
      <c r="AQ189" s="66"/>
      <c r="AR189" s="66"/>
      <c r="AS189" s="66"/>
      <c r="AT189" s="66"/>
      <c r="AU189" s="66"/>
      <c r="AV189" s="67"/>
      <c r="AW189" s="34"/>
    </row>
    <row r="190" spans="41:49" x14ac:dyDescent="0.25">
      <c r="AO190" s="37">
        <v>189</v>
      </c>
      <c r="AP190" s="64"/>
      <c r="AQ190" s="66"/>
      <c r="AR190" s="66"/>
      <c r="AS190" s="66"/>
      <c r="AT190" s="66"/>
      <c r="AU190" s="66"/>
      <c r="AV190" s="67"/>
      <c r="AW190" s="34"/>
    </row>
    <row r="191" spans="41:49" x14ac:dyDescent="0.25">
      <c r="AO191" s="28">
        <v>190</v>
      </c>
      <c r="AP191" s="64"/>
      <c r="AQ191" s="66"/>
      <c r="AR191" s="66"/>
      <c r="AS191" s="66"/>
      <c r="AT191" s="66"/>
      <c r="AU191" s="66"/>
      <c r="AV191" s="67"/>
      <c r="AW191" s="34"/>
    </row>
    <row r="192" spans="41:49" x14ac:dyDescent="0.25">
      <c r="AO192" s="37">
        <v>191</v>
      </c>
      <c r="AP192" s="64"/>
      <c r="AQ192" s="66"/>
      <c r="AR192" s="66"/>
      <c r="AS192" s="66"/>
      <c r="AT192" s="66"/>
      <c r="AU192" s="66"/>
      <c r="AV192" s="67"/>
      <c r="AW192" s="34"/>
    </row>
    <row r="193" spans="41:49" x14ac:dyDescent="0.25">
      <c r="AO193" s="37">
        <v>192</v>
      </c>
      <c r="AP193" s="64"/>
      <c r="AQ193" s="66"/>
      <c r="AR193" s="66"/>
      <c r="AS193" s="66"/>
      <c r="AT193" s="66"/>
      <c r="AU193" s="66"/>
      <c r="AV193" s="67"/>
      <c r="AW193" s="34"/>
    </row>
    <row r="194" spans="41:49" x14ac:dyDescent="0.25">
      <c r="AO194" s="28">
        <v>193</v>
      </c>
      <c r="AP194" s="64"/>
      <c r="AQ194" s="66"/>
      <c r="AR194" s="66"/>
      <c r="AS194" s="66"/>
      <c r="AT194" s="66"/>
      <c r="AU194" s="66"/>
      <c r="AV194" s="67"/>
      <c r="AW194" s="34"/>
    </row>
    <row r="195" spans="41:49" x14ac:dyDescent="0.25">
      <c r="AO195" s="37">
        <v>194</v>
      </c>
      <c r="AP195" s="64"/>
      <c r="AQ195" s="66"/>
      <c r="AR195" s="66"/>
      <c r="AS195" s="66"/>
      <c r="AT195" s="66"/>
      <c r="AU195" s="66"/>
      <c r="AV195" s="67"/>
      <c r="AW195" s="34"/>
    </row>
    <row r="196" spans="41:49" x14ac:dyDescent="0.25">
      <c r="AO196" s="37">
        <v>195</v>
      </c>
      <c r="AP196" s="64"/>
      <c r="AQ196" s="66"/>
      <c r="AR196" s="66"/>
      <c r="AS196" s="66"/>
      <c r="AT196" s="66"/>
      <c r="AU196" s="66"/>
      <c r="AV196" s="67"/>
      <c r="AW196" s="34"/>
    </row>
    <row r="197" spans="41:49" ht="15.75" thickBot="1" x14ac:dyDescent="0.3">
      <c r="AO197" s="28">
        <v>196</v>
      </c>
      <c r="AP197" s="163"/>
      <c r="AQ197" s="164"/>
      <c r="AR197" s="164"/>
      <c r="AS197" s="164"/>
      <c r="AT197" s="164"/>
      <c r="AU197" s="164"/>
      <c r="AV197" s="165"/>
      <c r="AW197" s="34"/>
    </row>
    <row r="1048555" spans="41:41" x14ac:dyDescent="0.25">
      <c r="AO1048555" t="s">
        <v>201</v>
      </c>
    </row>
    <row r="1048556" spans="41:41" x14ac:dyDescent="0.25">
      <c r="AO1048556" t="s">
        <v>202</v>
      </c>
    </row>
  </sheetData>
  <autoFilter ref="AO3:AV197">
    <sortState ref="AO4:AV201">
      <sortCondition ref="AO3:AO201"/>
    </sortState>
  </autoFilter>
  <mergeCells count="64">
    <mergeCell ref="B84:H84"/>
    <mergeCell ref="M84:P84"/>
    <mergeCell ref="B74:C74"/>
    <mergeCell ref="D74:F74"/>
    <mergeCell ref="H74:I74"/>
    <mergeCell ref="J74:K74"/>
    <mergeCell ref="M74:P74"/>
    <mergeCell ref="B83:C83"/>
    <mergeCell ref="D83:F83"/>
    <mergeCell ref="H83:I83"/>
    <mergeCell ref="J83:K83"/>
    <mergeCell ref="R48:S48"/>
    <mergeCell ref="B63:C63"/>
    <mergeCell ref="D63:F63"/>
    <mergeCell ref="H63:I63"/>
    <mergeCell ref="J63:K63"/>
    <mergeCell ref="B64:H64"/>
    <mergeCell ref="O44:P44"/>
    <mergeCell ref="B48:C48"/>
    <mergeCell ref="E48:F48"/>
    <mergeCell ref="G48:H48"/>
    <mergeCell ref="J48:K48"/>
    <mergeCell ref="L48:N48"/>
    <mergeCell ref="P48:Q48"/>
    <mergeCell ref="B36:M36"/>
    <mergeCell ref="B44:C44"/>
    <mergeCell ref="E44:F44"/>
    <mergeCell ref="G44:H44"/>
    <mergeCell ref="J44:K44"/>
    <mergeCell ref="M44:N44"/>
    <mergeCell ref="B26:H26"/>
    <mergeCell ref="J26:P26"/>
    <mergeCell ref="B35:C35"/>
    <mergeCell ref="D35:F35"/>
    <mergeCell ref="H35:I35"/>
    <mergeCell ref="J35:K35"/>
    <mergeCell ref="U19:X19"/>
    <mergeCell ref="B25:C25"/>
    <mergeCell ref="E25:F25"/>
    <mergeCell ref="G25:H25"/>
    <mergeCell ref="J25:K25"/>
    <mergeCell ref="M25:N25"/>
    <mergeCell ref="O25:P25"/>
    <mergeCell ref="B13:C13"/>
    <mergeCell ref="D13:F13"/>
    <mergeCell ref="H13:I13"/>
    <mergeCell ref="J13:K13"/>
    <mergeCell ref="B14:S14"/>
    <mergeCell ref="B19:H19"/>
    <mergeCell ref="J19:P19"/>
    <mergeCell ref="T2:U2"/>
    <mergeCell ref="V2:W2"/>
    <mergeCell ref="AP2:AV2"/>
    <mergeCell ref="B3:K3"/>
    <mergeCell ref="N3:W3"/>
    <mergeCell ref="N11:O11"/>
    <mergeCell ref="P11:R11"/>
    <mergeCell ref="U11:X11"/>
    <mergeCell ref="B2:C2"/>
    <mergeCell ref="D2:F2"/>
    <mergeCell ref="H2:I2"/>
    <mergeCell ref="J2:K2"/>
    <mergeCell ref="N2:O2"/>
    <mergeCell ref="P2:R2"/>
  </mergeCells>
  <conditionalFormatting sqref="J10:K11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{F6DC4A14-F7BA-4C0B-BEB7-09A302E36BED}</x14:id>
        </ext>
      </extLst>
    </cfRule>
  </conditionalFormatting>
  <conditionalFormatting sqref="U11:X13 U16 U15:X15 U1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{828A3025-1454-427D-B142-4EFB2900AF16}</x14:id>
        </ext>
      </extLst>
    </cfRule>
  </conditionalFormatting>
  <conditionalFormatting sqref="U20:X2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{FE91100E-B150-4623-9684-56DA540B336D}</x14:id>
        </ext>
      </extLst>
    </cfRule>
  </conditionalFormatting>
  <conditionalFormatting sqref="U22:X22 U19 U24:U25">
    <cfRule type="dataBar" priority="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{8AC560B6-F505-4D62-99E4-7CAD6C078389}</x14:id>
        </ext>
      </extLst>
    </cfRule>
  </conditionalFormatting>
  <conditionalFormatting sqref="U23:X2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{F9761E91-5C2C-41AA-9163-8880919E6EA2}</x14:id>
        </ext>
      </extLst>
    </cfRule>
  </conditionalFormatting>
  <conditionalFormatting sqref="V14:X14">
    <cfRule type="dataBar" priority="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{0E087338-1F53-4F07-84FE-3A25403C4F5D}</x14:id>
        </ext>
      </extLst>
    </cfRule>
  </conditionalFormatting>
  <conditionalFormatting sqref="V16:X16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{D570F502-F521-41F7-A5CF-76784D916322}</x14:id>
        </ext>
      </extLst>
    </cfRule>
  </conditionalFormatting>
  <conditionalFormatting sqref="V24:X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{015C605F-ACB7-407A-8752-AD7BA595C56F}</x14:id>
        </ext>
      </extLst>
    </cfRule>
  </conditionalFormatting>
  <conditionalFormatting sqref="V25:X25">
    <cfRule type="dataBar" priority="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{C9B47F20-131C-4ED8-B88E-E969D32C8BD9}</x14:id>
        </ext>
      </extLst>
    </cfRule>
  </conditionalFormatting>
  <conditionalFormatting sqref="V27:X30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{29A5F037-686F-4F58-9664-3C6EDC946202}</x14:id>
        </ext>
      </extLst>
    </cfRule>
  </conditionalFormatting>
  <conditionalFormatting sqref="V32:X35">
    <cfRule type="dataBar" priority="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{E3F6B110-3EBE-41D9-B425-10F125240DB9}</x14:id>
        </ext>
      </extLst>
    </cfRule>
  </conditionalFormatting>
  <conditionalFormatting sqref="AP20">
    <cfRule type="duplicateValues" dxfId="36" priority="46"/>
  </conditionalFormatting>
  <conditionalFormatting sqref="AP28">
    <cfRule type="duplicateValues" dxfId="35" priority="44"/>
  </conditionalFormatting>
  <conditionalFormatting sqref="AP29">
    <cfRule type="duplicateValues" dxfId="34" priority="45"/>
  </conditionalFormatting>
  <conditionalFormatting sqref="AP199:AP1048576 AO198 AP47:AP55 AP1:AP44 AP75:AP197">
    <cfRule type="duplicateValues" dxfId="33" priority="52"/>
  </conditionalFormatting>
  <conditionalFormatting sqref="AP199:AP1048576 AO198 AP1:AP27 AP47:AP55 AP30:AP44 AP75:AP197">
    <cfRule type="duplicateValues" dxfId="32" priority="53"/>
  </conditionalFormatting>
  <conditionalFormatting sqref="AP45">
    <cfRule type="duplicateValues" dxfId="31" priority="34"/>
  </conditionalFormatting>
  <conditionalFormatting sqref="AP45">
    <cfRule type="duplicateValues" dxfId="30" priority="35"/>
  </conditionalFormatting>
  <conditionalFormatting sqref="AP45">
    <cfRule type="duplicateValues" dxfId="29" priority="36"/>
  </conditionalFormatting>
  <conditionalFormatting sqref="AP45">
    <cfRule type="duplicateValues" dxfId="28" priority="37"/>
  </conditionalFormatting>
  <conditionalFormatting sqref="AP46">
    <cfRule type="duplicateValues" dxfId="27" priority="30"/>
  </conditionalFormatting>
  <conditionalFormatting sqref="AP46">
    <cfRule type="duplicateValues" dxfId="26" priority="31"/>
  </conditionalFormatting>
  <conditionalFormatting sqref="AP46">
    <cfRule type="duplicateValues" dxfId="25" priority="32"/>
  </conditionalFormatting>
  <conditionalFormatting sqref="AP46">
    <cfRule type="duplicateValues" dxfId="24" priority="33"/>
  </conditionalFormatting>
  <conditionalFormatting sqref="AP56">
    <cfRule type="duplicateValues" dxfId="23" priority="26"/>
  </conditionalFormatting>
  <conditionalFormatting sqref="AP56">
    <cfRule type="duplicateValues" dxfId="22" priority="27"/>
  </conditionalFormatting>
  <conditionalFormatting sqref="AP56">
    <cfRule type="duplicateValues" dxfId="21" priority="28"/>
  </conditionalFormatting>
  <conditionalFormatting sqref="AP56">
    <cfRule type="duplicateValues" dxfId="20" priority="29"/>
  </conditionalFormatting>
  <conditionalFormatting sqref="AP57">
    <cfRule type="duplicateValues" dxfId="19" priority="22"/>
  </conditionalFormatting>
  <conditionalFormatting sqref="AP57">
    <cfRule type="duplicateValues" dxfId="18" priority="23"/>
  </conditionalFormatting>
  <conditionalFormatting sqref="AP57">
    <cfRule type="duplicateValues" dxfId="17" priority="24"/>
  </conditionalFormatting>
  <conditionalFormatting sqref="AP57">
    <cfRule type="duplicateValues" dxfId="16" priority="25"/>
  </conditionalFormatting>
  <conditionalFormatting sqref="AP58">
    <cfRule type="duplicateValues" dxfId="15" priority="18"/>
  </conditionalFormatting>
  <conditionalFormatting sqref="AP58">
    <cfRule type="duplicateValues" dxfId="14" priority="19"/>
  </conditionalFormatting>
  <conditionalFormatting sqref="AP58">
    <cfRule type="duplicateValues" dxfId="13" priority="20"/>
  </conditionalFormatting>
  <conditionalFormatting sqref="AP58">
    <cfRule type="duplicateValues" dxfId="12" priority="21"/>
  </conditionalFormatting>
  <conditionalFormatting sqref="AP59">
    <cfRule type="duplicateValues" dxfId="11" priority="14"/>
  </conditionalFormatting>
  <conditionalFormatting sqref="AP59">
    <cfRule type="duplicateValues" dxfId="10" priority="15"/>
  </conditionalFormatting>
  <conditionalFormatting sqref="AP59">
    <cfRule type="duplicateValues" dxfId="9" priority="16"/>
  </conditionalFormatting>
  <conditionalFormatting sqref="AP59">
    <cfRule type="duplicateValues" dxfId="8" priority="17"/>
  </conditionalFormatting>
  <conditionalFormatting sqref="M74:P75 M79 M77:P77 M7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{15DA63D2-9A7F-456D-ACF0-BED799051E33}</x14:id>
        </ext>
      </extLst>
    </cfRule>
  </conditionalFormatting>
  <conditionalFormatting sqref="M78:P7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{29548018-ED4E-40DC-854E-488C26EB6290}</x14:id>
        </ext>
      </extLst>
    </cfRule>
  </conditionalFormatting>
  <conditionalFormatting sqref="N76:P7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{E03D8BCE-31D2-45E4-A270-51980F5FB785}</x14:id>
        </ext>
      </extLst>
    </cfRule>
  </conditionalFormatting>
  <conditionalFormatting sqref="N79:P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{86643BF3-C823-462E-993C-58067162BA1D}</x14:id>
        </ext>
      </extLst>
    </cfRule>
  </conditionalFormatting>
  <conditionalFormatting sqref="AP70 AP73:AP74">
    <cfRule type="duplicateValues" dxfId="7" priority="6"/>
  </conditionalFormatting>
  <conditionalFormatting sqref="AP70">
    <cfRule type="duplicateValues" dxfId="6" priority="7"/>
  </conditionalFormatting>
  <conditionalFormatting sqref="AP70">
    <cfRule type="duplicateValues" dxfId="5" priority="8"/>
  </conditionalFormatting>
  <conditionalFormatting sqref="AP70">
    <cfRule type="duplicateValues" dxfId="4" priority="9"/>
  </conditionalFormatting>
  <conditionalFormatting sqref="M84:P86 M90 M88:P88 M8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{A9CC1DCC-1905-4D4D-8CB0-CEE5E49F65B6}</x14:id>
        </ext>
      </extLst>
    </cfRule>
  </conditionalFormatting>
  <conditionalFormatting sqref="M89:P8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{9C3452C3-81D8-4C78-BBF9-38F3FC5A8AE8}</x14:id>
        </ext>
      </extLst>
    </cfRule>
  </conditionalFormatting>
  <conditionalFormatting sqref="N87:P8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{F92515B4-67BC-46EE-AC31-B304A4D753D9}</x14:id>
        </ext>
      </extLst>
    </cfRule>
  </conditionalFormatting>
  <conditionalFormatting sqref="N90:P90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{88F547CA-1806-4B41-9542-D09252524426}</x14:id>
        </ext>
      </extLst>
    </cfRule>
  </conditionalFormatting>
  <conditionalFormatting sqref="AP60 AP62:AP67">
    <cfRule type="duplicateValues" dxfId="3" priority="54"/>
  </conditionalFormatting>
  <conditionalFormatting sqref="AP75:AP197 AP47:AP55 AP4:AP19 AP21:AP27 AP30:AP44">
    <cfRule type="duplicateValues" dxfId="2" priority="55"/>
  </conditionalFormatting>
  <conditionalFormatting sqref="AP75:AP197 AP47:AP55 AP4:AP27 AP30:AP44">
    <cfRule type="duplicateValues" dxfId="1" priority="56"/>
  </conditionalFormatting>
  <conditionalFormatting sqref="AP72 AP69">
    <cfRule type="duplicateValues" dxfId="0" priority="1"/>
  </conditionalFormatting>
  <pageMargins left="0.25" right="0.25" top="0.75" bottom="0.75" header="0.3" footer="0.3"/>
  <pageSetup paperSize="9" scale="74" orientation="landscape" r:id="rId1"/>
  <colBreaks count="1" manualBreakCount="1">
    <brk id="7997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DC4A14-F7BA-4C0B-BEB7-09A302E36B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J10:K11</xm:sqref>
        </x14:conditionalFormatting>
        <x14:conditionalFormatting xmlns:xm="http://schemas.microsoft.com/office/excel/2006/main">
          <x14:cfRule type="dataBar" id="{828A3025-1454-427D-B142-4EFB2900AF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U11:X13 U16 U15:X15 U14</xm:sqref>
        </x14:conditionalFormatting>
        <x14:conditionalFormatting xmlns:xm="http://schemas.microsoft.com/office/excel/2006/main">
          <x14:cfRule type="dataBar" id="{FE91100E-B150-4623-9684-56DA540B3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U20:X21</xm:sqref>
        </x14:conditionalFormatting>
        <x14:conditionalFormatting xmlns:xm="http://schemas.microsoft.com/office/excel/2006/main">
          <x14:cfRule type="dataBar" id="{8AC560B6-F505-4D62-99E4-7CAD6C0783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U22:X22 U19 U24:U25</xm:sqref>
        </x14:conditionalFormatting>
        <x14:conditionalFormatting xmlns:xm="http://schemas.microsoft.com/office/excel/2006/main">
          <x14:cfRule type="dataBar" id="{F9761E91-5C2C-41AA-9163-8880919E6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U23:X23</xm:sqref>
        </x14:conditionalFormatting>
        <x14:conditionalFormatting xmlns:xm="http://schemas.microsoft.com/office/excel/2006/main">
          <x14:cfRule type="dataBar" id="{0E087338-1F53-4F07-84FE-3A25403C4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V14:X14</xm:sqref>
        </x14:conditionalFormatting>
        <x14:conditionalFormatting xmlns:xm="http://schemas.microsoft.com/office/excel/2006/main">
          <x14:cfRule type="dataBar" id="{D570F502-F521-41F7-A5CF-76784D9163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V16:X16</xm:sqref>
        </x14:conditionalFormatting>
        <x14:conditionalFormatting xmlns:xm="http://schemas.microsoft.com/office/excel/2006/main">
          <x14:cfRule type="dataBar" id="{015C605F-ACB7-407A-8752-AD7BA595C5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V24:X24</xm:sqref>
        </x14:conditionalFormatting>
        <x14:conditionalFormatting xmlns:xm="http://schemas.microsoft.com/office/excel/2006/main">
          <x14:cfRule type="dataBar" id="{C9B47F20-131C-4ED8-B88E-E969D32C8B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V25:X25</xm:sqref>
        </x14:conditionalFormatting>
        <x14:conditionalFormatting xmlns:xm="http://schemas.microsoft.com/office/excel/2006/main">
          <x14:cfRule type="dataBar" id="{29A5F037-686F-4F58-9664-3C6EDC9462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V27:X30</xm:sqref>
        </x14:conditionalFormatting>
        <x14:conditionalFormatting xmlns:xm="http://schemas.microsoft.com/office/excel/2006/main">
          <x14:cfRule type="dataBar" id="{E3F6B110-3EBE-41D9-B425-10F125240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V32:X35</xm:sqref>
        </x14:conditionalFormatting>
        <x14:conditionalFormatting xmlns:xm="http://schemas.microsoft.com/office/excel/2006/main">
          <x14:cfRule type="dataBar" id="{15DA63D2-9A7F-456D-ACF0-BED799051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M74:P75 M79 M77:P77 M76</xm:sqref>
        </x14:conditionalFormatting>
        <x14:conditionalFormatting xmlns:xm="http://schemas.microsoft.com/office/excel/2006/main">
          <x14:cfRule type="dataBar" id="{29548018-ED4E-40DC-854E-488C26EB6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M78:P78</xm:sqref>
        </x14:conditionalFormatting>
        <x14:conditionalFormatting xmlns:xm="http://schemas.microsoft.com/office/excel/2006/main">
          <x14:cfRule type="dataBar" id="{E03D8BCE-31D2-45E4-A270-51980F5FB7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N76:P76</xm:sqref>
        </x14:conditionalFormatting>
        <x14:conditionalFormatting xmlns:xm="http://schemas.microsoft.com/office/excel/2006/main">
          <x14:cfRule type="dataBar" id="{86643BF3-C823-462E-993C-58067162BA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N79:P79</xm:sqref>
        </x14:conditionalFormatting>
        <x14:conditionalFormatting xmlns:xm="http://schemas.microsoft.com/office/excel/2006/main">
          <x14:cfRule type="dataBar" id="{A9CC1DCC-1905-4D4D-8CB0-CEE5E49F65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M84:P86 M90 M88:P88 M87</xm:sqref>
        </x14:conditionalFormatting>
        <x14:conditionalFormatting xmlns:xm="http://schemas.microsoft.com/office/excel/2006/main">
          <x14:cfRule type="dataBar" id="{9C3452C3-81D8-4C78-BBF9-38F3FC5A8A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M89:P89</xm:sqref>
        </x14:conditionalFormatting>
        <x14:conditionalFormatting xmlns:xm="http://schemas.microsoft.com/office/excel/2006/main">
          <x14:cfRule type="dataBar" id="{F92515B4-67BC-46EE-AC31-B304A4D753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N87:P87</xm:sqref>
        </x14:conditionalFormatting>
        <x14:conditionalFormatting xmlns:xm="http://schemas.microsoft.com/office/excel/2006/main">
          <x14:cfRule type="dataBar" id="{88F547CA-1806-4B41-9542-D092525244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N90:P90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Photo DMN Details</vt:lpstr>
      <vt:lpstr>king</vt:lpstr>
      <vt:lpstr>'Photo DMN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2026-03-05T09:47:50Z</dcterms:created>
  <dcterms:modified xsi:type="dcterms:W3CDTF">2026-03-05T09:48:30Z</dcterms:modified>
</cp:coreProperties>
</file>