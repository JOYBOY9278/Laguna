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inishingDeo4\Desktop\Yash\"/>
    </mc:Choice>
  </mc:AlternateContent>
  <bookViews>
    <workbookView xWindow="0" yWindow="0" windowWidth="28800" windowHeight="1170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2" hidden="1">Sheet3!$C$4:$L$42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6" i="1" l="1"/>
  <c r="N53" i="4"/>
  <c r="M53" i="4"/>
  <c r="L53" i="4"/>
  <c r="I65" i="1"/>
  <c r="J65" i="1"/>
  <c r="H65" i="1"/>
  <c r="J62" i="1"/>
  <c r="J54" i="1"/>
  <c r="H62" i="1"/>
  <c r="I62" i="1"/>
  <c r="I54" i="1" l="1"/>
  <c r="H54" i="1"/>
</calcChain>
</file>

<file path=xl/sharedStrings.xml><?xml version="1.0" encoding="utf-8"?>
<sst xmlns="http://schemas.openxmlformats.org/spreadsheetml/2006/main" count="1131" uniqueCount="92">
  <si>
    <t>Total O. Qty:</t>
  </si>
  <si>
    <t>Total Scan Qty:</t>
  </si>
  <si>
    <t>Total CTNS:</t>
  </si>
  <si>
    <t>NOTE</t>
  </si>
  <si>
    <t>CON</t>
  </si>
  <si>
    <t>PO</t>
  </si>
  <si>
    <t>Country</t>
  </si>
  <si>
    <t>Material ID</t>
  </si>
  <si>
    <t>Color</t>
  </si>
  <si>
    <t>O. Qty</t>
  </si>
  <si>
    <t>Scan Qty</t>
  </si>
  <si>
    <t>CTNS</t>
  </si>
  <si>
    <t>Handover Date</t>
  </si>
  <si>
    <t>Ship %</t>
  </si>
  <si>
    <t>Status</t>
  </si>
  <si>
    <t>PRLS/25/12723</t>
  </si>
  <si>
    <t>KOREA</t>
  </si>
  <si>
    <t>710B18274001</t>
  </si>
  <si>
    <t>7312 NAVY MULTI</t>
  </si>
  <si>
    <t>FI Pending</t>
  </si>
  <si>
    <t>PRLS/25/12734</t>
  </si>
  <si>
    <t>710B22588002</t>
  </si>
  <si>
    <t>6671A CABANA BLUE/WHITE</t>
  </si>
  <si>
    <t>PRLS/25/12890</t>
  </si>
  <si>
    <t>CANADA</t>
  </si>
  <si>
    <t>710P03855503</t>
  </si>
  <si>
    <t>7289C PWDR PURPLE WHITE MULTI</t>
  </si>
  <si>
    <t>PRLS/25/12891</t>
  </si>
  <si>
    <t>710P03855504</t>
  </si>
  <si>
    <t>7289B FADED MINT WHITE MULTI</t>
  </si>
  <si>
    <t>PRLS/25/12722</t>
  </si>
  <si>
    <t>710B18131001</t>
  </si>
  <si>
    <t>7258 NAVY WHITE</t>
  </si>
  <si>
    <t>PRLS/25/13160</t>
  </si>
  <si>
    <t>WHITE</t>
  </si>
  <si>
    <t xml:space="preserve">Ready </t>
  </si>
  <si>
    <t>US</t>
  </si>
  <si>
    <t>RATIO PACK</t>
  </si>
  <si>
    <t>PRLS/25/12932</t>
  </si>
  <si>
    <t>PRLS/25/12930</t>
  </si>
  <si>
    <t>710P03855501</t>
  </si>
  <si>
    <t>7289A HRBR ISLND BLUE WHT MLTI</t>
  </si>
  <si>
    <t>PRLS/25/12931</t>
  </si>
  <si>
    <t>710P03855502</t>
  </si>
  <si>
    <t>7289D COASTAL BEIGE WHT MULTI</t>
  </si>
  <si>
    <t>PRLS/25/12933</t>
  </si>
  <si>
    <t>HK</t>
  </si>
  <si>
    <t>PRLS/25/12732</t>
  </si>
  <si>
    <t>710B22588001</t>
  </si>
  <si>
    <t>6671H COASTAL BEIGE/WHITE</t>
  </si>
  <si>
    <t>PRLS/25/12736</t>
  </si>
  <si>
    <t>710B22588003</t>
  </si>
  <si>
    <t>6671I POWDER PURPLE/WHITE</t>
  </si>
  <si>
    <t>PRLS/25/12740</t>
  </si>
  <si>
    <t>710B22589002</t>
  </si>
  <si>
    <t>6555B CABANA BLUE/WHITE</t>
  </si>
  <si>
    <t>PRLS/25/13164</t>
  </si>
  <si>
    <t>Canada</t>
  </si>
  <si>
    <t>TOTAL</t>
  </si>
  <si>
    <t>LCPEXP2526-3234</t>
  </si>
  <si>
    <t>LCPEXP2526-3232</t>
  </si>
  <si>
    <t>LCPEXP2526-3308</t>
  </si>
  <si>
    <t>PCS</t>
  </si>
  <si>
    <t>CTN</t>
  </si>
  <si>
    <t>INV NO</t>
  </si>
  <si>
    <t>GTOTAL</t>
  </si>
  <si>
    <t>Con Number</t>
  </si>
  <si>
    <t>PO#</t>
  </si>
  <si>
    <t>PLANT</t>
  </si>
  <si>
    <t>COUNTRY</t>
  </si>
  <si>
    <t>MATERIAL ID</t>
  </si>
  <si>
    <t>Style</t>
  </si>
  <si>
    <t>COLOR</t>
  </si>
  <si>
    <t>Qty</t>
  </si>
  <si>
    <t>LA00</t>
  </si>
  <si>
    <t>710P03855</t>
  </si>
  <si>
    <t>Ratio Pack/Carton</t>
  </si>
  <si>
    <t>S,M,L,XL/1-2-3-2</t>
  </si>
  <si>
    <t>S,M,L,XL,XXL/1-1-2-1-1</t>
  </si>
  <si>
    <t>S,M,L,XL,XXL/1-2-2-2-1</t>
  </si>
  <si>
    <t>S,M,L,XL/1-2-2-1</t>
  </si>
  <si>
    <t>S,M,L,XL,XXL/2-3-3-3-1</t>
  </si>
  <si>
    <t>S,M,L,XL,XXL/1-2-1-1-1</t>
  </si>
  <si>
    <t>S/12</t>
  </si>
  <si>
    <t>M/12</t>
  </si>
  <si>
    <t>L/12</t>
  </si>
  <si>
    <t>XL/12</t>
  </si>
  <si>
    <t>XXL/12</t>
  </si>
  <si>
    <t>RATIO PACK - 12</t>
  </si>
  <si>
    <t xml:space="preserve">RATIO PACK - 12 </t>
  </si>
  <si>
    <t>RATIO PACK - 8</t>
  </si>
  <si>
    <t>RATIO PACK - 6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</si>
</sst>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0"/>
      <color rgb="FF333333"/>
      <name val="Cambria"/>
      <family val="1"/>
    </font>
    <font>
      <b/>
      <sz val="11"/>
      <color rgb="FF0066CC"/>
      <name val="Cambria"/>
      <family val="1"/>
    </font>
    <font>
      <b/>
      <sz val="11"/>
      <color rgb="FFFFFFFF"/>
      <name val="Cambria"/>
      <family val="1"/>
    </font>
    <font>
      <sz val="10"/>
      <color rgb="FF000000"/>
      <name val="Cambria"/>
      <family val="1"/>
    </font>
    <font>
      <b/>
      <sz val="14"/>
      <color theme="0" tint="-4.9989318521683403E-2"/>
      <name val="Cambria"/>
      <family val="1"/>
    </font>
    <font>
      <sz val="11"/>
      <color theme="0" tint="-4.9989318521683403E-2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  <fill>
      <patternFill patternType="solid">
        <fgColor theme="1" tint="0.34998626667073579"/>
        <bgColor rgb="FFFFFFFF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1" fillId="0" borderId="0" xfId="1"/>
    <xf numFmtId="0" fontId="4" fillId="2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0" fontId="5" fillId="3" borderId="1" xfId="1" applyNumberFormat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14" fontId="5" fillId="3" borderId="1" xfId="1" applyNumberFormat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14" fontId="5" fillId="0" borderId="2" xfId="1" applyNumberFormat="1" applyFont="1" applyBorder="1" applyAlignment="1">
      <alignment horizontal="center" vertical="center"/>
    </xf>
    <xf numFmtId="10" fontId="5" fillId="3" borderId="2" xfId="1" applyNumberFormat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14" fontId="5" fillId="3" borderId="2" xfId="1" applyNumberFormat="1" applyFont="1" applyFill="1" applyBorder="1" applyAlignment="1">
      <alignment horizontal="center" vertical="center"/>
    </xf>
    <xf numFmtId="1" fontId="5" fillId="3" borderId="2" xfId="1" applyNumberFormat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0" fillId="0" borderId="2" xfId="0" applyBorder="1"/>
    <xf numFmtId="1" fontId="6" fillId="4" borderId="2" xfId="1" applyNumberFormat="1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6" borderId="3" xfId="0" applyNumberFormat="1" applyFont="1" applyFill="1" applyBorder="1" applyAlignment="1" applyProtection="1">
      <alignment horizontal="center" vertical="center" wrapText="1"/>
    </xf>
    <xf numFmtId="0" fontId="9" fillId="6" borderId="3" xfId="0" applyNumberFormat="1" applyFont="1" applyFill="1" applyBorder="1" applyAlignment="1" applyProtection="1">
      <alignment horizontal="center" vertical="center" wrapText="1"/>
    </xf>
    <xf numFmtId="1" fontId="9" fillId="6" borderId="3" xfId="0" applyNumberFormat="1" applyFont="1" applyFill="1" applyBorder="1" applyAlignment="1" applyProtection="1">
      <alignment horizontal="center" vertical="center" wrapText="1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7" borderId="3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M66"/>
  <sheetViews>
    <sheetView tabSelected="1" topLeftCell="A4" workbookViewId="0">
      <selection activeCell="O14" sqref="O14"/>
    </sheetView>
  </sheetViews>
  <sheetFormatPr defaultRowHeight="15" x14ac:dyDescent="0.25"/>
  <cols>
    <col min="2" max="2" width="11.5703125" bestFit="1" customWidth="1"/>
    <col min="3" max="3" width="13.85546875" bestFit="1" customWidth="1"/>
    <col min="4" max="4" width="14" bestFit="1" customWidth="1"/>
    <col min="5" max="5" width="8.140625" bestFit="1" customWidth="1"/>
    <col min="6" max="6" width="13.28515625" bestFit="1" customWidth="1"/>
    <col min="7" max="7" width="31.42578125" bestFit="1" customWidth="1"/>
    <col min="8" max="9" width="9.140625" bestFit="1" customWidth="1"/>
    <col min="10" max="10" width="7" bestFit="1" customWidth="1"/>
    <col min="11" max="11" width="10.140625" bestFit="1" customWidth="1"/>
    <col min="12" max="12" width="8.28515625" bestFit="1" customWidth="1"/>
    <col min="13" max="13" width="9.28515625" bestFit="1" customWidth="1"/>
  </cols>
  <sheetData>
    <row r="3" spans="2:13" x14ac:dyDescent="0.25">
      <c r="B3" s="1" t="s">
        <v>0</v>
      </c>
      <c r="C3" s="2">
        <v>10912</v>
      </c>
      <c r="D3" s="1" t="s">
        <v>1</v>
      </c>
      <c r="E3" s="2">
        <v>11059</v>
      </c>
      <c r="F3" s="1" t="s">
        <v>2</v>
      </c>
      <c r="G3" s="2">
        <v>949</v>
      </c>
      <c r="H3" s="3"/>
      <c r="I3" s="3"/>
      <c r="J3" s="3"/>
      <c r="K3" s="3"/>
      <c r="L3" s="3"/>
      <c r="M3" s="3"/>
    </row>
    <row r="4" spans="2:13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2:13" ht="28.5" x14ac:dyDescent="0.25">
      <c r="B5" s="12" t="s">
        <v>3</v>
      </c>
      <c r="C5" s="12" t="s">
        <v>4</v>
      </c>
      <c r="D5" s="12" t="s">
        <v>5</v>
      </c>
      <c r="E5" s="12" t="s">
        <v>6</v>
      </c>
      <c r="F5" s="12" t="s">
        <v>7</v>
      </c>
      <c r="G5" s="12" t="s">
        <v>8</v>
      </c>
      <c r="H5" s="12" t="s">
        <v>9</v>
      </c>
      <c r="I5" s="12" t="s">
        <v>10</v>
      </c>
      <c r="J5" s="12" t="s">
        <v>11</v>
      </c>
      <c r="K5" s="12" t="s">
        <v>12</v>
      </c>
      <c r="L5" s="12" t="s">
        <v>13</v>
      </c>
      <c r="M5" s="12" t="s">
        <v>14</v>
      </c>
    </row>
    <row r="6" spans="2:13" x14ac:dyDescent="0.25">
      <c r="B6" s="13"/>
      <c r="C6" s="13" t="s">
        <v>15</v>
      </c>
      <c r="D6" s="13">
        <v>4702067327</v>
      </c>
      <c r="E6" s="13" t="s">
        <v>16</v>
      </c>
      <c r="F6" s="13" t="s">
        <v>17</v>
      </c>
      <c r="G6" s="13" t="s">
        <v>18</v>
      </c>
      <c r="H6" s="13">
        <v>65</v>
      </c>
      <c r="I6" s="13">
        <v>65</v>
      </c>
      <c r="J6" s="13">
        <v>2</v>
      </c>
      <c r="K6" s="14">
        <v>46110</v>
      </c>
      <c r="L6" s="15">
        <v>1</v>
      </c>
      <c r="M6" s="16" t="s">
        <v>19</v>
      </c>
    </row>
    <row r="7" spans="2:13" x14ac:dyDescent="0.25">
      <c r="B7" s="16"/>
      <c r="C7" s="13" t="s">
        <v>33</v>
      </c>
      <c r="D7" s="16">
        <v>4702095844</v>
      </c>
      <c r="E7" s="16" t="s">
        <v>36</v>
      </c>
      <c r="F7" s="18">
        <v>710967632001</v>
      </c>
      <c r="G7" s="16" t="s">
        <v>34</v>
      </c>
      <c r="H7" s="16">
        <v>5170</v>
      </c>
      <c r="I7" s="16">
        <v>5319</v>
      </c>
      <c r="J7" s="16">
        <v>306</v>
      </c>
      <c r="K7" s="17">
        <v>46110</v>
      </c>
      <c r="L7" s="15">
        <v>1.0288201160541586</v>
      </c>
      <c r="M7" s="13" t="s">
        <v>19</v>
      </c>
    </row>
    <row r="8" spans="2:13" x14ac:dyDescent="0.25">
      <c r="B8" s="13" t="s">
        <v>37</v>
      </c>
      <c r="C8" s="13" t="s">
        <v>38</v>
      </c>
      <c r="D8" s="13">
        <v>4702080081</v>
      </c>
      <c r="E8" s="13" t="s">
        <v>36</v>
      </c>
      <c r="F8" s="13" t="s">
        <v>25</v>
      </c>
      <c r="G8" s="13" t="s">
        <v>26</v>
      </c>
      <c r="H8" s="13">
        <v>40</v>
      </c>
      <c r="I8" s="13">
        <v>40</v>
      </c>
      <c r="J8" s="13">
        <v>5</v>
      </c>
      <c r="K8" s="14">
        <v>46117</v>
      </c>
      <c r="L8" s="15">
        <v>1</v>
      </c>
      <c r="M8" s="13" t="s">
        <v>19</v>
      </c>
    </row>
    <row r="9" spans="2:13" x14ac:dyDescent="0.25">
      <c r="B9" s="16" t="s">
        <v>37</v>
      </c>
      <c r="C9" s="13" t="s">
        <v>39</v>
      </c>
      <c r="D9" s="16">
        <v>4702080081</v>
      </c>
      <c r="E9" s="16" t="s">
        <v>36</v>
      </c>
      <c r="F9" s="16" t="s">
        <v>40</v>
      </c>
      <c r="G9" s="16" t="s">
        <v>41</v>
      </c>
      <c r="H9" s="16">
        <v>40</v>
      </c>
      <c r="I9" s="16">
        <v>40</v>
      </c>
      <c r="J9" s="16">
        <v>5</v>
      </c>
      <c r="K9" s="17">
        <v>46117</v>
      </c>
      <c r="L9" s="15">
        <v>1</v>
      </c>
      <c r="M9" s="16" t="s">
        <v>19</v>
      </c>
    </row>
    <row r="10" spans="2:13" x14ac:dyDescent="0.25">
      <c r="B10" s="13" t="s">
        <v>37</v>
      </c>
      <c r="C10" s="13" t="s">
        <v>42</v>
      </c>
      <c r="D10" s="13">
        <v>4702080081</v>
      </c>
      <c r="E10" s="13" t="s">
        <v>36</v>
      </c>
      <c r="F10" s="13" t="s">
        <v>43</v>
      </c>
      <c r="G10" s="13" t="s">
        <v>44</v>
      </c>
      <c r="H10" s="13">
        <v>40</v>
      </c>
      <c r="I10" s="13">
        <v>40</v>
      </c>
      <c r="J10" s="13">
        <v>5</v>
      </c>
      <c r="K10" s="14">
        <v>46117</v>
      </c>
      <c r="L10" s="15">
        <v>1</v>
      </c>
      <c r="M10" s="13" t="s">
        <v>19</v>
      </c>
    </row>
    <row r="11" spans="2:13" x14ac:dyDescent="0.25">
      <c r="B11" s="16" t="s">
        <v>37</v>
      </c>
      <c r="C11" s="13" t="s">
        <v>45</v>
      </c>
      <c r="D11" s="13">
        <v>4702080081</v>
      </c>
      <c r="E11" s="16" t="s">
        <v>36</v>
      </c>
      <c r="F11" s="16" t="s">
        <v>28</v>
      </c>
      <c r="G11" s="16" t="s">
        <v>29</v>
      </c>
      <c r="H11" s="16">
        <v>40</v>
      </c>
      <c r="I11" s="16">
        <v>40</v>
      </c>
      <c r="J11" s="16">
        <v>5</v>
      </c>
      <c r="K11" s="17">
        <v>46117</v>
      </c>
      <c r="L11" s="15">
        <v>1</v>
      </c>
      <c r="M11" s="16" t="s">
        <v>19</v>
      </c>
    </row>
    <row r="12" spans="2:13" x14ac:dyDescent="0.25">
      <c r="B12" s="13" t="s">
        <v>37</v>
      </c>
      <c r="C12" s="13" t="s">
        <v>38</v>
      </c>
      <c r="D12" s="13">
        <v>4702080082</v>
      </c>
      <c r="E12" s="13" t="s">
        <v>36</v>
      </c>
      <c r="F12" s="13" t="s">
        <v>25</v>
      </c>
      <c r="G12" s="13" t="s">
        <v>26</v>
      </c>
      <c r="H12" s="13">
        <v>294</v>
      </c>
      <c r="I12" s="13">
        <v>294</v>
      </c>
      <c r="J12" s="13">
        <v>49</v>
      </c>
      <c r="K12" s="14">
        <v>46117</v>
      </c>
      <c r="L12" s="15">
        <v>1</v>
      </c>
      <c r="M12" s="16" t="s">
        <v>19</v>
      </c>
    </row>
    <row r="13" spans="2:13" x14ac:dyDescent="0.25">
      <c r="B13" s="16" t="s">
        <v>37</v>
      </c>
      <c r="C13" s="13" t="s">
        <v>39</v>
      </c>
      <c r="D13" s="13">
        <v>4702080082</v>
      </c>
      <c r="E13" s="16" t="s">
        <v>36</v>
      </c>
      <c r="F13" s="16" t="s">
        <v>40</v>
      </c>
      <c r="G13" s="16" t="s">
        <v>41</v>
      </c>
      <c r="H13" s="16">
        <v>330</v>
      </c>
      <c r="I13" s="16">
        <v>330</v>
      </c>
      <c r="J13" s="16">
        <v>55</v>
      </c>
      <c r="K13" s="17">
        <v>46117</v>
      </c>
      <c r="L13" s="15">
        <v>1</v>
      </c>
      <c r="M13" s="16" t="s">
        <v>19</v>
      </c>
    </row>
    <row r="14" spans="2:13" x14ac:dyDescent="0.25">
      <c r="B14" s="13" t="s">
        <v>37</v>
      </c>
      <c r="C14" s="13" t="s">
        <v>42</v>
      </c>
      <c r="D14" s="13">
        <v>4702080082</v>
      </c>
      <c r="E14" s="13" t="s">
        <v>36</v>
      </c>
      <c r="F14" s="13" t="s">
        <v>43</v>
      </c>
      <c r="G14" s="13" t="s">
        <v>44</v>
      </c>
      <c r="H14" s="13">
        <v>294</v>
      </c>
      <c r="I14" s="13">
        <v>294</v>
      </c>
      <c r="J14" s="13">
        <v>49</v>
      </c>
      <c r="K14" s="14">
        <v>46117</v>
      </c>
      <c r="L14" s="15">
        <v>1</v>
      </c>
      <c r="M14" s="16" t="s">
        <v>19</v>
      </c>
    </row>
    <row r="15" spans="2:13" x14ac:dyDescent="0.25">
      <c r="B15" s="16" t="s">
        <v>37</v>
      </c>
      <c r="C15" s="16" t="s">
        <v>45</v>
      </c>
      <c r="D15" s="13">
        <v>4702080082</v>
      </c>
      <c r="E15" s="16" t="s">
        <v>36</v>
      </c>
      <c r="F15" s="16" t="s">
        <v>28</v>
      </c>
      <c r="G15" s="16" t="s">
        <v>29</v>
      </c>
      <c r="H15" s="16">
        <v>294</v>
      </c>
      <c r="I15" s="16">
        <v>294</v>
      </c>
      <c r="J15" s="16">
        <v>49</v>
      </c>
      <c r="K15" s="17">
        <v>46117</v>
      </c>
      <c r="L15" s="15">
        <v>1</v>
      </c>
      <c r="M15" s="16" t="s">
        <v>19</v>
      </c>
    </row>
    <row r="16" spans="2:13" x14ac:dyDescent="0.25">
      <c r="B16" s="13" t="s">
        <v>37</v>
      </c>
      <c r="C16" s="13" t="s">
        <v>38</v>
      </c>
      <c r="D16" s="13">
        <v>4702080083</v>
      </c>
      <c r="E16" s="13" t="s">
        <v>36</v>
      </c>
      <c r="F16" s="13" t="s">
        <v>25</v>
      </c>
      <c r="G16" s="13" t="s">
        <v>26</v>
      </c>
      <c r="H16" s="13">
        <v>200</v>
      </c>
      <c r="I16" s="13">
        <v>200</v>
      </c>
      <c r="J16" s="13">
        <v>25</v>
      </c>
      <c r="K16" s="14">
        <v>46117</v>
      </c>
      <c r="L16" s="15">
        <v>1</v>
      </c>
      <c r="M16" s="16" t="s">
        <v>19</v>
      </c>
    </row>
    <row r="17" spans="2:13" x14ac:dyDescent="0.25">
      <c r="B17" s="16" t="s">
        <v>37</v>
      </c>
      <c r="C17" s="16" t="s">
        <v>39</v>
      </c>
      <c r="D17" s="13">
        <v>4702080083</v>
      </c>
      <c r="E17" s="16" t="s">
        <v>36</v>
      </c>
      <c r="F17" s="16" t="s">
        <v>40</v>
      </c>
      <c r="G17" s="16" t="s">
        <v>41</v>
      </c>
      <c r="H17" s="16">
        <v>264</v>
      </c>
      <c r="I17" s="16">
        <v>264</v>
      </c>
      <c r="J17" s="16">
        <v>33</v>
      </c>
      <c r="K17" s="17">
        <v>46117</v>
      </c>
      <c r="L17" s="15">
        <v>1</v>
      </c>
      <c r="M17" s="16" t="s">
        <v>19</v>
      </c>
    </row>
    <row r="18" spans="2:13" x14ac:dyDescent="0.25">
      <c r="B18" s="13" t="s">
        <v>37</v>
      </c>
      <c r="C18" s="13" t="s">
        <v>42</v>
      </c>
      <c r="D18" s="13">
        <v>4702080083</v>
      </c>
      <c r="E18" s="13" t="s">
        <v>36</v>
      </c>
      <c r="F18" s="13" t="s">
        <v>43</v>
      </c>
      <c r="G18" s="13" t="s">
        <v>44</v>
      </c>
      <c r="H18" s="13">
        <v>200</v>
      </c>
      <c r="I18" s="13">
        <v>200</v>
      </c>
      <c r="J18" s="13">
        <v>25</v>
      </c>
      <c r="K18" s="14">
        <v>46117</v>
      </c>
      <c r="L18" s="15">
        <v>1</v>
      </c>
      <c r="M18" s="16" t="s">
        <v>19</v>
      </c>
    </row>
    <row r="19" spans="2:13" x14ac:dyDescent="0.25">
      <c r="B19" s="16" t="s">
        <v>37</v>
      </c>
      <c r="C19" s="16" t="s">
        <v>45</v>
      </c>
      <c r="D19" s="13">
        <v>4702080083</v>
      </c>
      <c r="E19" s="16" t="s">
        <v>36</v>
      </c>
      <c r="F19" s="16" t="s">
        <v>28</v>
      </c>
      <c r="G19" s="16" t="s">
        <v>29</v>
      </c>
      <c r="H19" s="16">
        <v>200</v>
      </c>
      <c r="I19" s="16">
        <v>200</v>
      </c>
      <c r="J19" s="16">
        <v>25</v>
      </c>
      <c r="K19" s="17">
        <v>46117</v>
      </c>
      <c r="L19" s="15">
        <v>1</v>
      </c>
      <c r="M19" s="16" t="s">
        <v>19</v>
      </c>
    </row>
    <row r="20" spans="2:13" x14ac:dyDescent="0.25">
      <c r="B20" s="13" t="s">
        <v>37</v>
      </c>
      <c r="C20" s="13" t="s">
        <v>38</v>
      </c>
      <c r="D20" s="13">
        <v>4702080084</v>
      </c>
      <c r="E20" s="13" t="s">
        <v>36</v>
      </c>
      <c r="F20" s="13" t="s">
        <v>25</v>
      </c>
      <c r="G20" s="13" t="s">
        <v>26</v>
      </c>
      <c r="H20" s="13">
        <v>168</v>
      </c>
      <c r="I20" s="13">
        <v>168</v>
      </c>
      <c r="J20" s="13">
        <v>28</v>
      </c>
      <c r="K20" s="14">
        <v>46117</v>
      </c>
      <c r="L20" s="15">
        <v>1</v>
      </c>
      <c r="M20" s="16" t="s">
        <v>19</v>
      </c>
    </row>
    <row r="21" spans="2:13" x14ac:dyDescent="0.25">
      <c r="B21" s="16" t="s">
        <v>37</v>
      </c>
      <c r="C21" s="16" t="s">
        <v>39</v>
      </c>
      <c r="D21" s="13">
        <v>4702080084</v>
      </c>
      <c r="E21" s="16" t="s">
        <v>36</v>
      </c>
      <c r="F21" s="16" t="s">
        <v>40</v>
      </c>
      <c r="G21" s="16" t="s">
        <v>41</v>
      </c>
      <c r="H21" s="16">
        <v>204</v>
      </c>
      <c r="I21" s="16">
        <v>204</v>
      </c>
      <c r="J21" s="16">
        <v>34</v>
      </c>
      <c r="K21" s="17">
        <v>46117</v>
      </c>
      <c r="L21" s="15">
        <v>1</v>
      </c>
      <c r="M21" s="16" t="s">
        <v>19</v>
      </c>
    </row>
    <row r="22" spans="2:13" x14ac:dyDescent="0.25">
      <c r="B22" s="13" t="s">
        <v>37</v>
      </c>
      <c r="C22" s="13" t="s">
        <v>42</v>
      </c>
      <c r="D22" s="13">
        <v>4702080084</v>
      </c>
      <c r="E22" s="13" t="s">
        <v>36</v>
      </c>
      <c r="F22" s="13" t="s">
        <v>43</v>
      </c>
      <c r="G22" s="13" t="s">
        <v>44</v>
      </c>
      <c r="H22" s="13">
        <v>168</v>
      </c>
      <c r="I22" s="13">
        <v>168</v>
      </c>
      <c r="J22" s="13">
        <v>28</v>
      </c>
      <c r="K22" s="14">
        <v>46117</v>
      </c>
      <c r="L22" s="15">
        <v>1</v>
      </c>
      <c r="M22" s="16" t="s">
        <v>19</v>
      </c>
    </row>
    <row r="23" spans="2:13" x14ac:dyDescent="0.25">
      <c r="B23" s="16" t="s">
        <v>37</v>
      </c>
      <c r="C23" s="16" t="s">
        <v>45</v>
      </c>
      <c r="D23" s="13">
        <v>4702080084</v>
      </c>
      <c r="E23" s="16" t="s">
        <v>36</v>
      </c>
      <c r="F23" s="16" t="s">
        <v>28</v>
      </c>
      <c r="G23" s="16" t="s">
        <v>29</v>
      </c>
      <c r="H23" s="16">
        <v>168</v>
      </c>
      <c r="I23" s="16">
        <v>168</v>
      </c>
      <c r="J23" s="16">
        <v>28</v>
      </c>
      <c r="K23" s="17">
        <v>46117</v>
      </c>
      <c r="L23" s="15">
        <v>1</v>
      </c>
      <c r="M23" s="16" t="s">
        <v>19</v>
      </c>
    </row>
    <row r="24" spans="2:13" x14ac:dyDescent="0.25">
      <c r="B24" s="13" t="s">
        <v>37</v>
      </c>
      <c r="C24" s="13" t="s">
        <v>39</v>
      </c>
      <c r="D24" s="13">
        <v>4702080085</v>
      </c>
      <c r="E24" s="13" t="s">
        <v>36</v>
      </c>
      <c r="F24" s="13" t="s">
        <v>40</v>
      </c>
      <c r="G24" s="19" t="s">
        <v>41</v>
      </c>
      <c r="H24" s="13">
        <v>24</v>
      </c>
      <c r="I24" s="13">
        <v>24</v>
      </c>
      <c r="J24" s="13">
        <v>2</v>
      </c>
      <c r="K24" s="14">
        <v>46117</v>
      </c>
      <c r="L24" s="15">
        <v>1</v>
      </c>
      <c r="M24" s="13" t="s">
        <v>19</v>
      </c>
    </row>
    <row r="25" spans="2:13" x14ac:dyDescent="0.25">
      <c r="B25" s="16" t="s">
        <v>37</v>
      </c>
      <c r="C25" s="16" t="s">
        <v>38</v>
      </c>
      <c r="D25" s="13">
        <v>4702080086</v>
      </c>
      <c r="E25" s="16" t="s">
        <v>36</v>
      </c>
      <c r="F25" s="16" t="s">
        <v>25</v>
      </c>
      <c r="G25" s="16" t="s">
        <v>26</v>
      </c>
      <c r="H25" s="16">
        <v>72</v>
      </c>
      <c r="I25" s="16">
        <v>72</v>
      </c>
      <c r="J25" s="16">
        <v>12</v>
      </c>
      <c r="K25" s="17">
        <v>46117</v>
      </c>
      <c r="L25" s="15">
        <v>1</v>
      </c>
      <c r="M25" s="16" t="s">
        <v>19</v>
      </c>
    </row>
    <row r="26" spans="2:13" x14ac:dyDescent="0.25">
      <c r="B26" s="13" t="s">
        <v>37</v>
      </c>
      <c r="C26" s="13" t="s">
        <v>39</v>
      </c>
      <c r="D26" s="13">
        <v>4702080086</v>
      </c>
      <c r="E26" s="13" t="s">
        <v>36</v>
      </c>
      <c r="F26" s="13" t="s">
        <v>40</v>
      </c>
      <c r="G26" s="13" t="s">
        <v>41</v>
      </c>
      <c r="H26" s="13">
        <v>90</v>
      </c>
      <c r="I26" s="13">
        <v>90</v>
      </c>
      <c r="J26" s="13">
        <v>15</v>
      </c>
      <c r="K26" s="14">
        <v>46117</v>
      </c>
      <c r="L26" s="15">
        <v>1</v>
      </c>
      <c r="M26" s="13" t="s">
        <v>19</v>
      </c>
    </row>
    <row r="27" spans="2:13" x14ac:dyDescent="0.25">
      <c r="B27" s="13" t="s">
        <v>37</v>
      </c>
      <c r="C27" s="16" t="s">
        <v>42</v>
      </c>
      <c r="D27" s="13">
        <v>4702080086</v>
      </c>
      <c r="E27" s="16" t="s">
        <v>36</v>
      </c>
      <c r="F27" s="16" t="s">
        <v>43</v>
      </c>
      <c r="G27" s="16" t="s">
        <v>44</v>
      </c>
      <c r="H27" s="16">
        <v>72</v>
      </c>
      <c r="I27" s="16">
        <v>72</v>
      </c>
      <c r="J27" s="16">
        <v>12</v>
      </c>
      <c r="K27" s="17">
        <v>46117</v>
      </c>
      <c r="L27" s="15">
        <v>1</v>
      </c>
      <c r="M27" s="16" t="s">
        <v>19</v>
      </c>
    </row>
    <row r="28" spans="2:13" x14ac:dyDescent="0.25">
      <c r="B28" s="13" t="s">
        <v>37</v>
      </c>
      <c r="C28" s="13" t="s">
        <v>45</v>
      </c>
      <c r="D28" s="13">
        <v>4702080086</v>
      </c>
      <c r="E28" s="13" t="s">
        <v>36</v>
      </c>
      <c r="F28" s="13" t="s">
        <v>28</v>
      </c>
      <c r="G28" s="13" t="s">
        <v>29</v>
      </c>
      <c r="H28" s="13">
        <v>72</v>
      </c>
      <c r="I28" s="13">
        <v>72</v>
      </c>
      <c r="J28" s="13">
        <v>12</v>
      </c>
      <c r="K28" s="14">
        <v>46117</v>
      </c>
      <c r="L28" s="15">
        <v>1</v>
      </c>
      <c r="M28" s="13" t="s">
        <v>19</v>
      </c>
    </row>
    <row r="29" spans="2:13" x14ac:dyDescent="0.25">
      <c r="B29" s="16" t="s">
        <v>37</v>
      </c>
      <c r="C29" s="16" t="s">
        <v>39</v>
      </c>
      <c r="D29" s="13">
        <v>4702080087</v>
      </c>
      <c r="E29" s="16" t="s">
        <v>36</v>
      </c>
      <c r="F29" s="16" t="s">
        <v>40</v>
      </c>
      <c r="G29" s="16" t="s">
        <v>41</v>
      </c>
      <c r="H29" s="16">
        <v>12</v>
      </c>
      <c r="I29" s="16">
        <v>12</v>
      </c>
      <c r="J29" s="16">
        <v>1</v>
      </c>
      <c r="K29" s="17">
        <v>46117</v>
      </c>
      <c r="L29" s="15">
        <v>1</v>
      </c>
      <c r="M29" s="16" t="s">
        <v>19</v>
      </c>
    </row>
    <row r="30" spans="2:13" x14ac:dyDescent="0.25">
      <c r="B30" s="13" t="s">
        <v>37</v>
      </c>
      <c r="C30" s="13" t="s">
        <v>42</v>
      </c>
      <c r="D30" s="13">
        <v>4702080087</v>
      </c>
      <c r="E30" s="13" t="s">
        <v>36</v>
      </c>
      <c r="F30" s="13" t="s">
        <v>43</v>
      </c>
      <c r="G30" s="13" t="s">
        <v>44</v>
      </c>
      <c r="H30" s="13">
        <v>12</v>
      </c>
      <c r="I30" s="13">
        <v>12</v>
      </c>
      <c r="J30" s="13">
        <v>1</v>
      </c>
      <c r="K30" s="14">
        <v>46117</v>
      </c>
      <c r="L30" s="15">
        <v>1</v>
      </c>
      <c r="M30" s="13" t="s">
        <v>19</v>
      </c>
    </row>
    <row r="31" spans="2:13" x14ac:dyDescent="0.25">
      <c r="B31" s="16" t="s">
        <v>37</v>
      </c>
      <c r="C31" s="16" t="s">
        <v>38</v>
      </c>
      <c r="D31" s="13">
        <v>4702080087</v>
      </c>
      <c r="E31" s="16" t="s">
        <v>36</v>
      </c>
      <c r="F31" s="16" t="s">
        <v>25</v>
      </c>
      <c r="G31" s="16" t="s">
        <v>26</v>
      </c>
      <c r="H31" s="16">
        <v>12</v>
      </c>
      <c r="I31" s="16">
        <v>12</v>
      </c>
      <c r="J31" s="16">
        <v>1</v>
      </c>
      <c r="K31" s="17">
        <v>46117</v>
      </c>
      <c r="L31" s="15">
        <v>1</v>
      </c>
      <c r="M31" s="16" t="s">
        <v>19</v>
      </c>
    </row>
    <row r="32" spans="2:13" x14ac:dyDescent="0.25">
      <c r="B32" s="13" t="s">
        <v>37</v>
      </c>
      <c r="C32" s="13" t="s">
        <v>45</v>
      </c>
      <c r="D32" s="13">
        <v>4702080087</v>
      </c>
      <c r="E32" s="13" t="s">
        <v>36</v>
      </c>
      <c r="F32" s="13" t="s">
        <v>28</v>
      </c>
      <c r="G32" s="13" t="s">
        <v>29</v>
      </c>
      <c r="H32" s="13">
        <v>12</v>
      </c>
      <c r="I32" s="13">
        <v>12</v>
      </c>
      <c r="J32" s="13">
        <v>1</v>
      </c>
      <c r="K32" s="14">
        <v>46117</v>
      </c>
      <c r="L32" s="15">
        <v>1</v>
      </c>
      <c r="M32" s="13" t="s">
        <v>19</v>
      </c>
    </row>
    <row r="33" spans="2:13" x14ac:dyDescent="0.25">
      <c r="B33" s="16" t="s">
        <v>37</v>
      </c>
      <c r="C33" s="16" t="s">
        <v>38</v>
      </c>
      <c r="D33" s="13">
        <v>4702080088</v>
      </c>
      <c r="E33" s="16" t="s">
        <v>36</v>
      </c>
      <c r="F33" s="16" t="s">
        <v>25</v>
      </c>
      <c r="G33" s="16" t="s">
        <v>26</v>
      </c>
      <c r="H33" s="16">
        <v>24</v>
      </c>
      <c r="I33" s="16">
        <v>24</v>
      </c>
      <c r="J33" s="16">
        <v>2</v>
      </c>
      <c r="K33" s="17">
        <v>46117</v>
      </c>
      <c r="L33" s="15">
        <v>1</v>
      </c>
      <c r="M33" s="16" t="s">
        <v>19</v>
      </c>
    </row>
    <row r="34" spans="2:13" x14ac:dyDescent="0.25">
      <c r="B34" s="13" t="s">
        <v>37</v>
      </c>
      <c r="C34" s="13" t="s">
        <v>39</v>
      </c>
      <c r="D34" s="13">
        <v>4702080088</v>
      </c>
      <c r="E34" s="13" t="s">
        <v>36</v>
      </c>
      <c r="F34" s="13" t="s">
        <v>40</v>
      </c>
      <c r="G34" s="13" t="s">
        <v>41</v>
      </c>
      <c r="H34" s="13">
        <v>24</v>
      </c>
      <c r="I34" s="13">
        <v>24</v>
      </c>
      <c r="J34" s="13">
        <v>2</v>
      </c>
      <c r="K34" s="14">
        <v>46117</v>
      </c>
      <c r="L34" s="15">
        <v>1</v>
      </c>
      <c r="M34" s="13" t="s">
        <v>19</v>
      </c>
    </row>
    <row r="35" spans="2:13" x14ac:dyDescent="0.25">
      <c r="B35" s="16" t="s">
        <v>37</v>
      </c>
      <c r="C35" s="16" t="s">
        <v>42</v>
      </c>
      <c r="D35" s="13">
        <v>4702080088</v>
      </c>
      <c r="E35" s="16" t="s">
        <v>36</v>
      </c>
      <c r="F35" s="16" t="s">
        <v>43</v>
      </c>
      <c r="G35" s="16" t="s">
        <v>44</v>
      </c>
      <c r="H35" s="16">
        <v>24</v>
      </c>
      <c r="I35" s="16">
        <v>24</v>
      </c>
      <c r="J35" s="16">
        <v>2</v>
      </c>
      <c r="K35" s="17">
        <v>46117</v>
      </c>
      <c r="L35" s="15">
        <v>1</v>
      </c>
      <c r="M35" s="16" t="s">
        <v>19</v>
      </c>
    </row>
    <row r="36" spans="2:13" x14ac:dyDescent="0.25">
      <c r="B36" s="13" t="s">
        <v>37</v>
      </c>
      <c r="C36" s="13" t="s">
        <v>45</v>
      </c>
      <c r="D36" s="13">
        <v>4702080088</v>
      </c>
      <c r="E36" s="13" t="s">
        <v>36</v>
      </c>
      <c r="F36" s="13" t="s">
        <v>28</v>
      </c>
      <c r="G36" s="13" t="s">
        <v>29</v>
      </c>
      <c r="H36" s="13">
        <v>24</v>
      </c>
      <c r="I36" s="13">
        <v>24</v>
      </c>
      <c r="J36" s="13">
        <v>2</v>
      </c>
      <c r="K36" s="14">
        <v>46117</v>
      </c>
      <c r="L36" s="15">
        <v>1</v>
      </c>
      <c r="M36" s="13" t="s">
        <v>19</v>
      </c>
    </row>
    <row r="37" spans="2:13" x14ac:dyDescent="0.25">
      <c r="B37" s="16" t="s">
        <v>37</v>
      </c>
      <c r="C37" s="16" t="s">
        <v>38</v>
      </c>
      <c r="D37" s="13">
        <v>4702080089</v>
      </c>
      <c r="E37" s="16" t="s">
        <v>36</v>
      </c>
      <c r="F37" s="16" t="s">
        <v>25</v>
      </c>
      <c r="G37" s="16" t="s">
        <v>26</v>
      </c>
      <c r="H37" s="16">
        <v>24</v>
      </c>
      <c r="I37" s="16">
        <v>24</v>
      </c>
      <c r="J37" s="16">
        <v>2</v>
      </c>
      <c r="K37" s="17">
        <v>46117</v>
      </c>
      <c r="L37" s="15">
        <v>1</v>
      </c>
      <c r="M37" s="16" t="s">
        <v>19</v>
      </c>
    </row>
    <row r="38" spans="2:13" x14ac:dyDescent="0.25">
      <c r="B38" s="13" t="s">
        <v>37</v>
      </c>
      <c r="C38" s="13" t="s">
        <v>39</v>
      </c>
      <c r="D38" s="13">
        <v>4702080089</v>
      </c>
      <c r="E38" s="13" t="s">
        <v>36</v>
      </c>
      <c r="F38" s="13" t="s">
        <v>40</v>
      </c>
      <c r="G38" s="13" t="s">
        <v>41</v>
      </c>
      <c r="H38" s="13">
        <v>36</v>
      </c>
      <c r="I38" s="13">
        <v>36</v>
      </c>
      <c r="J38" s="13">
        <v>3</v>
      </c>
      <c r="K38" s="14">
        <v>46117</v>
      </c>
      <c r="L38" s="15">
        <v>1</v>
      </c>
      <c r="M38" s="13" t="s">
        <v>19</v>
      </c>
    </row>
    <row r="39" spans="2:13" x14ac:dyDescent="0.25">
      <c r="B39" s="16" t="s">
        <v>37</v>
      </c>
      <c r="C39" s="16" t="s">
        <v>42</v>
      </c>
      <c r="D39" s="13">
        <v>4702080089</v>
      </c>
      <c r="E39" s="16" t="s">
        <v>36</v>
      </c>
      <c r="F39" s="16" t="s">
        <v>43</v>
      </c>
      <c r="G39" s="16" t="s">
        <v>44</v>
      </c>
      <c r="H39" s="16">
        <v>24</v>
      </c>
      <c r="I39" s="16">
        <v>24</v>
      </c>
      <c r="J39" s="16">
        <v>2</v>
      </c>
      <c r="K39" s="17">
        <v>46117</v>
      </c>
      <c r="L39" s="15">
        <v>1</v>
      </c>
      <c r="M39" s="16" t="s">
        <v>19</v>
      </c>
    </row>
    <row r="40" spans="2:13" x14ac:dyDescent="0.25">
      <c r="B40" s="13" t="s">
        <v>37</v>
      </c>
      <c r="C40" s="13" t="s">
        <v>45</v>
      </c>
      <c r="D40" s="13">
        <v>4702080089</v>
      </c>
      <c r="E40" s="13" t="s">
        <v>36</v>
      </c>
      <c r="F40" s="13" t="s">
        <v>28</v>
      </c>
      <c r="G40" s="13" t="s">
        <v>29</v>
      </c>
      <c r="H40" s="13">
        <v>24</v>
      </c>
      <c r="I40" s="13">
        <v>24</v>
      </c>
      <c r="J40" s="13">
        <v>2</v>
      </c>
      <c r="K40" s="14">
        <v>46117</v>
      </c>
      <c r="L40" s="15">
        <v>1</v>
      </c>
      <c r="M40" s="13" t="s">
        <v>19</v>
      </c>
    </row>
    <row r="41" spans="2:13" x14ac:dyDescent="0.25">
      <c r="B41" s="16" t="s">
        <v>37</v>
      </c>
      <c r="C41" s="16" t="s">
        <v>38</v>
      </c>
      <c r="D41" s="13">
        <v>4702080090</v>
      </c>
      <c r="E41" s="16" t="s">
        <v>36</v>
      </c>
      <c r="F41" s="16" t="s">
        <v>25</v>
      </c>
      <c r="G41" s="16" t="s">
        <v>26</v>
      </c>
      <c r="H41" s="16">
        <v>12</v>
      </c>
      <c r="I41" s="16">
        <v>12</v>
      </c>
      <c r="J41" s="16">
        <v>1</v>
      </c>
      <c r="K41" s="17">
        <v>46117</v>
      </c>
      <c r="L41" s="15">
        <v>1</v>
      </c>
      <c r="M41" s="16" t="s">
        <v>19</v>
      </c>
    </row>
    <row r="42" spans="2:13" x14ac:dyDescent="0.25">
      <c r="B42" s="13" t="s">
        <v>37</v>
      </c>
      <c r="C42" s="13" t="s">
        <v>39</v>
      </c>
      <c r="D42" s="13">
        <v>4702080090</v>
      </c>
      <c r="E42" s="13" t="s">
        <v>36</v>
      </c>
      <c r="F42" s="13" t="s">
        <v>40</v>
      </c>
      <c r="G42" s="13" t="s">
        <v>41</v>
      </c>
      <c r="H42" s="13">
        <v>24</v>
      </c>
      <c r="I42" s="13">
        <v>24</v>
      </c>
      <c r="J42" s="13">
        <v>2</v>
      </c>
      <c r="K42" s="14">
        <v>46117</v>
      </c>
      <c r="L42" s="15">
        <v>1</v>
      </c>
      <c r="M42" s="13" t="s">
        <v>19</v>
      </c>
    </row>
    <row r="43" spans="2:13" x14ac:dyDescent="0.25">
      <c r="B43" s="16" t="s">
        <v>37</v>
      </c>
      <c r="C43" s="16" t="s">
        <v>42</v>
      </c>
      <c r="D43" s="13">
        <v>4702080090</v>
      </c>
      <c r="E43" s="16" t="s">
        <v>36</v>
      </c>
      <c r="F43" s="16" t="s">
        <v>43</v>
      </c>
      <c r="G43" s="16" t="s">
        <v>44</v>
      </c>
      <c r="H43" s="16">
        <v>12</v>
      </c>
      <c r="I43" s="16">
        <v>12</v>
      </c>
      <c r="J43" s="16">
        <v>1</v>
      </c>
      <c r="K43" s="17">
        <v>46117</v>
      </c>
      <c r="L43" s="15">
        <v>1</v>
      </c>
      <c r="M43" s="16" t="s">
        <v>19</v>
      </c>
    </row>
    <row r="44" spans="2:13" x14ac:dyDescent="0.25">
      <c r="B44" s="13" t="s">
        <v>37</v>
      </c>
      <c r="C44" s="13" t="s">
        <v>45</v>
      </c>
      <c r="D44" s="13">
        <v>4702080090</v>
      </c>
      <c r="E44" s="13" t="s">
        <v>36</v>
      </c>
      <c r="F44" s="13" t="s">
        <v>28</v>
      </c>
      <c r="G44" s="13" t="s">
        <v>29</v>
      </c>
      <c r="H44" s="13">
        <v>12</v>
      </c>
      <c r="I44" s="13">
        <v>12</v>
      </c>
      <c r="J44" s="13">
        <v>1</v>
      </c>
      <c r="K44" s="14">
        <v>46117</v>
      </c>
      <c r="L44" s="15">
        <v>1</v>
      </c>
      <c r="M44" s="13" t="s">
        <v>19</v>
      </c>
    </row>
    <row r="45" spans="2:13" x14ac:dyDescent="0.25">
      <c r="B45" s="16" t="s">
        <v>37</v>
      </c>
      <c r="C45" s="16" t="s">
        <v>39</v>
      </c>
      <c r="D45" s="13">
        <v>4702080091</v>
      </c>
      <c r="E45" s="16" t="s">
        <v>36</v>
      </c>
      <c r="F45" s="16" t="s">
        <v>40</v>
      </c>
      <c r="G45" s="16" t="s">
        <v>41</v>
      </c>
      <c r="H45" s="16">
        <v>12</v>
      </c>
      <c r="I45" s="16">
        <v>12</v>
      </c>
      <c r="J45" s="16">
        <v>1</v>
      </c>
      <c r="K45" s="17">
        <v>46117</v>
      </c>
      <c r="L45" s="15">
        <v>1</v>
      </c>
      <c r="M45" s="16" t="s">
        <v>19</v>
      </c>
    </row>
    <row r="46" spans="2:13" x14ac:dyDescent="0.25">
      <c r="B46" s="13"/>
      <c r="C46" s="13" t="s">
        <v>30</v>
      </c>
      <c r="D46" s="13">
        <v>4702067318</v>
      </c>
      <c r="E46" s="13" t="s">
        <v>46</v>
      </c>
      <c r="F46" s="13" t="s">
        <v>31</v>
      </c>
      <c r="G46" s="13" t="s">
        <v>32</v>
      </c>
      <c r="H46" s="13">
        <v>35</v>
      </c>
      <c r="I46" s="13">
        <v>35</v>
      </c>
      <c r="J46" s="13">
        <v>2</v>
      </c>
      <c r="K46" s="14">
        <v>46117</v>
      </c>
      <c r="L46" s="15">
        <v>1</v>
      </c>
      <c r="M46" s="16" t="s">
        <v>19</v>
      </c>
    </row>
    <row r="47" spans="2:13" x14ac:dyDescent="0.25">
      <c r="B47" s="16"/>
      <c r="C47" s="16" t="s">
        <v>30</v>
      </c>
      <c r="D47" s="16">
        <v>4702067319</v>
      </c>
      <c r="E47" s="16" t="s">
        <v>46</v>
      </c>
      <c r="F47" s="16" t="s">
        <v>31</v>
      </c>
      <c r="G47" s="16" t="s">
        <v>32</v>
      </c>
      <c r="H47" s="16">
        <v>101</v>
      </c>
      <c r="I47" s="16">
        <v>101</v>
      </c>
      <c r="J47" s="16">
        <v>3</v>
      </c>
      <c r="K47" s="17">
        <v>46117</v>
      </c>
      <c r="L47" s="15">
        <v>1</v>
      </c>
      <c r="M47" s="16" t="s">
        <v>19</v>
      </c>
    </row>
    <row r="48" spans="2:13" x14ac:dyDescent="0.25">
      <c r="B48" s="13"/>
      <c r="C48" s="13" t="s">
        <v>30</v>
      </c>
      <c r="D48" s="13">
        <v>4702067320</v>
      </c>
      <c r="E48" s="13" t="s">
        <v>46</v>
      </c>
      <c r="F48" s="13" t="s">
        <v>31</v>
      </c>
      <c r="G48" s="13" t="s">
        <v>32</v>
      </c>
      <c r="H48" s="13">
        <v>105</v>
      </c>
      <c r="I48" s="13">
        <v>105</v>
      </c>
      <c r="J48" s="13">
        <v>3</v>
      </c>
      <c r="K48" s="14">
        <v>46117</v>
      </c>
      <c r="L48" s="15">
        <v>1</v>
      </c>
      <c r="M48" s="16" t="s">
        <v>19</v>
      </c>
    </row>
    <row r="49" spans="2:13" x14ac:dyDescent="0.25">
      <c r="B49" s="13"/>
      <c r="C49" s="13" t="s">
        <v>47</v>
      </c>
      <c r="D49" s="13">
        <v>4702067333</v>
      </c>
      <c r="E49" s="13" t="s">
        <v>46</v>
      </c>
      <c r="F49" s="13" t="s">
        <v>48</v>
      </c>
      <c r="G49" s="13" t="s">
        <v>49</v>
      </c>
      <c r="H49" s="13">
        <v>141</v>
      </c>
      <c r="I49" s="13">
        <v>141</v>
      </c>
      <c r="J49" s="13">
        <v>9</v>
      </c>
      <c r="K49" s="14">
        <v>46117</v>
      </c>
      <c r="L49" s="15">
        <v>1</v>
      </c>
      <c r="M49" s="13" t="s">
        <v>19</v>
      </c>
    </row>
    <row r="50" spans="2:13" x14ac:dyDescent="0.25">
      <c r="B50" s="16"/>
      <c r="C50" s="16" t="s">
        <v>20</v>
      </c>
      <c r="D50" s="16">
        <v>4702067333</v>
      </c>
      <c r="E50" s="16" t="s">
        <v>46</v>
      </c>
      <c r="F50" s="16" t="s">
        <v>21</v>
      </c>
      <c r="G50" s="16" t="s">
        <v>22</v>
      </c>
      <c r="H50" s="16">
        <v>211</v>
      </c>
      <c r="I50" s="16">
        <v>211</v>
      </c>
      <c r="J50" s="16">
        <v>13</v>
      </c>
      <c r="K50" s="17">
        <v>46117</v>
      </c>
      <c r="L50" s="15">
        <v>1</v>
      </c>
      <c r="M50" s="16" t="s">
        <v>19</v>
      </c>
    </row>
    <row r="51" spans="2:13" x14ac:dyDescent="0.25">
      <c r="B51" s="13"/>
      <c r="C51" s="13" t="s">
        <v>50</v>
      </c>
      <c r="D51" s="13">
        <v>4702067333</v>
      </c>
      <c r="E51" s="13" t="s">
        <v>46</v>
      </c>
      <c r="F51" s="13" t="s">
        <v>51</v>
      </c>
      <c r="G51" s="13" t="s">
        <v>52</v>
      </c>
      <c r="H51" s="13">
        <v>90</v>
      </c>
      <c r="I51" s="13">
        <v>90</v>
      </c>
      <c r="J51" s="13">
        <v>7</v>
      </c>
      <c r="K51" s="14">
        <v>46117</v>
      </c>
      <c r="L51" s="15">
        <v>1</v>
      </c>
      <c r="M51" s="13" t="s">
        <v>19</v>
      </c>
    </row>
    <row r="52" spans="2:13" x14ac:dyDescent="0.25">
      <c r="B52" s="16"/>
      <c r="C52" s="16" t="s">
        <v>53</v>
      </c>
      <c r="D52" s="16">
        <v>4702067336</v>
      </c>
      <c r="E52" s="16" t="s">
        <v>46</v>
      </c>
      <c r="F52" s="16" t="s">
        <v>54</v>
      </c>
      <c r="G52" s="16" t="s">
        <v>55</v>
      </c>
      <c r="H52" s="16">
        <v>35</v>
      </c>
      <c r="I52" s="16">
        <v>35</v>
      </c>
      <c r="J52" s="16">
        <v>3</v>
      </c>
      <c r="K52" s="17">
        <v>46117</v>
      </c>
      <c r="L52" s="15">
        <v>1</v>
      </c>
      <c r="M52" s="16" t="s">
        <v>19</v>
      </c>
    </row>
    <row r="53" spans="2:13" x14ac:dyDescent="0.25">
      <c r="B53" s="16"/>
      <c r="C53" s="16" t="s">
        <v>56</v>
      </c>
      <c r="D53" s="16">
        <v>4702095656</v>
      </c>
      <c r="E53" s="16" t="s">
        <v>57</v>
      </c>
      <c r="F53" s="18">
        <v>710967894001</v>
      </c>
      <c r="G53" s="16" t="s">
        <v>34</v>
      </c>
      <c r="H53" s="16">
        <v>240</v>
      </c>
      <c r="I53" s="16">
        <v>240</v>
      </c>
      <c r="J53" s="16">
        <v>12</v>
      </c>
      <c r="K53" s="17">
        <v>46117</v>
      </c>
      <c r="L53" s="15">
        <v>1</v>
      </c>
      <c r="M53" s="16" t="s">
        <v>19</v>
      </c>
    </row>
    <row r="54" spans="2:13" ht="18" x14ac:dyDescent="0.25">
      <c r="B54" s="20"/>
      <c r="C54" s="20"/>
      <c r="D54" s="20"/>
      <c r="E54" s="20"/>
      <c r="F54" s="20"/>
      <c r="G54" s="21" t="s">
        <v>58</v>
      </c>
      <c r="H54" s="21">
        <f>SUM(H6:H53)</f>
        <v>9791</v>
      </c>
      <c r="I54" s="21">
        <f>SUM(I6:I53)</f>
        <v>9940</v>
      </c>
      <c r="J54" s="21">
        <f>SUM(J6:J53)</f>
        <v>888</v>
      </c>
      <c r="K54" s="20"/>
      <c r="L54" s="20"/>
      <c r="M54" s="20"/>
    </row>
    <row r="56" spans="2:13" ht="28.5" x14ac:dyDescent="0.25">
      <c r="C56" s="4" t="s">
        <v>4</v>
      </c>
      <c r="D56" s="4" t="s">
        <v>5</v>
      </c>
      <c r="E56" s="4" t="s">
        <v>6</v>
      </c>
      <c r="F56" s="4" t="s">
        <v>7</v>
      </c>
      <c r="G56" s="4" t="s">
        <v>8</v>
      </c>
      <c r="H56" s="4" t="s">
        <v>9</v>
      </c>
      <c r="I56" s="4" t="s">
        <v>10</v>
      </c>
      <c r="J56" s="4" t="s">
        <v>11</v>
      </c>
      <c r="K56" s="4" t="s">
        <v>12</v>
      </c>
      <c r="L56" s="4" t="s">
        <v>13</v>
      </c>
      <c r="M56" s="4" t="s">
        <v>14</v>
      </c>
    </row>
    <row r="57" spans="2:13" x14ac:dyDescent="0.25">
      <c r="C57" s="5" t="s">
        <v>20</v>
      </c>
      <c r="D57" s="5">
        <v>4702067334</v>
      </c>
      <c r="E57" s="5" t="s">
        <v>16</v>
      </c>
      <c r="F57" s="5" t="s">
        <v>21</v>
      </c>
      <c r="G57" s="5" t="s">
        <v>22</v>
      </c>
      <c r="H57" s="5">
        <v>121</v>
      </c>
      <c r="I57" s="5">
        <v>121</v>
      </c>
      <c r="J57" s="5">
        <v>8</v>
      </c>
      <c r="K57" s="6">
        <v>46110</v>
      </c>
      <c r="L57" s="7">
        <v>1</v>
      </c>
      <c r="M57" s="5" t="s">
        <v>35</v>
      </c>
    </row>
    <row r="58" spans="2:13" x14ac:dyDescent="0.25">
      <c r="C58" s="8" t="s">
        <v>23</v>
      </c>
      <c r="D58" s="8">
        <v>4702079687</v>
      </c>
      <c r="E58" s="8" t="s">
        <v>24</v>
      </c>
      <c r="F58" s="8" t="s">
        <v>25</v>
      </c>
      <c r="G58" s="8" t="s">
        <v>26</v>
      </c>
      <c r="H58" s="8">
        <v>200</v>
      </c>
      <c r="I58" s="8">
        <v>200</v>
      </c>
      <c r="J58" s="8">
        <v>13</v>
      </c>
      <c r="K58" s="10">
        <v>46110</v>
      </c>
      <c r="L58" s="7">
        <v>1</v>
      </c>
      <c r="M58" s="8" t="s">
        <v>35</v>
      </c>
    </row>
    <row r="59" spans="2:13" x14ac:dyDescent="0.25">
      <c r="C59" s="5" t="s">
        <v>27</v>
      </c>
      <c r="D59" s="5">
        <v>4702079687</v>
      </c>
      <c r="E59" s="5" t="s">
        <v>24</v>
      </c>
      <c r="F59" s="5" t="s">
        <v>28</v>
      </c>
      <c r="G59" s="5" t="s">
        <v>29</v>
      </c>
      <c r="H59" s="5">
        <v>220</v>
      </c>
      <c r="I59" s="5">
        <v>220</v>
      </c>
      <c r="J59" s="5">
        <v>14</v>
      </c>
      <c r="K59" s="6">
        <v>46110</v>
      </c>
      <c r="L59" s="7">
        <v>1</v>
      </c>
      <c r="M59" s="5" t="s">
        <v>35</v>
      </c>
    </row>
    <row r="60" spans="2:13" x14ac:dyDescent="0.25">
      <c r="C60" s="5" t="s">
        <v>30</v>
      </c>
      <c r="D60" s="8">
        <v>4702067321</v>
      </c>
      <c r="E60" s="8" t="s">
        <v>16</v>
      </c>
      <c r="F60" s="8" t="s">
        <v>31</v>
      </c>
      <c r="G60" s="8" t="s">
        <v>32</v>
      </c>
      <c r="H60" s="8">
        <v>250</v>
      </c>
      <c r="I60" s="8">
        <v>241</v>
      </c>
      <c r="J60" s="8">
        <v>6</v>
      </c>
      <c r="K60" s="10">
        <v>46110</v>
      </c>
      <c r="L60" s="7">
        <v>0.96399999999999997</v>
      </c>
      <c r="M60" s="8" t="s">
        <v>35</v>
      </c>
    </row>
    <row r="61" spans="2:13" x14ac:dyDescent="0.25">
      <c r="C61" s="5" t="s">
        <v>33</v>
      </c>
      <c r="D61" s="5">
        <v>4702095845</v>
      </c>
      <c r="E61" s="5" t="s">
        <v>24</v>
      </c>
      <c r="F61" s="9">
        <v>710967632001</v>
      </c>
      <c r="G61" s="5" t="s">
        <v>34</v>
      </c>
      <c r="H61" s="5">
        <v>330</v>
      </c>
      <c r="I61" s="5">
        <v>337</v>
      </c>
      <c r="J61" s="5">
        <v>20</v>
      </c>
      <c r="K61" s="6">
        <v>46110</v>
      </c>
      <c r="L61" s="7">
        <v>1.0212121212121212</v>
      </c>
      <c r="M61" s="5" t="s">
        <v>35</v>
      </c>
    </row>
    <row r="62" spans="2:13" ht="18" x14ac:dyDescent="0.25">
      <c r="G62" s="21" t="s">
        <v>58</v>
      </c>
      <c r="H62" s="21">
        <f>SUM(H57:H61)</f>
        <v>1121</v>
      </c>
      <c r="I62" s="21">
        <f t="shared" ref="I62" si="0">SUM(I57:I61)</f>
        <v>1119</v>
      </c>
      <c r="J62" s="21">
        <f>SUM(J57:J61)</f>
        <v>61</v>
      </c>
    </row>
    <row r="65" spans="7:12" ht="18" x14ac:dyDescent="0.25">
      <c r="G65" s="21" t="s">
        <v>65</v>
      </c>
      <c r="H65" s="21">
        <f>+H54+H62</f>
        <v>10912</v>
      </c>
      <c r="I65" s="21">
        <f t="shared" ref="I65:J65" si="1">+I54+I62</f>
        <v>11059</v>
      </c>
      <c r="J65" s="21">
        <f t="shared" si="1"/>
        <v>949</v>
      </c>
    </row>
    <row r="66" spans="7:12" x14ac:dyDescent="0.25">
      <c r="L66">
        <f>306+2-888</f>
        <v>-580</v>
      </c>
    </row>
  </sheetData>
  <pageMargins left="0.25" right="0.25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8:G11"/>
  <sheetViews>
    <sheetView workbookViewId="0">
      <selection activeCell="I11" sqref="I11"/>
    </sheetView>
  </sheetViews>
  <sheetFormatPr defaultRowHeight="15" x14ac:dyDescent="0.25"/>
  <cols>
    <col min="5" max="5" width="16.28515625" bestFit="1" customWidth="1"/>
    <col min="6" max="7" width="8.28515625" customWidth="1"/>
  </cols>
  <sheetData>
    <row r="8" spans="5:7" x14ac:dyDescent="0.25">
      <c r="E8" s="24" t="s">
        <v>64</v>
      </c>
      <c r="F8" s="24" t="s">
        <v>62</v>
      </c>
      <c r="G8" s="24" t="s">
        <v>63</v>
      </c>
    </row>
    <row r="9" spans="5:7" x14ac:dyDescent="0.25">
      <c r="E9" s="23" t="s">
        <v>59</v>
      </c>
      <c r="F9" s="22">
        <v>5512</v>
      </c>
      <c r="G9" s="22">
        <v>295</v>
      </c>
    </row>
    <row r="10" spans="5:7" x14ac:dyDescent="0.25">
      <c r="E10" s="23" t="s">
        <v>60</v>
      </c>
      <c r="F10" s="22">
        <v>2325</v>
      </c>
      <c r="G10" s="22">
        <v>140</v>
      </c>
    </row>
    <row r="11" spans="5:7" x14ac:dyDescent="0.25">
      <c r="E11" s="23" t="s">
        <v>61</v>
      </c>
      <c r="F11" s="22">
        <v>5297</v>
      </c>
      <c r="G11" s="22">
        <v>139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C4:Z42"/>
  <sheetViews>
    <sheetView workbookViewId="0">
      <selection activeCell="F48" sqref="F48"/>
    </sheetView>
  </sheetViews>
  <sheetFormatPr defaultRowHeight="15" x14ac:dyDescent="0.25"/>
  <cols>
    <col min="3" max="3" width="18.85546875" bestFit="1" customWidth="1"/>
    <col min="4" max="4" width="15.7109375" bestFit="1" customWidth="1"/>
    <col min="5" max="5" width="6.85546875" bestFit="1" customWidth="1"/>
    <col min="6" max="6" width="8.140625" bestFit="1" customWidth="1"/>
    <col min="7" max="7" width="18.7109375" bestFit="1" customWidth="1"/>
    <col min="8" max="8" width="14.28515625" bestFit="1" customWidth="1"/>
    <col min="9" max="9" width="42" bestFit="1" customWidth="1"/>
    <col min="10" max="10" width="5.5703125" bestFit="1" customWidth="1"/>
    <col min="11" max="11" width="27.5703125" bestFit="1" customWidth="1"/>
    <col min="12" max="12" width="9" bestFit="1" customWidth="1"/>
    <col min="15" max="15" width="11" bestFit="1" customWidth="1"/>
    <col min="16" max="16" width="13.85546875" bestFit="1" customWidth="1"/>
    <col min="17" max="17" width="11" bestFit="1" customWidth="1"/>
    <col min="18" max="18" width="8.140625" bestFit="1" customWidth="1"/>
    <col min="19" max="19" width="13.140625" bestFit="1" customWidth="1"/>
    <col min="20" max="20" width="31.42578125" bestFit="1" customWidth="1"/>
    <col min="21" max="21" width="6.85546875" bestFit="1" customWidth="1"/>
    <col min="22" max="22" width="5.85546875" bestFit="1" customWidth="1"/>
    <col min="23" max="23" width="6.5703125" bestFit="1" customWidth="1"/>
    <col min="24" max="24" width="10.140625" bestFit="1" customWidth="1"/>
    <col min="25" max="25" width="8.28515625" bestFit="1" customWidth="1"/>
    <col min="26" max="26" width="9.28515625" bestFit="1" customWidth="1"/>
  </cols>
  <sheetData>
    <row r="4" spans="3:26" ht="45" x14ac:dyDescent="0.25">
      <c r="C4" s="26" t="s">
        <v>66</v>
      </c>
      <c r="D4" s="27" t="s">
        <v>67</v>
      </c>
      <c r="E4" s="25" t="s">
        <v>68</v>
      </c>
      <c r="F4" s="26" t="s">
        <v>69</v>
      </c>
      <c r="G4" s="27" t="s">
        <v>70</v>
      </c>
      <c r="H4" s="27" t="s">
        <v>71</v>
      </c>
      <c r="I4" s="26" t="s">
        <v>72</v>
      </c>
      <c r="J4" s="26" t="s">
        <v>73</v>
      </c>
      <c r="K4" s="26" t="s">
        <v>37</v>
      </c>
      <c r="L4" s="26" t="s">
        <v>76</v>
      </c>
      <c r="O4" s="4" t="s">
        <v>3</v>
      </c>
      <c r="P4" s="4" t="s">
        <v>4</v>
      </c>
      <c r="Q4" s="4" t="s">
        <v>5</v>
      </c>
      <c r="R4" s="4" t="s">
        <v>6</v>
      </c>
      <c r="S4" s="4" t="s">
        <v>7</v>
      </c>
      <c r="T4" s="4" t="s">
        <v>8</v>
      </c>
      <c r="U4" s="4" t="s">
        <v>9</v>
      </c>
      <c r="V4" s="4" t="s">
        <v>10</v>
      </c>
      <c r="W4" s="4" t="s">
        <v>11</v>
      </c>
      <c r="X4" s="4" t="s">
        <v>12</v>
      </c>
      <c r="Y4" s="4" t="s">
        <v>13</v>
      </c>
      <c r="Z4" s="4" t="s">
        <v>14</v>
      </c>
    </row>
    <row r="5" spans="3:26" hidden="1" x14ac:dyDescent="0.25">
      <c r="C5" s="28" t="s">
        <v>39</v>
      </c>
      <c r="D5" s="28">
        <v>4702080087</v>
      </c>
      <c r="E5" s="28" t="s">
        <v>74</v>
      </c>
      <c r="F5" s="28" t="s">
        <v>36</v>
      </c>
      <c r="G5" s="28" t="s">
        <v>40</v>
      </c>
      <c r="H5" s="28" t="s">
        <v>75</v>
      </c>
      <c r="I5" s="28" t="s">
        <v>41</v>
      </c>
      <c r="J5" s="29">
        <v>12</v>
      </c>
      <c r="K5" s="28" t="s">
        <v>83</v>
      </c>
      <c r="L5" s="28">
        <v>12</v>
      </c>
      <c r="O5" s="8" t="s">
        <v>37</v>
      </c>
      <c r="P5" s="8" t="s">
        <v>39</v>
      </c>
      <c r="Q5" s="5">
        <v>4702080087</v>
      </c>
      <c r="R5" s="8" t="s">
        <v>36</v>
      </c>
      <c r="S5" s="8" t="s">
        <v>40</v>
      </c>
      <c r="T5" s="8" t="s">
        <v>41</v>
      </c>
      <c r="U5" s="8">
        <v>12</v>
      </c>
      <c r="V5" s="8">
        <v>12</v>
      </c>
      <c r="W5" s="8">
        <v>1</v>
      </c>
      <c r="X5" s="10">
        <v>46117</v>
      </c>
      <c r="Y5" s="7">
        <v>1</v>
      </c>
      <c r="Z5" s="8" t="s">
        <v>19</v>
      </c>
    </row>
    <row r="6" spans="3:26" hidden="1" x14ac:dyDescent="0.25">
      <c r="C6" s="28" t="s">
        <v>39</v>
      </c>
      <c r="D6" s="28">
        <v>4702080091</v>
      </c>
      <c r="E6" s="28" t="s">
        <v>74</v>
      </c>
      <c r="F6" s="28" t="s">
        <v>36</v>
      </c>
      <c r="G6" s="28" t="s">
        <v>40</v>
      </c>
      <c r="H6" s="28" t="s">
        <v>75</v>
      </c>
      <c r="I6" s="28" t="s">
        <v>41</v>
      </c>
      <c r="J6" s="29">
        <v>12</v>
      </c>
      <c r="K6" s="28" t="s">
        <v>87</v>
      </c>
      <c r="L6" s="28">
        <v>12</v>
      </c>
      <c r="O6" s="8" t="s">
        <v>37</v>
      </c>
      <c r="P6" s="8" t="s">
        <v>39</v>
      </c>
      <c r="Q6" s="5">
        <v>4702080091</v>
      </c>
      <c r="R6" s="8" t="s">
        <v>36</v>
      </c>
      <c r="S6" s="8" t="s">
        <v>40</v>
      </c>
      <c r="T6" s="8" t="s">
        <v>41</v>
      </c>
      <c r="U6" s="8">
        <v>12</v>
      </c>
      <c r="V6" s="8">
        <v>12</v>
      </c>
      <c r="W6" s="8">
        <v>1</v>
      </c>
      <c r="X6" s="10">
        <v>46117</v>
      </c>
      <c r="Y6" s="7">
        <v>1</v>
      </c>
      <c r="Z6" s="8" t="s">
        <v>19</v>
      </c>
    </row>
    <row r="7" spans="3:26" hidden="1" x14ac:dyDescent="0.25">
      <c r="C7" s="28" t="s">
        <v>42</v>
      </c>
      <c r="D7" s="28">
        <v>4702080087</v>
      </c>
      <c r="E7" s="28" t="s">
        <v>74</v>
      </c>
      <c r="F7" s="28" t="s">
        <v>36</v>
      </c>
      <c r="G7" s="28" t="s">
        <v>43</v>
      </c>
      <c r="H7" s="28" t="s">
        <v>75</v>
      </c>
      <c r="I7" s="28" t="s">
        <v>44</v>
      </c>
      <c r="J7" s="29">
        <v>12</v>
      </c>
      <c r="K7" s="28" t="s">
        <v>83</v>
      </c>
      <c r="L7" s="28">
        <v>12</v>
      </c>
      <c r="O7" s="5" t="s">
        <v>37</v>
      </c>
      <c r="P7" s="5" t="s">
        <v>42</v>
      </c>
      <c r="Q7" s="5">
        <v>4702080087</v>
      </c>
      <c r="R7" s="5" t="s">
        <v>36</v>
      </c>
      <c r="S7" s="5" t="s">
        <v>43</v>
      </c>
      <c r="T7" s="5" t="s">
        <v>44</v>
      </c>
      <c r="U7" s="5">
        <v>12</v>
      </c>
      <c r="V7" s="5">
        <v>12</v>
      </c>
      <c r="W7" s="5">
        <v>1</v>
      </c>
      <c r="X7" s="6">
        <v>46117</v>
      </c>
      <c r="Y7" s="7">
        <v>1</v>
      </c>
      <c r="Z7" s="5" t="s">
        <v>19</v>
      </c>
    </row>
    <row r="8" spans="3:26" hidden="1" x14ac:dyDescent="0.25">
      <c r="C8" s="28" t="s">
        <v>42</v>
      </c>
      <c r="D8" s="28">
        <v>4702080090</v>
      </c>
      <c r="E8" s="28" t="s">
        <v>74</v>
      </c>
      <c r="F8" s="28" t="s">
        <v>36</v>
      </c>
      <c r="G8" s="28" t="s">
        <v>43</v>
      </c>
      <c r="H8" s="28" t="s">
        <v>75</v>
      </c>
      <c r="I8" s="28" t="s">
        <v>44</v>
      </c>
      <c r="J8" s="29">
        <v>12</v>
      </c>
      <c r="K8" s="28" t="s">
        <v>86</v>
      </c>
      <c r="L8" s="28">
        <v>12</v>
      </c>
      <c r="O8" s="8" t="s">
        <v>37</v>
      </c>
      <c r="P8" s="8" t="s">
        <v>42</v>
      </c>
      <c r="Q8" s="5">
        <v>4702080090</v>
      </c>
      <c r="R8" s="8" t="s">
        <v>36</v>
      </c>
      <c r="S8" s="8" t="s">
        <v>43</v>
      </c>
      <c r="T8" s="8" t="s">
        <v>44</v>
      </c>
      <c r="U8" s="8">
        <v>12</v>
      </c>
      <c r="V8" s="8">
        <v>12</v>
      </c>
      <c r="W8" s="8">
        <v>1</v>
      </c>
      <c r="X8" s="10">
        <v>46117</v>
      </c>
      <c r="Y8" s="7">
        <v>1</v>
      </c>
      <c r="Z8" s="8" t="s">
        <v>19</v>
      </c>
    </row>
    <row r="9" spans="3:26" hidden="1" x14ac:dyDescent="0.25">
      <c r="C9" s="28" t="s">
        <v>38</v>
      </c>
      <c r="D9" s="28">
        <v>4702080087</v>
      </c>
      <c r="E9" s="28" t="s">
        <v>74</v>
      </c>
      <c r="F9" s="28" t="s">
        <v>36</v>
      </c>
      <c r="G9" s="28" t="s">
        <v>25</v>
      </c>
      <c r="H9" s="28" t="s">
        <v>75</v>
      </c>
      <c r="I9" s="28" t="s">
        <v>26</v>
      </c>
      <c r="J9" s="29">
        <v>12</v>
      </c>
      <c r="K9" s="28" t="s">
        <v>83</v>
      </c>
      <c r="L9" s="28">
        <v>12</v>
      </c>
      <c r="O9" s="8" t="s">
        <v>37</v>
      </c>
      <c r="P9" s="8" t="s">
        <v>38</v>
      </c>
      <c r="Q9" s="5">
        <v>4702080087</v>
      </c>
      <c r="R9" s="8" t="s">
        <v>36</v>
      </c>
      <c r="S9" s="8" t="s">
        <v>25</v>
      </c>
      <c r="T9" s="8" t="s">
        <v>26</v>
      </c>
      <c r="U9" s="8">
        <v>12</v>
      </c>
      <c r="V9" s="8">
        <v>12</v>
      </c>
      <c r="W9" s="8">
        <v>1</v>
      </c>
      <c r="X9" s="10">
        <v>46117</v>
      </c>
      <c r="Y9" s="7">
        <v>1</v>
      </c>
      <c r="Z9" s="8" t="s">
        <v>19</v>
      </c>
    </row>
    <row r="10" spans="3:26" hidden="1" x14ac:dyDescent="0.25">
      <c r="C10" s="28" t="s">
        <v>38</v>
      </c>
      <c r="D10" s="28">
        <v>4702080090</v>
      </c>
      <c r="E10" s="28" t="s">
        <v>74</v>
      </c>
      <c r="F10" s="28" t="s">
        <v>36</v>
      </c>
      <c r="G10" s="28" t="s">
        <v>25</v>
      </c>
      <c r="H10" s="28" t="s">
        <v>75</v>
      </c>
      <c r="I10" s="28" t="s">
        <v>26</v>
      </c>
      <c r="J10" s="29">
        <v>12</v>
      </c>
      <c r="K10" s="28" t="s">
        <v>86</v>
      </c>
      <c r="L10" s="28">
        <v>12</v>
      </c>
      <c r="O10" s="8" t="s">
        <v>37</v>
      </c>
      <c r="P10" s="8" t="s">
        <v>38</v>
      </c>
      <c r="Q10" s="5">
        <v>4702080090</v>
      </c>
      <c r="R10" s="8" t="s">
        <v>36</v>
      </c>
      <c r="S10" s="8" t="s">
        <v>25</v>
      </c>
      <c r="T10" s="8" t="s">
        <v>26</v>
      </c>
      <c r="U10" s="8">
        <v>12</v>
      </c>
      <c r="V10" s="8">
        <v>12</v>
      </c>
      <c r="W10" s="8">
        <v>1</v>
      </c>
      <c r="X10" s="10">
        <v>46117</v>
      </c>
      <c r="Y10" s="7">
        <v>1</v>
      </c>
      <c r="Z10" s="8" t="s">
        <v>19</v>
      </c>
    </row>
    <row r="11" spans="3:26" x14ac:dyDescent="0.25">
      <c r="C11" s="28" t="s">
        <v>45</v>
      </c>
      <c r="D11" s="28">
        <v>4702080087</v>
      </c>
      <c r="E11" s="28" t="s">
        <v>74</v>
      </c>
      <c r="F11" s="28" t="s">
        <v>36</v>
      </c>
      <c r="G11" s="28" t="s">
        <v>28</v>
      </c>
      <c r="H11" s="28" t="s">
        <v>75</v>
      </c>
      <c r="I11" s="28" t="s">
        <v>29</v>
      </c>
      <c r="J11" s="29">
        <v>12</v>
      </c>
      <c r="K11" s="28" t="s">
        <v>83</v>
      </c>
      <c r="L11" s="28">
        <v>12</v>
      </c>
      <c r="O11" s="5" t="s">
        <v>37</v>
      </c>
      <c r="P11" s="5" t="s">
        <v>45</v>
      </c>
      <c r="Q11" s="5">
        <v>4702080087</v>
      </c>
      <c r="R11" s="5" t="s">
        <v>36</v>
      </c>
      <c r="S11" s="5" t="s">
        <v>28</v>
      </c>
      <c r="T11" s="5" t="s">
        <v>29</v>
      </c>
      <c r="U11" s="5">
        <v>12</v>
      </c>
      <c r="V11" s="5">
        <v>12</v>
      </c>
      <c r="W11" s="5">
        <v>1</v>
      </c>
      <c r="X11" s="6">
        <v>46117</v>
      </c>
      <c r="Y11" s="7">
        <v>1</v>
      </c>
      <c r="Z11" s="5" t="s">
        <v>19</v>
      </c>
    </row>
    <row r="12" spans="3:26" x14ac:dyDescent="0.25">
      <c r="C12" s="28" t="s">
        <v>45</v>
      </c>
      <c r="D12" s="28">
        <v>4702080090</v>
      </c>
      <c r="E12" s="28" t="s">
        <v>74</v>
      </c>
      <c r="F12" s="28" t="s">
        <v>36</v>
      </c>
      <c r="G12" s="28" t="s">
        <v>28</v>
      </c>
      <c r="H12" s="28" t="s">
        <v>75</v>
      </c>
      <c r="I12" s="28" t="s">
        <v>29</v>
      </c>
      <c r="J12" s="29">
        <v>12</v>
      </c>
      <c r="K12" s="28" t="s">
        <v>86</v>
      </c>
      <c r="L12" s="28">
        <v>12</v>
      </c>
      <c r="O12" s="5" t="s">
        <v>37</v>
      </c>
      <c r="P12" s="5" t="s">
        <v>45</v>
      </c>
      <c r="Q12" s="5">
        <v>4702080090</v>
      </c>
      <c r="R12" s="5" t="s">
        <v>36</v>
      </c>
      <c r="S12" s="5" t="s">
        <v>28</v>
      </c>
      <c r="T12" s="5" t="s">
        <v>29</v>
      </c>
      <c r="U12" s="5">
        <v>12</v>
      </c>
      <c r="V12" s="5">
        <v>12</v>
      </c>
      <c r="W12" s="5">
        <v>1</v>
      </c>
      <c r="X12" s="6">
        <v>46117</v>
      </c>
      <c r="Y12" s="7">
        <v>1</v>
      </c>
      <c r="Z12" s="5" t="s">
        <v>19</v>
      </c>
    </row>
    <row r="13" spans="3:26" hidden="1" x14ac:dyDescent="0.25">
      <c r="C13" s="28" t="s">
        <v>39</v>
      </c>
      <c r="D13" s="28">
        <v>4702080085</v>
      </c>
      <c r="E13" s="28" t="s">
        <v>74</v>
      </c>
      <c r="F13" s="28" t="s">
        <v>36</v>
      </c>
      <c r="G13" s="28" t="s">
        <v>40</v>
      </c>
      <c r="H13" s="28" t="s">
        <v>75</v>
      </c>
      <c r="I13" s="28" t="s">
        <v>41</v>
      </c>
      <c r="J13" s="29">
        <v>24</v>
      </c>
      <c r="K13" s="28" t="s">
        <v>81</v>
      </c>
      <c r="L13" s="28">
        <v>12</v>
      </c>
      <c r="O13" s="5" t="s">
        <v>37</v>
      </c>
      <c r="P13" s="5" t="s">
        <v>39</v>
      </c>
      <c r="Q13" s="5">
        <v>4702080085</v>
      </c>
      <c r="R13" s="5" t="s">
        <v>36</v>
      </c>
      <c r="S13" s="5" t="s">
        <v>40</v>
      </c>
      <c r="T13" s="11" t="s">
        <v>41</v>
      </c>
      <c r="U13" s="5">
        <v>24</v>
      </c>
      <c r="V13" s="5">
        <v>24</v>
      </c>
      <c r="W13" s="5">
        <v>2</v>
      </c>
      <c r="X13" s="6">
        <v>46117</v>
      </c>
      <c r="Y13" s="7">
        <v>1</v>
      </c>
      <c r="Z13" s="5" t="s">
        <v>19</v>
      </c>
    </row>
    <row r="14" spans="3:26" hidden="1" x14ac:dyDescent="0.25">
      <c r="C14" s="28" t="s">
        <v>39</v>
      </c>
      <c r="D14" s="28">
        <v>4702080088</v>
      </c>
      <c r="E14" s="28" t="s">
        <v>74</v>
      </c>
      <c r="F14" s="28" t="s">
        <v>36</v>
      </c>
      <c r="G14" s="28" t="s">
        <v>40</v>
      </c>
      <c r="H14" s="28" t="s">
        <v>75</v>
      </c>
      <c r="I14" s="28" t="s">
        <v>41</v>
      </c>
      <c r="J14" s="29">
        <v>24</v>
      </c>
      <c r="K14" s="28" t="s">
        <v>84</v>
      </c>
      <c r="L14" s="28">
        <v>12</v>
      </c>
      <c r="O14" s="5" t="s">
        <v>37</v>
      </c>
      <c r="P14" s="5" t="s">
        <v>39</v>
      </c>
      <c r="Q14" s="5">
        <v>4702080088</v>
      </c>
      <c r="R14" s="5" t="s">
        <v>36</v>
      </c>
      <c r="S14" s="5" t="s">
        <v>40</v>
      </c>
      <c r="T14" s="5" t="s">
        <v>41</v>
      </c>
      <c r="U14" s="5">
        <v>24</v>
      </c>
      <c r="V14" s="5">
        <v>24</v>
      </c>
      <c r="W14" s="5">
        <v>2</v>
      </c>
      <c r="X14" s="6">
        <v>46117</v>
      </c>
      <c r="Y14" s="7">
        <v>1</v>
      </c>
      <c r="Z14" s="5" t="s">
        <v>19</v>
      </c>
    </row>
    <row r="15" spans="3:26" hidden="1" x14ac:dyDescent="0.25">
      <c r="C15" s="28" t="s">
        <v>39</v>
      </c>
      <c r="D15" s="28">
        <v>4702080090</v>
      </c>
      <c r="E15" s="28" t="s">
        <v>74</v>
      </c>
      <c r="F15" s="28" t="s">
        <v>36</v>
      </c>
      <c r="G15" s="28" t="s">
        <v>40</v>
      </c>
      <c r="H15" s="28" t="s">
        <v>75</v>
      </c>
      <c r="I15" s="28" t="s">
        <v>41</v>
      </c>
      <c r="J15" s="29">
        <v>24</v>
      </c>
      <c r="K15" s="28" t="s">
        <v>86</v>
      </c>
      <c r="L15" s="28">
        <v>12</v>
      </c>
      <c r="O15" s="5" t="s">
        <v>37</v>
      </c>
      <c r="P15" s="5" t="s">
        <v>39</v>
      </c>
      <c r="Q15" s="5">
        <v>4702080090</v>
      </c>
      <c r="R15" s="5" t="s">
        <v>36</v>
      </c>
      <c r="S15" s="5" t="s">
        <v>40</v>
      </c>
      <c r="T15" s="5" t="s">
        <v>41</v>
      </c>
      <c r="U15" s="5">
        <v>24</v>
      </c>
      <c r="V15" s="5">
        <v>24</v>
      </c>
      <c r="W15" s="5">
        <v>2</v>
      </c>
      <c r="X15" s="6">
        <v>46117</v>
      </c>
      <c r="Y15" s="7">
        <v>1</v>
      </c>
      <c r="Z15" s="5" t="s">
        <v>19</v>
      </c>
    </row>
    <row r="16" spans="3:26" hidden="1" x14ac:dyDescent="0.25">
      <c r="C16" s="28" t="s">
        <v>42</v>
      </c>
      <c r="D16" s="28">
        <v>4702080088</v>
      </c>
      <c r="E16" s="28" t="s">
        <v>74</v>
      </c>
      <c r="F16" s="28" t="s">
        <v>36</v>
      </c>
      <c r="G16" s="28" t="s">
        <v>43</v>
      </c>
      <c r="H16" s="28" t="s">
        <v>75</v>
      </c>
      <c r="I16" s="28" t="s">
        <v>44</v>
      </c>
      <c r="J16" s="29">
        <v>24</v>
      </c>
      <c r="K16" s="28" t="s">
        <v>84</v>
      </c>
      <c r="L16" s="28">
        <v>12</v>
      </c>
      <c r="O16" s="8" t="s">
        <v>37</v>
      </c>
      <c r="P16" s="8" t="s">
        <v>42</v>
      </c>
      <c r="Q16" s="5">
        <v>4702080088</v>
      </c>
      <c r="R16" s="8" t="s">
        <v>36</v>
      </c>
      <c r="S16" s="8" t="s">
        <v>43</v>
      </c>
      <c r="T16" s="8" t="s">
        <v>44</v>
      </c>
      <c r="U16" s="8">
        <v>24</v>
      </c>
      <c r="V16" s="8">
        <v>24</v>
      </c>
      <c r="W16" s="8">
        <v>2</v>
      </c>
      <c r="X16" s="10">
        <v>46117</v>
      </c>
      <c r="Y16" s="7">
        <v>1</v>
      </c>
      <c r="Z16" s="8" t="s">
        <v>19</v>
      </c>
    </row>
    <row r="17" spans="3:26" hidden="1" x14ac:dyDescent="0.25">
      <c r="C17" s="28" t="s">
        <v>42</v>
      </c>
      <c r="D17" s="28">
        <v>4702080089</v>
      </c>
      <c r="E17" s="28" t="s">
        <v>74</v>
      </c>
      <c r="F17" s="28" t="s">
        <v>36</v>
      </c>
      <c r="G17" s="28" t="s">
        <v>43</v>
      </c>
      <c r="H17" s="28" t="s">
        <v>75</v>
      </c>
      <c r="I17" s="28" t="s">
        <v>44</v>
      </c>
      <c r="J17" s="29">
        <v>24</v>
      </c>
      <c r="K17" s="28" t="s">
        <v>85</v>
      </c>
      <c r="L17" s="28">
        <v>12</v>
      </c>
      <c r="O17" s="8" t="s">
        <v>37</v>
      </c>
      <c r="P17" s="8" t="s">
        <v>42</v>
      </c>
      <c r="Q17" s="5">
        <v>4702080089</v>
      </c>
      <c r="R17" s="8" t="s">
        <v>36</v>
      </c>
      <c r="S17" s="8" t="s">
        <v>43</v>
      </c>
      <c r="T17" s="8" t="s">
        <v>44</v>
      </c>
      <c r="U17" s="8">
        <v>24</v>
      </c>
      <c r="V17" s="8">
        <v>24</v>
      </c>
      <c r="W17" s="8">
        <v>2</v>
      </c>
      <c r="X17" s="10">
        <v>46117</v>
      </c>
      <c r="Y17" s="7">
        <v>1</v>
      </c>
      <c r="Z17" s="8" t="s">
        <v>19</v>
      </c>
    </row>
    <row r="18" spans="3:26" hidden="1" x14ac:dyDescent="0.25">
      <c r="C18" s="28" t="s">
        <v>38</v>
      </c>
      <c r="D18" s="28">
        <v>4702080088</v>
      </c>
      <c r="E18" s="28" t="s">
        <v>74</v>
      </c>
      <c r="F18" s="28" t="s">
        <v>36</v>
      </c>
      <c r="G18" s="28" t="s">
        <v>25</v>
      </c>
      <c r="H18" s="28" t="s">
        <v>75</v>
      </c>
      <c r="I18" s="28" t="s">
        <v>26</v>
      </c>
      <c r="J18" s="29">
        <v>24</v>
      </c>
      <c r="K18" s="28" t="s">
        <v>84</v>
      </c>
      <c r="L18" s="28">
        <v>12</v>
      </c>
      <c r="O18" s="8" t="s">
        <v>37</v>
      </c>
      <c r="P18" s="8" t="s">
        <v>38</v>
      </c>
      <c r="Q18" s="5">
        <v>4702080088</v>
      </c>
      <c r="R18" s="8" t="s">
        <v>36</v>
      </c>
      <c r="S18" s="8" t="s">
        <v>25</v>
      </c>
      <c r="T18" s="8" t="s">
        <v>26</v>
      </c>
      <c r="U18" s="8">
        <v>24</v>
      </c>
      <c r="V18" s="8">
        <v>24</v>
      </c>
      <c r="W18" s="8">
        <v>2</v>
      </c>
      <c r="X18" s="10">
        <v>46117</v>
      </c>
      <c r="Y18" s="7">
        <v>1</v>
      </c>
      <c r="Z18" s="8" t="s">
        <v>19</v>
      </c>
    </row>
    <row r="19" spans="3:26" hidden="1" x14ac:dyDescent="0.25">
      <c r="C19" s="28" t="s">
        <v>38</v>
      </c>
      <c r="D19" s="28">
        <v>4702080089</v>
      </c>
      <c r="E19" s="28" t="s">
        <v>74</v>
      </c>
      <c r="F19" s="28" t="s">
        <v>36</v>
      </c>
      <c r="G19" s="28" t="s">
        <v>25</v>
      </c>
      <c r="H19" s="28" t="s">
        <v>75</v>
      </c>
      <c r="I19" s="28" t="s">
        <v>26</v>
      </c>
      <c r="J19" s="29">
        <v>24</v>
      </c>
      <c r="K19" s="28" t="s">
        <v>85</v>
      </c>
      <c r="L19" s="28">
        <v>12</v>
      </c>
      <c r="O19" s="8" t="s">
        <v>37</v>
      </c>
      <c r="P19" s="8" t="s">
        <v>38</v>
      </c>
      <c r="Q19" s="5">
        <v>4702080089</v>
      </c>
      <c r="R19" s="8" t="s">
        <v>36</v>
      </c>
      <c r="S19" s="8" t="s">
        <v>25</v>
      </c>
      <c r="T19" s="8" t="s">
        <v>26</v>
      </c>
      <c r="U19" s="8">
        <v>24</v>
      </c>
      <c r="V19" s="8">
        <v>24</v>
      </c>
      <c r="W19" s="8">
        <v>2</v>
      </c>
      <c r="X19" s="10">
        <v>46117</v>
      </c>
      <c r="Y19" s="7">
        <v>1</v>
      </c>
      <c r="Z19" s="8" t="s">
        <v>19</v>
      </c>
    </row>
    <row r="20" spans="3:26" x14ac:dyDescent="0.25">
      <c r="C20" s="28" t="s">
        <v>45</v>
      </c>
      <c r="D20" s="28">
        <v>4702080088</v>
      </c>
      <c r="E20" s="28" t="s">
        <v>74</v>
      </c>
      <c r="F20" s="28" t="s">
        <v>36</v>
      </c>
      <c r="G20" s="28" t="s">
        <v>28</v>
      </c>
      <c r="H20" s="28" t="s">
        <v>75</v>
      </c>
      <c r="I20" s="28" t="s">
        <v>29</v>
      </c>
      <c r="J20" s="29">
        <v>24</v>
      </c>
      <c r="K20" s="28" t="s">
        <v>84</v>
      </c>
      <c r="L20" s="28">
        <v>12</v>
      </c>
      <c r="O20" s="5" t="s">
        <v>37</v>
      </c>
      <c r="P20" s="5" t="s">
        <v>45</v>
      </c>
      <c r="Q20" s="5">
        <v>4702080088</v>
      </c>
      <c r="R20" s="5" t="s">
        <v>36</v>
      </c>
      <c r="S20" s="5" t="s">
        <v>28</v>
      </c>
      <c r="T20" s="5" t="s">
        <v>29</v>
      </c>
      <c r="U20" s="5">
        <v>24</v>
      </c>
      <c r="V20" s="5">
        <v>24</v>
      </c>
      <c r="W20" s="5">
        <v>2</v>
      </c>
      <c r="X20" s="6">
        <v>46117</v>
      </c>
      <c r="Y20" s="7">
        <v>1</v>
      </c>
      <c r="Z20" s="5" t="s">
        <v>19</v>
      </c>
    </row>
    <row r="21" spans="3:26" x14ac:dyDescent="0.25">
      <c r="C21" s="28" t="s">
        <v>45</v>
      </c>
      <c r="D21" s="28">
        <v>4702080089</v>
      </c>
      <c r="E21" s="28" t="s">
        <v>74</v>
      </c>
      <c r="F21" s="28" t="s">
        <v>36</v>
      </c>
      <c r="G21" s="28" t="s">
        <v>28</v>
      </c>
      <c r="H21" s="28" t="s">
        <v>75</v>
      </c>
      <c r="I21" s="28" t="s">
        <v>29</v>
      </c>
      <c r="J21" s="29">
        <v>24</v>
      </c>
      <c r="K21" s="28" t="s">
        <v>85</v>
      </c>
      <c r="L21" s="28">
        <v>12</v>
      </c>
      <c r="O21" s="5" t="s">
        <v>37</v>
      </c>
      <c r="P21" s="5" t="s">
        <v>45</v>
      </c>
      <c r="Q21" s="5">
        <v>4702080089</v>
      </c>
      <c r="R21" s="5" t="s">
        <v>36</v>
      </c>
      <c r="S21" s="5" t="s">
        <v>28</v>
      </c>
      <c r="T21" s="5" t="s">
        <v>29</v>
      </c>
      <c r="U21" s="5">
        <v>24</v>
      </c>
      <c r="V21" s="5">
        <v>24</v>
      </c>
      <c r="W21" s="5">
        <v>2</v>
      </c>
      <c r="X21" s="6">
        <v>46117</v>
      </c>
      <c r="Y21" s="7">
        <v>1</v>
      </c>
      <c r="Z21" s="5" t="s">
        <v>19</v>
      </c>
    </row>
    <row r="22" spans="3:26" hidden="1" x14ac:dyDescent="0.25">
      <c r="C22" s="28" t="s">
        <v>39</v>
      </c>
      <c r="D22" s="28">
        <v>4702080089</v>
      </c>
      <c r="E22" s="28" t="s">
        <v>74</v>
      </c>
      <c r="F22" s="28" t="s">
        <v>36</v>
      </c>
      <c r="G22" s="28" t="s">
        <v>40</v>
      </c>
      <c r="H22" s="28" t="s">
        <v>75</v>
      </c>
      <c r="I22" s="28" t="s">
        <v>41</v>
      </c>
      <c r="J22" s="29">
        <v>36</v>
      </c>
      <c r="K22" s="28" t="s">
        <v>85</v>
      </c>
      <c r="L22" s="28">
        <v>12</v>
      </c>
      <c r="O22" s="5" t="s">
        <v>37</v>
      </c>
      <c r="P22" s="5" t="s">
        <v>39</v>
      </c>
      <c r="Q22" s="5">
        <v>4702080089</v>
      </c>
      <c r="R22" s="5" t="s">
        <v>36</v>
      </c>
      <c r="S22" s="5" t="s">
        <v>40</v>
      </c>
      <c r="T22" s="5" t="s">
        <v>41</v>
      </c>
      <c r="U22" s="5">
        <v>36</v>
      </c>
      <c r="V22" s="5">
        <v>36</v>
      </c>
      <c r="W22" s="5">
        <v>3</v>
      </c>
      <c r="X22" s="6">
        <v>46117</v>
      </c>
      <c r="Y22" s="7">
        <v>1</v>
      </c>
      <c r="Z22" s="5" t="s">
        <v>19</v>
      </c>
    </row>
    <row r="23" spans="3:26" hidden="1" x14ac:dyDescent="0.25">
      <c r="C23" s="28" t="s">
        <v>39</v>
      </c>
      <c r="D23" s="28">
        <v>4702080081</v>
      </c>
      <c r="E23" s="28" t="s">
        <v>74</v>
      </c>
      <c r="F23" s="28" t="s">
        <v>36</v>
      </c>
      <c r="G23" s="28" t="s">
        <v>40</v>
      </c>
      <c r="H23" s="28" t="s">
        <v>75</v>
      </c>
      <c r="I23" s="28" t="s">
        <v>41</v>
      </c>
      <c r="J23" s="29">
        <v>40</v>
      </c>
      <c r="K23" s="28" t="s">
        <v>77</v>
      </c>
      <c r="L23" s="28">
        <v>8</v>
      </c>
      <c r="O23" s="8" t="s">
        <v>37</v>
      </c>
      <c r="P23" s="5" t="s">
        <v>39</v>
      </c>
      <c r="Q23" s="8">
        <v>4702080081</v>
      </c>
      <c r="R23" s="8" t="s">
        <v>36</v>
      </c>
      <c r="S23" s="8" t="s">
        <v>40</v>
      </c>
      <c r="T23" s="8" t="s">
        <v>41</v>
      </c>
      <c r="U23" s="8">
        <v>40</v>
      </c>
      <c r="V23" s="8">
        <v>40</v>
      </c>
      <c r="W23" s="8">
        <v>5</v>
      </c>
      <c r="X23" s="10">
        <v>46117</v>
      </c>
      <c r="Y23" s="7">
        <v>1</v>
      </c>
      <c r="Z23" s="8" t="s">
        <v>19</v>
      </c>
    </row>
    <row r="24" spans="3:26" hidden="1" x14ac:dyDescent="0.25">
      <c r="C24" s="28" t="s">
        <v>42</v>
      </c>
      <c r="D24" s="28">
        <v>4702080081</v>
      </c>
      <c r="E24" s="28" t="s">
        <v>74</v>
      </c>
      <c r="F24" s="28" t="s">
        <v>36</v>
      </c>
      <c r="G24" s="28" t="s">
        <v>43</v>
      </c>
      <c r="H24" s="28" t="s">
        <v>75</v>
      </c>
      <c r="I24" s="28" t="s">
        <v>44</v>
      </c>
      <c r="J24" s="29">
        <v>40</v>
      </c>
      <c r="K24" s="28" t="s">
        <v>77</v>
      </c>
      <c r="L24" s="28">
        <v>8</v>
      </c>
      <c r="O24" s="5" t="s">
        <v>37</v>
      </c>
      <c r="P24" s="5" t="s">
        <v>42</v>
      </c>
      <c r="Q24" s="5">
        <v>4702080081</v>
      </c>
      <c r="R24" s="5" t="s">
        <v>36</v>
      </c>
      <c r="S24" s="5" t="s">
        <v>43</v>
      </c>
      <c r="T24" s="5" t="s">
        <v>44</v>
      </c>
      <c r="U24" s="5">
        <v>40</v>
      </c>
      <c r="V24" s="5">
        <v>40</v>
      </c>
      <c r="W24" s="5">
        <v>5</v>
      </c>
      <c r="X24" s="6">
        <v>46117</v>
      </c>
      <c r="Y24" s="7">
        <v>1</v>
      </c>
      <c r="Z24" s="5" t="s">
        <v>19</v>
      </c>
    </row>
    <row r="25" spans="3:26" hidden="1" x14ac:dyDescent="0.25">
      <c r="C25" s="28" t="s">
        <v>38</v>
      </c>
      <c r="D25" s="28">
        <v>4702080081</v>
      </c>
      <c r="E25" s="28" t="s">
        <v>74</v>
      </c>
      <c r="F25" s="28" t="s">
        <v>36</v>
      </c>
      <c r="G25" s="28" t="s">
        <v>25</v>
      </c>
      <c r="H25" s="28" t="s">
        <v>75</v>
      </c>
      <c r="I25" s="28" t="s">
        <v>26</v>
      </c>
      <c r="J25" s="29">
        <v>40</v>
      </c>
      <c r="K25" s="28" t="s">
        <v>77</v>
      </c>
      <c r="L25" s="28">
        <v>8</v>
      </c>
      <c r="O25" s="5" t="s">
        <v>37</v>
      </c>
      <c r="P25" s="5" t="s">
        <v>38</v>
      </c>
      <c r="Q25" s="5">
        <v>4702080081</v>
      </c>
      <c r="R25" s="5" t="s">
        <v>36</v>
      </c>
      <c r="S25" s="5" t="s">
        <v>25</v>
      </c>
      <c r="T25" s="5" t="s">
        <v>26</v>
      </c>
      <c r="U25" s="5">
        <v>40</v>
      </c>
      <c r="V25" s="5">
        <v>40</v>
      </c>
      <c r="W25" s="5">
        <v>5</v>
      </c>
      <c r="X25" s="6">
        <v>46117</v>
      </c>
      <c r="Y25" s="7">
        <v>1</v>
      </c>
      <c r="Z25" s="5" t="s">
        <v>19</v>
      </c>
    </row>
    <row r="26" spans="3:26" x14ac:dyDescent="0.25">
      <c r="C26" s="28" t="s">
        <v>45</v>
      </c>
      <c r="D26" s="28">
        <v>4702080081</v>
      </c>
      <c r="E26" s="28" t="s">
        <v>74</v>
      </c>
      <c r="F26" s="28" t="s">
        <v>36</v>
      </c>
      <c r="G26" s="28" t="s">
        <v>28</v>
      </c>
      <c r="H26" s="28" t="s">
        <v>75</v>
      </c>
      <c r="I26" s="28" t="s">
        <v>29</v>
      </c>
      <c r="J26" s="29">
        <v>40</v>
      </c>
      <c r="K26" s="28" t="s">
        <v>77</v>
      </c>
      <c r="L26" s="28">
        <v>8</v>
      </c>
      <c r="O26" s="8" t="s">
        <v>37</v>
      </c>
      <c r="P26" s="5" t="s">
        <v>45</v>
      </c>
      <c r="Q26" s="5">
        <v>4702080081</v>
      </c>
      <c r="R26" s="8" t="s">
        <v>36</v>
      </c>
      <c r="S26" s="8" t="s">
        <v>28</v>
      </c>
      <c r="T26" s="8" t="s">
        <v>29</v>
      </c>
      <c r="U26" s="8">
        <v>40</v>
      </c>
      <c r="V26" s="8">
        <v>40</v>
      </c>
      <c r="W26" s="8">
        <v>5</v>
      </c>
      <c r="X26" s="10">
        <v>46117</v>
      </c>
      <c r="Y26" s="7">
        <v>1</v>
      </c>
      <c r="Z26" s="8" t="s">
        <v>19</v>
      </c>
    </row>
    <row r="27" spans="3:26" hidden="1" x14ac:dyDescent="0.25">
      <c r="C27" s="28" t="s">
        <v>42</v>
      </c>
      <c r="D27" s="28">
        <v>4702080086</v>
      </c>
      <c r="E27" s="28" t="s">
        <v>74</v>
      </c>
      <c r="F27" s="28" t="s">
        <v>36</v>
      </c>
      <c r="G27" s="28" t="s">
        <v>43</v>
      </c>
      <c r="H27" s="28" t="s">
        <v>75</v>
      </c>
      <c r="I27" s="28" t="s">
        <v>44</v>
      </c>
      <c r="J27" s="29">
        <v>72</v>
      </c>
      <c r="K27" s="28" t="s">
        <v>82</v>
      </c>
      <c r="L27" s="28">
        <v>6</v>
      </c>
      <c r="O27" s="5" t="s">
        <v>37</v>
      </c>
      <c r="P27" s="8" t="s">
        <v>42</v>
      </c>
      <c r="Q27" s="5">
        <v>4702080086</v>
      </c>
      <c r="R27" s="8" t="s">
        <v>36</v>
      </c>
      <c r="S27" s="8" t="s">
        <v>43</v>
      </c>
      <c r="T27" s="8" t="s">
        <v>44</v>
      </c>
      <c r="U27" s="8">
        <v>72</v>
      </c>
      <c r="V27" s="8">
        <v>72</v>
      </c>
      <c r="W27" s="8">
        <v>12</v>
      </c>
      <c r="X27" s="10">
        <v>46117</v>
      </c>
      <c r="Y27" s="7">
        <v>1</v>
      </c>
      <c r="Z27" s="8" t="s">
        <v>19</v>
      </c>
    </row>
    <row r="28" spans="3:26" hidden="1" x14ac:dyDescent="0.25">
      <c r="C28" s="28" t="s">
        <v>38</v>
      </c>
      <c r="D28" s="28">
        <v>4702080086</v>
      </c>
      <c r="E28" s="28" t="s">
        <v>74</v>
      </c>
      <c r="F28" s="28" t="s">
        <v>36</v>
      </c>
      <c r="G28" s="28" t="s">
        <v>25</v>
      </c>
      <c r="H28" s="28" t="s">
        <v>75</v>
      </c>
      <c r="I28" s="28" t="s">
        <v>26</v>
      </c>
      <c r="J28" s="29">
        <v>72</v>
      </c>
      <c r="K28" s="28" t="s">
        <v>82</v>
      </c>
      <c r="L28" s="28">
        <v>6</v>
      </c>
      <c r="O28" s="8" t="s">
        <v>37</v>
      </c>
      <c r="P28" s="8" t="s">
        <v>38</v>
      </c>
      <c r="Q28" s="5">
        <v>4702080086</v>
      </c>
      <c r="R28" s="8" t="s">
        <v>36</v>
      </c>
      <c r="S28" s="8" t="s">
        <v>25</v>
      </c>
      <c r="T28" s="8" t="s">
        <v>26</v>
      </c>
      <c r="U28" s="8">
        <v>72</v>
      </c>
      <c r="V28" s="8">
        <v>72</v>
      </c>
      <c r="W28" s="8">
        <v>12</v>
      </c>
      <c r="X28" s="10">
        <v>46117</v>
      </c>
      <c r="Y28" s="7">
        <v>1</v>
      </c>
      <c r="Z28" s="8" t="s">
        <v>19</v>
      </c>
    </row>
    <row r="29" spans="3:26" x14ac:dyDescent="0.25">
      <c r="C29" s="28" t="s">
        <v>45</v>
      </c>
      <c r="D29" s="28">
        <v>4702080086</v>
      </c>
      <c r="E29" s="28" t="s">
        <v>74</v>
      </c>
      <c r="F29" s="28" t="s">
        <v>36</v>
      </c>
      <c r="G29" s="28" t="s">
        <v>28</v>
      </c>
      <c r="H29" s="28" t="s">
        <v>75</v>
      </c>
      <c r="I29" s="28" t="s">
        <v>29</v>
      </c>
      <c r="J29" s="29">
        <v>72</v>
      </c>
      <c r="K29" s="28" t="s">
        <v>82</v>
      </c>
      <c r="L29" s="28">
        <v>6</v>
      </c>
      <c r="O29" s="5" t="s">
        <v>37</v>
      </c>
      <c r="P29" s="5" t="s">
        <v>45</v>
      </c>
      <c r="Q29" s="5">
        <v>4702080086</v>
      </c>
      <c r="R29" s="5" t="s">
        <v>36</v>
      </c>
      <c r="S29" s="5" t="s">
        <v>28</v>
      </c>
      <c r="T29" s="5" t="s">
        <v>29</v>
      </c>
      <c r="U29" s="5">
        <v>72</v>
      </c>
      <c r="V29" s="5">
        <v>72</v>
      </c>
      <c r="W29" s="5">
        <v>12</v>
      </c>
      <c r="X29" s="6">
        <v>46117</v>
      </c>
      <c r="Y29" s="7">
        <v>1</v>
      </c>
      <c r="Z29" s="5" t="s">
        <v>19</v>
      </c>
    </row>
    <row r="30" spans="3:26" hidden="1" x14ac:dyDescent="0.25">
      <c r="C30" s="28" t="s">
        <v>39</v>
      </c>
      <c r="D30" s="28">
        <v>4702080086</v>
      </c>
      <c r="E30" s="28" t="s">
        <v>74</v>
      </c>
      <c r="F30" s="28" t="s">
        <v>36</v>
      </c>
      <c r="G30" s="28" t="s">
        <v>40</v>
      </c>
      <c r="H30" s="28" t="s">
        <v>75</v>
      </c>
      <c r="I30" s="28" t="s">
        <v>41</v>
      </c>
      <c r="J30" s="29">
        <v>90</v>
      </c>
      <c r="K30" s="28" t="s">
        <v>82</v>
      </c>
      <c r="L30" s="28">
        <v>6</v>
      </c>
      <c r="O30" s="5" t="s">
        <v>37</v>
      </c>
      <c r="P30" s="5" t="s">
        <v>39</v>
      </c>
      <c r="Q30" s="5">
        <v>4702080086</v>
      </c>
      <c r="R30" s="5" t="s">
        <v>36</v>
      </c>
      <c r="S30" s="5" t="s">
        <v>40</v>
      </c>
      <c r="T30" s="5" t="s">
        <v>41</v>
      </c>
      <c r="U30" s="5">
        <v>90</v>
      </c>
      <c r="V30" s="5">
        <v>90</v>
      </c>
      <c r="W30" s="5">
        <v>15</v>
      </c>
      <c r="X30" s="6">
        <v>46117</v>
      </c>
      <c r="Y30" s="7">
        <v>1</v>
      </c>
      <c r="Z30" s="5" t="s">
        <v>19</v>
      </c>
    </row>
    <row r="31" spans="3:26" hidden="1" x14ac:dyDescent="0.25">
      <c r="C31" s="28" t="s">
        <v>42</v>
      </c>
      <c r="D31" s="28">
        <v>4702080084</v>
      </c>
      <c r="E31" s="28" t="s">
        <v>74</v>
      </c>
      <c r="F31" s="28" t="s">
        <v>36</v>
      </c>
      <c r="G31" s="28" t="s">
        <v>43</v>
      </c>
      <c r="H31" s="28" t="s">
        <v>75</v>
      </c>
      <c r="I31" s="28" t="s">
        <v>44</v>
      </c>
      <c r="J31" s="29">
        <v>168</v>
      </c>
      <c r="K31" s="28" t="s">
        <v>80</v>
      </c>
      <c r="L31" s="28">
        <v>6</v>
      </c>
      <c r="O31" s="5" t="s">
        <v>37</v>
      </c>
      <c r="P31" s="5" t="s">
        <v>42</v>
      </c>
      <c r="Q31" s="5">
        <v>4702080084</v>
      </c>
      <c r="R31" s="5" t="s">
        <v>36</v>
      </c>
      <c r="S31" s="5" t="s">
        <v>43</v>
      </c>
      <c r="T31" s="5" t="s">
        <v>44</v>
      </c>
      <c r="U31" s="5">
        <v>168</v>
      </c>
      <c r="V31" s="5">
        <v>168</v>
      </c>
      <c r="W31" s="5">
        <v>28</v>
      </c>
      <c r="X31" s="6">
        <v>46117</v>
      </c>
      <c r="Y31" s="7">
        <v>1</v>
      </c>
      <c r="Z31" s="8" t="s">
        <v>19</v>
      </c>
    </row>
    <row r="32" spans="3:26" hidden="1" x14ac:dyDescent="0.25">
      <c r="C32" s="28" t="s">
        <v>38</v>
      </c>
      <c r="D32" s="28">
        <v>4702080084</v>
      </c>
      <c r="E32" s="28" t="s">
        <v>74</v>
      </c>
      <c r="F32" s="28" t="s">
        <v>36</v>
      </c>
      <c r="G32" s="28" t="s">
        <v>25</v>
      </c>
      <c r="H32" s="28" t="s">
        <v>75</v>
      </c>
      <c r="I32" s="28" t="s">
        <v>26</v>
      </c>
      <c r="J32" s="29">
        <v>168</v>
      </c>
      <c r="K32" s="28" t="s">
        <v>80</v>
      </c>
      <c r="L32" s="28">
        <v>6</v>
      </c>
      <c r="O32" s="5" t="s">
        <v>37</v>
      </c>
      <c r="P32" s="5" t="s">
        <v>38</v>
      </c>
      <c r="Q32" s="5">
        <v>4702080084</v>
      </c>
      <c r="R32" s="5" t="s">
        <v>36</v>
      </c>
      <c r="S32" s="5" t="s">
        <v>25</v>
      </c>
      <c r="T32" s="5" t="s">
        <v>26</v>
      </c>
      <c r="U32" s="5">
        <v>168</v>
      </c>
      <c r="V32" s="5">
        <v>168</v>
      </c>
      <c r="W32" s="5">
        <v>28</v>
      </c>
      <c r="X32" s="6">
        <v>46117</v>
      </c>
      <c r="Y32" s="7">
        <v>1</v>
      </c>
      <c r="Z32" s="8" t="s">
        <v>19</v>
      </c>
    </row>
    <row r="33" spans="3:26" x14ac:dyDescent="0.25">
      <c r="C33" s="28" t="s">
        <v>45</v>
      </c>
      <c r="D33" s="28">
        <v>4702080084</v>
      </c>
      <c r="E33" s="28" t="s">
        <v>74</v>
      </c>
      <c r="F33" s="28" t="s">
        <v>36</v>
      </c>
      <c r="G33" s="28" t="s">
        <v>28</v>
      </c>
      <c r="H33" s="28" t="s">
        <v>75</v>
      </c>
      <c r="I33" s="28" t="s">
        <v>29</v>
      </c>
      <c r="J33" s="29">
        <v>168</v>
      </c>
      <c r="K33" s="28" t="s">
        <v>80</v>
      </c>
      <c r="L33" s="28">
        <v>6</v>
      </c>
      <c r="O33" s="8" t="s">
        <v>37</v>
      </c>
      <c r="P33" s="8" t="s">
        <v>45</v>
      </c>
      <c r="Q33" s="5">
        <v>4702080084</v>
      </c>
      <c r="R33" s="8" t="s">
        <v>36</v>
      </c>
      <c r="S33" s="8" t="s">
        <v>28</v>
      </c>
      <c r="T33" s="8" t="s">
        <v>29</v>
      </c>
      <c r="U33" s="8">
        <v>168</v>
      </c>
      <c r="V33" s="8">
        <v>168</v>
      </c>
      <c r="W33" s="8">
        <v>28</v>
      </c>
      <c r="X33" s="10">
        <v>46117</v>
      </c>
      <c r="Y33" s="7">
        <v>1</v>
      </c>
      <c r="Z33" s="8" t="s">
        <v>19</v>
      </c>
    </row>
    <row r="34" spans="3:26" hidden="1" x14ac:dyDescent="0.25">
      <c r="C34" s="28" t="s">
        <v>42</v>
      </c>
      <c r="D34" s="28">
        <v>4702080083</v>
      </c>
      <c r="E34" s="28" t="s">
        <v>74</v>
      </c>
      <c r="F34" s="28" t="s">
        <v>36</v>
      </c>
      <c r="G34" s="28" t="s">
        <v>43</v>
      </c>
      <c r="H34" s="28" t="s">
        <v>75</v>
      </c>
      <c r="I34" s="28" t="s">
        <v>44</v>
      </c>
      <c r="J34" s="29">
        <v>200</v>
      </c>
      <c r="K34" s="28" t="s">
        <v>79</v>
      </c>
      <c r="L34" s="28">
        <v>8</v>
      </c>
      <c r="O34" s="5" t="s">
        <v>37</v>
      </c>
      <c r="P34" s="5" t="s">
        <v>42</v>
      </c>
      <c r="Q34" s="5">
        <v>4702080083</v>
      </c>
      <c r="R34" s="5" t="s">
        <v>36</v>
      </c>
      <c r="S34" s="5" t="s">
        <v>43</v>
      </c>
      <c r="T34" s="5" t="s">
        <v>44</v>
      </c>
      <c r="U34" s="5">
        <v>200</v>
      </c>
      <c r="V34" s="5">
        <v>200</v>
      </c>
      <c r="W34" s="5">
        <v>25</v>
      </c>
      <c r="X34" s="6">
        <v>46117</v>
      </c>
      <c r="Y34" s="7">
        <v>1</v>
      </c>
      <c r="Z34" s="8" t="s">
        <v>19</v>
      </c>
    </row>
    <row r="35" spans="3:26" hidden="1" x14ac:dyDescent="0.25">
      <c r="C35" s="28" t="s">
        <v>38</v>
      </c>
      <c r="D35" s="28">
        <v>4702080083</v>
      </c>
      <c r="E35" s="28" t="s">
        <v>74</v>
      </c>
      <c r="F35" s="28" t="s">
        <v>36</v>
      </c>
      <c r="G35" s="28" t="s">
        <v>25</v>
      </c>
      <c r="H35" s="28" t="s">
        <v>75</v>
      </c>
      <c r="I35" s="28" t="s">
        <v>26</v>
      </c>
      <c r="J35" s="29">
        <v>200</v>
      </c>
      <c r="K35" s="28" t="s">
        <v>79</v>
      </c>
      <c r="L35" s="28">
        <v>8</v>
      </c>
      <c r="O35" s="5" t="s">
        <v>37</v>
      </c>
      <c r="P35" s="5" t="s">
        <v>38</v>
      </c>
      <c r="Q35" s="5">
        <v>4702080083</v>
      </c>
      <c r="R35" s="5" t="s">
        <v>36</v>
      </c>
      <c r="S35" s="5" t="s">
        <v>25</v>
      </c>
      <c r="T35" s="5" t="s">
        <v>26</v>
      </c>
      <c r="U35" s="5">
        <v>200</v>
      </c>
      <c r="V35" s="5">
        <v>200</v>
      </c>
      <c r="W35" s="5">
        <v>25</v>
      </c>
      <c r="X35" s="6">
        <v>46117</v>
      </c>
      <c r="Y35" s="7">
        <v>1</v>
      </c>
      <c r="Z35" s="8" t="s">
        <v>19</v>
      </c>
    </row>
    <row r="36" spans="3:26" x14ac:dyDescent="0.25">
      <c r="C36" s="28" t="s">
        <v>45</v>
      </c>
      <c r="D36" s="28">
        <v>4702080083</v>
      </c>
      <c r="E36" s="28" t="s">
        <v>74</v>
      </c>
      <c r="F36" s="28" t="s">
        <v>36</v>
      </c>
      <c r="G36" s="28" t="s">
        <v>28</v>
      </c>
      <c r="H36" s="28" t="s">
        <v>75</v>
      </c>
      <c r="I36" s="28" t="s">
        <v>29</v>
      </c>
      <c r="J36" s="29">
        <v>200</v>
      </c>
      <c r="K36" s="28" t="s">
        <v>79</v>
      </c>
      <c r="L36" s="28">
        <v>8</v>
      </c>
      <c r="O36" s="8" t="s">
        <v>37</v>
      </c>
      <c r="P36" s="8" t="s">
        <v>45</v>
      </c>
      <c r="Q36" s="5">
        <v>4702080083</v>
      </c>
      <c r="R36" s="8" t="s">
        <v>36</v>
      </c>
      <c r="S36" s="8" t="s">
        <v>28</v>
      </c>
      <c r="T36" s="8" t="s">
        <v>29</v>
      </c>
      <c r="U36" s="8">
        <v>200</v>
      </c>
      <c r="V36" s="8">
        <v>200</v>
      </c>
      <c r="W36" s="8">
        <v>25</v>
      </c>
      <c r="X36" s="10">
        <v>46117</v>
      </c>
      <c r="Y36" s="7">
        <v>1</v>
      </c>
      <c r="Z36" s="8" t="s">
        <v>19</v>
      </c>
    </row>
    <row r="37" spans="3:26" hidden="1" x14ac:dyDescent="0.25">
      <c r="C37" s="28" t="s">
        <v>39</v>
      </c>
      <c r="D37" s="28">
        <v>4702080084</v>
      </c>
      <c r="E37" s="28" t="s">
        <v>74</v>
      </c>
      <c r="F37" s="28" t="s">
        <v>36</v>
      </c>
      <c r="G37" s="28" t="s">
        <v>40</v>
      </c>
      <c r="H37" s="28" t="s">
        <v>75</v>
      </c>
      <c r="I37" s="28" t="s">
        <v>41</v>
      </c>
      <c r="J37" s="29">
        <v>204</v>
      </c>
      <c r="K37" s="28" t="s">
        <v>80</v>
      </c>
      <c r="L37" s="28">
        <v>6</v>
      </c>
      <c r="O37" s="8" t="s">
        <v>37</v>
      </c>
      <c r="P37" s="8" t="s">
        <v>39</v>
      </c>
      <c r="Q37" s="5">
        <v>4702080084</v>
      </c>
      <c r="R37" s="8" t="s">
        <v>36</v>
      </c>
      <c r="S37" s="8" t="s">
        <v>40</v>
      </c>
      <c r="T37" s="8" t="s">
        <v>41</v>
      </c>
      <c r="U37" s="8">
        <v>204</v>
      </c>
      <c r="V37" s="8">
        <v>204</v>
      </c>
      <c r="W37" s="8">
        <v>34</v>
      </c>
      <c r="X37" s="10">
        <v>46117</v>
      </c>
      <c r="Y37" s="7">
        <v>1</v>
      </c>
      <c r="Z37" s="8" t="s">
        <v>19</v>
      </c>
    </row>
    <row r="38" spans="3:26" hidden="1" x14ac:dyDescent="0.25">
      <c r="C38" s="28" t="s">
        <v>39</v>
      </c>
      <c r="D38" s="28">
        <v>4702080083</v>
      </c>
      <c r="E38" s="28" t="s">
        <v>74</v>
      </c>
      <c r="F38" s="28" t="s">
        <v>36</v>
      </c>
      <c r="G38" s="28" t="s">
        <v>40</v>
      </c>
      <c r="H38" s="28" t="s">
        <v>75</v>
      </c>
      <c r="I38" s="28" t="s">
        <v>41</v>
      </c>
      <c r="J38" s="29">
        <v>264</v>
      </c>
      <c r="K38" s="28" t="s">
        <v>79</v>
      </c>
      <c r="L38" s="28">
        <v>8</v>
      </c>
      <c r="O38" s="8" t="s">
        <v>37</v>
      </c>
      <c r="P38" s="8" t="s">
        <v>39</v>
      </c>
      <c r="Q38" s="5">
        <v>4702080083</v>
      </c>
      <c r="R38" s="8" t="s">
        <v>36</v>
      </c>
      <c r="S38" s="8" t="s">
        <v>40</v>
      </c>
      <c r="T38" s="8" t="s">
        <v>41</v>
      </c>
      <c r="U38" s="8">
        <v>264</v>
      </c>
      <c r="V38" s="8">
        <v>264</v>
      </c>
      <c r="W38" s="8">
        <v>33</v>
      </c>
      <c r="X38" s="10">
        <v>46117</v>
      </c>
      <c r="Y38" s="7">
        <v>1</v>
      </c>
      <c r="Z38" s="8" t="s">
        <v>19</v>
      </c>
    </row>
    <row r="39" spans="3:26" hidden="1" x14ac:dyDescent="0.25">
      <c r="C39" s="28" t="s">
        <v>42</v>
      </c>
      <c r="D39" s="28">
        <v>4702080082</v>
      </c>
      <c r="E39" s="28" t="s">
        <v>74</v>
      </c>
      <c r="F39" s="28" t="s">
        <v>36</v>
      </c>
      <c r="G39" s="28" t="s">
        <v>43</v>
      </c>
      <c r="H39" s="28" t="s">
        <v>75</v>
      </c>
      <c r="I39" s="28" t="s">
        <v>44</v>
      </c>
      <c r="J39" s="29">
        <v>294</v>
      </c>
      <c r="K39" s="28" t="s">
        <v>78</v>
      </c>
      <c r="L39" s="28">
        <v>6</v>
      </c>
      <c r="O39" s="5" t="s">
        <v>37</v>
      </c>
      <c r="P39" s="5" t="s">
        <v>42</v>
      </c>
      <c r="Q39" s="5">
        <v>4702080082</v>
      </c>
      <c r="R39" s="5" t="s">
        <v>36</v>
      </c>
      <c r="S39" s="5" t="s">
        <v>43</v>
      </c>
      <c r="T39" s="5" t="s">
        <v>44</v>
      </c>
      <c r="U39" s="5">
        <v>294</v>
      </c>
      <c r="V39" s="5">
        <v>294</v>
      </c>
      <c r="W39" s="5">
        <v>49</v>
      </c>
      <c r="X39" s="6">
        <v>46117</v>
      </c>
      <c r="Y39" s="7">
        <v>1</v>
      </c>
      <c r="Z39" s="8" t="s">
        <v>19</v>
      </c>
    </row>
    <row r="40" spans="3:26" hidden="1" x14ac:dyDescent="0.25">
      <c r="C40" s="28" t="s">
        <v>38</v>
      </c>
      <c r="D40" s="28">
        <v>4702080082</v>
      </c>
      <c r="E40" s="28" t="s">
        <v>74</v>
      </c>
      <c r="F40" s="28" t="s">
        <v>36</v>
      </c>
      <c r="G40" s="28" t="s">
        <v>25</v>
      </c>
      <c r="H40" s="28" t="s">
        <v>75</v>
      </c>
      <c r="I40" s="28" t="s">
        <v>26</v>
      </c>
      <c r="J40" s="29">
        <v>294</v>
      </c>
      <c r="K40" s="28" t="s">
        <v>78</v>
      </c>
      <c r="L40" s="28">
        <v>6</v>
      </c>
      <c r="O40" s="5" t="s">
        <v>37</v>
      </c>
      <c r="P40" s="5" t="s">
        <v>38</v>
      </c>
      <c r="Q40" s="5">
        <v>4702080082</v>
      </c>
      <c r="R40" s="5" t="s">
        <v>36</v>
      </c>
      <c r="S40" s="5" t="s">
        <v>25</v>
      </c>
      <c r="T40" s="5" t="s">
        <v>26</v>
      </c>
      <c r="U40" s="5">
        <v>294</v>
      </c>
      <c r="V40" s="5">
        <v>294</v>
      </c>
      <c r="W40" s="5">
        <v>49</v>
      </c>
      <c r="X40" s="6">
        <v>46117</v>
      </c>
      <c r="Y40" s="7">
        <v>1</v>
      </c>
      <c r="Z40" s="8" t="s">
        <v>19</v>
      </c>
    </row>
    <row r="41" spans="3:26" x14ac:dyDescent="0.25">
      <c r="C41" s="28" t="s">
        <v>45</v>
      </c>
      <c r="D41" s="28">
        <v>4702080082</v>
      </c>
      <c r="E41" s="28" t="s">
        <v>74</v>
      </c>
      <c r="F41" s="28" t="s">
        <v>36</v>
      </c>
      <c r="G41" s="28" t="s">
        <v>28</v>
      </c>
      <c r="H41" s="28" t="s">
        <v>75</v>
      </c>
      <c r="I41" s="28" t="s">
        <v>29</v>
      </c>
      <c r="J41" s="29">
        <v>294</v>
      </c>
      <c r="K41" s="28" t="s">
        <v>78</v>
      </c>
      <c r="L41" s="28">
        <v>6</v>
      </c>
      <c r="O41" s="8" t="s">
        <v>37</v>
      </c>
      <c r="P41" s="8" t="s">
        <v>45</v>
      </c>
      <c r="Q41" s="5">
        <v>4702080082</v>
      </c>
      <c r="R41" s="8" t="s">
        <v>36</v>
      </c>
      <c r="S41" s="8" t="s">
        <v>28</v>
      </c>
      <c r="T41" s="8" t="s">
        <v>29</v>
      </c>
      <c r="U41" s="8">
        <v>294</v>
      </c>
      <c r="V41" s="8">
        <v>294</v>
      </c>
      <c r="W41" s="8">
        <v>49</v>
      </c>
      <c r="X41" s="10">
        <v>46117</v>
      </c>
      <c r="Y41" s="7">
        <v>1</v>
      </c>
      <c r="Z41" s="8" t="s">
        <v>19</v>
      </c>
    </row>
    <row r="42" spans="3:26" hidden="1" x14ac:dyDescent="0.25">
      <c r="C42" s="28" t="s">
        <v>39</v>
      </c>
      <c r="D42" s="28">
        <v>4702080082</v>
      </c>
      <c r="E42" s="28" t="s">
        <v>74</v>
      </c>
      <c r="F42" s="28" t="s">
        <v>36</v>
      </c>
      <c r="G42" s="28" t="s">
        <v>40</v>
      </c>
      <c r="H42" s="28" t="s">
        <v>75</v>
      </c>
      <c r="I42" s="28" t="s">
        <v>41</v>
      </c>
      <c r="J42" s="29">
        <v>330</v>
      </c>
      <c r="K42" s="28" t="s">
        <v>78</v>
      </c>
      <c r="L42" s="28">
        <v>6</v>
      </c>
      <c r="O42" s="8" t="s">
        <v>37</v>
      </c>
      <c r="P42" s="5" t="s">
        <v>39</v>
      </c>
      <c r="Q42" s="5">
        <v>4702080082</v>
      </c>
      <c r="R42" s="8" t="s">
        <v>36</v>
      </c>
      <c r="S42" s="8" t="s">
        <v>40</v>
      </c>
      <c r="T42" s="8" t="s">
        <v>41</v>
      </c>
      <c r="U42" s="8">
        <v>330</v>
      </c>
      <c r="V42" s="8">
        <v>330</v>
      </c>
      <c r="W42" s="8">
        <v>55</v>
      </c>
      <c r="X42" s="10">
        <v>46117</v>
      </c>
      <c r="Y42" s="7">
        <v>1</v>
      </c>
      <c r="Z42" s="8" t="s">
        <v>19</v>
      </c>
    </row>
  </sheetData>
  <autoFilter ref="C4:L42">
    <filterColumn colId="0">
      <filters>
        <filter val="PRLS/25/12933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F6:Q53"/>
  <sheetViews>
    <sheetView workbookViewId="0">
      <selection activeCell="J31" sqref="J31"/>
    </sheetView>
  </sheetViews>
  <sheetFormatPr defaultRowHeight="15" x14ac:dyDescent="0.25"/>
  <cols>
    <col min="6" max="6" width="15" bestFit="1" customWidth="1"/>
    <col min="7" max="7" width="13.85546875" bestFit="1" customWidth="1"/>
    <col min="8" max="8" width="11" bestFit="1" customWidth="1"/>
    <col min="9" max="9" width="8.140625" bestFit="1" customWidth="1"/>
    <col min="10" max="10" width="13.28515625" bestFit="1" customWidth="1"/>
    <col min="11" max="11" width="31.42578125" bestFit="1" customWidth="1"/>
    <col min="12" max="13" width="7.5703125" bestFit="1" customWidth="1"/>
    <col min="14" max="14" width="6.5703125" bestFit="1" customWidth="1"/>
    <col min="15" max="15" width="10.140625" bestFit="1" customWidth="1"/>
    <col min="16" max="16" width="8.28515625" bestFit="1" customWidth="1"/>
    <col min="17" max="17" width="9.28515625" bestFit="1" customWidth="1"/>
  </cols>
  <sheetData>
    <row r="6" spans="6:17" ht="28.5" x14ac:dyDescent="0.25">
      <c r="F6" s="12" t="s">
        <v>3</v>
      </c>
      <c r="G6" s="12" t="s">
        <v>4</v>
      </c>
      <c r="H6" s="12" t="s">
        <v>5</v>
      </c>
      <c r="I6" s="12" t="s">
        <v>6</v>
      </c>
      <c r="J6" s="12" t="s">
        <v>7</v>
      </c>
      <c r="K6" s="12" t="s">
        <v>8</v>
      </c>
      <c r="L6" s="12" t="s">
        <v>9</v>
      </c>
      <c r="M6" s="12" t="s">
        <v>10</v>
      </c>
      <c r="N6" s="12" t="s">
        <v>11</v>
      </c>
      <c r="O6" s="12" t="s">
        <v>12</v>
      </c>
      <c r="P6" s="12" t="s">
        <v>13</v>
      </c>
      <c r="Q6" s="12" t="s">
        <v>14</v>
      </c>
    </row>
    <row r="7" spans="6:17" x14ac:dyDescent="0.25">
      <c r="F7" s="16" t="s">
        <v>88</v>
      </c>
      <c r="G7" s="16" t="s">
        <v>39</v>
      </c>
      <c r="H7" s="13">
        <v>4702080087</v>
      </c>
      <c r="I7" s="16" t="s">
        <v>36</v>
      </c>
      <c r="J7" s="16" t="s">
        <v>40</v>
      </c>
      <c r="K7" s="16" t="s">
        <v>41</v>
      </c>
      <c r="L7" s="16">
        <v>12</v>
      </c>
      <c r="M7" s="16">
        <v>12</v>
      </c>
      <c r="N7" s="16">
        <v>1</v>
      </c>
      <c r="O7" s="17">
        <v>46117</v>
      </c>
      <c r="P7" s="15">
        <v>1</v>
      </c>
      <c r="Q7" s="16" t="s">
        <v>19</v>
      </c>
    </row>
    <row r="8" spans="6:17" x14ac:dyDescent="0.25">
      <c r="F8" s="16" t="s">
        <v>88</v>
      </c>
      <c r="G8" s="16" t="s">
        <v>39</v>
      </c>
      <c r="H8" s="13">
        <v>4702080091</v>
      </c>
      <c r="I8" s="16" t="s">
        <v>36</v>
      </c>
      <c r="J8" s="16" t="s">
        <v>40</v>
      </c>
      <c r="K8" s="16" t="s">
        <v>41</v>
      </c>
      <c r="L8" s="16">
        <v>12</v>
      </c>
      <c r="M8" s="16">
        <v>12</v>
      </c>
      <c r="N8" s="16">
        <v>1</v>
      </c>
      <c r="O8" s="17">
        <v>46117</v>
      </c>
      <c r="P8" s="15">
        <v>1</v>
      </c>
      <c r="Q8" s="16" t="s">
        <v>19</v>
      </c>
    </row>
    <row r="9" spans="6:17" x14ac:dyDescent="0.25">
      <c r="F9" s="13" t="s">
        <v>88</v>
      </c>
      <c r="G9" s="13" t="s">
        <v>42</v>
      </c>
      <c r="H9" s="13">
        <v>4702080087</v>
      </c>
      <c r="I9" s="13" t="s">
        <v>36</v>
      </c>
      <c r="J9" s="13" t="s">
        <v>43</v>
      </c>
      <c r="K9" s="13" t="s">
        <v>44</v>
      </c>
      <c r="L9" s="13">
        <v>12</v>
      </c>
      <c r="M9" s="13">
        <v>12</v>
      </c>
      <c r="N9" s="13">
        <v>1</v>
      </c>
      <c r="O9" s="14">
        <v>46117</v>
      </c>
      <c r="P9" s="15">
        <v>1</v>
      </c>
      <c r="Q9" s="13" t="s">
        <v>19</v>
      </c>
    </row>
    <row r="10" spans="6:17" x14ac:dyDescent="0.25">
      <c r="F10" s="13" t="s">
        <v>88</v>
      </c>
      <c r="G10" s="16" t="s">
        <v>42</v>
      </c>
      <c r="H10" s="13">
        <v>4702080090</v>
      </c>
      <c r="I10" s="16" t="s">
        <v>36</v>
      </c>
      <c r="J10" s="16" t="s">
        <v>43</v>
      </c>
      <c r="K10" s="16" t="s">
        <v>44</v>
      </c>
      <c r="L10" s="16">
        <v>12</v>
      </c>
      <c r="M10" s="16">
        <v>12</v>
      </c>
      <c r="N10" s="16">
        <v>1</v>
      </c>
      <c r="O10" s="17">
        <v>46117</v>
      </c>
      <c r="P10" s="15">
        <v>1</v>
      </c>
      <c r="Q10" s="16" t="s">
        <v>19</v>
      </c>
    </row>
    <row r="11" spans="6:17" x14ac:dyDescent="0.25">
      <c r="F11" s="16" t="s">
        <v>89</v>
      </c>
      <c r="G11" s="16" t="s">
        <v>38</v>
      </c>
      <c r="H11" s="13">
        <v>4702080087</v>
      </c>
      <c r="I11" s="16" t="s">
        <v>36</v>
      </c>
      <c r="J11" s="16" t="s">
        <v>25</v>
      </c>
      <c r="K11" s="16" t="s">
        <v>26</v>
      </c>
      <c r="L11" s="16">
        <v>12</v>
      </c>
      <c r="M11" s="16">
        <v>12</v>
      </c>
      <c r="N11" s="16">
        <v>1</v>
      </c>
      <c r="O11" s="17">
        <v>46117</v>
      </c>
      <c r="P11" s="15">
        <v>1</v>
      </c>
      <c r="Q11" s="16" t="s">
        <v>19</v>
      </c>
    </row>
    <row r="12" spans="6:17" x14ac:dyDescent="0.25">
      <c r="F12" s="16" t="s">
        <v>89</v>
      </c>
      <c r="G12" s="16" t="s">
        <v>38</v>
      </c>
      <c r="H12" s="13">
        <v>4702080090</v>
      </c>
      <c r="I12" s="16" t="s">
        <v>36</v>
      </c>
      <c r="J12" s="16" t="s">
        <v>25</v>
      </c>
      <c r="K12" s="16" t="s">
        <v>26</v>
      </c>
      <c r="L12" s="16">
        <v>12</v>
      </c>
      <c r="M12" s="16">
        <v>12</v>
      </c>
      <c r="N12" s="16">
        <v>1</v>
      </c>
      <c r="O12" s="17">
        <v>46117</v>
      </c>
      <c r="P12" s="15">
        <v>1</v>
      </c>
      <c r="Q12" s="16" t="s">
        <v>19</v>
      </c>
    </row>
    <row r="13" spans="6:17" x14ac:dyDescent="0.25">
      <c r="F13" s="13" t="s">
        <v>88</v>
      </c>
      <c r="G13" s="13" t="s">
        <v>45</v>
      </c>
      <c r="H13" s="13">
        <v>4702080087</v>
      </c>
      <c r="I13" s="13" t="s">
        <v>36</v>
      </c>
      <c r="J13" s="13" t="s">
        <v>28</v>
      </c>
      <c r="K13" s="13" t="s">
        <v>29</v>
      </c>
      <c r="L13" s="13">
        <v>12</v>
      </c>
      <c r="M13" s="13">
        <v>12</v>
      </c>
      <c r="N13" s="13">
        <v>1</v>
      </c>
      <c r="O13" s="14">
        <v>46117</v>
      </c>
      <c r="P13" s="15">
        <v>1</v>
      </c>
      <c r="Q13" s="13" t="s">
        <v>19</v>
      </c>
    </row>
    <row r="14" spans="6:17" x14ac:dyDescent="0.25">
      <c r="F14" s="13" t="s">
        <v>88</v>
      </c>
      <c r="G14" s="13" t="s">
        <v>45</v>
      </c>
      <c r="H14" s="13">
        <v>4702080090</v>
      </c>
      <c r="I14" s="13" t="s">
        <v>36</v>
      </c>
      <c r="J14" s="13" t="s">
        <v>28</v>
      </c>
      <c r="K14" s="13" t="s">
        <v>29</v>
      </c>
      <c r="L14" s="13">
        <v>12</v>
      </c>
      <c r="M14" s="13">
        <v>12</v>
      </c>
      <c r="N14" s="13">
        <v>1</v>
      </c>
      <c r="O14" s="14">
        <v>46117</v>
      </c>
      <c r="P14" s="15">
        <v>1</v>
      </c>
      <c r="Q14" s="13" t="s">
        <v>19</v>
      </c>
    </row>
    <row r="15" spans="6:17" x14ac:dyDescent="0.25">
      <c r="F15" s="16" t="s">
        <v>88</v>
      </c>
      <c r="G15" s="13" t="s">
        <v>39</v>
      </c>
      <c r="H15" s="13">
        <v>4702080085</v>
      </c>
      <c r="I15" s="13" t="s">
        <v>36</v>
      </c>
      <c r="J15" s="13" t="s">
        <v>40</v>
      </c>
      <c r="K15" s="19" t="s">
        <v>41</v>
      </c>
      <c r="L15" s="13">
        <v>24</v>
      </c>
      <c r="M15" s="13">
        <v>24</v>
      </c>
      <c r="N15" s="13">
        <v>2</v>
      </c>
      <c r="O15" s="14">
        <v>46117</v>
      </c>
      <c r="P15" s="15">
        <v>1</v>
      </c>
      <c r="Q15" s="13" t="s">
        <v>19</v>
      </c>
    </row>
    <row r="16" spans="6:17" x14ac:dyDescent="0.25">
      <c r="F16" s="16" t="s">
        <v>88</v>
      </c>
      <c r="G16" s="13" t="s">
        <v>39</v>
      </c>
      <c r="H16" s="13">
        <v>4702080088</v>
      </c>
      <c r="I16" s="13" t="s">
        <v>36</v>
      </c>
      <c r="J16" s="13" t="s">
        <v>40</v>
      </c>
      <c r="K16" s="13" t="s">
        <v>41</v>
      </c>
      <c r="L16" s="13">
        <v>24</v>
      </c>
      <c r="M16" s="13">
        <v>24</v>
      </c>
      <c r="N16" s="13">
        <v>2</v>
      </c>
      <c r="O16" s="14">
        <v>46117</v>
      </c>
      <c r="P16" s="15">
        <v>1</v>
      </c>
      <c r="Q16" s="13" t="s">
        <v>19</v>
      </c>
    </row>
    <row r="17" spans="6:17" x14ac:dyDescent="0.25">
      <c r="F17" s="16" t="s">
        <v>88</v>
      </c>
      <c r="G17" s="13" t="s">
        <v>39</v>
      </c>
      <c r="H17" s="13">
        <v>4702080090</v>
      </c>
      <c r="I17" s="13" t="s">
        <v>36</v>
      </c>
      <c r="J17" s="13" t="s">
        <v>40</v>
      </c>
      <c r="K17" s="13" t="s">
        <v>41</v>
      </c>
      <c r="L17" s="13">
        <v>24</v>
      </c>
      <c r="M17" s="13">
        <v>24</v>
      </c>
      <c r="N17" s="13">
        <v>2</v>
      </c>
      <c r="O17" s="14">
        <v>46117</v>
      </c>
      <c r="P17" s="15">
        <v>1</v>
      </c>
      <c r="Q17" s="13" t="s">
        <v>19</v>
      </c>
    </row>
    <row r="18" spans="6:17" x14ac:dyDescent="0.25">
      <c r="F18" s="13" t="s">
        <v>88</v>
      </c>
      <c r="G18" s="16" t="s">
        <v>42</v>
      </c>
      <c r="H18" s="13">
        <v>4702080088</v>
      </c>
      <c r="I18" s="16" t="s">
        <v>36</v>
      </c>
      <c r="J18" s="16" t="s">
        <v>43</v>
      </c>
      <c r="K18" s="16" t="s">
        <v>44</v>
      </c>
      <c r="L18" s="16">
        <v>24</v>
      </c>
      <c r="M18" s="16">
        <v>24</v>
      </c>
      <c r="N18" s="16">
        <v>2</v>
      </c>
      <c r="O18" s="17">
        <v>46117</v>
      </c>
      <c r="P18" s="15">
        <v>1</v>
      </c>
      <c r="Q18" s="16" t="s">
        <v>19</v>
      </c>
    </row>
    <row r="19" spans="6:17" x14ac:dyDescent="0.25">
      <c r="F19" s="13" t="s">
        <v>88</v>
      </c>
      <c r="G19" s="16" t="s">
        <v>42</v>
      </c>
      <c r="H19" s="13">
        <v>4702080089</v>
      </c>
      <c r="I19" s="16" t="s">
        <v>36</v>
      </c>
      <c r="J19" s="16" t="s">
        <v>43</v>
      </c>
      <c r="K19" s="16" t="s">
        <v>44</v>
      </c>
      <c r="L19" s="16">
        <v>24</v>
      </c>
      <c r="M19" s="16">
        <v>24</v>
      </c>
      <c r="N19" s="16">
        <v>2</v>
      </c>
      <c r="O19" s="17">
        <v>46117</v>
      </c>
      <c r="P19" s="15">
        <v>1</v>
      </c>
      <c r="Q19" s="16" t="s">
        <v>19</v>
      </c>
    </row>
    <row r="20" spans="6:17" x14ac:dyDescent="0.25">
      <c r="F20" s="16" t="s">
        <v>89</v>
      </c>
      <c r="G20" s="16" t="s">
        <v>38</v>
      </c>
      <c r="H20" s="13">
        <v>4702080088</v>
      </c>
      <c r="I20" s="16" t="s">
        <v>36</v>
      </c>
      <c r="J20" s="16" t="s">
        <v>25</v>
      </c>
      <c r="K20" s="16" t="s">
        <v>26</v>
      </c>
      <c r="L20" s="16">
        <v>24</v>
      </c>
      <c r="M20" s="16">
        <v>24</v>
      </c>
      <c r="N20" s="16">
        <v>2</v>
      </c>
      <c r="O20" s="17">
        <v>46117</v>
      </c>
      <c r="P20" s="15">
        <v>1</v>
      </c>
      <c r="Q20" s="16" t="s">
        <v>19</v>
      </c>
    </row>
    <row r="21" spans="6:17" x14ac:dyDescent="0.25">
      <c r="F21" s="16" t="s">
        <v>89</v>
      </c>
      <c r="G21" s="16" t="s">
        <v>38</v>
      </c>
      <c r="H21" s="13">
        <v>4702080089</v>
      </c>
      <c r="I21" s="16" t="s">
        <v>36</v>
      </c>
      <c r="J21" s="16" t="s">
        <v>25</v>
      </c>
      <c r="K21" s="16" t="s">
        <v>26</v>
      </c>
      <c r="L21" s="16">
        <v>24</v>
      </c>
      <c r="M21" s="16">
        <v>24</v>
      </c>
      <c r="N21" s="16">
        <v>2</v>
      </c>
      <c r="O21" s="17">
        <v>46117</v>
      </c>
      <c r="P21" s="15">
        <v>1</v>
      </c>
      <c r="Q21" s="16" t="s">
        <v>19</v>
      </c>
    </row>
    <row r="22" spans="6:17" x14ac:dyDescent="0.25">
      <c r="F22" s="13" t="s">
        <v>88</v>
      </c>
      <c r="G22" s="13" t="s">
        <v>45</v>
      </c>
      <c r="H22" s="13">
        <v>4702080088</v>
      </c>
      <c r="I22" s="13" t="s">
        <v>36</v>
      </c>
      <c r="J22" s="13" t="s">
        <v>28</v>
      </c>
      <c r="K22" s="13" t="s">
        <v>29</v>
      </c>
      <c r="L22" s="13">
        <v>24</v>
      </c>
      <c r="M22" s="13">
        <v>24</v>
      </c>
      <c r="N22" s="13">
        <v>2</v>
      </c>
      <c r="O22" s="14">
        <v>46117</v>
      </c>
      <c r="P22" s="15">
        <v>1</v>
      </c>
      <c r="Q22" s="13" t="s">
        <v>19</v>
      </c>
    </row>
    <row r="23" spans="6:17" x14ac:dyDescent="0.25">
      <c r="F23" s="13" t="s">
        <v>88</v>
      </c>
      <c r="G23" s="13" t="s">
        <v>45</v>
      </c>
      <c r="H23" s="13">
        <v>4702080089</v>
      </c>
      <c r="I23" s="13" t="s">
        <v>36</v>
      </c>
      <c r="J23" s="13" t="s">
        <v>28</v>
      </c>
      <c r="K23" s="13" t="s">
        <v>29</v>
      </c>
      <c r="L23" s="13">
        <v>24</v>
      </c>
      <c r="M23" s="13">
        <v>24</v>
      </c>
      <c r="N23" s="13">
        <v>2</v>
      </c>
      <c r="O23" s="14">
        <v>46117</v>
      </c>
      <c r="P23" s="15">
        <v>1</v>
      </c>
      <c r="Q23" s="13" t="s">
        <v>19</v>
      </c>
    </row>
    <row r="24" spans="6:17" x14ac:dyDescent="0.25">
      <c r="F24" s="16" t="s">
        <v>88</v>
      </c>
      <c r="G24" s="13" t="s">
        <v>39</v>
      </c>
      <c r="H24" s="13">
        <v>4702080089</v>
      </c>
      <c r="I24" s="13" t="s">
        <v>36</v>
      </c>
      <c r="J24" s="13" t="s">
        <v>40</v>
      </c>
      <c r="K24" s="13" t="s">
        <v>41</v>
      </c>
      <c r="L24" s="13">
        <v>36</v>
      </c>
      <c r="M24" s="13">
        <v>36</v>
      </c>
      <c r="N24" s="13">
        <v>3</v>
      </c>
      <c r="O24" s="14">
        <v>46117</v>
      </c>
      <c r="P24" s="15">
        <v>1</v>
      </c>
      <c r="Q24" s="13" t="s">
        <v>19</v>
      </c>
    </row>
    <row r="25" spans="6:17" x14ac:dyDescent="0.25">
      <c r="F25" s="16" t="s">
        <v>90</v>
      </c>
      <c r="G25" s="13" t="s">
        <v>39</v>
      </c>
      <c r="H25" s="16">
        <v>4702080081</v>
      </c>
      <c r="I25" s="16" t="s">
        <v>36</v>
      </c>
      <c r="J25" s="16" t="s">
        <v>40</v>
      </c>
      <c r="K25" s="16" t="s">
        <v>41</v>
      </c>
      <c r="L25" s="16">
        <v>40</v>
      </c>
      <c r="M25" s="16">
        <v>40</v>
      </c>
      <c r="N25" s="16">
        <v>5</v>
      </c>
      <c r="O25" s="17">
        <v>46117</v>
      </c>
      <c r="P25" s="15">
        <v>1</v>
      </c>
      <c r="Q25" s="16" t="s">
        <v>19</v>
      </c>
    </row>
    <row r="26" spans="6:17" x14ac:dyDescent="0.25">
      <c r="F26" s="13" t="s">
        <v>90</v>
      </c>
      <c r="G26" s="13" t="s">
        <v>42</v>
      </c>
      <c r="H26" s="13">
        <v>4702080081</v>
      </c>
      <c r="I26" s="13" t="s">
        <v>36</v>
      </c>
      <c r="J26" s="13" t="s">
        <v>43</v>
      </c>
      <c r="K26" s="13" t="s">
        <v>44</v>
      </c>
      <c r="L26" s="13">
        <v>40</v>
      </c>
      <c r="M26" s="13">
        <v>40</v>
      </c>
      <c r="N26" s="13">
        <v>5</v>
      </c>
      <c r="O26" s="14">
        <v>46117</v>
      </c>
      <c r="P26" s="15">
        <v>1</v>
      </c>
      <c r="Q26" s="13" t="s">
        <v>19</v>
      </c>
    </row>
    <row r="27" spans="6:17" x14ac:dyDescent="0.25">
      <c r="F27" s="13" t="s">
        <v>90</v>
      </c>
      <c r="G27" s="13" t="s">
        <v>38</v>
      </c>
      <c r="H27" s="13">
        <v>4702080081</v>
      </c>
      <c r="I27" s="13" t="s">
        <v>36</v>
      </c>
      <c r="J27" s="13" t="s">
        <v>25</v>
      </c>
      <c r="K27" s="13" t="s">
        <v>26</v>
      </c>
      <c r="L27" s="13">
        <v>40</v>
      </c>
      <c r="M27" s="13">
        <v>40</v>
      </c>
      <c r="N27" s="13">
        <v>5</v>
      </c>
      <c r="O27" s="14">
        <v>46117</v>
      </c>
      <c r="P27" s="15">
        <v>1</v>
      </c>
      <c r="Q27" s="13" t="s">
        <v>19</v>
      </c>
    </row>
    <row r="28" spans="6:17" x14ac:dyDescent="0.25">
      <c r="F28" s="16" t="s">
        <v>90</v>
      </c>
      <c r="G28" s="13" t="s">
        <v>45</v>
      </c>
      <c r="H28" s="13">
        <v>4702080081</v>
      </c>
      <c r="I28" s="16" t="s">
        <v>36</v>
      </c>
      <c r="J28" s="16" t="s">
        <v>28</v>
      </c>
      <c r="K28" s="16" t="s">
        <v>29</v>
      </c>
      <c r="L28" s="16">
        <v>40</v>
      </c>
      <c r="M28" s="16">
        <v>40</v>
      </c>
      <c r="N28" s="16">
        <v>5</v>
      </c>
      <c r="O28" s="17">
        <v>46117</v>
      </c>
      <c r="P28" s="15">
        <v>1</v>
      </c>
      <c r="Q28" s="16" t="s">
        <v>19</v>
      </c>
    </row>
    <row r="29" spans="6:17" x14ac:dyDescent="0.25">
      <c r="F29" s="13" t="s">
        <v>91</v>
      </c>
      <c r="G29" s="16" t="s">
        <v>42</v>
      </c>
      <c r="H29" s="13">
        <v>4702080086</v>
      </c>
      <c r="I29" s="16" t="s">
        <v>36</v>
      </c>
      <c r="J29" s="16" t="s">
        <v>43</v>
      </c>
      <c r="K29" s="16" t="s">
        <v>44</v>
      </c>
      <c r="L29" s="16">
        <v>72</v>
      </c>
      <c r="M29" s="16">
        <v>72</v>
      </c>
      <c r="N29" s="16">
        <v>12</v>
      </c>
      <c r="O29" s="17">
        <v>46117</v>
      </c>
      <c r="P29" s="15">
        <v>1</v>
      </c>
      <c r="Q29" s="16" t="s">
        <v>19</v>
      </c>
    </row>
    <row r="30" spans="6:17" x14ac:dyDescent="0.25">
      <c r="F30" s="16" t="s">
        <v>91</v>
      </c>
      <c r="G30" s="16" t="s">
        <v>38</v>
      </c>
      <c r="H30" s="13">
        <v>4702080086</v>
      </c>
      <c r="I30" s="16" t="s">
        <v>36</v>
      </c>
      <c r="J30" s="16" t="s">
        <v>25</v>
      </c>
      <c r="K30" s="16" t="s">
        <v>26</v>
      </c>
      <c r="L30" s="16">
        <v>72</v>
      </c>
      <c r="M30" s="16">
        <v>72</v>
      </c>
      <c r="N30" s="16">
        <v>12</v>
      </c>
      <c r="O30" s="17">
        <v>46117</v>
      </c>
      <c r="P30" s="15">
        <v>1</v>
      </c>
      <c r="Q30" s="16" t="s">
        <v>19</v>
      </c>
    </row>
    <row r="31" spans="6:17" x14ac:dyDescent="0.25">
      <c r="F31" s="13" t="s">
        <v>91</v>
      </c>
      <c r="G31" s="13" t="s">
        <v>45</v>
      </c>
      <c r="H31" s="13">
        <v>4702080086</v>
      </c>
      <c r="I31" s="13" t="s">
        <v>36</v>
      </c>
      <c r="J31" s="13" t="s">
        <v>28</v>
      </c>
      <c r="K31" s="13" t="s">
        <v>29</v>
      </c>
      <c r="L31" s="13">
        <v>72</v>
      </c>
      <c r="M31" s="13">
        <v>72</v>
      </c>
      <c r="N31" s="13">
        <v>12</v>
      </c>
      <c r="O31" s="14">
        <v>46117</v>
      </c>
      <c r="P31" s="15">
        <v>1</v>
      </c>
      <c r="Q31" s="13" t="s">
        <v>19</v>
      </c>
    </row>
    <row r="32" spans="6:17" x14ac:dyDescent="0.25">
      <c r="F32" s="13" t="s">
        <v>91</v>
      </c>
      <c r="G32" s="13" t="s">
        <v>39</v>
      </c>
      <c r="H32" s="13">
        <v>4702080086</v>
      </c>
      <c r="I32" s="13" t="s">
        <v>36</v>
      </c>
      <c r="J32" s="13" t="s">
        <v>40</v>
      </c>
      <c r="K32" s="13" t="s">
        <v>41</v>
      </c>
      <c r="L32" s="13">
        <v>90</v>
      </c>
      <c r="M32" s="13">
        <v>90</v>
      </c>
      <c r="N32" s="13">
        <v>15</v>
      </c>
      <c r="O32" s="14">
        <v>46117</v>
      </c>
      <c r="P32" s="15">
        <v>1</v>
      </c>
      <c r="Q32" s="13" t="s">
        <v>19</v>
      </c>
    </row>
    <row r="33" spans="6:17" x14ac:dyDescent="0.25">
      <c r="F33" s="13" t="s">
        <v>91</v>
      </c>
      <c r="G33" s="13" t="s">
        <v>42</v>
      </c>
      <c r="H33" s="13">
        <v>4702080084</v>
      </c>
      <c r="I33" s="13" t="s">
        <v>36</v>
      </c>
      <c r="J33" s="13" t="s">
        <v>43</v>
      </c>
      <c r="K33" s="13" t="s">
        <v>44</v>
      </c>
      <c r="L33" s="13">
        <v>168</v>
      </c>
      <c r="M33" s="13">
        <v>168</v>
      </c>
      <c r="N33" s="13">
        <v>28</v>
      </c>
      <c r="O33" s="14">
        <v>46117</v>
      </c>
      <c r="P33" s="15">
        <v>1</v>
      </c>
      <c r="Q33" s="16" t="s">
        <v>19</v>
      </c>
    </row>
    <row r="34" spans="6:17" x14ac:dyDescent="0.25">
      <c r="F34" s="16" t="s">
        <v>91</v>
      </c>
      <c r="G34" s="13" t="s">
        <v>38</v>
      </c>
      <c r="H34" s="13">
        <v>4702080084</v>
      </c>
      <c r="I34" s="13" t="s">
        <v>36</v>
      </c>
      <c r="J34" s="13" t="s">
        <v>25</v>
      </c>
      <c r="K34" s="13" t="s">
        <v>26</v>
      </c>
      <c r="L34" s="13">
        <v>168</v>
      </c>
      <c r="M34" s="13">
        <v>168</v>
      </c>
      <c r="N34" s="13">
        <v>28</v>
      </c>
      <c r="O34" s="14">
        <v>46117</v>
      </c>
      <c r="P34" s="15">
        <v>1</v>
      </c>
      <c r="Q34" s="16" t="s">
        <v>19</v>
      </c>
    </row>
    <row r="35" spans="6:17" x14ac:dyDescent="0.25">
      <c r="F35" s="13" t="s">
        <v>91</v>
      </c>
      <c r="G35" s="16" t="s">
        <v>45</v>
      </c>
      <c r="H35" s="13">
        <v>4702080084</v>
      </c>
      <c r="I35" s="16" t="s">
        <v>36</v>
      </c>
      <c r="J35" s="16" t="s">
        <v>28</v>
      </c>
      <c r="K35" s="16" t="s">
        <v>29</v>
      </c>
      <c r="L35" s="16">
        <v>168</v>
      </c>
      <c r="M35" s="16">
        <v>168</v>
      </c>
      <c r="N35" s="16">
        <v>28</v>
      </c>
      <c r="O35" s="17">
        <v>46117</v>
      </c>
      <c r="P35" s="15">
        <v>1</v>
      </c>
      <c r="Q35" s="16" t="s">
        <v>19</v>
      </c>
    </row>
    <row r="36" spans="6:17" x14ac:dyDescent="0.25">
      <c r="F36" s="13" t="s">
        <v>90</v>
      </c>
      <c r="G36" s="13" t="s">
        <v>42</v>
      </c>
      <c r="H36" s="13">
        <v>4702080083</v>
      </c>
      <c r="I36" s="13" t="s">
        <v>36</v>
      </c>
      <c r="J36" s="13" t="s">
        <v>43</v>
      </c>
      <c r="K36" s="13" t="s">
        <v>44</v>
      </c>
      <c r="L36" s="13">
        <v>200</v>
      </c>
      <c r="M36" s="13">
        <v>200</v>
      </c>
      <c r="N36" s="13">
        <v>25</v>
      </c>
      <c r="O36" s="14">
        <v>46117</v>
      </c>
      <c r="P36" s="15">
        <v>1</v>
      </c>
      <c r="Q36" s="16" t="s">
        <v>19</v>
      </c>
    </row>
    <row r="37" spans="6:17" x14ac:dyDescent="0.25">
      <c r="F37" s="13" t="s">
        <v>90</v>
      </c>
      <c r="G37" s="13" t="s">
        <v>38</v>
      </c>
      <c r="H37" s="13">
        <v>4702080083</v>
      </c>
      <c r="I37" s="13" t="s">
        <v>36</v>
      </c>
      <c r="J37" s="13" t="s">
        <v>25</v>
      </c>
      <c r="K37" s="13" t="s">
        <v>26</v>
      </c>
      <c r="L37" s="13">
        <v>200</v>
      </c>
      <c r="M37" s="13">
        <v>200</v>
      </c>
      <c r="N37" s="13">
        <v>25</v>
      </c>
      <c r="O37" s="14">
        <v>46117</v>
      </c>
      <c r="P37" s="15">
        <v>1</v>
      </c>
      <c r="Q37" s="16" t="s">
        <v>19</v>
      </c>
    </row>
    <row r="38" spans="6:17" x14ac:dyDescent="0.25">
      <c r="F38" s="16" t="s">
        <v>90</v>
      </c>
      <c r="G38" s="16" t="s">
        <v>45</v>
      </c>
      <c r="H38" s="13">
        <v>4702080083</v>
      </c>
      <c r="I38" s="16" t="s">
        <v>36</v>
      </c>
      <c r="J38" s="16" t="s">
        <v>28</v>
      </c>
      <c r="K38" s="16" t="s">
        <v>29</v>
      </c>
      <c r="L38" s="16">
        <v>200</v>
      </c>
      <c r="M38" s="16">
        <v>200</v>
      </c>
      <c r="N38" s="16">
        <v>25</v>
      </c>
      <c r="O38" s="17">
        <v>46117</v>
      </c>
      <c r="P38" s="15">
        <v>1</v>
      </c>
      <c r="Q38" s="16" t="s">
        <v>19</v>
      </c>
    </row>
    <row r="39" spans="6:17" x14ac:dyDescent="0.25">
      <c r="F39" s="13" t="s">
        <v>91</v>
      </c>
      <c r="G39" s="16" t="s">
        <v>39</v>
      </c>
      <c r="H39" s="13">
        <v>4702080084</v>
      </c>
      <c r="I39" s="16" t="s">
        <v>36</v>
      </c>
      <c r="J39" s="16" t="s">
        <v>40</v>
      </c>
      <c r="K39" s="16" t="s">
        <v>41</v>
      </c>
      <c r="L39" s="16">
        <v>204</v>
      </c>
      <c r="M39" s="16">
        <v>204</v>
      </c>
      <c r="N39" s="16">
        <v>34</v>
      </c>
      <c r="O39" s="17">
        <v>46117</v>
      </c>
      <c r="P39" s="15">
        <v>1</v>
      </c>
      <c r="Q39" s="16" t="s">
        <v>19</v>
      </c>
    </row>
    <row r="40" spans="6:17" x14ac:dyDescent="0.25">
      <c r="F40" s="16" t="s">
        <v>90</v>
      </c>
      <c r="G40" s="16" t="s">
        <v>39</v>
      </c>
      <c r="H40" s="13">
        <v>4702080083</v>
      </c>
      <c r="I40" s="16" t="s">
        <v>36</v>
      </c>
      <c r="J40" s="16" t="s">
        <v>40</v>
      </c>
      <c r="K40" s="16" t="s">
        <v>41</v>
      </c>
      <c r="L40" s="16">
        <v>264</v>
      </c>
      <c r="M40" s="16">
        <v>264</v>
      </c>
      <c r="N40" s="16">
        <v>33</v>
      </c>
      <c r="O40" s="17">
        <v>46117</v>
      </c>
      <c r="P40" s="15">
        <v>1</v>
      </c>
      <c r="Q40" s="16" t="s">
        <v>19</v>
      </c>
    </row>
    <row r="41" spans="6:17" x14ac:dyDescent="0.25">
      <c r="F41" s="13" t="s">
        <v>91</v>
      </c>
      <c r="G41" s="13" t="s">
        <v>42</v>
      </c>
      <c r="H41" s="13">
        <v>4702080082</v>
      </c>
      <c r="I41" s="13" t="s">
        <v>36</v>
      </c>
      <c r="J41" s="13" t="s">
        <v>43</v>
      </c>
      <c r="K41" s="13" t="s">
        <v>44</v>
      </c>
      <c r="L41" s="13">
        <v>294</v>
      </c>
      <c r="M41" s="13">
        <v>294</v>
      </c>
      <c r="N41" s="13">
        <v>49</v>
      </c>
      <c r="O41" s="14">
        <v>46117</v>
      </c>
      <c r="P41" s="15">
        <v>1</v>
      </c>
      <c r="Q41" s="16" t="s">
        <v>19</v>
      </c>
    </row>
    <row r="42" spans="6:17" x14ac:dyDescent="0.25">
      <c r="F42" s="16" t="s">
        <v>91</v>
      </c>
      <c r="G42" s="13" t="s">
        <v>38</v>
      </c>
      <c r="H42" s="13">
        <v>4702080082</v>
      </c>
      <c r="I42" s="13" t="s">
        <v>36</v>
      </c>
      <c r="J42" s="13" t="s">
        <v>25</v>
      </c>
      <c r="K42" s="13" t="s">
        <v>26</v>
      </c>
      <c r="L42" s="13">
        <v>294</v>
      </c>
      <c r="M42" s="13">
        <v>294</v>
      </c>
      <c r="N42" s="13">
        <v>49</v>
      </c>
      <c r="O42" s="14">
        <v>46117</v>
      </c>
      <c r="P42" s="15">
        <v>1</v>
      </c>
      <c r="Q42" s="16" t="s">
        <v>19</v>
      </c>
    </row>
    <row r="43" spans="6:17" x14ac:dyDescent="0.25">
      <c r="F43" s="13" t="s">
        <v>91</v>
      </c>
      <c r="G43" s="16" t="s">
        <v>45</v>
      </c>
      <c r="H43" s="13">
        <v>4702080082</v>
      </c>
      <c r="I43" s="16" t="s">
        <v>36</v>
      </c>
      <c r="J43" s="16" t="s">
        <v>28</v>
      </c>
      <c r="K43" s="16" t="s">
        <v>29</v>
      </c>
      <c r="L43" s="16">
        <v>294</v>
      </c>
      <c r="M43" s="16">
        <v>294</v>
      </c>
      <c r="N43" s="16">
        <v>49</v>
      </c>
      <c r="O43" s="17">
        <v>46117</v>
      </c>
      <c r="P43" s="15">
        <v>1</v>
      </c>
      <c r="Q43" s="16" t="s">
        <v>19</v>
      </c>
    </row>
    <row r="44" spans="6:17" x14ac:dyDescent="0.25">
      <c r="F44" s="13" t="s">
        <v>91</v>
      </c>
      <c r="G44" s="13" t="s">
        <v>39</v>
      </c>
      <c r="H44" s="13">
        <v>4702080082</v>
      </c>
      <c r="I44" s="16" t="s">
        <v>36</v>
      </c>
      <c r="J44" s="16" t="s">
        <v>40</v>
      </c>
      <c r="K44" s="16" t="s">
        <v>41</v>
      </c>
      <c r="L44" s="16">
        <v>330</v>
      </c>
      <c r="M44" s="16">
        <v>330</v>
      </c>
      <c r="N44" s="16">
        <v>55</v>
      </c>
      <c r="O44" s="17">
        <v>46117</v>
      </c>
      <c r="P44" s="15">
        <v>1</v>
      </c>
      <c r="Q44" s="16" t="s">
        <v>19</v>
      </c>
    </row>
    <row r="45" spans="6:17" x14ac:dyDescent="0.25">
      <c r="F45" s="13"/>
      <c r="G45" s="13" t="s">
        <v>30</v>
      </c>
      <c r="H45" s="13">
        <v>4702067318</v>
      </c>
      <c r="I45" s="13" t="s">
        <v>46</v>
      </c>
      <c r="J45" s="13" t="s">
        <v>31</v>
      </c>
      <c r="K45" s="13" t="s">
        <v>32</v>
      </c>
      <c r="L45" s="13">
        <v>35</v>
      </c>
      <c r="M45" s="13">
        <v>35</v>
      </c>
      <c r="N45" s="13">
        <v>2</v>
      </c>
      <c r="O45" s="14">
        <v>46117</v>
      </c>
      <c r="P45" s="15">
        <v>1</v>
      </c>
      <c r="Q45" s="16" t="s">
        <v>19</v>
      </c>
    </row>
    <row r="46" spans="6:17" x14ac:dyDescent="0.25">
      <c r="F46" s="16"/>
      <c r="G46" s="16" t="s">
        <v>30</v>
      </c>
      <c r="H46" s="16">
        <v>4702067319</v>
      </c>
      <c r="I46" s="16" t="s">
        <v>46</v>
      </c>
      <c r="J46" s="16" t="s">
        <v>31</v>
      </c>
      <c r="K46" s="16" t="s">
        <v>32</v>
      </c>
      <c r="L46" s="16">
        <v>101</v>
      </c>
      <c r="M46" s="16">
        <v>101</v>
      </c>
      <c r="N46" s="16">
        <v>3</v>
      </c>
      <c r="O46" s="17">
        <v>46117</v>
      </c>
      <c r="P46" s="15">
        <v>1</v>
      </c>
      <c r="Q46" s="16" t="s">
        <v>19</v>
      </c>
    </row>
    <row r="47" spans="6:17" x14ac:dyDescent="0.25">
      <c r="F47" s="13"/>
      <c r="G47" s="13" t="s">
        <v>30</v>
      </c>
      <c r="H47" s="13">
        <v>4702067320</v>
      </c>
      <c r="I47" s="13" t="s">
        <v>46</v>
      </c>
      <c r="J47" s="13" t="s">
        <v>31</v>
      </c>
      <c r="K47" s="13" t="s">
        <v>32</v>
      </c>
      <c r="L47" s="13">
        <v>105</v>
      </c>
      <c r="M47" s="13">
        <v>105</v>
      </c>
      <c r="N47" s="13">
        <v>3</v>
      </c>
      <c r="O47" s="14">
        <v>46117</v>
      </c>
      <c r="P47" s="15">
        <v>1</v>
      </c>
      <c r="Q47" s="16" t="s">
        <v>19</v>
      </c>
    </row>
    <row r="48" spans="6:17" x14ac:dyDescent="0.25">
      <c r="F48" s="13"/>
      <c r="G48" s="13" t="s">
        <v>47</v>
      </c>
      <c r="H48" s="13">
        <v>4702067333</v>
      </c>
      <c r="I48" s="13" t="s">
        <v>46</v>
      </c>
      <c r="J48" s="13" t="s">
        <v>48</v>
      </c>
      <c r="K48" s="13" t="s">
        <v>49</v>
      </c>
      <c r="L48" s="13">
        <v>141</v>
      </c>
      <c r="M48" s="13">
        <v>141</v>
      </c>
      <c r="N48" s="13">
        <v>9</v>
      </c>
      <c r="O48" s="14">
        <v>46117</v>
      </c>
      <c r="P48" s="15">
        <v>1</v>
      </c>
      <c r="Q48" s="13" t="s">
        <v>19</v>
      </c>
    </row>
    <row r="49" spans="6:17" x14ac:dyDescent="0.25">
      <c r="F49" s="16"/>
      <c r="G49" s="16" t="s">
        <v>20</v>
      </c>
      <c r="H49" s="16">
        <v>4702067333</v>
      </c>
      <c r="I49" s="16" t="s">
        <v>46</v>
      </c>
      <c r="J49" s="16" t="s">
        <v>21</v>
      </c>
      <c r="K49" s="16" t="s">
        <v>22</v>
      </c>
      <c r="L49" s="16">
        <v>211</v>
      </c>
      <c r="M49" s="16">
        <v>211</v>
      </c>
      <c r="N49" s="16">
        <v>13</v>
      </c>
      <c r="O49" s="17">
        <v>46117</v>
      </c>
      <c r="P49" s="15">
        <v>1</v>
      </c>
      <c r="Q49" s="16" t="s">
        <v>19</v>
      </c>
    </row>
    <row r="50" spans="6:17" x14ac:dyDescent="0.25">
      <c r="F50" s="13"/>
      <c r="G50" s="13" t="s">
        <v>50</v>
      </c>
      <c r="H50" s="13">
        <v>4702067333</v>
      </c>
      <c r="I50" s="13" t="s">
        <v>46</v>
      </c>
      <c r="J50" s="13" t="s">
        <v>51</v>
      </c>
      <c r="K50" s="13" t="s">
        <v>52</v>
      </c>
      <c r="L50" s="13">
        <v>90</v>
      </c>
      <c r="M50" s="13">
        <v>90</v>
      </c>
      <c r="N50" s="13">
        <v>7</v>
      </c>
      <c r="O50" s="14">
        <v>46117</v>
      </c>
      <c r="P50" s="15">
        <v>1</v>
      </c>
      <c r="Q50" s="13" t="s">
        <v>19</v>
      </c>
    </row>
    <row r="51" spans="6:17" x14ac:dyDescent="0.25">
      <c r="F51" s="16"/>
      <c r="G51" s="16" t="s">
        <v>53</v>
      </c>
      <c r="H51" s="16">
        <v>4702067336</v>
      </c>
      <c r="I51" s="16" t="s">
        <v>46</v>
      </c>
      <c r="J51" s="16" t="s">
        <v>54</v>
      </c>
      <c r="K51" s="16" t="s">
        <v>55</v>
      </c>
      <c r="L51" s="16">
        <v>35</v>
      </c>
      <c r="M51" s="16">
        <v>35</v>
      </c>
      <c r="N51" s="16">
        <v>3</v>
      </c>
      <c r="O51" s="17">
        <v>46117</v>
      </c>
      <c r="P51" s="15">
        <v>1</v>
      </c>
      <c r="Q51" s="16" t="s">
        <v>19</v>
      </c>
    </row>
    <row r="52" spans="6:17" x14ac:dyDescent="0.25">
      <c r="F52" s="16"/>
      <c r="G52" s="16" t="s">
        <v>56</v>
      </c>
      <c r="H52" s="16">
        <v>4702095656</v>
      </c>
      <c r="I52" s="16" t="s">
        <v>57</v>
      </c>
      <c r="J52" s="18">
        <v>710967894001</v>
      </c>
      <c r="K52" s="16" t="s">
        <v>34</v>
      </c>
      <c r="L52" s="16">
        <v>240</v>
      </c>
      <c r="M52" s="16">
        <v>240</v>
      </c>
      <c r="N52" s="16">
        <v>12</v>
      </c>
      <c r="O52" s="17">
        <v>46117</v>
      </c>
      <c r="P52" s="15">
        <v>1</v>
      </c>
      <c r="Q52" s="16" t="s">
        <v>19</v>
      </c>
    </row>
    <row r="53" spans="6:17" ht="18" x14ac:dyDescent="0.25">
      <c r="F53" s="20"/>
      <c r="G53" s="20"/>
      <c r="H53" s="20"/>
      <c r="I53" s="20"/>
      <c r="J53" s="20"/>
      <c r="K53" s="21" t="s">
        <v>58</v>
      </c>
      <c r="L53" s="21">
        <f>SUM(L7:L52)</f>
        <v>4556</v>
      </c>
      <c r="M53" s="21">
        <f>SUM(M7:M52)</f>
        <v>4556</v>
      </c>
      <c r="N53" s="21">
        <f>SUM(N7:N52)</f>
        <v>580</v>
      </c>
      <c r="O53" s="20"/>
      <c r="P53" s="20"/>
      <c r="Q53" s="20"/>
    </row>
  </sheetData>
  <pageMargins left="0.25" right="0.25" top="0.75" bottom="0.75" header="0.3" footer="0.3"/>
  <pageSetup paperSize="9" scale="5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Finishing DEO4</dc:creator>
  <cp:lastModifiedBy>Finishing DEO4</cp:lastModifiedBy>
  <cp:lastPrinted>2026-03-06T05:19:00Z</cp:lastPrinted>
  <dcterms:created xsi:type="dcterms:W3CDTF">2026-03-06T03:26:15Z</dcterms:created>
  <dcterms:modified xsi:type="dcterms:W3CDTF">2026-03-06T05:30:34Z</dcterms:modified>
</cp:coreProperties>
</file>